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910" tabRatio="489"/>
  </bookViews>
  <sheets>
    <sheet name="Sheet1" sheetId="16" r:id="rId1"/>
    <sheet name="角色" sheetId="15" r:id="rId2"/>
    <sheet name="大招备份" sheetId="5" r:id="rId3"/>
    <sheet name="数值备份" sheetId="8" r:id="rId4"/>
    <sheet name="BOSS免疫被动一览" sheetId="18" r:id="rId5"/>
    <sheet name="heroID" sheetId="19" r:id="rId6"/>
    <sheet name="Sheet2" sheetId="20" r:id="rId7"/>
    <sheet name="Sheet3" sheetId="21" r:id="rId8"/>
  </sheets>
  <definedNames>
    <definedName name="_xlnm._FilterDatabase" localSheetId="0" hidden="1">Sheet1!$A$6:$AY$55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王佳</author>
    <author>wangpengfei</author>
  </authors>
  <commentList>
    <comment ref="C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用于被CommonEnemy表引用，根据服务器天修正怪物属性</t>
        </r>
      </text>
    </comment>
    <comment ref="D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组ID最后一行之后如果没有行，则均沿用最后一行的数字</t>
        </r>
      </text>
    </comment>
    <comment ref="A17" authorId="1">
      <text>
        <r>
          <rPr>
            <sz val="9"/>
            <rFont val="宋体"/>
            <charset val="134"/>
          </rPr>
          <t>百兽团挑战新开的服属性调整</t>
        </r>
      </text>
    </comment>
    <comment ref="A56" authorId="1">
      <text>
        <r>
          <rPr>
            <sz val="9"/>
            <rFont val="宋体"/>
            <charset val="134"/>
          </rPr>
          <t>空岛新开的服属性调整</t>
        </r>
      </text>
    </comment>
  </commentList>
</comments>
</file>

<file path=xl/sharedStrings.xml><?xml version="1.0" encoding="utf-8"?>
<sst xmlns="http://schemas.openxmlformats.org/spreadsheetml/2006/main" count="1417" uniqueCount="697">
  <si>
    <t>7</t>
  </si>
  <si>
    <t>id</t>
  </si>
  <si>
    <t>新服还是老服
0：不限新老服
1：新服
2：老服</t>
  </si>
  <si>
    <t>修正组ID</t>
  </si>
  <si>
    <t>服务器天数</t>
  </si>
  <si>
    <t>攻击</t>
  </si>
  <si>
    <t>防御</t>
  </si>
  <si>
    <t>血量</t>
  </si>
  <si>
    <t>速度</t>
  </si>
  <si>
    <t>暴击</t>
  </si>
  <si>
    <t>抗暴</t>
  </si>
  <si>
    <t>命中</t>
  </si>
  <si>
    <t>闪避</t>
  </si>
  <si>
    <t>暴击伤害系数</t>
  </si>
  <si>
    <t>治疗暴击率</t>
  </si>
  <si>
    <t>暴击治疗系数</t>
  </si>
  <si>
    <t>格挡</t>
  </si>
  <si>
    <t>格挡伤害</t>
  </si>
  <si>
    <t>破击</t>
  </si>
  <si>
    <t>效果命中</t>
  </si>
  <si>
    <t>效果回避</t>
  </si>
  <si>
    <t>伤害加成</t>
  </si>
  <si>
    <t>伤害减免</t>
  </si>
  <si>
    <t>治疗加成</t>
  </si>
  <si>
    <t>治疗减免</t>
  </si>
  <si>
    <t>真实伤害</t>
  </si>
  <si>
    <t>毒</t>
  </si>
  <si>
    <t>雷</t>
  </si>
  <si>
    <t>电</t>
  </si>
  <si>
    <t>火</t>
  </si>
  <si>
    <t>冰</t>
  </si>
  <si>
    <t>水</t>
  </si>
  <si>
    <t>光</t>
  </si>
  <si>
    <t>暗</t>
  </si>
  <si>
    <t>风</t>
  </si>
  <si>
    <t>全</t>
  </si>
  <si>
    <t>真实免伤</t>
  </si>
  <si>
    <t>抗毒</t>
  </si>
  <si>
    <t>抗雷</t>
  </si>
  <si>
    <t>抗电</t>
  </si>
  <si>
    <t>抗火</t>
  </si>
  <si>
    <t>抗冰</t>
  </si>
  <si>
    <t>抗水</t>
  </si>
  <si>
    <t>抗光</t>
  </si>
  <si>
    <t>抗暗</t>
  </si>
  <si>
    <t>抗风</t>
  </si>
  <si>
    <t>抗全</t>
  </si>
  <si>
    <t>Id</t>
  </si>
  <si>
    <t>int</t>
  </si>
  <si>
    <t>primary</t>
  </si>
  <si>
    <t>none</t>
  </si>
  <si>
    <t>index</t>
  </si>
  <si>
    <t>isServer</t>
  </si>
  <si>
    <t>enemyServerGroupId</t>
  </si>
  <si>
    <t>serverDay</t>
  </si>
  <si>
    <t>atk</t>
  </si>
  <si>
    <t>def</t>
  </si>
  <si>
    <t>hp</t>
  </si>
  <si>
    <t>speed</t>
  </si>
  <si>
    <t>cri</t>
  </si>
  <si>
    <t>anticri</t>
  </si>
  <si>
    <t>hit</t>
  </si>
  <si>
    <t>dodge</t>
  </si>
  <si>
    <t>cridamage</t>
  </si>
  <si>
    <t>tcri</t>
  </si>
  <si>
    <t>critreat</t>
  </si>
  <si>
    <t>block</t>
  </si>
  <si>
    <t>blockdamage</t>
  </si>
  <si>
    <t>antiblock</t>
  </si>
  <si>
    <t>effecthit</t>
  </si>
  <si>
    <t>effectdodge</t>
  </si>
  <si>
    <t>damageadd</t>
  </si>
  <si>
    <t>damagereduce</t>
  </si>
  <si>
    <t>treatadd</t>
  </si>
  <si>
    <t>treatreduce</t>
  </si>
  <si>
    <t>reality</t>
  </si>
  <si>
    <t>poison</t>
  </si>
  <si>
    <t>thunder</t>
  </si>
  <si>
    <t>elec</t>
  </si>
  <si>
    <t>fire</t>
  </si>
  <si>
    <t>ice</t>
  </si>
  <si>
    <t>water</t>
  </si>
  <si>
    <t>light</t>
  </si>
  <si>
    <t>dark</t>
  </si>
  <si>
    <t>wind</t>
  </si>
  <si>
    <t>whole</t>
  </si>
  <si>
    <t>antireality</t>
  </si>
  <si>
    <t>antipoison</t>
  </si>
  <si>
    <t>antithunder</t>
  </si>
  <si>
    <t>antielec</t>
  </si>
  <si>
    <t>antifire</t>
  </si>
  <si>
    <t>antiice</t>
  </si>
  <si>
    <t>antiwater</t>
  </si>
  <si>
    <t>antilight</t>
  </si>
  <si>
    <t>antidark</t>
  </si>
  <si>
    <t>antiwind</t>
  </si>
  <si>
    <t>antiwhole</t>
  </si>
  <si>
    <t>章节</t>
  </si>
  <si>
    <t>话</t>
  </si>
  <si>
    <t>难度</t>
  </si>
  <si>
    <t>生命</t>
  </si>
  <si>
    <t>普通难度</t>
  </si>
  <si>
    <t>困难难度</t>
  </si>
  <si>
    <t>小怪属性</t>
  </si>
  <si>
    <t>精英怪属性</t>
  </si>
  <si>
    <t>200101</t>
  </si>
  <si>
    <t>克比</t>
  </si>
  <si>
    <t>斧手蒙卡</t>
  </si>
  <si>
    <t>卡巴奇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</si>
  <si>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D</t>
    </r>
  </si>
  <si>
    <t>克洛</t>
  </si>
  <si>
    <t>强高</t>
  </si>
  <si>
    <t>克里克</t>
  </si>
  <si>
    <t>阿金</t>
  </si>
  <si>
    <t>帕鲁</t>
  </si>
  <si>
    <t>阿龙</t>
  </si>
  <si>
    <t>阿八</t>
  </si>
  <si>
    <t>薇薇</t>
  </si>
  <si>
    <t>Mr.5</t>
  </si>
  <si>
    <t>瓦尔波</t>
  </si>
  <si>
    <t>Mr.4</t>
  </si>
  <si>
    <t>Miss.黄金周</t>
  </si>
  <si>
    <t>猫头鹰</t>
  </si>
  <si>
    <t>路飞</t>
  </si>
  <si>
    <t>200201</t>
  </si>
  <si>
    <t>佐罗</t>
  </si>
  <si>
    <t>奈美</t>
  </si>
  <si>
    <t>撒谎布</t>
  </si>
  <si>
    <t>山智</t>
  </si>
  <si>
    <t>乔巴</t>
  </si>
  <si>
    <t>罗宾</t>
  </si>
  <si>
    <t>弗兰奇</t>
  </si>
  <si>
    <t>布鲁克</t>
  </si>
  <si>
    <t>巴基</t>
  </si>
  <si>
    <t>斯摩格</t>
  </si>
  <si>
    <t>塔西琪</t>
  </si>
  <si>
    <t>Mr.1</t>
  </si>
  <si>
    <t>Mr.2</t>
  </si>
  <si>
    <t>Mr.3</t>
  </si>
  <si>
    <t>Miss.双手指</t>
  </si>
  <si>
    <t>贝拉米</t>
  </si>
  <si>
    <t>瓦帕</t>
  </si>
  <si>
    <t>杰布拉（狼人）</t>
  </si>
  <si>
    <t>佳妮法</t>
  </si>
  <si>
    <t>豪格巴克</t>
  </si>
  <si>
    <t>佩罗娜</t>
  </si>
  <si>
    <t>龙马</t>
  </si>
  <si>
    <t>沙·鳄鱼</t>
  </si>
  <si>
    <t>艾尼路</t>
  </si>
  <si>
    <t>青雉</t>
  </si>
  <si>
    <t>戈普</t>
  </si>
  <si>
    <t>大熊</t>
  </si>
  <si>
    <t>艾斯</t>
  </si>
  <si>
    <t>200301</t>
  </si>
  <si>
    <t>萨卡斯基</t>
  </si>
  <si>
    <t>鹰眼</t>
  </si>
  <si>
    <t>200302</t>
  </si>
  <si>
    <t>200401</t>
  </si>
  <si>
    <t>200402</t>
  </si>
  <si>
    <t>200501</t>
  </si>
  <si>
    <t>200502</t>
  </si>
  <si>
    <t>200601</t>
  </si>
  <si>
    <t>200602</t>
  </si>
  <si>
    <t>200701</t>
  </si>
  <si>
    <t>200702</t>
  </si>
  <si>
    <t>200801</t>
  </si>
  <si>
    <t>200802</t>
  </si>
  <si>
    <t>200901</t>
  </si>
  <si>
    <t>200902</t>
  </si>
  <si>
    <t>201001</t>
  </si>
  <si>
    <t>201002</t>
  </si>
  <si>
    <t>121043</t>
  </si>
  <si>
    <t>1112018</t>
  </si>
  <si>
    <t>200102</t>
  </si>
  <si>
    <t>200202</t>
  </si>
  <si>
    <t>300101</t>
  </si>
  <si>
    <t>300102</t>
  </si>
  <si>
    <t>300103</t>
  </si>
  <si>
    <t>300104</t>
  </si>
  <si>
    <t>300201</t>
  </si>
  <si>
    <t>300202</t>
  </si>
  <si>
    <t>300203</t>
  </si>
  <si>
    <t>300204</t>
  </si>
  <si>
    <t>300301</t>
  </si>
  <si>
    <t>300302</t>
  </si>
  <si>
    <t>300303</t>
  </si>
  <si>
    <t>300304</t>
  </si>
  <si>
    <t>300401</t>
  </si>
  <si>
    <t>300402</t>
  </si>
  <si>
    <t>300403</t>
  </si>
  <si>
    <t>300404</t>
  </si>
  <si>
    <t>300501</t>
  </si>
  <si>
    <t>300502</t>
  </si>
  <si>
    <t>300503</t>
  </si>
  <si>
    <t>300504</t>
  </si>
  <si>
    <t>300601</t>
  </si>
  <si>
    <t>300602</t>
  </si>
  <si>
    <t>300603</t>
  </si>
  <si>
    <t>300604</t>
  </si>
  <si>
    <t>300701</t>
  </si>
  <si>
    <t>300702</t>
  </si>
  <si>
    <t>300703</t>
  </si>
  <si>
    <t>300704</t>
  </si>
  <si>
    <t>300801</t>
  </si>
  <si>
    <t>300802</t>
  </si>
  <si>
    <t>300803</t>
  </si>
  <si>
    <t>300804</t>
  </si>
  <si>
    <t>300901</t>
  </si>
  <si>
    <t>300902</t>
  </si>
  <si>
    <t>300903</t>
  </si>
  <si>
    <t>300904</t>
  </si>
  <si>
    <t>40040101</t>
  </si>
  <si>
    <t>40040102</t>
  </si>
  <si>
    <t>40040201</t>
  </si>
  <si>
    <t>40040202</t>
  </si>
  <si>
    <t>40050101</t>
  </si>
  <si>
    <t>40050102</t>
  </si>
  <si>
    <t>40050201</t>
  </si>
  <si>
    <t>40050202</t>
  </si>
  <si>
    <t>40050301</t>
  </si>
  <si>
    <t>40050302</t>
  </si>
  <si>
    <t>40060101</t>
  </si>
  <si>
    <t>40060102</t>
  </si>
  <si>
    <t>40060201</t>
  </si>
  <si>
    <t>40060202</t>
  </si>
  <si>
    <t>40060301</t>
  </si>
  <si>
    <t>40060302</t>
  </si>
  <si>
    <t>40060401</t>
  </si>
  <si>
    <t>40060402</t>
  </si>
  <si>
    <t>40060501</t>
  </si>
  <si>
    <t>11301001</t>
  </si>
  <si>
    <t>11301002</t>
  </si>
  <si>
    <t>11301003</t>
  </si>
  <si>
    <t>11300101</t>
  </si>
  <si>
    <t>11300102</t>
  </si>
  <si>
    <t>11300103</t>
  </si>
  <si>
    <t>11300104</t>
  </si>
  <si>
    <t>11200101</t>
  </si>
  <si>
    <t>11200102</t>
  </si>
  <si>
    <t>11200103</t>
  </si>
  <si>
    <t>11200104</t>
  </si>
  <si>
    <t>11200105</t>
  </si>
  <si>
    <t>11200201</t>
  </si>
  <si>
    <t>11200202</t>
  </si>
  <si>
    <t>11200203</t>
  </si>
  <si>
    <t>11200204</t>
  </si>
  <si>
    <t>11200205</t>
  </si>
  <si>
    <t>11200501</t>
  </si>
  <si>
    <t>11200502</t>
  </si>
  <si>
    <t>11200503</t>
  </si>
  <si>
    <t>11200301</t>
  </si>
  <si>
    <t>11200302</t>
  </si>
  <si>
    <t>11200401</t>
  </si>
  <si>
    <t>11200402</t>
  </si>
  <si>
    <t>11200403</t>
  </si>
  <si>
    <t>11201001</t>
  </si>
  <si>
    <t>11201002</t>
  </si>
  <si>
    <t>11201003</t>
  </si>
  <si>
    <t>11201101</t>
  </si>
  <si>
    <t>11201102</t>
  </si>
  <si>
    <t>11201103</t>
  </si>
  <si>
    <t>11201104</t>
  </si>
  <si>
    <t>11201201</t>
  </si>
  <si>
    <t>11201202</t>
  </si>
  <si>
    <t>11201203</t>
  </si>
  <si>
    <t>11100101</t>
  </si>
  <si>
    <t>11100102</t>
  </si>
  <si>
    <t>11100201</t>
  </si>
  <si>
    <t>11100202</t>
  </si>
  <si>
    <t>11100203</t>
  </si>
  <si>
    <t>11100301</t>
  </si>
  <si>
    <t>11100302</t>
  </si>
  <si>
    <t>11100303</t>
  </si>
  <si>
    <t>11100401</t>
  </si>
  <si>
    <t>11100402</t>
  </si>
  <si>
    <t>11100403</t>
  </si>
  <si>
    <t>11100501</t>
  </si>
  <si>
    <t>11100502</t>
  </si>
  <si>
    <t>11100503</t>
  </si>
  <si>
    <t>11100601</t>
  </si>
  <si>
    <t>11100602</t>
  </si>
  <si>
    <t>11100603</t>
  </si>
  <si>
    <t>11100701</t>
  </si>
  <si>
    <t>11100702</t>
  </si>
  <si>
    <t>11100703</t>
  </si>
  <si>
    <t>11100801</t>
  </si>
  <si>
    <t>11100802</t>
  </si>
  <si>
    <t>11100803</t>
  </si>
  <si>
    <t>11100901</t>
  </si>
  <si>
    <t>11100902</t>
  </si>
  <si>
    <t>11100903</t>
  </si>
  <si>
    <t>11101001</t>
  </si>
  <si>
    <t>11101002</t>
  </si>
  <si>
    <t>11101003</t>
  </si>
  <si>
    <t>攻</t>
  </si>
  <si>
    <t>防</t>
  </si>
  <si>
    <t>血</t>
  </si>
  <si>
    <t>1111012</t>
  </si>
  <si>
    <t>1;2;1,4</t>
  </si>
  <si>
    <t>1;0;1</t>
  </si>
  <si>
    <t>情節人</t>
  </si>
  <si>
    <t>2;1,3;3</t>
  </si>
  <si>
    <t>1;2;4</t>
  </si>
  <si>
    <t>黃金周</t>
  </si>
  <si>
    <t>瓦波爾</t>
  </si>
  <si>
    <t>棋子</t>
  </si>
  <si>
    <t>黑魔囖莫</t>
  </si>
  <si>
    <t>SKILL ID</t>
  </si>
  <si>
    <t>备注</t>
  </si>
  <si>
    <t>怪物天赋-抗斩断（60%）</t>
  </si>
  <si>
    <t>10217,1</t>
  </si>
  <si>
    <t>免疫控制</t>
  </si>
  <si>
    <t>怪物天赋-免疫减治疗</t>
  </si>
  <si>
    <t>10318,1</t>
  </si>
  <si>
    <t>免疫冰冻</t>
  </si>
  <si>
    <t>怪物天赋-免疫混乱与消极</t>
  </si>
  <si>
    <t>免疫嘲讽和魅惑</t>
  </si>
  <si>
    <t>10455,1</t>
  </si>
  <si>
    <t>抗斩断</t>
  </si>
  <si>
    <t>削弱斩断效果</t>
  </si>
  <si>
    <t>10456,1</t>
  </si>
  <si>
    <t>免疫减治疗（老）</t>
  </si>
  <si>
    <t>免疫一切持续伤害技能和反伤（流血、灼烧）</t>
  </si>
  <si>
    <t>10472,1</t>
  </si>
  <si>
    <t>免疫混乱与消极</t>
  </si>
  <si>
    <t>不可被剪影，偷心脏</t>
  </si>
  <si>
    <t>10554,1</t>
  </si>
  <si>
    <t>免疫拍飞</t>
  </si>
  <si>
    <t>乔兹被动减免80%</t>
  </si>
  <si>
    <t>免疫青雉与艾斯100级天赋火伤与冰伤</t>
  </si>
  <si>
    <t>700032,1</t>
  </si>
  <si>
    <t>免疫一切持续伤害状态和反伤</t>
  </si>
  <si>
    <t>无视火伤</t>
  </si>
  <si>
    <t>700085,1</t>
  </si>
  <si>
    <t>怪免疫女帝石化</t>
  </si>
  <si>
    <t>无视冰伤</t>
  </si>
  <si>
    <t>700075,1</t>
  </si>
  <si>
    <t>免疫偷影子，偷心脏</t>
  </si>
  <si>
    <t>700138,1</t>
  </si>
  <si>
    <t>免疫嘲讽、魅惑</t>
  </si>
  <si>
    <t>无视位移</t>
  </si>
  <si>
    <t>700139,1</t>
  </si>
  <si>
    <t xml:space="preserve">抗斩断 </t>
  </si>
  <si>
    <t>39章以后用这个buff</t>
  </si>
  <si>
    <t>免疫乔兹被动</t>
  </si>
  <si>
    <t>700425,1</t>
  </si>
  <si>
    <t>免疫白胡子中断</t>
  </si>
  <si>
    <t>700138</t>
  </si>
  <si>
    <t>,1</t>
  </si>
  <si>
    <t>&amp;&amp;</t>
  </si>
  <si>
    <t>700139</t>
  </si>
  <si>
    <t>600548</t>
  </si>
  <si>
    <t>700358</t>
  </si>
  <si>
    <t>700369</t>
  </si>
  <si>
    <t>700138,1&amp;&amp;700139,1&amp;&amp;600548,1&amp;&amp;700358,1&amp;&amp;700369,1</t>
  </si>
  <si>
    <t>百分比伤害免疫：青雉、艾斯、新罗、乔兹、新乌索普、罗、锦卫门、减血</t>
  </si>
  <si>
    <t>710001,1&amp;&amp;</t>
  </si>
  <si>
    <t>所有斩断百分比衰减</t>
  </si>
  <si>
    <t>710002,1&amp;&amp;</t>
  </si>
  <si>
    <t>免疫斩断</t>
  </si>
  <si>
    <t>710003,1&amp;&amp;</t>
  </si>
  <si>
    <t>免疫反伤，剪影</t>
  </si>
  <si>
    <t>710004,1&amp;&amp;</t>
  </si>
  <si>
    <t>免疫、封印。封技、魅惑、寄生、封单技能</t>
  </si>
  <si>
    <t>710005,1&amp;&amp;</t>
  </si>
  <si>
    <t>免疫硬控：眩晕、冰冻、沉睡，麻痹、</t>
  </si>
  <si>
    <t>710006,1&amp;&amp;</t>
  </si>
  <si>
    <t>免疫干扰：魂玉消耗变化、魂玉恢复变化、无法获得怒气</t>
  </si>
  <si>
    <t>710007,1&amp;&amp;</t>
  </si>
  <si>
    <t>免疫位移：击飞、换位</t>
  </si>
  <si>
    <t>710008,1&amp;&amp;</t>
  </si>
  <si>
    <t>免疫：、嘲讽、打断</t>
  </si>
  <si>
    <t>710009,1&amp;&amp;</t>
  </si>
  <si>
    <t>免疫不能恢复生命，免疫治疗降低</t>
  </si>
  <si>
    <t>710010,1&amp;&amp;</t>
  </si>
  <si>
    <t>战斗开始后。不允许玩家恢复生命或复活</t>
  </si>
  <si>
    <t>免疫位移：击飞2</t>
  </si>
  <si>
    <t>710001,1&amp;&amp;710003,1&amp;&amp;710004,1&amp;&amp;710005,1&amp;&amp;710006,1&amp;&amp;710007,1&amp;&amp;710008,1&amp;&amp;710009,1&amp;&amp;710010,1&amp;&amp;710015,1</t>
  </si>
  <si>
    <t>710001&amp;&amp;710003&amp;&amp;710004&amp;&amp;710005&amp;&amp;710006&amp;&amp;710007&amp;&amp;710001&amp;&amp;710009&amp;&amp;710010&amp;&amp;710015&amp;&amp;</t>
  </si>
  <si>
    <t>710001,1&amp;&amp;710003,1&amp;&amp;710004,1&amp;&amp;710010,1&amp;&amp;710008,1&amp;&amp;710015,1&amp;&amp;</t>
  </si>
  <si>
    <t>可比</t>
  </si>
  <si>
    <t>摩根</t>
  </si>
  <si>
    <t>小八</t>
  </si>
  <si>
    <t>瓦波尔</t>
  </si>
  <si>
    <t>Ms.黄金周</t>
  </si>
  <si>
    <t>脸谱</t>
  </si>
  <si>
    <t>约撒</t>
  </si>
  <si>
    <t>巴奇</t>
  </si>
  <si>
    <t>烟鬼</t>
  </si>
  <si>
    <t>塔希米</t>
  </si>
  <si>
    <t>Ms.双手指</t>
  </si>
  <si>
    <t>贝拉密</t>
  </si>
  <si>
    <t>杰布拉</t>
  </si>
  <si>
    <t>卡古</t>
  </si>
  <si>
    <t>鲁兹</t>
  </si>
  <si>
    <t>阿布萨罗姆</t>
  </si>
  <si>
    <t>贝宝</t>
  </si>
  <si>
    <t>战桃丸</t>
  </si>
  <si>
    <t>莫利亚</t>
  </si>
  <si>
    <t>黄猿</t>
  </si>
  <si>
    <t>赤犬</t>
  </si>
  <si>
    <t>米霍克</t>
  </si>
  <si>
    <t>甚平</t>
  </si>
  <si>
    <t>汉库珂</t>
  </si>
  <si>
    <t>罗</t>
  </si>
  <si>
    <t>基德</t>
  </si>
  <si>
    <t>雷利</t>
  </si>
  <si>
    <t>战国</t>
  </si>
  <si>
    <t>麦哲伦</t>
  </si>
  <si>
    <t>伊娃科夫</t>
  </si>
  <si>
    <t>乔兹</t>
  </si>
  <si>
    <t>白胡子</t>
  </si>
  <si>
    <t>马尔高</t>
  </si>
  <si>
    <t>比斯塔</t>
  </si>
  <si>
    <t>杰克斯</t>
  </si>
  <si>
    <t>新世界撒谎布</t>
  </si>
  <si>
    <t>新世界佐罗</t>
  </si>
  <si>
    <t>黑胡子</t>
  </si>
  <si>
    <t>新世界奈美</t>
  </si>
  <si>
    <t>新世界罗宾</t>
  </si>
  <si>
    <t>持刀黑猫海盗</t>
  </si>
  <si>
    <t>石锤黑猫海盗</t>
  </si>
  <si>
    <t>花斑猫</t>
  </si>
  <si>
    <t>暹罗猫</t>
  </si>
  <si>
    <t>布拉哈姆</t>
  </si>
  <si>
    <t>黑莫里莫</t>
  </si>
  <si>
    <t>佛萨</t>
  </si>
  <si>
    <t>海军士兵A</t>
  </si>
  <si>
    <t>海军士兵B</t>
  </si>
  <si>
    <t>希路麦波</t>
  </si>
  <si>
    <t>布特尔</t>
  </si>
  <si>
    <t>克罗卡斯</t>
  </si>
  <si>
    <t>步枪海兵</t>
  </si>
  <si>
    <t>小丑海盗A</t>
  </si>
  <si>
    <t>701144,1</t>
  </si>
  <si>
    <t>小丑海盗B</t>
  </si>
  <si>
    <t>701145,1</t>
  </si>
  <si>
    <t>小丑海盗C</t>
  </si>
  <si>
    <t>701146,1</t>
  </si>
  <si>
    <t>持刀海盗</t>
  </si>
  <si>
    <t>701147,1</t>
  </si>
  <si>
    <t>手枪海盗</t>
  </si>
  <si>
    <t>701148,1</t>
  </si>
  <si>
    <t>步枪海盗</t>
  </si>
  <si>
    <t>701149,1</t>
  </si>
  <si>
    <t>火炮海盗</t>
  </si>
  <si>
    <t>701150,1</t>
  </si>
  <si>
    <t>毛奇</t>
  </si>
  <si>
    <t>701151,1</t>
  </si>
  <si>
    <t>黑带</t>
  </si>
  <si>
    <t>阿秋</t>
  </si>
  <si>
    <t>阔嘴鱼人</t>
  </si>
  <si>
    <t>流氓鱼人</t>
  </si>
  <si>
    <t>胖鱼人</t>
  </si>
  <si>
    <t>刺豚鱼人</t>
  </si>
  <si>
    <t>胖黑猫持刀</t>
  </si>
  <si>
    <t>步枪海盗B</t>
  </si>
  <si>
    <t>单斧海盗</t>
  </si>
  <si>
    <t>持刀海盗B</t>
  </si>
  <si>
    <t>火炮海盗B</t>
  </si>
  <si>
    <t>Mr.9</t>
  </si>
  <si>
    <t>Miss.星期一</t>
  </si>
  <si>
    <t>Mr.8</t>
  </si>
  <si>
    <t>Miss.情人节</t>
  </si>
  <si>
    <t>肉食兔</t>
  </si>
  <si>
    <t>功夫海牛</t>
  </si>
  <si>
    <t>持枪铁桶护卫队</t>
  </si>
  <si>
    <t>持刀铁桶护卫队</t>
  </si>
  <si>
    <t>钝器国王军</t>
  </si>
  <si>
    <t>持弓国王军</t>
  </si>
  <si>
    <t>达尔顿</t>
  </si>
  <si>
    <t>Ms.圣诞快乐</t>
  </si>
  <si>
    <t>反叛军A01</t>
  </si>
  <si>
    <t>反叛军A02</t>
  </si>
  <si>
    <t>反叛军B01</t>
  </si>
  <si>
    <t>反叛军B02</t>
  </si>
  <si>
    <t>海军领队</t>
  </si>
  <si>
    <t>里霸斯</t>
  </si>
  <si>
    <t>萨奇斯</t>
  </si>
  <si>
    <t>海盗头目狼牙棒</t>
  </si>
  <si>
    <t>海盗头目</t>
  </si>
  <si>
    <t>肉食兔小弟</t>
  </si>
  <si>
    <t>佩鲁</t>
  </si>
  <si>
    <t>艾比达</t>
  </si>
  <si>
    <t>艾比达船员1</t>
  </si>
  <si>
    <t>艾比达船员2</t>
  </si>
  <si>
    <t>艾比达船员3</t>
  </si>
  <si>
    <t>贝雷帽近战</t>
  </si>
  <si>
    <t>贝雷帽远程</t>
  </si>
  <si>
    <t>神兵A</t>
  </si>
  <si>
    <t>神兵B</t>
  </si>
  <si>
    <t>阿悟</t>
  </si>
  <si>
    <t>修罗</t>
  </si>
  <si>
    <t>涅槃</t>
  </si>
  <si>
    <t>欧姆</t>
  </si>
  <si>
    <t>恰卡</t>
  </si>
  <si>
    <t>沙漠装-步枪海军</t>
  </si>
  <si>
    <t>沙漠装-单刀海军</t>
  </si>
  <si>
    <t>火炮海军A</t>
  </si>
  <si>
    <t>火炮海军B</t>
  </si>
  <si>
    <t>沙漠装-单刀海军B</t>
  </si>
  <si>
    <t>沙漠装-火炮海军</t>
  </si>
  <si>
    <t>Ms.星期三</t>
  </si>
  <si>
    <t>螳螂</t>
  </si>
  <si>
    <t>山迪亚战士</t>
  </si>
  <si>
    <t>甘·福尔</t>
  </si>
  <si>
    <t>拉基</t>
  </si>
  <si>
    <t>巴利</t>
  </si>
  <si>
    <t>泰鲁斯通</t>
  </si>
  <si>
    <t>赞拜</t>
  </si>
  <si>
    <t>瓦杰</t>
  </si>
  <si>
    <t>尼罗</t>
  </si>
  <si>
    <t>布鲁诺</t>
  </si>
  <si>
    <t>斯巴达姆</t>
  </si>
  <si>
    <t>基威</t>
  </si>
  <si>
    <t>摩兹</t>
  </si>
  <si>
    <t>海军上校</t>
  </si>
  <si>
    <t>铁锤船工</t>
  </si>
  <si>
    <t>弗兰奇家族成员</t>
  </si>
  <si>
    <t>司法犬部队</t>
  </si>
  <si>
    <t>有罪陪审团</t>
  </si>
  <si>
    <t>CP9</t>
  </si>
  <si>
    <t>海军大佐</t>
  </si>
  <si>
    <t>福克斯</t>
  </si>
  <si>
    <t>波尔茜</t>
  </si>
  <si>
    <t>汉堡</t>
  </si>
  <si>
    <t>皮库鲁斯</t>
  </si>
  <si>
    <t>僵尸士兵A</t>
  </si>
  <si>
    <t>僵尸士兵B</t>
  </si>
  <si>
    <t>僵尸士兵C</t>
  </si>
  <si>
    <t>僵尸士兵D</t>
  </si>
  <si>
    <t>僵尸士兵E</t>
  </si>
  <si>
    <t>僵尸士兵F</t>
  </si>
  <si>
    <t>僵尸士兵G</t>
  </si>
  <si>
    <t>僵尸树</t>
  </si>
  <si>
    <t>盔甲僵尸A</t>
  </si>
  <si>
    <t>盔甲僵尸B</t>
  </si>
  <si>
    <t>僵尸河马</t>
  </si>
  <si>
    <t>僵尸熊猫</t>
  </si>
  <si>
    <t>地狱三头犬</t>
  </si>
  <si>
    <t>惊吓盒子</t>
  </si>
  <si>
    <t>莫利亚-影法师</t>
  </si>
  <si>
    <t>辛德莉</t>
  </si>
  <si>
    <t>蜘蛛猴</t>
  </si>
  <si>
    <t>萝拉</t>
  </si>
  <si>
    <t>风之治五郎</t>
  </si>
  <si>
    <t>狗企鹅</t>
  </si>
  <si>
    <t>奥兹</t>
  </si>
  <si>
    <t>飞鱼骑士团A</t>
  </si>
  <si>
    <t>飞鱼骑士团B</t>
  </si>
  <si>
    <t>新通用海盗A</t>
  </si>
  <si>
    <t>新通用海盗B</t>
  </si>
  <si>
    <t>新通用海盗C</t>
  </si>
  <si>
    <t>新通用海盗D</t>
  </si>
  <si>
    <t>基德钢盾</t>
  </si>
  <si>
    <t>迪巴鲁</t>
  </si>
  <si>
    <t>新通用海盗A远程</t>
  </si>
  <si>
    <t>新通用海盗B远程</t>
  </si>
  <si>
    <t>新通用海盗C远程</t>
  </si>
  <si>
    <t>新通用海盗D远程</t>
  </si>
  <si>
    <t>拍卖行卫士A</t>
  </si>
  <si>
    <t>恰尔罗斯圣</t>
  </si>
  <si>
    <t>金盏花</t>
  </si>
  <si>
    <t>宫灯花</t>
  </si>
  <si>
    <t>和平主义者</t>
  </si>
  <si>
    <t>长枪天龙人护卫</t>
  </si>
  <si>
    <t>持剑天龙人护卫</t>
  </si>
  <si>
    <t>雏菊</t>
  </si>
  <si>
    <t>亚马逊剑士</t>
  </si>
  <si>
    <t>亚马逊弓兵</t>
  </si>
  <si>
    <t>贾罗</t>
  </si>
  <si>
    <t>马克罗</t>
  </si>
  <si>
    <t>淡水</t>
  </si>
  <si>
    <t>拍卖行卫士B</t>
  </si>
  <si>
    <t>罗兹瓦德圣</t>
  </si>
  <si>
    <t>巴基利克斯</t>
  </si>
  <si>
    <t>蓝猩猩</t>
  </si>
  <si>
    <t>汉尼拔</t>
  </si>
  <si>
    <t>候斯</t>
  </si>
  <si>
    <t>曼提克拉</t>
  </si>
  <si>
    <t>萨迪</t>
  </si>
  <si>
    <t>斯芬克斯</t>
  </si>
  <si>
    <t>白狼</t>
  </si>
  <si>
    <t>考拉怪</t>
  </si>
  <si>
    <t>监狱步枪守卫</t>
  </si>
  <si>
    <t>人牛怪</t>
  </si>
  <si>
    <t>狱卒</t>
  </si>
  <si>
    <t>犀牛怪</t>
  </si>
  <si>
    <t>斑马怪</t>
  </si>
  <si>
    <t>巨锤精英海盗</t>
  </si>
  <si>
    <t>猎枪精英海盗</t>
  </si>
  <si>
    <t>快刀精英海盗</t>
  </si>
  <si>
    <t>大太刀精英大佐</t>
  </si>
  <si>
    <t>火枪精英大佐</t>
  </si>
  <si>
    <t>监狱墨镜大炮管子</t>
  </si>
  <si>
    <t>狱卒细炮管子</t>
  </si>
  <si>
    <t>日奈</t>
  </si>
  <si>
    <t>巴士底</t>
  </si>
  <si>
    <t>鬼蜘蛛</t>
  </si>
  <si>
    <t>鼯鼠</t>
  </si>
  <si>
    <t>大厨</t>
  </si>
  <si>
    <t>路飞？</t>
  </si>
  <si>
    <t>奈美？</t>
  </si>
  <si>
    <t>撒谎布？</t>
  </si>
  <si>
    <t>卡里布</t>
  </si>
  <si>
    <t>莫利亚影子</t>
  </si>
  <si>
    <t>战国大佛型态</t>
  </si>
  <si>
    <t>伊娃</t>
  </si>
  <si>
    <t>莉香</t>
  </si>
  <si>
    <t>秀秀</t>
  </si>
  <si>
    <t>嘉雅</t>
  </si>
  <si>
    <t>卓夫</t>
  </si>
  <si>
    <t>健藏</t>
  </si>
  <si>
    <t>拉布</t>
  </si>
  <si>
    <t>Mr.13</t>
  </si>
  <si>
    <t>Ms.星期五</t>
  </si>
  <si>
    <t>多利</t>
  </si>
  <si>
    <t>布罗基</t>
  </si>
  <si>
    <t>爱比达</t>
  </si>
  <si>
    <t>Dr.古蕾娃</t>
  </si>
  <si>
    <t>可布拉</t>
  </si>
  <si>
    <t>空扎</t>
  </si>
  <si>
    <t>蒙布朗</t>
  </si>
  <si>
    <t>柯尼丝</t>
  </si>
  <si>
    <t>东吉特</t>
  </si>
  <si>
    <t>拉奇</t>
  </si>
  <si>
    <t>可可罗</t>
  </si>
  <si>
    <t>希尔顿</t>
  </si>
  <si>
    <t>斯波尔</t>
  </si>
  <si>
    <t>噗嘿洽克</t>
  </si>
  <si>
    <t>柯玛希</t>
  </si>
  <si>
    <t>夏洛特·罗拉</t>
  </si>
  <si>
    <t>噩梦路飞</t>
  </si>
  <si>
    <t>帕帕格</t>
  </si>
  <si>
    <t>凯米</t>
  </si>
  <si>
    <t>芍奇</t>
  </si>
  <si>
    <t>啥婆婆</t>
  </si>
  <si>
    <t>罗杰</t>
  </si>
  <si>
    <t>露玖</t>
  </si>
  <si>
    <t>以藏</t>
  </si>
  <si>
    <t>那缪尔</t>
  </si>
  <si>
    <t>斯库亚德</t>
  </si>
  <si>
    <t>小奥兹Jr.</t>
  </si>
  <si>
    <t>达丹</t>
  </si>
  <si>
    <t>拉菲特</t>
  </si>
  <si>
    <t>巴吉思</t>
  </si>
  <si>
    <t>主线限时活动32章-三头狗</t>
  </si>
  <si>
    <t>主线限时活动32章-18只僵尸</t>
  </si>
  <si>
    <t>主线限时活动33章-1个盒子</t>
  </si>
  <si>
    <t>主线限时活动33章-龙马</t>
  </si>
  <si>
    <t>主线限时活动33章-僵尸</t>
  </si>
  <si>
    <t>主线限时活动34章-将军僵尸</t>
  </si>
  <si>
    <t>主线限时活动34章-风之治五郎</t>
  </si>
  <si>
    <t>主线限时活动34章-僵尸</t>
  </si>
  <si>
    <t>主线限时活动35章-佩罗娜</t>
  </si>
  <si>
    <t>主线限时活动35章-隐身狗</t>
  </si>
  <si>
    <t>主线限时活动35章-鬼医</t>
  </si>
  <si>
    <t>主线限时活动35章-僵尸</t>
  </si>
  <si>
    <t>新绝境新区公会布鲁克1</t>
  </si>
  <si>
    <t>710001,1&amp;&amp;710004,1&amp;&amp;710005,1&amp;&amp;710007,1&amp;&amp;710008,1&amp;&amp;710009,1&amp;&amp;710010,1&amp;&amp;710015,1&amp;&amp;701817,1&amp;&amp;701856,1</t>
  </si>
  <si>
    <t>710001,1&amp;&amp;710004,1&amp;&amp;710005,1&amp;&amp;710007,1&amp;&amp;710008,1&amp;&amp;710009,1&amp;&amp;710010,1&amp;&amp;710015,1&amp;&amp;701817,1&amp;&amp;701856,1&amp;&amp;701857,1</t>
  </si>
  <si>
    <t>新绝境新区公会战国2（狱卒）</t>
  </si>
  <si>
    <t>710001,1&amp;&amp;710003,1&amp;&amp;710004,1&amp;&amp;710005,1&amp;&amp;710006,1&amp;&amp;710007,1&amp;&amp;710008,1&amp;&amp;710009,1&amp;&amp;710010,1&amp;&amp;710015,1&amp;&amp;701815,1&amp;&amp;701817,1&amp;&amp;701854,1</t>
  </si>
  <si>
    <t>新绝境新区公会战国2</t>
  </si>
  <si>
    <t>710001,1&amp;&amp;710003,1&amp;&amp;710004,1&amp;&amp;710005,1&amp;&amp;710006,1&amp;&amp;710007,1&amp;&amp;710008,1&amp;&amp;710009,1&amp;&amp;710010,1&amp;&amp;710015,1&amp;&amp;701815,1&amp;&amp;701817,1&amp;&amp;701854,1&amp;&amp;701855,1</t>
  </si>
  <si>
    <t>新绝境新区公会卡二3（蓝猩猩）</t>
  </si>
  <si>
    <t>710001,1&amp;&amp;710003,1&amp;&amp;710004,1&amp;&amp;710005,1&amp;&amp;710007,1&amp;&amp;710008,1&amp;&amp;710009,1&amp;&amp;710015,1&amp;&amp;701815,1&amp;&amp;701817,1&amp;&amp;701863,1</t>
  </si>
  <si>
    <t>新绝境新区公会卡二3</t>
  </si>
  <si>
    <t>710001,1&amp;&amp;710003,1&amp;&amp;710004,1&amp;&amp;710005,1&amp;&amp;710007,1&amp;&amp;710008,1&amp;&amp;710009,1&amp;&amp;710015,1&amp;&amp;701815,1&amp;&amp;701817,1&amp;&amp;701863,1&amp;&amp;701864,1</t>
  </si>
  <si>
    <t>新绝境新区公会凯多4</t>
  </si>
  <si>
    <t>710001,1&amp;&amp;710003,1&amp;&amp;710004,1&amp;&amp;710005,1&amp;&amp;710006,1&amp;&amp;710007,1&amp;&amp;710008,1&amp;&amp;710009,1&amp;&amp;710010,1&amp;&amp;710015,1&amp;&amp;701815,1&amp;&amp;701817,1&amp;&amp;701865,1</t>
  </si>
  <si>
    <t>1,2;1,3;2,3;1,2;1,3</t>
  </si>
  <si>
    <t>新绝境新区公会萨波5（斯芬克斯）</t>
  </si>
  <si>
    <t>710001,1&amp;&amp;710003,1&amp;&amp;710004,1&amp;&amp;710005,1&amp;&amp;710006,1&amp;&amp;710007,1&amp;&amp;710008,1&amp;&amp;710009,1&amp;&amp;710015,1&amp;&amp;701815,1&amp;&amp;701817,1&amp;&amp;701867,1</t>
  </si>
  <si>
    <t>1,4;2,1;2,3;1,2,3</t>
  </si>
  <si>
    <t>新绝境新区公会萨波5(考拉怪)</t>
  </si>
  <si>
    <t>1,2</t>
  </si>
  <si>
    <t>船团试炼 怀旧1 青雉</t>
  </si>
  <si>
    <t>701731,1&amp;&amp;701733,1&amp;&amp;701734,1&amp;&amp;710001,1&amp;&amp;710002,1&amp;&amp;710003,1&amp;&amp;710004,1&amp;&amp;710005,1&amp;&amp;710006,1&amp;&amp;710007,1&amp;&amp;710008,1&amp;&amp;710009,1&amp;&amp;710010,1&amp;&amp;710024,1</t>
  </si>
  <si>
    <t>999999999999999999</t>
  </si>
  <si>
    <t>1,3;2,4;2,3;4;2,4</t>
  </si>
  <si>
    <t>船团试炼 怀旧1 艾斯</t>
  </si>
  <si>
    <t>701733,1&amp;&amp;710001,1&amp;&amp;710002,1&amp;&amp;710003,1&amp;&amp;710004,1&amp;&amp;710005,1&amp;&amp;710006,1&amp;&amp;710007,1&amp;&amp;710008,1&amp;&amp;710009,1&amp;&amp;710010,1&amp;&amp;710024,1</t>
  </si>
  <si>
    <t>1,3;2,4;1,4;2,3</t>
  </si>
  <si>
    <t>船团试炼 怀旧1 戈普</t>
  </si>
  <si>
    <t>701732,1&amp;&amp;701733,1&amp;&amp;710001,1&amp;&amp;710002,1&amp;&amp;710003,1&amp;&amp;710004,1&amp;&amp;710005,1&amp;&amp;710006,1&amp;&amp;710007,1&amp;&amp;710008,1&amp;&amp;710009,1&amp;&amp;710010,1&amp;&amp;710024,1</t>
  </si>
  <si>
    <t>1,2;1,2;1,4</t>
  </si>
  <si>
    <t>船团试炼 怀旧1 白胡子</t>
  </si>
  <si>
    <t>1,3;2,3;1,4</t>
  </si>
  <si>
    <t>船团试炼 怀旧1 黑胡子</t>
  </si>
  <si>
    <t>701731,1&amp;&amp;701733,1&amp;&amp;701746,1&amp;&amp;710001,1&amp;&amp;710002,1&amp;&amp;710003,1&amp;&amp;710004,1&amp;&amp;710005,1&amp;&amp;710006,1&amp;&amp;710007,1&amp;&amp;710008,1&amp;&amp;710009,1&amp;&amp;710010,1&amp;&amp;710024,1</t>
  </si>
  <si>
    <t>船团试炼 怀旧1 艾尼路</t>
  </si>
  <si>
    <t>701731,1&amp;&amp;701733,1&amp;&amp;701752,1&amp;&amp;710001,1&amp;&amp;710002,1&amp;&amp;710003,1&amp;&amp;710004,1&amp;&amp;710005,1&amp;&amp;710006,1&amp;&amp;710007,1&amp;&amp;710008,1&amp;&amp;710009,1&amp;&amp;710010,1&amp;&amp;710024,1</t>
  </si>
  <si>
    <t>1,3;2,4;1,3;2,4;1,3;2,4;</t>
  </si>
  <si>
    <t>船团试炼 怀旧1 大熊</t>
  </si>
  <si>
    <t>701733,1&amp;&amp;701777,1&amp;&amp;710001,1&amp;&amp;710002,1&amp;&amp;710003,1&amp;&amp;710004,1&amp;&amp;710005,1&amp;&amp;710006,1&amp;&amp;710007,1&amp;&amp;710008,1&amp;&amp;710009,1&amp;&amp;710010,1&amp;&amp;710024,1</t>
  </si>
  <si>
    <t>1,2;3,4;1,4;3,2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</si>
</sst>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indexed="8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2"/>
      <color rgb="FFFF0000"/>
      <name val="宋体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sz val="10.5"/>
      <color rgb="FF333333"/>
      <name val="Helvetica"/>
      <charset val="134"/>
    </font>
    <font>
      <sz val="11"/>
      <color rgb="FF0000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8" tint="-0.249977111117893"/>
      <name val="宋体"/>
      <charset val="134"/>
    </font>
    <font>
      <sz val="11"/>
      <color rgb="FF0070C0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55">
    <fill>
      <patternFill patternType="none"/>
    </fill>
    <fill>
      <patternFill patternType="gray125"/>
    </fill>
    <fill>
      <patternFill patternType="solid">
        <fgColor rgb="FFDFFF9F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C9FF"/>
        <bgColor indexed="64"/>
      </patternFill>
    </fill>
    <fill>
      <patternFill patternType="solid">
        <fgColor rgb="FF95F5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0E8F6"/>
        <bgColor indexed="64"/>
      </patternFill>
    </fill>
    <fill>
      <patternFill patternType="solid">
        <fgColor theme="9" tint="0.39664906765953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2CEE0"/>
        <bgColor indexed="64"/>
      </patternFill>
    </fill>
    <fill>
      <patternFill patternType="solid">
        <fgColor rgb="FF67DAFF"/>
        <bgColor indexed="64"/>
      </patternFill>
    </fill>
    <fill>
      <patternFill patternType="solid">
        <fgColor rgb="FFFDCDF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0" fillId="28" borderId="2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3">
      <alignment vertical="center"/>
    </xf>
    <xf numFmtId="0" fontId="25" fillId="0" borderId="3">
      <alignment vertical="center"/>
    </xf>
    <xf numFmtId="0" fontId="26" fillId="0" borderId="4">
      <alignment vertical="center"/>
    </xf>
    <xf numFmtId="0" fontId="26" fillId="0" borderId="0">
      <alignment vertical="center"/>
    </xf>
    <xf numFmtId="0" fontId="27" fillId="29" borderId="5">
      <alignment vertical="center"/>
    </xf>
    <xf numFmtId="0" fontId="28" fillId="30" borderId="6">
      <alignment vertical="center"/>
    </xf>
    <xf numFmtId="0" fontId="29" fillId="30" borderId="5">
      <alignment vertical="center"/>
    </xf>
    <xf numFmtId="0" fontId="30" fillId="31" borderId="7">
      <alignment vertical="center"/>
    </xf>
    <xf numFmtId="0" fontId="31" fillId="0" borderId="8">
      <alignment vertical="center"/>
    </xf>
    <xf numFmtId="0" fontId="32" fillId="0" borderId="9">
      <alignment vertical="center"/>
    </xf>
    <xf numFmtId="0" fontId="33" fillId="32" borderId="0">
      <alignment vertical="center"/>
    </xf>
    <xf numFmtId="0" fontId="13" fillId="13" borderId="0">
      <alignment vertical="center"/>
    </xf>
    <xf numFmtId="0" fontId="12" fillId="12" borderId="0">
      <alignment vertical="center"/>
    </xf>
    <xf numFmtId="0" fontId="34" fillId="33" borderId="0">
      <alignment vertical="center"/>
    </xf>
    <xf numFmtId="0" fontId="35" fillId="34" borderId="0">
      <alignment vertical="center"/>
    </xf>
    <xf numFmtId="0" fontId="35" fillId="35" borderId="0">
      <alignment vertical="center"/>
    </xf>
    <xf numFmtId="0" fontId="34" fillId="36" borderId="0">
      <alignment vertical="center"/>
    </xf>
    <xf numFmtId="0" fontId="14" fillId="16" borderId="0">
      <alignment vertical="center"/>
    </xf>
    <xf numFmtId="0" fontId="35" fillId="37" borderId="0">
      <alignment vertical="center"/>
    </xf>
    <xf numFmtId="0" fontId="35" fillId="38" borderId="0">
      <alignment vertical="center"/>
    </xf>
    <xf numFmtId="0" fontId="34" fillId="39" borderId="0">
      <alignment vertical="center"/>
    </xf>
    <xf numFmtId="0" fontId="34" fillId="40" borderId="0">
      <alignment vertical="center"/>
    </xf>
    <xf numFmtId="0" fontId="35" fillId="41" borderId="0">
      <alignment vertical="center"/>
    </xf>
    <xf numFmtId="0" fontId="35" fillId="42" borderId="0">
      <alignment vertical="center"/>
    </xf>
    <xf numFmtId="0" fontId="34" fillId="43" borderId="0">
      <alignment vertical="center"/>
    </xf>
    <xf numFmtId="0" fontId="34" fillId="44" borderId="0">
      <alignment vertical="center"/>
    </xf>
    <xf numFmtId="0" fontId="35" fillId="45" borderId="0">
      <alignment vertical="center"/>
    </xf>
    <xf numFmtId="0" fontId="35" fillId="46" borderId="0">
      <alignment vertical="center"/>
    </xf>
    <xf numFmtId="0" fontId="34" fillId="47" borderId="0">
      <alignment vertical="center"/>
    </xf>
    <xf numFmtId="0" fontId="34" fillId="48" borderId="0">
      <alignment vertical="center"/>
    </xf>
    <xf numFmtId="0" fontId="35" fillId="49" borderId="0">
      <alignment vertical="center"/>
    </xf>
    <xf numFmtId="0" fontId="0" fillId="17" borderId="0">
      <alignment vertical="center"/>
    </xf>
    <xf numFmtId="0" fontId="34" fillId="50" borderId="0">
      <alignment vertical="center"/>
    </xf>
    <xf numFmtId="0" fontId="34" fillId="51" borderId="0">
      <alignment vertical="center"/>
    </xf>
    <xf numFmtId="0" fontId="35" fillId="52" borderId="0">
      <alignment vertical="center"/>
    </xf>
    <xf numFmtId="0" fontId="35" fillId="53" borderId="0">
      <alignment vertical="center"/>
    </xf>
    <xf numFmtId="0" fontId="34" fillId="54" borderId="0">
      <alignment vertical="center"/>
    </xf>
    <xf numFmtId="0" fontId="0" fillId="0" borderId="0"/>
    <xf numFmtId="0" fontId="3" fillId="0" borderId="0">
      <alignment vertical="center"/>
    </xf>
    <xf numFmtId="0" fontId="0" fillId="0" borderId="0"/>
    <xf numFmtId="0" fontId="0" fillId="0" borderId="0"/>
  </cellStyleXfs>
  <cellXfs count="180">
    <xf numFmtId="0" fontId="0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1" fillId="3" borderId="0" xfId="0" applyNumberFormat="1" applyFont="1" applyFill="1" applyBorder="1" applyProtection="1"/>
    <xf numFmtId="0" fontId="2" fillId="0" borderId="0" xfId="0" applyNumberFormat="1" applyFont="1" applyFill="1" applyBorder="1" applyProtection="1"/>
    <xf numFmtId="0" fontId="2" fillId="2" borderId="0" xfId="0" applyNumberFormat="1" applyFont="1" applyFill="1" applyBorder="1" applyProtection="1"/>
    <xf numFmtId="0" fontId="2" fillId="3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0" fontId="0" fillId="4" borderId="0" xfId="0" applyNumberFormat="1" applyFont="1" applyFill="1" applyBorder="1" applyProtection="1"/>
    <xf numFmtId="0" fontId="0" fillId="5" borderId="0" xfId="0" applyNumberFormat="1" applyFont="1" applyFill="1" applyBorder="1" applyProtection="1"/>
    <xf numFmtId="0" fontId="3" fillId="6" borderId="0" xfId="50" applyNumberFormat="1" applyFont="1" applyFill="1" applyBorder="1" applyAlignment="1" applyProtection="1">
      <alignment horizontal="left" vertical="center"/>
    </xf>
    <xf numFmtId="0" fontId="0" fillId="6" borderId="0" xfId="0" applyNumberFormat="1" applyFont="1" applyFill="1" applyBorder="1" applyAlignment="1" applyProtection="1">
      <alignment horizontal="left"/>
    </xf>
    <xf numFmtId="0" fontId="3" fillId="7" borderId="0" xfId="50" applyNumberFormat="1" applyFont="1" applyFill="1" applyBorder="1" applyAlignment="1" applyProtection="1">
      <alignment horizontal="left" vertical="center"/>
    </xf>
    <xf numFmtId="0" fontId="4" fillId="6" borderId="0" xfId="0" applyNumberFormat="1" applyFont="1" applyFill="1" applyBorder="1" applyAlignment="1" applyProtection="1">
      <alignment horizontal="left" vertical="center"/>
    </xf>
    <xf numFmtId="0" fontId="0" fillId="6" borderId="0" xfId="0" applyNumberFormat="1" applyFont="1" applyFill="1" applyBorder="1" applyProtection="1"/>
    <xf numFmtId="0" fontId="3" fillId="2" borderId="0" xfId="50" applyNumberFormat="1" applyFont="1" applyFill="1" applyBorder="1" applyAlignment="1" applyProtection="1">
      <alignment horizontal="left" vertical="center"/>
    </xf>
    <xf numFmtId="0" fontId="1" fillId="3" borderId="0" xfId="0" applyNumberFormat="1" applyFont="1" applyFill="1" applyBorder="1" applyAlignment="1" applyProtection="1">
      <alignment horizontal="left"/>
    </xf>
    <xf numFmtId="0" fontId="5" fillId="3" borderId="0" xfId="50" applyNumberFormat="1" applyFont="1" applyFill="1" applyBorder="1" applyAlignment="1" applyProtection="1">
      <alignment horizontal="center" vertical="center"/>
    </xf>
    <xf numFmtId="0" fontId="2" fillId="5" borderId="0" xfId="0" applyNumberFormat="1" applyFont="1" applyFill="1" applyBorder="1" applyProtection="1"/>
    <xf numFmtId="0" fontId="6" fillId="6" borderId="0" xfId="50" applyNumberFormat="1" applyFont="1" applyFill="1" applyBorder="1" applyAlignment="1" applyProtection="1">
      <alignment horizontal="left" vertical="center"/>
    </xf>
    <xf numFmtId="0" fontId="2" fillId="6" borderId="0" xfId="0" applyNumberFormat="1" applyFont="1" applyFill="1" applyBorder="1" applyAlignment="1" applyProtection="1">
      <alignment horizontal="left"/>
    </xf>
    <xf numFmtId="0" fontId="6" fillId="7" borderId="0" xfId="50" applyNumberFormat="1" applyFont="1" applyFill="1" applyBorder="1" applyAlignment="1" applyProtection="1">
      <alignment horizontal="left" vertical="center"/>
    </xf>
    <xf numFmtId="0" fontId="7" fillId="6" borderId="0" xfId="0" applyNumberFormat="1" applyFont="1" applyFill="1" applyBorder="1" applyAlignment="1" applyProtection="1">
      <alignment horizontal="left" vertical="center"/>
    </xf>
    <xf numFmtId="0" fontId="2" fillId="6" borderId="0" xfId="0" applyNumberFormat="1" applyFont="1" applyFill="1" applyBorder="1" applyProtection="1"/>
    <xf numFmtId="0" fontId="6" fillId="2" borderId="0" xfId="50" applyNumberFormat="1" applyFont="1" applyFill="1" applyBorder="1" applyAlignment="1" applyProtection="1">
      <alignment horizontal="left" vertical="center"/>
    </xf>
    <xf numFmtId="0" fontId="2" fillId="3" borderId="0" xfId="0" applyNumberFormat="1" applyFont="1" applyFill="1" applyBorder="1" applyAlignment="1" applyProtection="1">
      <alignment horizontal="left"/>
    </xf>
    <xf numFmtId="0" fontId="6" fillId="3" borderId="0" xfId="50" applyNumberFormat="1" applyFont="1" applyFill="1" applyBorder="1" applyAlignment="1" applyProtection="1">
      <alignment horizontal="center" vertical="center"/>
    </xf>
    <xf numFmtId="0" fontId="8" fillId="6" borderId="0" xfId="50" applyNumberFormat="1" applyFont="1" applyFill="1" applyBorder="1" applyAlignment="1" applyProtection="1">
      <alignment horizontal="left" vertical="center"/>
    </xf>
    <xf numFmtId="0" fontId="8" fillId="7" borderId="0" xfId="50" applyNumberFormat="1" applyFont="1" applyFill="1" applyBorder="1" applyAlignment="1" applyProtection="1">
      <alignment horizontal="left" vertical="center"/>
    </xf>
    <xf numFmtId="0" fontId="9" fillId="6" borderId="0" xfId="0" applyNumberFormat="1" applyFont="1" applyFill="1" applyBorder="1" applyAlignment="1" applyProtection="1">
      <alignment horizontal="left" vertical="center"/>
    </xf>
    <xf numFmtId="0" fontId="8" fillId="2" borderId="0" xfId="50" applyNumberFormat="1" applyFont="1" applyFill="1" applyBorder="1" applyAlignment="1" applyProtection="1">
      <alignment horizontal="left" vertical="center"/>
    </xf>
    <xf numFmtId="0" fontId="0" fillId="3" borderId="0" xfId="0" applyNumberFormat="1" applyFont="1" applyFill="1" applyBorder="1" applyAlignment="1" applyProtection="1">
      <alignment horizontal="left"/>
    </xf>
    <xf numFmtId="0" fontId="8" fillId="3" borderId="0" xfId="50" applyNumberFormat="1" applyFont="1" applyFill="1" applyBorder="1" applyAlignment="1" applyProtection="1">
      <alignment horizontal="center" vertical="center"/>
    </xf>
    <xf numFmtId="0" fontId="3" fillId="2" borderId="0" xfId="50" applyNumberFormat="1" applyFont="1" applyFill="1" applyBorder="1" applyAlignment="1" applyProtection="1">
      <alignment horizontal="right" vertical="center"/>
    </xf>
    <xf numFmtId="0" fontId="3" fillId="7" borderId="0" xfId="50" applyNumberFormat="1" applyFont="1" applyFill="1" applyBorder="1" applyAlignment="1" applyProtection="1">
      <alignment horizontal="right" vertical="center"/>
    </xf>
    <xf numFmtId="0" fontId="5" fillId="3" borderId="0" xfId="50" applyNumberFormat="1" applyFont="1" applyFill="1" applyBorder="1" applyAlignment="1" applyProtection="1">
      <alignment vertical="center"/>
    </xf>
    <xf numFmtId="0" fontId="5" fillId="3" borderId="0" xfId="50" applyNumberFormat="1" applyFont="1" applyFill="1" applyBorder="1" applyAlignment="1" applyProtection="1">
      <alignment horizontal="right" vertical="center"/>
    </xf>
    <xf numFmtId="0" fontId="6" fillId="2" borderId="0" xfId="50" applyNumberFormat="1" applyFont="1" applyFill="1" applyBorder="1" applyAlignment="1" applyProtection="1">
      <alignment horizontal="right" vertical="center"/>
    </xf>
    <xf numFmtId="0" fontId="6" fillId="7" borderId="0" xfId="50" applyNumberFormat="1" applyFont="1" applyFill="1" applyBorder="1" applyAlignment="1" applyProtection="1">
      <alignment horizontal="right" vertical="center"/>
    </xf>
    <xf numFmtId="0" fontId="6" fillId="3" borderId="0" xfId="50" applyNumberFormat="1" applyFont="1" applyFill="1" applyBorder="1" applyAlignment="1" applyProtection="1">
      <alignment vertical="center"/>
    </xf>
    <xf numFmtId="0" fontId="6" fillId="3" borderId="0" xfId="50" applyNumberFormat="1" applyFont="1" applyFill="1" applyBorder="1" applyAlignment="1" applyProtection="1">
      <alignment horizontal="right" vertical="center"/>
    </xf>
    <xf numFmtId="0" fontId="8" fillId="2" borderId="0" xfId="50" applyNumberFormat="1" applyFont="1" applyFill="1" applyBorder="1" applyAlignment="1" applyProtection="1">
      <alignment horizontal="right" vertical="center"/>
    </xf>
    <xf numFmtId="0" fontId="8" fillId="7" borderId="0" xfId="50" applyNumberFormat="1" applyFont="1" applyFill="1" applyBorder="1" applyAlignment="1" applyProtection="1">
      <alignment horizontal="right" vertical="center"/>
    </xf>
    <xf numFmtId="0" fontId="8" fillId="3" borderId="0" xfId="50" applyNumberFormat="1" applyFont="1" applyFill="1" applyBorder="1" applyAlignment="1" applyProtection="1">
      <alignment vertical="center"/>
    </xf>
    <xf numFmtId="0" fontId="8" fillId="3" borderId="0" xfId="50" applyNumberFormat="1" applyFont="1" applyFill="1" applyBorder="1" applyAlignment="1" applyProtection="1">
      <alignment horizontal="right" vertical="center"/>
    </xf>
    <xf numFmtId="0" fontId="1" fillId="3" borderId="0" xfId="0" applyNumberFormat="1" applyFont="1" applyFill="1" applyBorder="1" applyAlignment="1" applyProtection="1">
      <alignment vertical="center"/>
    </xf>
    <xf numFmtId="0" fontId="2" fillId="3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>
      <alignment vertical="center"/>
    </xf>
    <xf numFmtId="0" fontId="0" fillId="6" borderId="0" xfId="0" applyNumberFormat="1" applyFont="1" applyFill="1" applyBorder="1" applyAlignment="1" applyProtection="1">
      <alignment horizontal="left" vertical="center"/>
    </xf>
    <xf numFmtId="0" fontId="3" fillId="4" borderId="0" xfId="50" applyNumberFormat="1" applyFont="1" applyFill="1" applyBorder="1" applyAlignment="1" applyProtection="1">
      <alignment horizontal="left" vertical="center"/>
    </xf>
    <xf numFmtId="0" fontId="1" fillId="8" borderId="0" xfId="0" applyNumberFormat="1" applyFont="1" applyFill="1" applyBorder="1" applyProtection="1"/>
    <xf numFmtId="0" fontId="0" fillId="2" borderId="0" xfId="0" applyNumberFormat="1" applyFont="1" applyFill="1" applyBorder="1" applyAlignment="1" applyProtection="1">
      <alignment horizontal="left"/>
    </xf>
    <xf numFmtId="0" fontId="5" fillId="3" borderId="0" xfId="50" applyNumberFormat="1" applyFont="1" applyFill="1" applyBorder="1" applyAlignment="1" applyProtection="1">
      <alignment horizontal="left" vertical="center"/>
    </xf>
    <xf numFmtId="0" fontId="1" fillId="4" borderId="0" xfId="0" applyNumberFormat="1" applyFont="1" applyFill="1" applyBorder="1" applyProtection="1"/>
    <xf numFmtId="0" fontId="2" fillId="6" borderId="0" xfId="0" applyNumberFormat="1" applyFont="1" applyFill="1" applyBorder="1" applyAlignment="1" applyProtection="1">
      <alignment horizontal="left" vertical="center"/>
    </xf>
    <xf numFmtId="0" fontId="6" fillId="4" borderId="0" xfId="50" applyNumberFormat="1" applyFont="1" applyFill="1" applyBorder="1" applyAlignment="1" applyProtection="1">
      <alignment horizontal="left" vertical="center"/>
    </xf>
    <xf numFmtId="0" fontId="2" fillId="8" borderId="0" xfId="0" applyNumberFormat="1" applyFont="1" applyFill="1" applyBorder="1" applyProtection="1"/>
    <xf numFmtId="0" fontId="2" fillId="2" borderId="0" xfId="0" applyNumberFormat="1" applyFont="1" applyFill="1" applyBorder="1" applyAlignment="1" applyProtection="1">
      <alignment horizontal="left"/>
    </xf>
    <xf numFmtId="0" fontId="6" fillId="3" borderId="0" xfId="50" applyNumberFormat="1" applyFont="1" applyFill="1" applyBorder="1" applyAlignment="1" applyProtection="1">
      <alignment horizontal="left" vertical="center"/>
    </xf>
    <xf numFmtId="0" fontId="2" fillId="4" borderId="0" xfId="0" applyNumberFormat="1" applyFont="1" applyFill="1" applyBorder="1" applyProtection="1"/>
    <xf numFmtId="0" fontId="8" fillId="4" borderId="0" xfId="50" applyNumberFormat="1" applyFont="1" applyFill="1" applyBorder="1" applyAlignment="1" applyProtection="1">
      <alignment horizontal="left" vertical="center"/>
    </xf>
    <xf numFmtId="0" fontId="0" fillId="8" borderId="0" xfId="0" applyNumberFormat="1" applyFont="1" applyFill="1" applyBorder="1" applyProtection="1"/>
    <xf numFmtId="0" fontId="8" fillId="3" borderId="0" xfId="50" applyNumberFormat="1" applyFont="1" applyFill="1" applyBorder="1" applyAlignment="1" applyProtection="1">
      <alignment horizontal="left" vertical="center"/>
    </xf>
    <xf numFmtId="0" fontId="5" fillId="4" borderId="0" xfId="50" applyNumberFormat="1" applyFont="1" applyFill="1" applyBorder="1" applyAlignment="1" applyProtection="1">
      <alignment horizontal="center" vertical="center"/>
    </xf>
    <xf numFmtId="0" fontId="5" fillId="8" borderId="0" xfId="50" applyNumberFormat="1" applyFont="1" applyFill="1" applyBorder="1" applyAlignment="1" applyProtection="1">
      <alignment horizontal="center" vertical="center"/>
    </xf>
    <xf numFmtId="0" fontId="5" fillId="8" borderId="0" xfId="50" applyNumberFormat="1" applyFont="1" applyFill="1" applyBorder="1" applyAlignment="1" applyProtection="1">
      <alignment vertical="center"/>
    </xf>
    <xf numFmtId="0" fontId="3" fillId="8" borderId="0" xfId="50" applyNumberFormat="1" applyFont="1" applyFill="1" applyBorder="1" applyAlignment="1" applyProtection="1">
      <alignment horizontal="right" vertical="center"/>
    </xf>
    <xf numFmtId="0" fontId="5" fillId="4" borderId="0" xfId="50" applyNumberFormat="1" applyFont="1" applyFill="1" applyBorder="1" applyAlignment="1" applyProtection="1">
      <alignment vertical="center"/>
    </xf>
    <xf numFmtId="0" fontId="3" fillId="4" borderId="0" xfId="50" applyNumberFormat="1" applyFont="1" applyFill="1" applyBorder="1" applyAlignment="1" applyProtection="1">
      <alignment horizontal="right" vertical="center"/>
    </xf>
    <xf numFmtId="0" fontId="6" fillId="4" borderId="0" xfId="50" applyNumberFormat="1" applyFont="1" applyFill="1" applyBorder="1" applyAlignment="1" applyProtection="1">
      <alignment horizontal="center" vertical="center"/>
    </xf>
    <xf numFmtId="0" fontId="6" fillId="8" borderId="0" xfId="50" applyNumberFormat="1" applyFont="1" applyFill="1" applyBorder="1" applyAlignment="1" applyProtection="1">
      <alignment horizontal="center" vertical="center"/>
    </xf>
    <xf numFmtId="0" fontId="6" fillId="8" borderId="0" xfId="50" applyNumberFormat="1" applyFont="1" applyFill="1" applyBorder="1" applyAlignment="1" applyProtection="1">
      <alignment vertical="center"/>
    </xf>
    <xf numFmtId="0" fontId="6" fillId="8" borderId="0" xfId="50" applyNumberFormat="1" applyFont="1" applyFill="1" applyBorder="1" applyAlignment="1" applyProtection="1">
      <alignment horizontal="right" vertical="center"/>
    </xf>
    <xf numFmtId="0" fontId="6" fillId="4" borderId="0" xfId="50" applyNumberFormat="1" applyFont="1" applyFill="1" applyBorder="1" applyAlignment="1" applyProtection="1">
      <alignment vertical="center"/>
    </xf>
    <xf numFmtId="0" fontId="6" fillId="4" borderId="0" xfId="50" applyNumberFormat="1" applyFont="1" applyFill="1" applyBorder="1" applyAlignment="1" applyProtection="1">
      <alignment horizontal="right" vertical="center"/>
    </xf>
    <xf numFmtId="0" fontId="8" fillId="4" borderId="0" xfId="50" applyNumberFormat="1" applyFont="1" applyFill="1" applyBorder="1" applyAlignment="1" applyProtection="1">
      <alignment horizontal="center" vertical="center"/>
    </xf>
    <xf numFmtId="0" fontId="8" fillId="8" borderId="0" xfId="50" applyNumberFormat="1" applyFont="1" applyFill="1" applyBorder="1" applyAlignment="1" applyProtection="1">
      <alignment horizontal="center" vertical="center"/>
    </xf>
    <xf numFmtId="0" fontId="8" fillId="8" borderId="0" xfId="50" applyNumberFormat="1" applyFont="1" applyFill="1" applyBorder="1" applyAlignment="1" applyProtection="1">
      <alignment vertical="center"/>
    </xf>
    <xf numFmtId="0" fontId="8" fillId="8" borderId="0" xfId="50" applyNumberFormat="1" applyFont="1" applyFill="1" applyBorder="1" applyAlignment="1" applyProtection="1">
      <alignment horizontal="right" vertical="center"/>
    </xf>
    <xf numFmtId="0" fontId="8" fillId="4" borderId="0" xfId="50" applyNumberFormat="1" applyFont="1" applyFill="1" applyBorder="1" applyAlignment="1" applyProtection="1">
      <alignment vertical="center"/>
    </xf>
    <xf numFmtId="0" fontId="8" fillId="4" borderId="0" xfId="50" applyNumberFormat="1" applyFont="1" applyFill="1" applyBorder="1" applyAlignment="1" applyProtection="1">
      <alignment horizontal="right" vertical="center"/>
    </xf>
    <xf numFmtId="0" fontId="2" fillId="8" borderId="0" xfId="0" applyNumberFormat="1" applyFont="1" applyFill="1" applyBorder="1" applyAlignment="1" applyProtection="1">
      <alignment vertical="center"/>
    </xf>
    <xf numFmtId="0" fontId="1" fillId="8" borderId="0" xfId="0" applyNumberFormat="1" applyFont="1" applyFill="1" applyBorder="1" applyAlignment="1" applyProtection="1">
      <alignment vertical="center"/>
    </xf>
    <xf numFmtId="0" fontId="1" fillId="8" borderId="0" xfId="0" applyNumberFormat="1" applyFont="1" applyFill="1" applyBorder="1" applyAlignment="1" applyProtection="1">
      <alignment horizontal="center" vertical="center"/>
    </xf>
    <xf numFmtId="0" fontId="2" fillId="4" borderId="0" xfId="0" applyNumberFormat="1" applyFont="1" applyFill="1" applyBorder="1" applyAlignment="1" applyProtection="1">
      <alignment vertical="center"/>
    </xf>
    <xf numFmtId="0" fontId="1" fillId="4" borderId="0" xfId="0" applyNumberFormat="1" applyFont="1" applyFill="1" applyBorder="1" applyAlignment="1" applyProtection="1">
      <alignment vertical="center"/>
    </xf>
    <xf numFmtId="0" fontId="1" fillId="4" borderId="0" xfId="0" applyNumberFormat="1" applyFont="1" applyFill="1" applyBorder="1" applyAlignment="1" applyProtection="1">
      <alignment horizontal="center" vertical="center"/>
    </xf>
    <xf numFmtId="0" fontId="2" fillId="8" borderId="0" xfId="0" applyNumberFormat="1" applyFont="1" applyFill="1" applyBorder="1" applyAlignment="1" applyProtection="1">
      <alignment horizontal="center" vertical="center"/>
    </xf>
    <xf numFmtId="0" fontId="2" fillId="4" borderId="0" xfId="0" applyNumberFormat="1" applyFont="1" applyFill="1" applyBorder="1" applyAlignment="1" applyProtection="1">
      <alignment horizontal="center" vertical="center"/>
    </xf>
    <xf numFmtId="0" fontId="0" fillId="8" borderId="0" xfId="0" applyNumberFormat="1" applyFont="1" applyFill="1" applyBorder="1" applyAlignment="1" applyProtection="1">
      <alignment vertical="center"/>
    </xf>
    <xf numFmtId="0" fontId="0" fillId="8" borderId="0" xfId="0" applyNumberFormat="1" applyFont="1" applyFill="1" applyBorder="1" applyAlignment="1" applyProtection="1">
      <alignment horizontal="center" vertical="center"/>
    </xf>
    <xf numFmtId="0" fontId="0" fillId="4" borderId="0" xfId="0" applyNumberFormat="1" applyFont="1" applyFill="1" applyBorder="1" applyAlignment="1" applyProtection="1">
      <alignment vertical="center"/>
    </xf>
    <xf numFmtId="0" fontId="0" fillId="4" borderId="0" xfId="0" applyNumberFormat="1" applyFont="1" applyFill="1" applyBorder="1" applyAlignment="1" applyProtection="1">
      <alignment horizontal="center" vertical="center"/>
    </xf>
    <xf numFmtId="0" fontId="0" fillId="4" borderId="0" xfId="0" applyNumberFormat="1" applyFont="1" applyFill="1" applyBorder="1" applyAlignment="1" applyProtection="1">
      <alignment horizontal="left"/>
    </xf>
    <xf numFmtId="0" fontId="10" fillId="4" borderId="0" xfId="0" applyNumberFormat="1" applyFont="1" applyFill="1" applyBorder="1" applyProtection="1"/>
    <xf numFmtId="0" fontId="0" fillId="4" borderId="0" xfId="0" applyNumberFormat="1" applyFont="1" applyFill="1" applyBorder="1" applyAlignment="1" applyProtection="1">
      <alignment horizontal="right"/>
    </xf>
    <xf numFmtId="0" fontId="0" fillId="4" borderId="0" xfId="0" applyNumberFormat="1" applyFont="1" applyFill="1" applyBorder="1" applyAlignment="1" applyProtection="1">
      <alignment horizontal="left" vertical="center"/>
    </xf>
    <xf numFmtId="49" fontId="11" fillId="4" borderId="0" xfId="0" applyNumberFormat="1" applyFont="1" applyFill="1" applyBorder="1" applyProtection="1"/>
    <xf numFmtId="49" fontId="0" fillId="4" borderId="0" xfId="0" applyNumberFormat="1" applyFont="1" applyFill="1" applyBorder="1" applyProtection="1"/>
    <xf numFmtId="0" fontId="0" fillId="9" borderId="0" xfId="0" applyNumberFormat="1" applyFont="1" applyFill="1" applyBorder="1" applyProtection="1"/>
    <xf numFmtId="0" fontId="0" fillId="9" borderId="0" xfId="0" applyNumberFormat="1" applyFont="1" applyFill="1" applyBorder="1" applyAlignment="1" applyProtection="1">
      <alignment horizontal="left"/>
    </xf>
    <xf numFmtId="0" fontId="0" fillId="10" borderId="0" xfId="0" applyNumberFormat="1" applyFont="1" applyFill="1" applyBorder="1" applyProtection="1"/>
    <xf numFmtId="0" fontId="0" fillId="10" borderId="0" xfId="0" applyNumberFormat="1" applyFont="1" applyFill="1" applyBorder="1" applyAlignment="1" applyProtection="1">
      <alignment horizontal="left"/>
    </xf>
    <xf numFmtId="0" fontId="3" fillId="0" borderId="0" xfId="5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right"/>
    </xf>
    <xf numFmtId="0" fontId="0" fillId="11" borderId="0" xfId="0" applyNumberFormat="1" applyFont="1" applyFill="1" applyBorder="1" applyAlignment="1" applyProtection="1">
      <alignment horizontal="left" vertical="center"/>
    </xf>
    <xf numFmtId="0" fontId="0" fillId="0" borderId="0" xfId="51" applyNumberFormat="1" applyFont="1" applyFill="1" applyBorder="1" applyAlignment="1" applyProtection="1">
      <alignment horizontal="center"/>
    </xf>
    <xf numFmtId="0" fontId="0" fillId="0" borderId="0" xfId="51" applyNumberFormat="1" applyFont="1" applyFill="1" applyBorder="1" applyProtection="1"/>
    <xf numFmtId="49" fontId="0" fillId="0" borderId="0" xfId="51" applyNumberFormat="1" applyFont="1" applyFill="1" applyBorder="1" applyAlignment="1" applyProtection="1">
      <alignment horizontal="center"/>
    </xf>
    <xf numFmtId="49" fontId="0" fillId="0" borderId="0" xfId="51" applyNumberFormat="1" applyFont="1" applyFill="1" applyBorder="1" applyAlignment="1" applyProtection="1">
      <alignment horizontal="left"/>
    </xf>
    <xf numFmtId="0" fontId="0" fillId="0" borderId="0" xfId="51" applyNumberFormat="1" applyFont="1" applyFill="1" applyBorder="1" applyAlignment="1" applyProtection="1">
      <alignment horizontal="left"/>
    </xf>
    <xf numFmtId="0" fontId="3" fillId="0" borderId="0" xfId="50" applyNumberFormat="1" applyFont="1" applyFill="1" applyBorder="1" applyAlignment="1" applyProtection="1">
      <alignment horizontal="right" vertical="center"/>
    </xf>
    <xf numFmtId="49" fontId="0" fillId="0" borderId="0" xfId="0" applyNumberFormat="1" applyFont="1" applyFill="1" applyBorder="1" applyAlignment="1" applyProtection="1">
      <alignment horizontal="right"/>
    </xf>
    <xf numFmtId="0" fontId="12" fillId="12" borderId="0" xfId="24" applyNumberFormat="1" applyFont="1" applyFill="1" applyBorder="1" applyAlignment="1" applyProtection="1"/>
    <xf numFmtId="0" fontId="13" fillId="13" borderId="0" xfId="23" applyNumberFormat="1" applyFont="1" applyFill="1" applyBorder="1" applyAlignment="1" applyProtection="1"/>
    <xf numFmtId="0" fontId="8" fillId="0" borderId="0" xfId="50" applyNumberFormat="1" applyFont="1" applyFill="1" applyBorder="1" applyAlignment="1" applyProtection="1">
      <alignment horizontal="right" vertical="center"/>
    </xf>
    <xf numFmtId="0" fontId="0" fillId="14" borderId="0" xfId="0" applyNumberFormat="1" applyFont="1" applyFill="1" applyBorder="1" applyProtection="1"/>
    <xf numFmtId="0" fontId="0" fillId="15" borderId="0" xfId="0" applyNumberFormat="1" applyFont="1" applyFill="1" applyBorder="1" applyProtection="1"/>
    <xf numFmtId="0" fontId="14" fillId="16" borderId="0" xfId="29" applyNumberFormat="1" applyFont="1" applyFill="1" applyBorder="1" applyAlignment="1" applyProtection="1"/>
    <xf numFmtId="0" fontId="0" fillId="17" borderId="0" xfId="43" applyNumberFormat="1" applyFont="1" applyFill="1" applyBorder="1" applyAlignment="1" applyProtection="1"/>
    <xf numFmtId="0" fontId="0" fillId="18" borderId="0" xfId="0" applyNumberFormat="1" applyFont="1" applyFill="1" applyBorder="1" applyProtection="1"/>
    <xf numFmtId="0" fontId="0" fillId="7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  <xf numFmtId="0" fontId="0" fillId="14" borderId="0" xfId="0" applyNumberFormat="1" applyFont="1" applyFill="1" applyBorder="1" applyAlignment="1" applyProtection="1">
      <alignment vertical="center"/>
    </xf>
    <xf numFmtId="0" fontId="2" fillId="19" borderId="0" xfId="0" applyNumberFormat="1" applyFont="1" applyFill="1" applyBorder="1" applyProtection="1"/>
    <xf numFmtId="0" fontId="2" fillId="20" borderId="0" xfId="0" applyNumberFormat="1" applyFont="1" applyFill="1" applyBorder="1" applyProtection="1"/>
    <xf numFmtId="0" fontId="0" fillId="21" borderId="0" xfId="0" applyNumberFormat="1" applyFont="1" applyFill="1" applyBorder="1" applyProtection="1"/>
    <xf numFmtId="0" fontId="0" fillId="22" borderId="0" xfId="0" applyNumberFormat="1" applyFont="1" applyFill="1" applyBorder="1" applyProtection="1"/>
    <xf numFmtId="0" fontId="0" fillId="0" borderId="0" xfId="51" applyNumberFormat="1" applyFont="1" applyFill="1" applyBorder="1" applyAlignment="1" applyProtection="1">
      <alignment horizontal="right"/>
    </xf>
    <xf numFmtId="0" fontId="0" fillId="21" borderId="0" xfId="0" applyNumberFormat="1" applyFont="1" applyFill="1" applyBorder="1" applyAlignment="1" applyProtection="1">
      <alignment vertical="center"/>
    </xf>
    <xf numFmtId="0" fontId="0" fillId="22" borderId="0" xfId="0" applyNumberFormat="1" applyFont="1" applyFill="1" applyBorder="1" applyAlignment="1" applyProtection="1">
      <alignment horizontal="right"/>
    </xf>
    <xf numFmtId="0" fontId="0" fillId="22" borderId="0" xfId="0" applyNumberFormat="1" applyFont="1" applyFill="1" applyBorder="1" applyAlignment="1" applyProtection="1">
      <alignment vertical="center"/>
    </xf>
    <xf numFmtId="0" fontId="3" fillId="8" borderId="0" xfId="50" applyNumberFormat="1" applyFont="1" applyFill="1" applyBorder="1" applyAlignment="1" applyProtection="1">
      <alignment horizontal="center" vertical="center"/>
    </xf>
    <xf numFmtId="0" fontId="0" fillId="8" borderId="0" xfId="0" applyNumberFormat="1" applyFont="1" applyFill="1" applyBorder="1" applyAlignment="1" applyProtection="1">
      <alignment horizontal="right" vertical="center"/>
    </xf>
    <xf numFmtId="0" fontId="2" fillId="8" borderId="0" xfId="0" applyNumberFormat="1" applyFont="1" applyFill="1" applyBorder="1" applyAlignment="1" applyProtection="1">
      <alignment horizontal="right" vertical="center"/>
    </xf>
    <xf numFmtId="0" fontId="2" fillId="8" borderId="0" xfId="0" applyNumberFormat="1" applyFont="1" applyFill="1" applyBorder="1" applyAlignment="1" applyProtection="1">
      <alignment horizontal="right"/>
    </xf>
    <xf numFmtId="0" fontId="0" fillId="8" borderId="0" xfId="0" applyNumberFormat="1" applyFont="1" applyFill="1" applyBorder="1" applyAlignment="1" applyProtection="1">
      <alignment horizontal="right"/>
    </xf>
    <xf numFmtId="0" fontId="5" fillId="8" borderId="0" xfId="50" applyNumberFormat="1" applyFont="1" applyFill="1" applyBorder="1" applyAlignment="1" applyProtection="1">
      <alignment horizontal="right" vertical="center"/>
    </xf>
    <xf numFmtId="0" fontId="1" fillId="8" borderId="0" xfId="0" applyNumberFormat="1" applyFont="1" applyFill="1" applyBorder="1" applyAlignment="1" applyProtection="1">
      <alignment horizontal="right"/>
    </xf>
    <xf numFmtId="0" fontId="15" fillId="8" borderId="0" xfId="50" applyNumberFormat="1" applyFont="1" applyFill="1" applyBorder="1" applyAlignment="1" applyProtection="1">
      <alignment horizontal="center" vertical="center"/>
    </xf>
    <xf numFmtId="0" fontId="15" fillId="8" borderId="0" xfId="5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right" vertical="center"/>
    </xf>
    <xf numFmtId="0" fontId="16" fillId="18" borderId="0" xfId="50" applyNumberFormat="1" applyFont="1" applyFill="1" applyBorder="1" applyAlignment="1" applyProtection="1">
      <alignment horizontal="center" vertical="center"/>
    </xf>
    <xf numFmtId="0" fontId="16" fillId="8" borderId="0" xfId="50" applyNumberFormat="1" applyFont="1" applyFill="1" applyBorder="1" applyAlignment="1" applyProtection="1">
      <alignment horizontal="right" vertical="center"/>
    </xf>
    <xf numFmtId="0" fontId="6" fillId="18" borderId="0" xfId="50" applyNumberFormat="1" applyFont="1" applyFill="1" applyBorder="1" applyAlignment="1" applyProtection="1">
      <alignment horizontal="center" vertical="center"/>
    </xf>
    <xf numFmtId="0" fontId="3" fillId="18" borderId="0" xfId="50" applyNumberFormat="1" applyFont="1" applyFill="1" applyBorder="1" applyAlignment="1" applyProtection="1">
      <alignment horizontal="center" vertical="center"/>
    </xf>
    <xf numFmtId="0" fontId="6" fillId="14" borderId="0" xfId="50" applyNumberFormat="1" applyFont="1" applyFill="1" applyBorder="1" applyAlignment="1" applyProtection="1">
      <alignment horizontal="center" vertical="center"/>
    </xf>
    <xf numFmtId="0" fontId="3" fillId="14" borderId="0" xfId="50" applyNumberFormat="1" applyFont="1" applyFill="1" applyBorder="1" applyAlignment="1" applyProtection="1">
      <alignment horizontal="center" vertical="center"/>
    </xf>
    <xf numFmtId="0" fontId="0" fillId="14" borderId="0" xfId="0" applyNumberFormat="1" applyFont="1" applyFill="1" applyBorder="1" applyAlignment="1" applyProtection="1">
      <alignment horizontal="right"/>
    </xf>
    <xf numFmtId="0" fontId="3" fillId="23" borderId="0" xfId="50" applyNumberFormat="1" applyFont="1" applyFill="1" applyBorder="1" applyAlignment="1" applyProtection="1">
      <alignment horizontal="center" vertical="center"/>
    </xf>
    <xf numFmtId="0" fontId="0" fillId="23" borderId="0" xfId="0" applyNumberFormat="1" applyFont="1" applyFill="1" applyBorder="1" applyAlignment="1" applyProtection="1">
      <alignment horizontal="right"/>
    </xf>
    <xf numFmtId="0" fontId="3" fillId="24" borderId="0" xfId="50" applyNumberFormat="1" applyFont="1" applyFill="1" applyBorder="1" applyAlignment="1" applyProtection="1">
      <alignment horizontal="center" vertical="center"/>
    </xf>
    <xf numFmtId="0" fontId="0" fillId="24" borderId="0" xfId="0" applyNumberFormat="1" applyFont="1" applyFill="1" applyBorder="1" applyAlignment="1" applyProtection="1">
      <alignment horizontal="right"/>
    </xf>
    <xf numFmtId="0" fontId="3" fillId="24" borderId="0" xfId="50" applyNumberFormat="1" applyFont="1" applyFill="1" applyBorder="1" applyAlignment="1" applyProtection="1">
      <alignment horizontal="right" vertical="center"/>
    </xf>
    <xf numFmtId="0" fontId="3" fillId="3" borderId="0" xfId="50" applyNumberFormat="1" applyFont="1" applyFill="1" applyBorder="1" applyAlignment="1" applyProtection="1">
      <alignment horizontal="center" vertical="center"/>
    </xf>
    <xf numFmtId="0" fontId="3" fillId="3" borderId="0" xfId="50" applyNumberFormat="1" applyFont="1" applyFill="1" applyBorder="1" applyAlignment="1" applyProtection="1">
      <alignment vertical="center"/>
    </xf>
    <xf numFmtId="0" fontId="3" fillId="3" borderId="1" xfId="50" applyNumberFormat="1" applyFont="1" applyFill="1" applyBorder="1" applyAlignment="1" applyProtection="1">
      <alignment horizontal="center" vertical="center"/>
    </xf>
    <xf numFmtId="0" fontId="3" fillId="3" borderId="1" xfId="5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wrapText="1"/>
    </xf>
    <xf numFmtId="0" fontId="0" fillId="25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left"/>
    </xf>
    <xf numFmtId="0" fontId="3" fillId="0" borderId="0" xfId="50" applyNumberFormat="1" applyFont="1" applyFill="1" applyBorder="1" applyAlignment="1" applyProtection="1">
      <alignment vertical="center" wrapText="1"/>
    </xf>
    <xf numFmtId="0" fontId="3" fillId="0" borderId="0" xfId="50" applyNumberFormat="1" applyFont="1" applyFill="1" applyBorder="1" applyAlignment="1" applyProtection="1">
      <alignment horizontal="center" vertical="center" wrapText="1"/>
    </xf>
    <xf numFmtId="0" fontId="3" fillId="0" borderId="0" xfId="50" applyNumberFormat="1" applyFont="1" applyFill="1" applyBorder="1" applyAlignment="1" applyProtection="1">
      <alignment horizontal="left" vertical="center" wrapText="1"/>
    </xf>
    <xf numFmtId="0" fontId="8" fillId="0" borderId="0" xfId="50" applyNumberFormat="1" applyFont="1" applyFill="1" applyBorder="1" applyAlignment="1" applyProtection="1">
      <alignment vertical="center" wrapText="1"/>
    </xf>
    <xf numFmtId="0" fontId="3" fillId="0" borderId="0" xfId="5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left"/>
    </xf>
    <xf numFmtId="0" fontId="8" fillId="0" borderId="0" xfId="50" applyNumberFormat="1" applyFont="1" applyFill="1" applyBorder="1" applyAlignment="1" applyProtection="1">
      <alignment vertical="center"/>
    </xf>
    <xf numFmtId="0" fontId="17" fillId="0" borderId="0" xfId="0" applyNumberFormat="1" applyFont="1" applyFill="1" applyBorder="1" applyAlignment="1" applyProtection="1">
      <alignment horizontal="left"/>
    </xf>
    <xf numFmtId="0" fontId="3" fillId="25" borderId="0" xfId="50" applyNumberFormat="1" applyFont="1" applyFill="1" applyBorder="1" applyAlignment="1" applyProtection="1">
      <alignment horizontal="center" vertical="center"/>
    </xf>
    <xf numFmtId="0" fontId="3" fillId="25" borderId="0" xfId="50" applyNumberFormat="1" applyFont="1" applyFill="1" applyBorder="1" applyAlignment="1" applyProtection="1">
      <alignment horizontal="left" vertical="center"/>
    </xf>
    <xf numFmtId="0" fontId="8" fillId="25" borderId="0" xfId="50" applyNumberFormat="1" applyFont="1" applyFill="1" applyBorder="1" applyAlignment="1" applyProtection="1">
      <alignment vertical="center"/>
    </xf>
    <xf numFmtId="0" fontId="8" fillId="26" borderId="0" xfId="50" applyNumberFormat="1" applyFont="1" applyFill="1" applyBorder="1" applyAlignment="1" applyProtection="1">
      <alignment vertical="center"/>
    </xf>
    <xf numFmtId="0" fontId="3" fillId="25" borderId="0" xfId="50" applyNumberFormat="1" applyFont="1" applyFill="1" applyBorder="1" applyAlignment="1" applyProtection="1">
      <alignment vertical="center"/>
    </xf>
    <xf numFmtId="0" fontId="18" fillId="26" borderId="0" xfId="50" applyNumberFormat="1" applyFont="1" applyFill="1" applyBorder="1" applyAlignment="1" applyProtection="1">
      <alignment vertical="center"/>
    </xf>
    <xf numFmtId="0" fontId="0" fillId="27" borderId="0" xfId="0" applyNumberFormat="1" applyFont="1" applyFill="1" applyBorder="1" applyProtection="1"/>
    <xf numFmtId="0" fontId="0" fillId="27" borderId="0" xfId="0" applyNumberFormat="1" applyFont="1" applyFill="1" applyBorder="1" applyAlignment="1" applyProtection="1">
      <alignment horizontal="left"/>
    </xf>
    <xf numFmtId="0" fontId="0" fillId="0" borderId="0" xfId="0" applyNumberFormat="1" applyFont="1" applyFill="1" applyBorder="1" applyProtection="1"/>
    <xf numFmtId="0" fontId="3" fillId="21" borderId="0" xfId="50" applyNumberFormat="1" applyFont="1" applyFill="1" applyBorder="1" applyAlignment="1" applyProtection="1">
      <alignment vertical="center" wrapText="1"/>
    </xf>
    <xf numFmtId="0" fontId="3" fillId="21" borderId="0" xfId="50" applyNumberFormat="1" applyFont="1" applyFill="1" applyBorder="1" applyAlignment="1" applyProtection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3" xfId="49"/>
    <cellStyle name="常规 106" xfId="50"/>
    <cellStyle name="常规 2" xfId="51"/>
    <cellStyle name="常规 3" xf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DFFF9F"/>
      <color rgb="00FDCDFB"/>
      <color rgb="00EF6CFB"/>
      <color rgb="00CCFF66"/>
      <color rgb="0095F5C0"/>
      <color rgb="00A0E8F6"/>
      <color rgb="00FFC9FF"/>
      <color rgb="00FFFE6F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T133"/>
  <sheetViews>
    <sheetView tabSelected="1" workbookViewId="0">
      <pane xSplit="4" ySplit="6" topLeftCell="E10" activePane="bottomRight" state="frozen"/>
      <selection/>
      <selection pane="topRight"/>
      <selection pane="bottomLeft"/>
      <selection pane="bottomRight" activeCell="I60" sqref="I60"/>
    </sheetView>
  </sheetViews>
  <sheetFormatPr defaultColWidth="9" defaultRowHeight="14"/>
  <cols>
    <col min="1" max="1" width="9.12727272727273" customWidth="1"/>
    <col min="2" max="2" width="18.3727272727273" customWidth="1"/>
    <col min="3" max="3" width="13.7545454545455" customWidth="1"/>
    <col min="4" max="4" width="10.2545454545455" style="160" customWidth="1"/>
    <col min="5" max="6" width="9.12727272727273" customWidth="1"/>
    <col min="7" max="7" width="20.3727272727273" customWidth="1"/>
    <col min="8" max="8" width="9" customWidth="1"/>
    <col min="9" max="13" width="9.12727272727273" customWidth="1"/>
    <col min="14" max="14" width="9" customWidth="1"/>
    <col min="15" max="18" width="9.12727272727273" customWidth="1"/>
    <col min="19" max="32" width="9" customWidth="1"/>
    <col min="33" max="33" width="21.6272727272727" customWidth="1"/>
    <col min="34" max="46" width="9" customWidth="1"/>
  </cols>
  <sheetData>
    <row r="1" spans="1:4">
      <c r="A1" t="s">
        <v>0</v>
      </c>
      <c r="B1">
        <v>1</v>
      </c>
      <c r="C1" s="160">
        <v>99999</v>
      </c>
      <c r="D1" s="160">
        <v>60</v>
      </c>
    </row>
    <row r="2" s="158" customFormat="1" ht="56" customHeight="1" spans="1:46">
      <c r="A2" s="161" t="s">
        <v>1</v>
      </c>
      <c r="B2" s="161" t="s">
        <v>2</v>
      </c>
      <c r="C2" s="162" t="s">
        <v>3</v>
      </c>
      <c r="D2" s="163" t="s">
        <v>4</v>
      </c>
      <c r="E2" s="164" t="s">
        <v>5</v>
      </c>
      <c r="F2" s="164" t="s">
        <v>6</v>
      </c>
      <c r="G2" s="164" t="s">
        <v>7</v>
      </c>
      <c r="H2" s="161" t="s">
        <v>8</v>
      </c>
      <c r="I2" s="161" t="s">
        <v>9</v>
      </c>
      <c r="J2" s="161" t="s">
        <v>10</v>
      </c>
      <c r="K2" s="161" t="s">
        <v>11</v>
      </c>
      <c r="L2" s="178" t="s">
        <v>12</v>
      </c>
      <c r="M2" s="161" t="s">
        <v>13</v>
      </c>
      <c r="N2" s="161" t="s">
        <v>14</v>
      </c>
      <c r="O2" s="161" t="s">
        <v>15</v>
      </c>
      <c r="P2" s="161" t="s">
        <v>16</v>
      </c>
      <c r="Q2" s="161" t="s">
        <v>17</v>
      </c>
      <c r="R2" s="161" t="s">
        <v>18</v>
      </c>
      <c r="S2" s="161" t="s">
        <v>19</v>
      </c>
      <c r="T2" s="161" t="s">
        <v>20</v>
      </c>
      <c r="U2" s="161" t="s">
        <v>21</v>
      </c>
      <c r="V2" s="161" t="s">
        <v>22</v>
      </c>
      <c r="W2" s="161" t="s">
        <v>23</v>
      </c>
      <c r="X2" s="161" t="s">
        <v>24</v>
      </c>
      <c r="Y2" s="161" t="s">
        <v>25</v>
      </c>
      <c r="Z2" s="161" t="s">
        <v>26</v>
      </c>
      <c r="AA2" s="161" t="s">
        <v>27</v>
      </c>
      <c r="AB2" s="161" t="s">
        <v>28</v>
      </c>
      <c r="AC2" s="161" t="s">
        <v>29</v>
      </c>
      <c r="AD2" s="161" t="s">
        <v>30</v>
      </c>
      <c r="AE2" s="161" t="s">
        <v>31</v>
      </c>
      <c r="AF2" s="161" t="s">
        <v>32</v>
      </c>
      <c r="AG2" s="161" t="s">
        <v>33</v>
      </c>
      <c r="AH2" s="161" t="s">
        <v>34</v>
      </c>
      <c r="AI2" s="161" t="s">
        <v>35</v>
      </c>
      <c r="AJ2" s="161" t="s">
        <v>36</v>
      </c>
      <c r="AK2" s="161" t="s">
        <v>37</v>
      </c>
      <c r="AL2" s="161" t="s">
        <v>38</v>
      </c>
      <c r="AM2" s="161" t="s">
        <v>39</v>
      </c>
      <c r="AN2" s="161" t="s">
        <v>40</v>
      </c>
      <c r="AO2" s="161" t="s">
        <v>41</v>
      </c>
      <c r="AP2" s="161" t="s">
        <v>42</v>
      </c>
      <c r="AQ2" s="161" t="s">
        <v>43</v>
      </c>
      <c r="AR2" s="161" t="s">
        <v>44</v>
      </c>
      <c r="AS2" s="161" t="s">
        <v>45</v>
      </c>
      <c r="AT2" s="161" t="s">
        <v>46</v>
      </c>
    </row>
    <row r="3" spans="1:46">
      <c r="A3" t="s">
        <v>47</v>
      </c>
      <c r="C3" s="165"/>
      <c r="D3" s="166"/>
      <c r="E3" s="167"/>
      <c r="F3" s="167"/>
      <c r="G3" s="167"/>
      <c r="H3" s="102"/>
      <c r="I3" s="102"/>
      <c r="J3" s="102"/>
      <c r="K3" s="102"/>
      <c r="L3" s="179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/>
    </row>
    <row r="4" spans="1:46">
      <c r="A4" t="s">
        <v>48</v>
      </c>
      <c r="B4" s="165" t="s">
        <v>48</v>
      </c>
      <c r="C4" s="165" t="s">
        <v>48</v>
      </c>
      <c r="D4" s="160" t="s">
        <v>48</v>
      </c>
      <c r="E4" s="167"/>
      <c r="F4" s="167"/>
      <c r="G4" s="167"/>
      <c r="H4" s="102"/>
      <c r="I4" s="102"/>
      <c r="J4" s="102"/>
      <c r="K4" s="102"/>
      <c r="L4" s="179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/>
      <c r="AT4" s="102"/>
    </row>
    <row r="5" spans="1:46">
      <c r="A5" t="s">
        <v>49</v>
      </c>
      <c r="B5" s="165" t="s">
        <v>50</v>
      </c>
      <c r="C5" s="165" t="s">
        <v>51</v>
      </c>
      <c r="D5" s="160" t="s">
        <v>50</v>
      </c>
      <c r="E5" s="167"/>
      <c r="F5" s="167"/>
      <c r="G5" s="167"/>
      <c r="H5" s="102"/>
      <c r="I5" s="102"/>
      <c r="J5" s="102"/>
      <c r="K5" s="102"/>
      <c r="L5" s="179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</row>
    <row r="6" spans="1:46">
      <c r="A6" t="s">
        <v>47</v>
      </c>
      <c r="B6" t="s">
        <v>52</v>
      </c>
      <c r="C6" s="165" t="s">
        <v>53</v>
      </c>
      <c r="D6" s="168" t="s">
        <v>54</v>
      </c>
      <c r="E6" s="167" t="s">
        <v>55</v>
      </c>
      <c r="F6" s="167" t="s">
        <v>56</v>
      </c>
      <c r="G6" s="167" t="s">
        <v>57</v>
      </c>
      <c r="H6" s="102" t="s">
        <v>58</v>
      </c>
      <c r="I6" s="102" t="s">
        <v>59</v>
      </c>
      <c r="J6" s="102" t="s">
        <v>60</v>
      </c>
      <c r="K6" s="102" t="s">
        <v>61</v>
      </c>
      <c r="L6" s="179" t="s">
        <v>62</v>
      </c>
      <c r="M6" s="102" t="s">
        <v>63</v>
      </c>
      <c r="N6" s="102" t="s">
        <v>64</v>
      </c>
      <c r="O6" s="102" t="s">
        <v>65</v>
      </c>
      <c r="P6" s="102" t="s">
        <v>66</v>
      </c>
      <c r="Q6" s="102" t="s">
        <v>67</v>
      </c>
      <c r="R6" s="102" t="s">
        <v>68</v>
      </c>
      <c r="S6" s="102" t="s">
        <v>69</v>
      </c>
      <c r="T6" s="102" t="s">
        <v>70</v>
      </c>
      <c r="U6" s="102" t="s">
        <v>71</v>
      </c>
      <c r="V6" s="102" t="s">
        <v>72</v>
      </c>
      <c r="W6" s="102" t="s">
        <v>73</v>
      </c>
      <c r="X6" s="102" t="s">
        <v>74</v>
      </c>
      <c r="Y6" s="102" t="s">
        <v>75</v>
      </c>
      <c r="Z6" s="102" t="s">
        <v>76</v>
      </c>
      <c r="AA6" s="102" t="s">
        <v>77</v>
      </c>
      <c r="AB6" s="102" t="s">
        <v>78</v>
      </c>
      <c r="AC6" s="102" t="s">
        <v>79</v>
      </c>
      <c r="AD6" s="102" t="s">
        <v>80</v>
      </c>
      <c r="AE6" s="102" t="s">
        <v>81</v>
      </c>
      <c r="AF6" s="102" t="s">
        <v>82</v>
      </c>
      <c r="AG6" s="102" t="s">
        <v>83</v>
      </c>
      <c r="AH6" s="102" t="s">
        <v>84</v>
      </c>
      <c r="AI6" s="102" t="s">
        <v>85</v>
      </c>
      <c r="AJ6" s="102" t="s">
        <v>86</v>
      </c>
      <c r="AK6" s="102" t="s">
        <v>87</v>
      </c>
      <c r="AL6" s="102" t="s">
        <v>88</v>
      </c>
      <c r="AM6" s="102" t="s">
        <v>89</v>
      </c>
      <c r="AN6" s="102" t="s">
        <v>90</v>
      </c>
      <c r="AO6" s="102" t="s">
        <v>91</v>
      </c>
      <c r="AP6" s="102" t="s">
        <v>92</v>
      </c>
      <c r="AQ6" s="102" t="s">
        <v>93</v>
      </c>
      <c r="AR6" s="102" t="s">
        <v>94</v>
      </c>
      <c r="AS6" s="102" t="s">
        <v>95</v>
      </c>
      <c r="AT6" s="102" t="s">
        <v>96</v>
      </c>
    </row>
    <row r="7" s="159" customFormat="1" spans="1:46">
      <c r="A7" s="159">
        <v>1</v>
      </c>
      <c r="B7" s="159">
        <v>1</v>
      </c>
      <c r="C7" s="169">
        <v>1</v>
      </c>
      <c r="D7" s="170">
        <v>1</v>
      </c>
      <c r="E7" s="171">
        <v>0</v>
      </c>
      <c r="F7" s="171">
        <v>0</v>
      </c>
      <c r="G7" s="172">
        <v>-500000</v>
      </c>
      <c r="H7" s="173"/>
      <c r="I7" s="173"/>
      <c r="J7" s="173"/>
      <c r="K7" s="173">
        <v>1</v>
      </c>
      <c r="L7" s="173"/>
      <c r="M7" s="173">
        <v>1.5</v>
      </c>
      <c r="N7" s="173"/>
      <c r="O7" s="173">
        <v>1.3</v>
      </c>
      <c r="P7" s="173"/>
      <c r="Q7" s="173">
        <v>0.5</v>
      </c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3"/>
      <c r="AH7" s="173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</row>
    <row r="8" s="159" customFormat="1" spans="1:46">
      <c r="A8" s="159">
        <f t="shared" ref="A8:A16" si="0">ROW()-6</f>
        <v>2</v>
      </c>
      <c r="B8" s="159">
        <v>1</v>
      </c>
      <c r="C8" s="169">
        <v>1</v>
      </c>
      <c r="D8" s="170">
        <v>2</v>
      </c>
      <c r="E8" s="171">
        <v>0</v>
      </c>
      <c r="F8" s="171">
        <v>0</v>
      </c>
      <c r="G8" s="172">
        <v>-600000</v>
      </c>
      <c r="H8" s="173"/>
      <c r="I8" s="173"/>
      <c r="J8" s="173"/>
      <c r="K8" s="173">
        <v>1</v>
      </c>
      <c r="L8" s="173"/>
      <c r="M8" s="173">
        <v>1.5</v>
      </c>
      <c r="N8" s="173"/>
      <c r="O8" s="173">
        <v>1.3</v>
      </c>
      <c r="P8" s="173"/>
      <c r="Q8" s="173">
        <v>0.5</v>
      </c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3"/>
      <c r="AD8" s="173"/>
      <c r="AE8" s="173"/>
      <c r="AF8" s="173"/>
      <c r="AG8" s="173"/>
      <c r="AH8" s="173"/>
      <c r="AI8" s="173"/>
      <c r="AJ8" s="173"/>
      <c r="AK8" s="173"/>
      <c r="AL8" s="173"/>
      <c r="AM8" s="173"/>
      <c r="AN8" s="173"/>
      <c r="AO8" s="173"/>
      <c r="AP8" s="173"/>
      <c r="AQ8" s="173"/>
      <c r="AR8" s="173"/>
      <c r="AS8" s="173"/>
      <c r="AT8" s="173"/>
    </row>
    <row r="9" s="159" customFormat="1" spans="1:46">
      <c r="A9" s="159">
        <f t="shared" si="0"/>
        <v>3</v>
      </c>
      <c r="B9" s="159">
        <v>1</v>
      </c>
      <c r="C9" s="169">
        <v>1</v>
      </c>
      <c r="D9" s="170">
        <v>3</v>
      </c>
      <c r="E9" s="171">
        <v>0</v>
      </c>
      <c r="F9" s="171">
        <v>0</v>
      </c>
      <c r="G9" s="172">
        <v>0</v>
      </c>
      <c r="H9" s="173"/>
      <c r="I9" s="173"/>
      <c r="J9" s="173"/>
      <c r="K9" s="173">
        <v>1</v>
      </c>
      <c r="L9" s="173"/>
      <c r="M9" s="173">
        <v>1.5</v>
      </c>
      <c r="N9" s="173"/>
      <c r="O9" s="173">
        <v>1.3</v>
      </c>
      <c r="P9" s="173"/>
      <c r="Q9" s="173">
        <v>0.5</v>
      </c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73"/>
      <c r="AC9" s="173"/>
      <c r="AD9" s="173"/>
      <c r="AE9" s="173"/>
      <c r="AF9" s="173"/>
      <c r="AG9" s="173"/>
      <c r="AH9" s="173"/>
      <c r="AI9" s="173"/>
      <c r="AJ9" s="173"/>
      <c r="AK9" s="173"/>
      <c r="AL9" s="173"/>
      <c r="AM9" s="173"/>
      <c r="AN9" s="173"/>
      <c r="AO9" s="173"/>
      <c r="AP9" s="173"/>
      <c r="AQ9" s="173"/>
      <c r="AR9" s="173"/>
      <c r="AS9" s="173"/>
      <c r="AT9" s="173"/>
    </row>
    <row r="10" s="159" customFormat="1" spans="1:46">
      <c r="A10" s="159">
        <f t="shared" si="0"/>
        <v>4</v>
      </c>
      <c r="B10" s="159">
        <v>1</v>
      </c>
      <c r="C10" s="169">
        <v>1</v>
      </c>
      <c r="D10" s="170">
        <v>4</v>
      </c>
      <c r="E10" s="171">
        <v>0</v>
      </c>
      <c r="F10" s="171">
        <v>0</v>
      </c>
      <c r="G10" s="172">
        <v>500000</v>
      </c>
      <c r="H10" s="173"/>
      <c r="I10" s="173"/>
      <c r="J10" s="173"/>
      <c r="K10" s="173">
        <v>1</v>
      </c>
      <c r="L10" s="173"/>
      <c r="M10" s="173">
        <v>1.5</v>
      </c>
      <c r="N10" s="173"/>
      <c r="O10" s="173">
        <v>1.3</v>
      </c>
      <c r="P10" s="173"/>
      <c r="Q10" s="173">
        <v>0.5</v>
      </c>
      <c r="R10" s="173"/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  <c r="AD10" s="173"/>
      <c r="AE10" s="173"/>
      <c r="AF10" s="173"/>
      <c r="AG10" s="173"/>
      <c r="AH10" s="173"/>
      <c r="AI10" s="173"/>
      <c r="AJ10" s="173"/>
      <c r="AK10" s="173"/>
      <c r="AL10" s="173"/>
      <c r="AM10" s="173"/>
      <c r="AN10" s="173"/>
      <c r="AO10" s="173"/>
      <c r="AP10" s="173"/>
      <c r="AQ10" s="173"/>
      <c r="AR10" s="173"/>
      <c r="AS10" s="173"/>
      <c r="AT10" s="173"/>
    </row>
    <row r="11" s="159" customFormat="1" spans="1:46">
      <c r="A11" s="159">
        <f t="shared" si="0"/>
        <v>5</v>
      </c>
      <c r="B11" s="159">
        <v>1</v>
      </c>
      <c r="C11" s="169">
        <v>1</v>
      </c>
      <c r="D11" s="170">
        <v>5</v>
      </c>
      <c r="E11" s="171">
        <v>0</v>
      </c>
      <c r="F11" s="171">
        <v>0</v>
      </c>
      <c r="G11" s="172">
        <v>1000000</v>
      </c>
      <c r="H11" s="173"/>
      <c r="I11" s="173"/>
      <c r="J11" s="173"/>
      <c r="K11" s="173">
        <v>1</v>
      </c>
      <c r="L11" s="173"/>
      <c r="M11" s="173">
        <v>1.5</v>
      </c>
      <c r="N11" s="173"/>
      <c r="O11" s="173">
        <v>1.3</v>
      </c>
      <c r="P11" s="173"/>
      <c r="Q11" s="173">
        <v>0.5</v>
      </c>
      <c r="R11" s="173"/>
      <c r="S11" s="173"/>
      <c r="T11" s="173"/>
      <c r="U11" s="171">
        <v>0.255778414517669</v>
      </c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  <c r="AT11" s="173"/>
    </row>
    <row r="12" s="159" customFormat="1" spans="1:46">
      <c r="A12" s="159">
        <f t="shared" si="0"/>
        <v>6</v>
      </c>
      <c r="B12" s="159">
        <v>2</v>
      </c>
      <c r="C12" s="169">
        <v>3</v>
      </c>
      <c r="D12" s="170">
        <v>1</v>
      </c>
      <c r="E12" s="171">
        <v>0</v>
      </c>
      <c r="F12" s="171">
        <v>0</v>
      </c>
      <c r="G12" s="174">
        <v>500000</v>
      </c>
      <c r="H12" s="173"/>
      <c r="I12" s="173"/>
      <c r="J12" s="173"/>
      <c r="K12" s="173">
        <v>1</v>
      </c>
      <c r="L12" s="173"/>
      <c r="M12" s="173">
        <v>1.5</v>
      </c>
      <c r="N12" s="173"/>
      <c r="O12" s="173">
        <v>1.3</v>
      </c>
      <c r="P12" s="173"/>
      <c r="Q12" s="173">
        <v>0.5</v>
      </c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  <c r="AO12" s="173"/>
      <c r="AP12" s="173"/>
      <c r="AQ12" s="173"/>
      <c r="AR12" s="173"/>
      <c r="AS12" s="173"/>
      <c r="AT12" s="173"/>
    </row>
    <row r="13" s="159" customFormat="1" spans="1:46">
      <c r="A13" s="159">
        <f t="shared" si="0"/>
        <v>7</v>
      </c>
      <c r="B13" s="159">
        <v>2</v>
      </c>
      <c r="C13" s="169">
        <v>3</v>
      </c>
      <c r="D13" s="170">
        <v>2</v>
      </c>
      <c r="E13" s="171">
        <v>0</v>
      </c>
      <c r="F13" s="171">
        <v>0</v>
      </c>
      <c r="G13" s="174">
        <v>1000000</v>
      </c>
      <c r="H13" s="173"/>
      <c r="I13" s="173"/>
      <c r="J13" s="173"/>
      <c r="K13" s="173">
        <v>1</v>
      </c>
      <c r="L13" s="173"/>
      <c r="M13" s="173">
        <v>1.5</v>
      </c>
      <c r="N13" s="173"/>
      <c r="O13" s="173">
        <v>1.3</v>
      </c>
      <c r="P13" s="173"/>
      <c r="Q13" s="173">
        <v>0.5</v>
      </c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  <c r="AG13" s="173"/>
      <c r="AH13" s="173"/>
      <c r="AI13" s="173"/>
      <c r="AJ13" s="173"/>
      <c r="AK13" s="173"/>
      <c r="AL13" s="173"/>
      <c r="AM13" s="173"/>
      <c r="AN13" s="173"/>
      <c r="AO13" s="173"/>
      <c r="AP13" s="173"/>
      <c r="AQ13" s="173"/>
      <c r="AR13" s="173"/>
      <c r="AS13" s="173"/>
      <c r="AT13" s="173"/>
    </row>
    <row r="14" s="159" customFormat="1" spans="1:46">
      <c r="A14" s="159">
        <f t="shared" si="0"/>
        <v>8</v>
      </c>
      <c r="B14" s="159">
        <v>2</v>
      </c>
      <c r="C14" s="169">
        <v>3</v>
      </c>
      <c r="D14" s="170">
        <v>3</v>
      </c>
      <c r="E14" s="171">
        <v>0</v>
      </c>
      <c r="F14" s="171">
        <v>0</v>
      </c>
      <c r="G14" s="174">
        <v>0</v>
      </c>
      <c r="H14" s="173"/>
      <c r="I14" s="173"/>
      <c r="J14" s="173"/>
      <c r="K14" s="173">
        <v>1</v>
      </c>
      <c r="L14" s="173"/>
      <c r="M14" s="173">
        <v>1.5</v>
      </c>
      <c r="N14" s="173"/>
      <c r="O14" s="173">
        <v>1.3</v>
      </c>
      <c r="P14" s="173"/>
      <c r="Q14" s="173">
        <v>0.5</v>
      </c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  <c r="AG14" s="173"/>
      <c r="AH14" s="173"/>
      <c r="AI14" s="173"/>
      <c r="AJ14" s="173"/>
      <c r="AK14" s="173"/>
      <c r="AL14" s="173"/>
      <c r="AM14" s="173"/>
      <c r="AN14" s="173"/>
      <c r="AO14" s="173"/>
      <c r="AP14" s="173"/>
      <c r="AQ14" s="173"/>
      <c r="AR14" s="173"/>
      <c r="AS14" s="173"/>
      <c r="AT14" s="173"/>
    </row>
    <row r="15" s="159" customFormat="1" spans="1:46">
      <c r="A15" s="159">
        <f t="shared" si="0"/>
        <v>9</v>
      </c>
      <c r="B15" s="159">
        <v>2</v>
      </c>
      <c r="C15" s="169">
        <v>3</v>
      </c>
      <c r="D15" s="170">
        <v>4</v>
      </c>
      <c r="E15" s="171">
        <v>0</v>
      </c>
      <c r="F15" s="171">
        <v>0</v>
      </c>
      <c r="G15" s="174">
        <v>-500000</v>
      </c>
      <c r="H15" s="173"/>
      <c r="I15" s="173"/>
      <c r="J15" s="173"/>
      <c r="K15" s="173">
        <v>1</v>
      </c>
      <c r="L15" s="173"/>
      <c r="M15" s="173">
        <v>1.5</v>
      </c>
      <c r="N15" s="173"/>
      <c r="O15" s="173">
        <v>1.3</v>
      </c>
      <c r="P15" s="173"/>
      <c r="Q15" s="173">
        <v>0.5</v>
      </c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  <c r="AK15" s="173"/>
      <c r="AL15" s="173"/>
      <c r="AM15" s="173"/>
      <c r="AN15" s="173"/>
      <c r="AO15" s="173"/>
      <c r="AP15" s="173"/>
      <c r="AQ15" s="173"/>
      <c r="AR15" s="173"/>
      <c r="AS15" s="173"/>
      <c r="AT15" s="173"/>
    </row>
    <row r="16" s="159" customFormat="1" spans="1:46">
      <c r="A16" s="159">
        <f t="shared" si="0"/>
        <v>10</v>
      </c>
      <c r="B16" s="159">
        <v>2</v>
      </c>
      <c r="C16" s="169">
        <v>3</v>
      </c>
      <c r="D16" s="170">
        <v>5</v>
      </c>
      <c r="E16" s="171">
        <v>0</v>
      </c>
      <c r="F16" s="171">
        <v>0</v>
      </c>
      <c r="G16" s="174">
        <v>-600000</v>
      </c>
      <c r="H16" s="173"/>
      <c r="I16" s="173"/>
      <c r="J16" s="173"/>
      <c r="K16" s="173">
        <v>1</v>
      </c>
      <c r="L16" s="173"/>
      <c r="M16" s="173">
        <v>1.5</v>
      </c>
      <c r="N16" s="173"/>
      <c r="O16" s="173">
        <v>1.3</v>
      </c>
      <c r="P16" s="173"/>
      <c r="Q16" s="173">
        <v>0.5</v>
      </c>
      <c r="R16" s="173"/>
      <c r="S16" s="173"/>
      <c r="T16" s="173"/>
      <c r="U16" s="171">
        <v>0.255778414517669</v>
      </c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73"/>
      <c r="AG16" s="173"/>
      <c r="AH16" s="173"/>
      <c r="AI16" s="173"/>
      <c r="AJ16" s="173"/>
      <c r="AK16" s="173"/>
      <c r="AL16" s="173"/>
      <c r="AM16" s="173"/>
      <c r="AN16" s="173"/>
      <c r="AO16" s="173"/>
      <c r="AP16" s="173"/>
      <c r="AQ16" s="173"/>
      <c r="AR16" s="173"/>
      <c r="AS16" s="173"/>
      <c r="AT16" s="173"/>
    </row>
    <row r="17" spans="1:7">
      <c r="A17" s="175">
        <f t="shared" ref="A17:A26" si="1">ROW()-6</f>
        <v>11</v>
      </c>
      <c r="B17" s="175">
        <v>0</v>
      </c>
      <c r="C17" s="175">
        <v>101</v>
      </c>
      <c r="D17" s="176">
        <v>1</v>
      </c>
      <c r="E17" s="175">
        <v>-16300</v>
      </c>
      <c r="F17" s="175">
        <v>-2300</v>
      </c>
      <c r="G17" s="175">
        <v>-760000</v>
      </c>
    </row>
    <row r="18" spans="1:7">
      <c r="A18" s="175">
        <f t="shared" si="1"/>
        <v>12</v>
      </c>
      <c r="B18" s="175">
        <v>0</v>
      </c>
      <c r="C18" s="175">
        <v>101</v>
      </c>
      <c r="D18" s="176">
        <v>12</v>
      </c>
      <c r="E18" s="175">
        <v>-13400</v>
      </c>
      <c r="F18" s="175">
        <v>-1900</v>
      </c>
      <c r="G18" s="175">
        <v>-710000</v>
      </c>
    </row>
    <row r="19" spans="1:7">
      <c r="A19" s="175">
        <f t="shared" si="1"/>
        <v>13</v>
      </c>
      <c r="B19" s="175">
        <v>0</v>
      </c>
      <c r="C19" s="175">
        <v>101</v>
      </c>
      <c r="D19" s="176">
        <v>30</v>
      </c>
      <c r="E19" s="175">
        <v>0</v>
      </c>
      <c r="F19" s="175">
        <v>0</v>
      </c>
      <c r="G19" s="175">
        <v>0</v>
      </c>
    </row>
    <row r="20" spans="1:7">
      <c r="A20" s="175">
        <f t="shared" si="1"/>
        <v>14</v>
      </c>
      <c r="B20" s="175">
        <v>0</v>
      </c>
      <c r="C20" s="175">
        <v>102</v>
      </c>
      <c r="D20" s="176">
        <v>1</v>
      </c>
      <c r="E20" s="175">
        <v>-12800</v>
      </c>
      <c r="F20" s="175">
        <v>-2500</v>
      </c>
      <c r="G20" s="175">
        <v>-550000</v>
      </c>
    </row>
    <row r="21" spans="1:7">
      <c r="A21" s="175">
        <f t="shared" si="1"/>
        <v>15</v>
      </c>
      <c r="B21" s="175">
        <v>0</v>
      </c>
      <c r="C21" s="175">
        <v>102</v>
      </c>
      <c r="D21" s="176">
        <v>12</v>
      </c>
      <c r="E21" s="175">
        <v>-9900</v>
      </c>
      <c r="F21" s="175">
        <v>-1900</v>
      </c>
      <c r="G21" s="175">
        <v>-500000</v>
      </c>
    </row>
    <row r="22" spans="1:7">
      <c r="A22" s="175">
        <f t="shared" si="1"/>
        <v>16</v>
      </c>
      <c r="B22" s="175">
        <v>0</v>
      </c>
      <c r="C22" s="175">
        <v>102</v>
      </c>
      <c r="D22" s="176">
        <v>30</v>
      </c>
      <c r="E22" s="175">
        <v>0</v>
      </c>
      <c r="F22" s="175">
        <v>0</v>
      </c>
      <c r="G22" s="175">
        <v>0</v>
      </c>
    </row>
    <row r="23" spans="1:7">
      <c r="A23" s="175">
        <f t="shared" si="1"/>
        <v>17</v>
      </c>
      <c r="B23" s="175">
        <v>0</v>
      </c>
      <c r="C23" s="175">
        <v>103</v>
      </c>
      <c r="D23" s="176">
        <v>1</v>
      </c>
      <c r="E23" s="175">
        <v>-20300</v>
      </c>
      <c r="F23" s="175">
        <v>-2800</v>
      </c>
      <c r="G23" s="175">
        <v>-920000</v>
      </c>
    </row>
    <row r="24" spans="1:7">
      <c r="A24" s="175">
        <f t="shared" si="1"/>
        <v>18</v>
      </c>
      <c r="B24" s="175">
        <v>0</v>
      </c>
      <c r="C24" s="175">
        <v>103</v>
      </c>
      <c r="D24" s="176">
        <v>12</v>
      </c>
      <c r="E24" s="175">
        <v>-14500</v>
      </c>
      <c r="F24" s="175">
        <v>-2000</v>
      </c>
      <c r="G24" s="175">
        <v>-820000</v>
      </c>
    </row>
    <row r="25" spans="1:7">
      <c r="A25" s="175">
        <f t="shared" si="1"/>
        <v>19</v>
      </c>
      <c r="B25" s="175">
        <v>0</v>
      </c>
      <c r="C25" s="175">
        <v>103</v>
      </c>
      <c r="D25" s="176">
        <v>30</v>
      </c>
      <c r="E25" s="175">
        <v>0</v>
      </c>
      <c r="F25" s="175">
        <v>0</v>
      </c>
      <c r="G25" s="175">
        <v>0</v>
      </c>
    </row>
    <row r="26" spans="1:7">
      <c r="A26" s="175">
        <f t="shared" si="1"/>
        <v>20</v>
      </c>
      <c r="B26" s="175">
        <v>0</v>
      </c>
      <c r="C26" s="175">
        <v>104</v>
      </c>
      <c r="D26" s="176">
        <v>1</v>
      </c>
      <c r="E26" s="175">
        <v>-17800</v>
      </c>
      <c r="F26" s="175">
        <v>-3500</v>
      </c>
      <c r="G26" s="175">
        <v>-1170000</v>
      </c>
    </row>
    <row r="27" spans="1:7">
      <c r="A27" s="175">
        <f t="shared" ref="A27:A36" si="2">ROW()-6</f>
        <v>21</v>
      </c>
      <c r="B27" s="175">
        <v>0</v>
      </c>
      <c r="C27" s="175">
        <v>104</v>
      </c>
      <c r="D27" s="176">
        <v>12</v>
      </c>
      <c r="E27" s="175">
        <v>-12000</v>
      </c>
      <c r="F27" s="175">
        <v>-2300</v>
      </c>
      <c r="G27" s="175">
        <v>-1060000</v>
      </c>
    </row>
    <row r="28" spans="1:7">
      <c r="A28" s="175">
        <f t="shared" si="2"/>
        <v>22</v>
      </c>
      <c r="B28" s="175">
        <v>0</v>
      </c>
      <c r="C28" s="175">
        <v>104</v>
      </c>
      <c r="D28" s="176">
        <v>30</v>
      </c>
      <c r="E28" s="175">
        <v>0</v>
      </c>
      <c r="F28" s="175">
        <v>0</v>
      </c>
      <c r="G28" s="175">
        <v>0</v>
      </c>
    </row>
    <row r="29" spans="1:7">
      <c r="A29" s="175">
        <f t="shared" si="2"/>
        <v>23</v>
      </c>
      <c r="B29" s="175">
        <v>0</v>
      </c>
      <c r="C29" s="175">
        <v>105</v>
      </c>
      <c r="D29" s="176">
        <v>1</v>
      </c>
      <c r="E29" s="175">
        <v>-22300</v>
      </c>
      <c r="F29" s="175">
        <v>-4300</v>
      </c>
      <c r="G29" s="175">
        <v>-1360000</v>
      </c>
    </row>
    <row r="30" spans="1:7">
      <c r="A30" s="175">
        <f t="shared" si="2"/>
        <v>24</v>
      </c>
      <c r="B30" s="175">
        <v>0</v>
      </c>
      <c r="C30" s="175">
        <v>105</v>
      </c>
      <c r="D30" s="176">
        <v>12</v>
      </c>
      <c r="E30" s="175">
        <v>-16100</v>
      </c>
      <c r="F30" s="175">
        <v>-3100</v>
      </c>
      <c r="G30" s="175">
        <v>-1220000</v>
      </c>
    </row>
    <row r="31" spans="1:7">
      <c r="A31" s="175">
        <f t="shared" si="2"/>
        <v>25</v>
      </c>
      <c r="B31" s="175">
        <v>0</v>
      </c>
      <c r="C31" s="175">
        <v>105</v>
      </c>
      <c r="D31" s="176">
        <v>30</v>
      </c>
      <c r="E31" s="175">
        <v>0</v>
      </c>
      <c r="F31" s="175">
        <v>0</v>
      </c>
      <c r="G31" s="175">
        <v>0</v>
      </c>
    </row>
    <row r="32" spans="1:7">
      <c r="A32" s="175">
        <f t="shared" si="2"/>
        <v>26</v>
      </c>
      <c r="B32" s="175">
        <v>0</v>
      </c>
      <c r="C32" s="175">
        <v>106</v>
      </c>
      <c r="D32" s="176">
        <v>1</v>
      </c>
      <c r="E32" s="175">
        <v>-27300</v>
      </c>
      <c r="F32" s="175">
        <v>-5300</v>
      </c>
      <c r="G32" s="175">
        <v>-2760000</v>
      </c>
    </row>
    <row r="33" spans="1:7">
      <c r="A33" s="175">
        <f t="shared" si="2"/>
        <v>27</v>
      </c>
      <c r="B33" s="175">
        <v>0</v>
      </c>
      <c r="C33" s="175">
        <v>106</v>
      </c>
      <c r="D33" s="176">
        <v>12</v>
      </c>
      <c r="E33" s="175">
        <v>-17300</v>
      </c>
      <c r="F33" s="175">
        <v>-3300</v>
      </c>
      <c r="G33" s="175">
        <v>-2280000</v>
      </c>
    </row>
    <row r="34" spans="1:7">
      <c r="A34" s="175">
        <f t="shared" si="2"/>
        <v>28</v>
      </c>
      <c r="B34" s="175">
        <v>0</v>
      </c>
      <c r="C34" s="175">
        <v>106</v>
      </c>
      <c r="D34" s="176">
        <v>30</v>
      </c>
      <c r="E34" s="175">
        <v>0</v>
      </c>
      <c r="F34" s="175">
        <v>0</v>
      </c>
      <c r="G34" s="175">
        <v>0</v>
      </c>
    </row>
    <row r="35" spans="1:7">
      <c r="A35" s="175">
        <f t="shared" si="2"/>
        <v>29</v>
      </c>
      <c r="B35" s="175">
        <v>0</v>
      </c>
      <c r="C35" s="175">
        <v>107</v>
      </c>
      <c r="D35" s="176">
        <v>1</v>
      </c>
      <c r="E35" s="175">
        <v>-32600</v>
      </c>
      <c r="F35" s="175">
        <v>-6200</v>
      </c>
      <c r="G35" s="175">
        <v>-4760000</v>
      </c>
    </row>
    <row r="36" spans="1:7">
      <c r="A36" s="175">
        <f t="shared" si="2"/>
        <v>30</v>
      </c>
      <c r="B36" s="175">
        <v>0</v>
      </c>
      <c r="C36" s="175">
        <v>107</v>
      </c>
      <c r="D36" s="176">
        <v>12</v>
      </c>
      <c r="E36" s="175">
        <v>-21900</v>
      </c>
      <c r="F36" s="175">
        <v>-4200</v>
      </c>
      <c r="G36" s="175">
        <v>-4250000</v>
      </c>
    </row>
    <row r="37" spans="1:7">
      <c r="A37" s="175">
        <f t="shared" ref="A37:A46" si="3">ROW()-6</f>
        <v>31</v>
      </c>
      <c r="B37" s="175">
        <v>0</v>
      </c>
      <c r="C37" s="175">
        <v>107</v>
      </c>
      <c r="D37" s="176">
        <v>30</v>
      </c>
      <c r="E37" s="175">
        <v>0</v>
      </c>
      <c r="F37" s="175">
        <v>0</v>
      </c>
      <c r="G37" s="175">
        <v>0</v>
      </c>
    </row>
    <row r="38" spans="1:7">
      <c r="A38" s="175">
        <f t="shared" si="3"/>
        <v>32</v>
      </c>
      <c r="B38" s="175">
        <v>0</v>
      </c>
      <c r="C38" s="175">
        <v>108</v>
      </c>
      <c r="D38" s="176">
        <v>1</v>
      </c>
      <c r="E38" s="175">
        <v>-29700</v>
      </c>
      <c r="F38" s="175">
        <v>-7200</v>
      </c>
      <c r="G38" s="175">
        <v>-4360000</v>
      </c>
    </row>
    <row r="39" spans="1:7">
      <c r="A39" s="175">
        <f t="shared" si="3"/>
        <v>33</v>
      </c>
      <c r="B39" s="175">
        <v>0</v>
      </c>
      <c r="C39" s="175">
        <v>108</v>
      </c>
      <c r="D39" s="176">
        <v>12</v>
      </c>
      <c r="E39" s="175">
        <v>-20800</v>
      </c>
      <c r="F39" s="175">
        <v>-5000</v>
      </c>
      <c r="G39" s="175">
        <v>-3970000</v>
      </c>
    </row>
    <row r="40" spans="1:7">
      <c r="A40" s="175">
        <f t="shared" si="3"/>
        <v>34</v>
      </c>
      <c r="B40" s="175">
        <v>0</v>
      </c>
      <c r="C40" s="175">
        <v>108</v>
      </c>
      <c r="D40" s="176">
        <v>30</v>
      </c>
      <c r="E40" s="175">
        <v>0</v>
      </c>
      <c r="F40" s="175">
        <v>0</v>
      </c>
      <c r="G40" s="175">
        <v>0</v>
      </c>
    </row>
    <row r="41" spans="1:7">
      <c r="A41" s="175">
        <f t="shared" si="3"/>
        <v>35</v>
      </c>
      <c r="B41" s="175">
        <v>0</v>
      </c>
      <c r="C41" s="175">
        <v>109</v>
      </c>
      <c r="D41" s="176">
        <v>1</v>
      </c>
      <c r="E41" s="175">
        <v>-33700</v>
      </c>
      <c r="F41" s="175">
        <v>-8100</v>
      </c>
      <c r="G41" s="175">
        <v>-6460000</v>
      </c>
    </row>
    <row r="42" spans="1:7">
      <c r="A42" s="175">
        <f t="shared" si="3"/>
        <v>36</v>
      </c>
      <c r="B42" s="175">
        <v>0</v>
      </c>
      <c r="C42" s="175">
        <v>109</v>
      </c>
      <c r="D42" s="176">
        <v>12</v>
      </c>
      <c r="E42" s="175">
        <v>-24400</v>
      </c>
      <c r="F42" s="175">
        <v>-5900</v>
      </c>
      <c r="G42" s="175">
        <v>-6040000</v>
      </c>
    </row>
    <row r="43" spans="1:7">
      <c r="A43" s="175">
        <f t="shared" si="3"/>
        <v>37</v>
      </c>
      <c r="B43" s="175">
        <v>0</v>
      </c>
      <c r="C43" s="175">
        <v>109</v>
      </c>
      <c r="D43" s="176">
        <v>30</v>
      </c>
      <c r="E43" s="175">
        <v>0</v>
      </c>
      <c r="F43" s="175">
        <v>0</v>
      </c>
      <c r="G43" s="175">
        <v>0</v>
      </c>
    </row>
    <row r="44" spans="1:7">
      <c r="A44" s="175">
        <f t="shared" si="3"/>
        <v>38</v>
      </c>
      <c r="B44" s="175">
        <v>0</v>
      </c>
      <c r="C44" s="175">
        <v>110</v>
      </c>
      <c r="D44" s="176">
        <v>1</v>
      </c>
      <c r="E44" s="175">
        <v>-33900</v>
      </c>
      <c r="F44" s="175">
        <v>-9900</v>
      </c>
      <c r="G44" s="175">
        <v>-6040000</v>
      </c>
    </row>
    <row r="45" spans="1:7">
      <c r="A45" s="175">
        <f t="shared" si="3"/>
        <v>39</v>
      </c>
      <c r="B45" s="175">
        <v>0</v>
      </c>
      <c r="C45" s="175">
        <v>110</v>
      </c>
      <c r="D45" s="176">
        <v>12</v>
      </c>
      <c r="E45" s="175">
        <v>-26100</v>
      </c>
      <c r="F45" s="175">
        <v>-7700</v>
      </c>
      <c r="G45" s="175">
        <v>-5700000</v>
      </c>
    </row>
    <row r="46" spans="1:7">
      <c r="A46" s="175">
        <f t="shared" si="3"/>
        <v>40</v>
      </c>
      <c r="B46" s="175">
        <v>0</v>
      </c>
      <c r="C46" s="175">
        <v>110</v>
      </c>
      <c r="D46" s="176">
        <v>30</v>
      </c>
      <c r="E46" s="175">
        <v>0</v>
      </c>
      <c r="F46" s="175">
        <v>0</v>
      </c>
      <c r="G46" s="175">
        <v>0</v>
      </c>
    </row>
    <row r="47" spans="1:7">
      <c r="A47" s="175">
        <f t="shared" ref="A47:A57" si="4">ROW()-6</f>
        <v>41</v>
      </c>
      <c r="B47" s="175">
        <v>0</v>
      </c>
      <c r="C47" s="175">
        <v>111</v>
      </c>
      <c r="D47" s="176">
        <v>1</v>
      </c>
      <c r="E47" s="175">
        <v>-33300</v>
      </c>
      <c r="F47" s="175">
        <v>-11000</v>
      </c>
      <c r="G47" s="175">
        <v>-24980000</v>
      </c>
    </row>
    <row r="48" spans="1:7">
      <c r="A48" s="175">
        <f t="shared" si="4"/>
        <v>42</v>
      </c>
      <c r="B48" s="175">
        <v>0</v>
      </c>
      <c r="C48" s="175">
        <v>111</v>
      </c>
      <c r="D48" s="176">
        <v>12</v>
      </c>
      <c r="E48" s="175">
        <v>-26400</v>
      </c>
      <c r="F48" s="175">
        <v>-8800</v>
      </c>
      <c r="G48" s="175">
        <v>-24420000</v>
      </c>
    </row>
    <row r="49" spans="1:7">
      <c r="A49" s="175">
        <f t="shared" si="4"/>
        <v>43</v>
      </c>
      <c r="B49" s="175">
        <v>0</v>
      </c>
      <c r="C49" s="175">
        <v>111</v>
      </c>
      <c r="D49" s="176">
        <v>30</v>
      </c>
      <c r="E49" s="175">
        <v>0</v>
      </c>
      <c r="F49" s="175">
        <v>0</v>
      </c>
      <c r="G49" s="175">
        <v>0</v>
      </c>
    </row>
    <row r="50" spans="1:7">
      <c r="A50" s="175">
        <f t="shared" si="4"/>
        <v>44</v>
      </c>
      <c r="B50" s="175">
        <v>0</v>
      </c>
      <c r="C50" s="175">
        <v>112</v>
      </c>
      <c r="D50" s="176">
        <v>1</v>
      </c>
      <c r="E50" s="175">
        <v>-35000</v>
      </c>
      <c r="F50" s="175">
        <v>-12200</v>
      </c>
      <c r="G50" s="175">
        <v>-25370000</v>
      </c>
    </row>
    <row r="51" spans="1:7">
      <c r="A51" s="175">
        <f t="shared" si="4"/>
        <v>45</v>
      </c>
      <c r="B51" s="175">
        <v>0</v>
      </c>
      <c r="C51" s="175">
        <v>112</v>
      </c>
      <c r="D51" s="176">
        <v>12</v>
      </c>
      <c r="E51" s="175">
        <v>-28500</v>
      </c>
      <c r="F51" s="175">
        <v>-10000</v>
      </c>
      <c r="G51" s="175">
        <v>-24850000</v>
      </c>
    </row>
    <row r="52" spans="1:7">
      <c r="A52" s="175">
        <f t="shared" si="4"/>
        <v>46</v>
      </c>
      <c r="B52" s="175">
        <v>0</v>
      </c>
      <c r="C52" s="175">
        <v>112</v>
      </c>
      <c r="D52" s="176">
        <v>30</v>
      </c>
      <c r="E52" s="175">
        <v>0</v>
      </c>
      <c r="F52" s="175">
        <v>0</v>
      </c>
      <c r="G52" s="175">
        <v>0</v>
      </c>
    </row>
    <row r="53" spans="1:7">
      <c r="A53" s="175">
        <f t="shared" si="4"/>
        <v>47</v>
      </c>
      <c r="B53" s="175">
        <v>0</v>
      </c>
      <c r="C53" s="175">
        <v>113</v>
      </c>
      <c r="D53" s="176">
        <v>1</v>
      </c>
      <c r="E53" s="175">
        <v>-177600</v>
      </c>
      <c r="F53" s="175">
        <v>-13600</v>
      </c>
      <c r="G53" s="175">
        <v>-181150000</v>
      </c>
    </row>
    <row r="54" spans="1:7">
      <c r="A54" s="175">
        <f t="shared" si="4"/>
        <v>48</v>
      </c>
      <c r="B54" s="175">
        <v>0</v>
      </c>
      <c r="C54" s="175">
        <v>113</v>
      </c>
      <c r="D54" s="176">
        <v>12</v>
      </c>
      <c r="E54" s="175">
        <v>-147400</v>
      </c>
      <c r="F54" s="175">
        <v>-11400</v>
      </c>
      <c r="G54" s="175">
        <v>-177770000</v>
      </c>
    </row>
    <row r="55" spans="1:7">
      <c r="A55" s="175">
        <f t="shared" si="4"/>
        <v>49</v>
      </c>
      <c r="B55" s="175">
        <v>0</v>
      </c>
      <c r="C55" s="175">
        <v>113</v>
      </c>
      <c r="D55" s="176">
        <v>30</v>
      </c>
      <c r="E55" s="175">
        <v>0</v>
      </c>
      <c r="F55" s="175">
        <v>0</v>
      </c>
      <c r="G55" s="175">
        <v>0</v>
      </c>
    </row>
    <row r="56" spans="1:7">
      <c r="A56" s="177">
        <f t="shared" si="4"/>
        <v>50</v>
      </c>
      <c r="B56" s="175">
        <v>0</v>
      </c>
      <c r="C56">
        <v>100</v>
      </c>
      <c r="D56" s="160">
        <v>1</v>
      </c>
      <c r="E56">
        <v>-7900</v>
      </c>
      <c r="F56">
        <v>-2300</v>
      </c>
      <c r="G56">
        <v>-300000</v>
      </c>
    </row>
    <row r="57" spans="1:7">
      <c r="A57" s="177">
        <f t="shared" si="4"/>
        <v>51</v>
      </c>
      <c r="B57" s="175">
        <v>0</v>
      </c>
      <c r="C57">
        <v>100</v>
      </c>
      <c r="D57" s="160">
        <v>12</v>
      </c>
      <c r="E57">
        <v>-6500</v>
      </c>
      <c r="F57">
        <v>-1900</v>
      </c>
      <c r="G57">
        <v>-280000</v>
      </c>
    </row>
    <row r="58" spans="1:7">
      <c r="A58" s="177">
        <f t="shared" ref="A58:A67" si="5">ROW()-6</f>
        <v>52</v>
      </c>
      <c r="B58" s="175">
        <v>0</v>
      </c>
      <c r="C58">
        <v>100</v>
      </c>
      <c r="D58" s="160">
        <v>30</v>
      </c>
      <c r="E58">
        <v>0</v>
      </c>
      <c r="F58">
        <v>0</v>
      </c>
      <c r="G58">
        <v>0</v>
      </c>
    </row>
    <row r="59" spans="1:7">
      <c r="A59" s="177">
        <f t="shared" si="5"/>
        <v>53</v>
      </c>
      <c r="B59" s="175">
        <v>0</v>
      </c>
      <c r="C59">
        <v>110</v>
      </c>
      <c r="D59" s="160">
        <v>1</v>
      </c>
      <c r="E59">
        <v>-10200</v>
      </c>
      <c r="F59">
        <v>-2500</v>
      </c>
      <c r="G59">
        <v>-410000</v>
      </c>
    </row>
    <row r="60" spans="1:7">
      <c r="A60" s="177">
        <f t="shared" si="5"/>
        <v>54</v>
      </c>
      <c r="B60" s="175">
        <v>0</v>
      </c>
      <c r="C60">
        <v>110</v>
      </c>
      <c r="D60" s="160">
        <v>12</v>
      </c>
      <c r="E60">
        <v>-7900</v>
      </c>
      <c r="F60">
        <v>-1900</v>
      </c>
      <c r="G60">
        <v>-380000</v>
      </c>
    </row>
    <row r="61" spans="1:7">
      <c r="A61" s="177">
        <f t="shared" si="5"/>
        <v>55</v>
      </c>
      <c r="B61" s="175">
        <v>0</v>
      </c>
      <c r="C61">
        <v>110</v>
      </c>
      <c r="D61" s="160">
        <v>30</v>
      </c>
      <c r="E61">
        <v>0</v>
      </c>
      <c r="F61">
        <v>0</v>
      </c>
      <c r="G61">
        <v>0</v>
      </c>
    </row>
    <row r="62" spans="1:7">
      <c r="A62" s="177">
        <f t="shared" si="5"/>
        <v>56</v>
      </c>
      <c r="B62" s="175">
        <v>0</v>
      </c>
      <c r="C62">
        <v>120</v>
      </c>
      <c r="D62" s="160">
        <v>1</v>
      </c>
      <c r="E62">
        <v>-9800</v>
      </c>
      <c r="F62">
        <v>-2800</v>
      </c>
      <c r="G62">
        <v>-360000</v>
      </c>
    </row>
    <row r="63" spans="1:7">
      <c r="A63" s="177">
        <f t="shared" si="5"/>
        <v>57</v>
      </c>
      <c r="B63" s="175">
        <v>0</v>
      </c>
      <c r="C63">
        <v>120</v>
      </c>
      <c r="D63" s="160">
        <v>12</v>
      </c>
      <c r="E63">
        <v>-7000</v>
      </c>
      <c r="F63">
        <v>-2000</v>
      </c>
      <c r="G63">
        <v>-320000</v>
      </c>
    </row>
    <row r="64" spans="1:7">
      <c r="A64" s="177">
        <f t="shared" si="5"/>
        <v>58</v>
      </c>
      <c r="B64" s="175">
        <v>0</v>
      </c>
      <c r="C64">
        <v>120</v>
      </c>
      <c r="D64" s="160">
        <v>30</v>
      </c>
      <c r="E64">
        <v>0</v>
      </c>
      <c r="F64">
        <v>0</v>
      </c>
      <c r="G64">
        <v>0</v>
      </c>
    </row>
    <row r="65" spans="1:7">
      <c r="A65" s="177">
        <f t="shared" si="5"/>
        <v>59</v>
      </c>
      <c r="B65" s="175">
        <v>0</v>
      </c>
      <c r="C65">
        <v>130</v>
      </c>
      <c r="D65" s="160">
        <v>1</v>
      </c>
      <c r="E65">
        <v>-14200</v>
      </c>
      <c r="F65">
        <v>-3500</v>
      </c>
      <c r="G65">
        <v>-880000</v>
      </c>
    </row>
    <row r="66" spans="1:7">
      <c r="A66" s="177">
        <f t="shared" si="5"/>
        <v>60</v>
      </c>
      <c r="B66" s="175">
        <v>0</v>
      </c>
      <c r="C66">
        <v>130</v>
      </c>
      <c r="D66" s="160">
        <v>12</v>
      </c>
      <c r="E66">
        <v>-9600</v>
      </c>
      <c r="F66">
        <v>-2300</v>
      </c>
      <c r="G66">
        <v>-800000</v>
      </c>
    </row>
    <row r="67" spans="1:7">
      <c r="A67" s="177">
        <f t="shared" si="5"/>
        <v>61</v>
      </c>
      <c r="B67" s="175">
        <v>0</v>
      </c>
      <c r="C67">
        <v>130</v>
      </c>
      <c r="D67" s="160">
        <v>30</v>
      </c>
      <c r="E67">
        <v>0</v>
      </c>
      <c r="F67">
        <v>0</v>
      </c>
      <c r="G67">
        <v>0</v>
      </c>
    </row>
    <row r="68" spans="1:7">
      <c r="A68" s="177">
        <f t="shared" ref="A68:A76" si="6">ROW()-6</f>
        <v>62</v>
      </c>
      <c r="B68" s="175">
        <v>0</v>
      </c>
      <c r="C68">
        <v>140</v>
      </c>
      <c r="D68" s="160">
        <v>1</v>
      </c>
      <c r="E68">
        <v>-17900</v>
      </c>
      <c r="F68">
        <v>-4300</v>
      </c>
      <c r="G68">
        <v>-1020000</v>
      </c>
    </row>
    <row r="69" spans="1:7">
      <c r="A69" s="177">
        <f t="shared" si="6"/>
        <v>63</v>
      </c>
      <c r="B69" s="175">
        <v>0</v>
      </c>
      <c r="C69">
        <v>140</v>
      </c>
      <c r="D69" s="160">
        <v>12</v>
      </c>
      <c r="E69">
        <v>-12900</v>
      </c>
      <c r="F69">
        <v>-3100</v>
      </c>
      <c r="G69">
        <v>-920000</v>
      </c>
    </row>
    <row r="70" spans="1:7">
      <c r="A70" s="177">
        <f t="shared" si="6"/>
        <v>64</v>
      </c>
      <c r="B70" s="175">
        <v>0</v>
      </c>
      <c r="C70">
        <v>140</v>
      </c>
      <c r="D70" s="160">
        <v>30</v>
      </c>
      <c r="E70">
        <v>0</v>
      </c>
      <c r="F70">
        <v>0</v>
      </c>
      <c r="G70">
        <v>0</v>
      </c>
    </row>
    <row r="71" spans="1:7">
      <c r="A71" s="177">
        <f t="shared" si="6"/>
        <v>65</v>
      </c>
      <c r="B71" s="175">
        <v>0</v>
      </c>
      <c r="C71">
        <v>150</v>
      </c>
      <c r="D71" s="160">
        <v>1</v>
      </c>
      <c r="E71">
        <v>-18500</v>
      </c>
      <c r="F71">
        <v>-5300</v>
      </c>
      <c r="G71">
        <v>-1650000</v>
      </c>
    </row>
    <row r="72" spans="1:7">
      <c r="A72" s="177">
        <f t="shared" si="6"/>
        <v>66</v>
      </c>
      <c r="B72" s="175">
        <v>0</v>
      </c>
      <c r="C72">
        <v>150</v>
      </c>
      <c r="D72" s="160">
        <v>12</v>
      </c>
      <c r="E72">
        <v>-11700</v>
      </c>
      <c r="F72">
        <v>-3300</v>
      </c>
      <c r="G72">
        <v>-1370000</v>
      </c>
    </row>
    <row r="73" spans="1:7">
      <c r="A73" s="177">
        <f t="shared" si="6"/>
        <v>67</v>
      </c>
      <c r="B73" s="175">
        <v>0</v>
      </c>
      <c r="C73">
        <v>150</v>
      </c>
      <c r="D73" s="160">
        <v>30</v>
      </c>
      <c r="E73">
        <v>0</v>
      </c>
      <c r="F73">
        <v>0</v>
      </c>
      <c r="G73">
        <v>0</v>
      </c>
    </row>
    <row r="74" spans="1:7">
      <c r="A74" s="177">
        <f t="shared" si="6"/>
        <v>68</v>
      </c>
      <c r="B74" s="175">
        <v>0</v>
      </c>
      <c r="C74">
        <v>160</v>
      </c>
      <c r="D74" s="160">
        <v>1</v>
      </c>
      <c r="E74">
        <v>-26000</v>
      </c>
      <c r="F74">
        <v>-6200</v>
      </c>
      <c r="G74">
        <v>-3570000</v>
      </c>
    </row>
    <row r="75" spans="1:7">
      <c r="A75" s="177">
        <f t="shared" si="6"/>
        <v>69</v>
      </c>
      <c r="B75" s="175">
        <v>0</v>
      </c>
      <c r="C75">
        <v>160</v>
      </c>
      <c r="D75" s="160">
        <v>12</v>
      </c>
      <c r="E75">
        <v>-17400</v>
      </c>
      <c r="F75">
        <v>-4200</v>
      </c>
      <c r="G75">
        <v>-3180000</v>
      </c>
    </row>
    <row r="76" spans="1:7">
      <c r="A76" s="177">
        <f t="shared" si="6"/>
        <v>70</v>
      </c>
      <c r="B76" s="175">
        <v>0</v>
      </c>
      <c r="C76">
        <v>160</v>
      </c>
      <c r="D76" s="160">
        <v>30</v>
      </c>
      <c r="E76">
        <v>0</v>
      </c>
      <c r="F76">
        <v>0</v>
      </c>
      <c r="G76">
        <v>0</v>
      </c>
    </row>
    <row r="77" spans="1:7">
      <c r="A77" s="177">
        <f t="shared" ref="A77:A86" si="7">ROW()-6</f>
        <v>71</v>
      </c>
      <c r="B77" s="175">
        <v>0</v>
      </c>
      <c r="C77">
        <v>170</v>
      </c>
      <c r="D77" s="160">
        <v>1</v>
      </c>
      <c r="E77">
        <v>-25200</v>
      </c>
      <c r="F77">
        <v>-7200</v>
      </c>
      <c r="G77">
        <v>-3490000</v>
      </c>
    </row>
    <row r="78" spans="1:7">
      <c r="A78" s="177">
        <f t="shared" si="7"/>
        <v>72</v>
      </c>
      <c r="B78" s="175">
        <v>0</v>
      </c>
      <c r="C78">
        <v>170</v>
      </c>
      <c r="D78" s="160">
        <v>12</v>
      </c>
      <c r="E78">
        <v>-17600</v>
      </c>
      <c r="F78">
        <v>-5000</v>
      </c>
      <c r="G78">
        <v>-3170000</v>
      </c>
    </row>
    <row r="79" spans="1:7">
      <c r="A79" s="177">
        <f t="shared" si="7"/>
        <v>73</v>
      </c>
      <c r="B79" s="175">
        <v>0</v>
      </c>
      <c r="C79">
        <v>170</v>
      </c>
      <c r="D79" s="160">
        <v>30</v>
      </c>
      <c r="E79">
        <v>0</v>
      </c>
      <c r="F79">
        <v>0</v>
      </c>
      <c r="G79">
        <v>0</v>
      </c>
    </row>
    <row r="80" spans="1:7">
      <c r="A80" s="177">
        <f t="shared" si="7"/>
        <v>74</v>
      </c>
      <c r="B80" s="175">
        <v>0</v>
      </c>
      <c r="C80">
        <v>180</v>
      </c>
      <c r="D80" s="160">
        <v>1</v>
      </c>
      <c r="E80">
        <v>-33700</v>
      </c>
      <c r="F80">
        <v>-8100</v>
      </c>
      <c r="G80">
        <v>-6460000</v>
      </c>
    </row>
    <row r="81" spans="1:7">
      <c r="A81" s="177">
        <f t="shared" si="7"/>
        <v>75</v>
      </c>
      <c r="B81" s="175">
        <v>0</v>
      </c>
      <c r="C81">
        <v>180</v>
      </c>
      <c r="D81" s="160">
        <v>12</v>
      </c>
      <c r="E81">
        <v>-24400</v>
      </c>
      <c r="F81">
        <v>-5900</v>
      </c>
      <c r="G81">
        <v>-6040000</v>
      </c>
    </row>
    <row r="82" spans="1:7">
      <c r="A82" s="177">
        <f t="shared" si="7"/>
        <v>76</v>
      </c>
      <c r="B82" s="175">
        <v>0</v>
      </c>
      <c r="C82">
        <v>180</v>
      </c>
      <c r="D82" s="160">
        <v>30</v>
      </c>
      <c r="E82">
        <v>0</v>
      </c>
      <c r="F82">
        <v>0</v>
      </c>
      <c r="G82">
        <v>0</v>
      </c>
    </row>
    <row r="83" spans="1:7">
      <c r="A83" s="177">
        <f t="shared" si="7"/>
        <v>77</v>
      </c>
      <c r="B83" s="175">
        <v>0</v>
      </c>
      <c r="C83">
        <v>190</v>
      </c>
      <c r="D83" s="160">
        <v>1</v>
      </c>
      <c r="E83">
        <v>-33900</v>
      </c>
      <c r="F83">
        <v>-9900</v>
      </c>
      <c r="G83">
        <v>-6040000</v>
      </c>
    </row>
    <row r="84" spans="1:7">
      <c r="A84" s="177">
        <f t="shared" si="7"/>
        <v>78</v>
      </c>
      <c r="B84" s="175">
        <v>0</v>
      </c>
      <c r="C84">
        <v>190</v>
      </c>
      <c r="D84" s="160">
        <v>12</v>
      </c>
      <c r="E84">
        <v>-26100</v>
      </c>
      <c r="F84">
        <v>-7700</v>
      </c>
      <c r="G84">
        <v>-5700000</v>
      </c>
    </row>
    <row r="85" spans="1:7">
      <c r="A85" s="177">
        <f t="shared" si="7"/>
        <v>79</v>
      </c>
      <c r="B85" s="175">
        <v>0</v>
      </c>
      <c r="C85">
        <v>190</v>
      </c>
      <c r="D85" s="160">
        <v>30</v>
      </c>
      <c r="E85">
        <v>0</v>
      </c>
      <c r="F85">
        <v>0</v>
      </c>
      <c r="G85">
        <v>0</v>
      </c>
    </row>
    <row r="86" spans="1:7">
      <c r="A86" s="177">
        <f t="shared" si="7"/>
        <v>80</v>
      </c>
      <c r="B86" s="175">
        <v>0</v>
      </c>
      <c r="C86">
        <v>200</v>
      </c>
      <c r="D86" s="160">
        <v>1</v>
      </c>
      <c r="E86">
        <v>-55400</v>
      </c>
      <c r="F86">
        <v>-11000</v>
      </c>
      <c r="G86">
        <v>-49950000</v>
      </c>
    </row>
    <row r="87" spans="1:7">
      <c r="A87" s="177">
        <f t="shared" ref="A87:A96" si="8">ROW()-6</f>
        <v>81</v>
      </c>
      <c r="B87" s="175">
        <v>0</v>
      </c>
      <c r="C87">
        <v>200</v>
      </c>
      <c r="D87" s="160">
        <v>12</v>
      </c>
      <c r="E87">
        <v>-43900</v>
      </c>
      <c r="F87">
        <v>-8800</v>
      </c>
      <c r="G87">
        <v>-48830000</v>
      </c>
    </row>
    <row r="88" spans="1:7">
      <c r="A88" s="177">
        <f t="shared" si="8"/>
        <v>82</v>
      </c>
      <c r="B88" s="175">
        <v>0</v>
      </c>
      <c r="C88">
        <v>200</v>
      </c>
      <c r="D88" s="160">
        <v>30</v>
      </c>
      <c r="E88">
        <v>0</v>
      </c>
      <c r="F88">
        <v>0</v>
      </c>
      <c r="G88">
        <v>0</v>
      </c>
    </row>
    <row r="89" spans="1:7">
      <c r="A89" s="177">
        <f t="shared" si="8"/>
        <v>83</v>
      </c>
      <c r="B89" s="175">
        <v>0</v>
      </c>
      <c r="C89">
        <v>210</v>
      </c>
      <c r="D89" s="160">
        <v>1</v>
      </c>
      <c r="E89">
        <v>-55400</v>
      </c>
      <c r="F89">
        <v>-11000</v>
      </c>
      <c r="G89">
        <v>-49950000</v>
      </c>
    </row>
    <row r="90" spans="1:7">
      <c r="A90" s="177">
        <f t="shared" si="8"/>
        <v>84</v>
      </c>
      <c r="B90" s="175">
        <v>0</v>
      </c>
      <c r="C90">
        <v>210</v>
      </c>
      <c r="D90" s="160">
        <v>12</v>
      </c>
      <c r="E90">
        <v>-43900</v>
      </c>
      <c r="F90">
        <v>-8800</v>
      </c>
      <c r="G90">
        <v>-48830000</v>
      </c>
    </row>
    <row r="91" spans="1:7">
      <c r="A91" s="177">
        <f t="shared" si="8"/>
        <v>85</v>
      </c>
      <c r="B91" s="175">
        <v>0</v>
      </c>
      <c r="C91">
        <v>210</v>
      </c>
      <c r="D91" s="160">
        <v>30</v>
      </c>
      <c r="E91">
        <v>0</v>
      </c>
      <c r="F91">
        <v>0</v>
      </c>
      <c r="G91">
        <v>0</v>
      </c>
    </row>
    <row r="92" spans="1:7">
      <c r="A92" s="177">
        <f t="shared" si="8"/>
        <v>86</v>
      </c>
      <c r="B92" s="175">
        <v>0</v>
      </c>
      <c r="C92">
        <v>220</v>
      </c>
      <c r="D92" s="160">
        <v>1</v>
      </c>
      <c r="E92">
        <v>-44300</v>
      </c>
      <c r="F92">
        <v>-11000</v>
      </c>
      <c r="G92">
        <v>-37470000</v>
      </c>
    </row>
    <row r="93" spans="1:7">
      <c r="A93" s="177">
        <f t="shared" si="8"/>
        <v>87</v>
      </c>
      <c r="B93" s="175">
        <v>0</v>
      </c>
      <c r="C93">
        <v>220</v>
      </c>
      <c r="D93" s="160">
        <v>12</v>
      </c>
      <c r="E93">
        <v>-35100</v>
      </c>
      <c r="F93">
        <v>-8800</v>
      </c>
      <c r="G93">
        <v>-36620000</v>
      </c>
    </row>
    <row r="94" spans="1:7">
      <c r="A94" s="177">
        <f t="shared" si="8"/>
        <v>88</v>
      </c>
      <c r="B94" s="175">
        <v>0</v>
      </c>
      <c r="C94">
        <v>220</v>
      </c>
      <c r="D94" s="160">
        <v>30</v>
      </c>
      <c r="E94">
        <v>0</v>
      </c>
      <c r="F94">
        <v>0</v>
      </c>
      <c r="G94">
        <v>0</v>
      </c>
    </row>
    <row r="95" spans="1:7">
      <c r="A95" s="177">
        <f t="shared" si="8"/>
        <v>89</v>
      </c>
      <c r="B95" s="175">
        <v>0</v>
      </c>
      <c r="C95">
        <v>230</v>
      </c>
      <c r="D95" s="160">
        <v>1</v>
      </c>
      <c r="E95">
        <v>-37600</v>
      </c>
      <c r="F95">
        <v>-11000</v>
      </c>
      <c r="G95">
        <v>-29980000</v>
      </c>
    </row>
    <row r="96" spans="1:7">
      <c r="A96" s="177">
        <f t="shared" si="8"/>
        <v>90</v>
      </c>
      <c r="B96" s="175">
        <v>0</v>
      </c>
      <c r="C96">
        <v>230</v>
      </c>
      <c r="D96" s="160">
        <v>12</v>
      </c>
      <c r="E96">
        <v>-29800</v>
      </c>
      <c r="F96">
        <v>-8800</v>
      </c>
      <c r="G96">
        <v>-29300000</v>
      </c>
    </row>
    <row r="97" spans="1:7">
      <c r="A97" s="177">
        <f t="shared" ref="A97:A105" si="9">ROW()-6</f>
        <v>91</v>
      </c>
      <c r="B97" s="175">
        <v>0</v>
      </c>
      <c r="C97">
        <v>230</v>
      </c>
      <c r="D97" s="160">
        <v>30</v>
      </c>
      <c r="E97">
        <v>0</v>
      </c>
      <c r="F97">
        <v>0</v>
      </c>
      <c r="G97">
        <v>0</v>
      </c>
    </row>
    <row r="98" spans="1:7">
      <c r="A98" s="177">
        <f t="shared" si="9"/>
        <v>92</v>
      </c>
      <c r="B98" s="175">
        <v>0</v>
      </c>
      <c r="C98">
        <v>300</v>
      </c>
      <c r="D98" s="160">
        <v>1</v>
      </c>
      <c r="E98">
        <v>-49300</v>
      </c>
      <c r="F98">
        <v>-12200</v>
      </c>
      <c r="G98">
        <v>-41240000</v>
      </c>
    </row>
    <row r="99" spans="1:7">
      <c r="A99" s="177">
        <f t="shared" si="9"/>
        <v>93</v>
      </c>
      <c r="B99" s="175">
        <v>0</v>
      </c>
      <c r="C99">
        <v>300</v>
      </c>
      <c r="D99" s="160">
        <v>12</v>
      </c>
      <c r="E99">
        <v>-40100</v>
      </c>
      <c r="F99">
        <v>-10000</v>
      </c>
      <c r="G99">
        <v>-40390000</v>
      </c>
    </row>
    <row r="100" spans="1:7">
      <c r="A100" s="177">
        <f t="shared" si="9"/>
        <v>94</v>
      </c>
      <c r="B100" s="175">
        <v>0</v>
      </c>
      <c r="C100">
        <v>300</v>
      </c>
      <c r="D100" s="160">
        <v>30</v>
      </c>
      <c r="E100">
        <v>0</v>
      </c>
      <c r="F100">
        <v>0</v>
      </c>
      <c r="G100">
        <v>0</v>
      </c>
    </row>
    <row r="101" spans="1:7">
      <c r="A101" s="177">
        <f t="shared" si="9"/>
        <v>95</v>
      </c>
      <c r="B101" s="175">
        <v>0</v>
      </c>
      <c r="C101">
        <v>310</v>
      </c>
      <c r="D101" s="160">
        <v>1</v>
      </c>
      <c r="E101">
        <v>-49300</v>
      </c>
      <c r="F101">
        <v>-12200</v>
      </c>
      <c r="G101">
        <v>-41240000</v>
      </c>
    </row>
    <row r="102" spans="1:7">
      <c r="A102" s="177">
        <f t="shared" si="9"/>
        <v>96</v>
      </c>
      <c r="B102" s="175">
        <v>0</v>
      </c>
      <c r="C102">
        <v>310</v>
      </c>
      <c r="D102" s="160">
        <v>12</v>
      </c>
      <c r="E102">
        <v>-40100</v>
      </c>
      <c r="F102">
        <v>-10000</v>
      </c>
      <c r="G102">
        <v>-40390000</v>
      </c>
    </row>
    <row r="103" spans="1:7">
      <c r="A103" s="177">
        <f t="shared" si="9"/>
        <v>97</v>
      </c>
      <c r="B103" s="175">
        <v>0</v>
      </c>
      <c r="C103">
        <v>310</v>
      </c>
      <c r="D103" s="160">
        <v>30</v>
      </c>
      <c r="E103">
        <v>0</v>
      </c>
      <c r="F103">
        <v>0</v>
      </c>
      <c r="G103">
        <v>0</v>
      </c>
    </row>
    <row r="104" spans="1:7">
      <c r="A104" s="177">
        <f t="shared" si="9"/>
        <v>98</v>
      </c>
      <c r="B104" s="175">
        <v>0</v>
      </c>
      <c r="C104">
        <v>320</v>
      </c>
      <c r="D104" s="160">
        <v>1</v>
      </c>
      <c r="E104">
        <v>-86200</v>
      </c>
      <c r="F104">
        <v>-12200</v>
      </c>
      <c r="G104">
        <v>-82470000</v>
      </c>
    </row>
    <row r="105" spans="1:7">
      <c r="A105" s="177">
        <f t="shared" si="9"/>
        <v>99</v>
      </c>
      <c r="B105" s="175">
        <v>0</v>
      </c>
      <c r="C105">
        <v>320</v>
      </c>
      <c r="D105" s="160">
        <v>12</v>
      </c>
      <c r="E105">
        <v>-70000</v>
      </c>
      <c r="F105">
        <v>-10000</v>
      </c>
      <c r="G105">
        <v>-80780000</v>
      </c>
    </row>
    <row r="106" spans="1:7">
      <c r="A106" s="177">
        <f t="shared" ref="A106:A115" si="10">ROW()-6</f>
        <v>100</v>
      </c>
      <c r="B106" s="175">
        <v>0</v>
      </c>
      <c r="C106">
        <v>320</v>
      </c>
      <c r="D106" s="160">
        <v>30</v>
      </c>
      <c r="E106">
        <v>0</v>
      </c>
      <c r="F106">
        <v>0</v>
      </c>
      <c r="G106">
        <v>0</v>
      </c>
    </row>
    <row r="107" spans="1:7">
      <c r="A107" s="177">
        <f t="shared" si="10"/>
        <v>101</v>
      </c>
      <c r="B107" s="175">
        <v>0</v>
      </c>
      <c r="C107">
        <v>330</v>
      </c>
      <c r="D107" s="160">
        <v>1</v>
      </c>
      <c r="E107">
        <v>-86200</v>
      </c>
      <c r="F107">
        <v>-12200</v>
      </c>
      <c r="G107">
        <v>-82470000</v>
      </c>
    </row>
    <row r="108" spans="1:7">
      <c r="A108" s="177">
        <f t="shared" si="10"/>
        <v>102</v>
      </c>
      <c r="B108" s="175">
        <v>0</v>
      </c>
      <c r="C108">
        <v>330</v>
      </c>
      <c r="D108" s="160">
        <v>12</v>
      </c>
      <c r="E108">
        <v>-70000</v>
      </c>
      <c r="F108">
        <v>-10000</v>
      </c>
      <c r="G108">
        <v>-80780000</v>
      </c>
    </row>
    <row r="109" spans="1:7">
      <c r="A109" s="177">
        <f t="shared" si="10"/>
        <v>103</v>
      </c>
      <c r="B109" s="175">
        <v>0</v>
      </c>
      <c r="C109">
        <v>330</v>
      </c>
      <c r="D109" s="160">
        <v>30</v>
      </c>
      <c r="E109">
        <v>0</v>
      </c>
      <c r="F109">
        <v>0</v>
      </c>
      <c r="G109">
        <v>0</v>
      </c>
    </row>
    <row r="110" spans="1:7">
      <c r="A110" s="177">
        <f t="shared" si="10"/>
        <v>104</v>
      </c>
      <c r="B110" s="175">
        <v>0</v>
      </c>
      <c r="C110">
        <v>340</v>
      </c>
      <c r="D110" s="160">
        <v>1</v>
      </c>
      <c r="E110">
        <v>-54500</v>
      </c>
      <c r="F110">
        <v>-12200</v>
      </c>
      <c r="G110">
        <v>-47120000</v>
      </c>
    </row>
    <row r="111" spans="1:7">
      <c r="A111" s="177">
        <f t="shared" si="10"/>
        <v>105</v>
      </c>
      <c r="B111" s="175">
        <v>0</v>
      </c>
      <c r="C111">
        <v>340</v>
      </c>
      <c r="D111" s="160">
        <v>12</v>
      </c>
      <c r="E111">
        <v>-44300</v>
      </c>
      <c r="F111">
        <v>-10000</v>
      </c>
      <c r="G111">
        <v>-46160000</v>
      </c>
    </row>
    <row r="112" spans="1:7">
      <c r="A112" s="177">
        <f t="shared" si="10"/>
        <v>106</v>
      </c>
      <c r="B112" s="175">
        <v>0</v>
      </c>
      <c r="C112">
        <v>340</v>
      </c>
      <c r="D112" s="160">
        <v>30</v>
      </c>
      <c r="E112">
        <v>0</v>
      </c>
      <c r="F112">
        <v>0</v>
      </c>
      <c r="G112">
        <v>0</v>
      </c>
    </row>
    <row r="113" spans="1:7">
      <c r="A113" s="177">
        <f t="shared" si="10"/>
        <v>107</v>
      </c>
      <c r="B113" s="175">
        <v>0</v>
      </c>
      <c r="C113">
        <v>400</v>
      </c>
      <c r="D113" s="160">
        <v>1</v>
      </c>
      <c r="E113">
        <v>-46400</v>
      </c>
      <c r="F113">
        <v>-13600</v>
      </c>
      <c r="G113">
        <v>-36230000</v>
      </c>
    </row>
    <row r="114" spans="1:7">
      <c r="A114" s="177">
        <f t="shared" si="10"/>
        <v>108</v>
      </c>
      <c r="B114" s="175">
        <v>0</v>
      </c>
      <c r="C114">
        <v>400</v>
      </c>
      <c r="D114" s="160">
        <v>12</v>
      </c>
      <c r="E114">
        <v>-38600</v>
      </c>
      <c r="F114">
        <v>-11400</v>
      </c>
      <c r="G114">
        <v>-35550000</v>
      </c>
    </row>
    <row r="115" spans="1:7">
      <c r="A115" s="177">
        <f t="shared" si="10"/>
        <v>109</v>
      </c>
      <c r="B115" s="175">
        <v>0</v>
      </c>
      <c r="C115">
        <v>400</v>
      </c>
      <c r="D115" s="160">
        <v>30</v>
      </c>
      <c r="E115">
        <v>0</v>
      </c>
      <c r="F115">
        <v>0</v>
      </c>
      <c r="G115">
        <v>0</v>
      </c>
    </row>
    <row r="116" spans="1:7">
      <c r="A116" s="177">
        <f t="shared" ref="A116:A125" si="11">ROW()-6</f>
        <v>110</v>
      </c>
      <c r="B116" s="175">
        <v>0</v>
      </c>
      <c r="C116">
        <v>410</v>
      </c>
      <c r="D116" s="160">
        <v>1</v>
      </c>
      <c r="E116">
        <v>-46400</v>
      </c>
      <c r="F116">
        <v>-13600</v>
      </c>
      <c r="G116">
        <v>-36230000</v>
      </c>
    </row>
    <row r="117" spans="1:7">
      <c r="A117" s="177">
        <f t="shared" si="11"/>
        <v>111</v>
      </c>
      <c r="B117" s="175">
        <v>0</v>
      </c>
      <c r="C117">
        <v>410</v>
      </c>
      <c r="D117" s="160">
        <v>12</v>
      </c>
      <c r="E117">
        <v>-38600</v>
      </c>
      <c r="F117">
        <v>-11400</v>
      </c>
      <c r="G117">
        <v>-35550000</v>
      </c>
    </row>
    <row r="118" spans="1:7">
      <c r="A118" s="177">
        <f t="shared" si="11"/>
        <v>112</v>
      </c>
      <c r="B118" s="175">
        <v>0</v>
      </c>
      <c r="C118">
        <v>410</v>
      </c>
      <c r="D118" s="160">
        <v>30</v>
      </c>
      <c r="E118">
        <v>0</v>
      </c>
      <c r="F118">
        <v>0</v>
      </c>
      <c r="G118">
        <v>0</v>
      </c>
    </row>
    <row r="119" spans="1:7">
      <c r="A119" s="177">
        <f t="shared" si="11"/>
        <v>113</v>
      </c>
      <c r="B119" s="175">
        <v>0</v>
      </c>
      <c r="C119">
        <v>420</v>
      </c>
      <c r="D119" s="160">
        <v>1</v>
      </c>
      <c r="E119">
        <v>-68300</v>
      </c>
      <c r="F119">
        <v>-13600</v>
      </c>
      <c r="G119">
        <v>-60380000</v>
      </c>
    </row>
    <row r="120" spans="1:7">
      <c r="A120" s="177">
        <f t="shared" si="11"/>
        <v>114</v>
      </c>
      <c r="B120" s="175">
        <v>0</v>
      </c>
      <c r="C120">
        <v>420</v>
      </c>
      <c r="D120" s="160">
        <v>12</v>
      </c>
      <c r="E120">
        <v>-56800</v>
      </c>
      <c r="F120">
        <v>-11400</v>
      </c>
      <c r="G120">
        <v>-59260000</v>
      </c>
    </row>
    <row r="121" spans="1:7">
      <c r="A121" s="177">
        <f t="shared" si="11"/>
        <v>115</v>
      </c>
      <c r="B121" s="175">
        <v>0</v>
      </c>
      <c r="C121">
        <v>420</v>
      </c>
      <c r="D121" s="160">
        <v>30</v>
      </c>
      <c r="E121">
        <v>0</v>
      </c>
      <c r="F121">
        <v>0</v>
      </c>
      <c r="G121">
        <v>0</v>
      </c>
    </row>
    <row r="122" spans="1:7">
      <c r="A122" s="177">
        <f t="shared" si="11"/>
        <v>116</v>
      </c>
      <c r="B122" s="175">
        <v>0</v>
      </c>
      <c r="C122">
        <v>430</v>
      </c>
      <c r="D122" s="160">
        <v>1</v>
      </c>
      <c r="E122">
        <v>-68300</v>
      </c>
      <c r="F122">
        <v>-13600</v>
      </c>
      <c r="G122">
        <v>-60380000</v>
      </c>
    </row>
    <row r="123" spans="1:7">
      <c r="A123" s="177">
        <f t="shared" si="11"/>
        <v>117</v>
      </c>
      <c r="B123" s="175">
        <v>0</v>
      </c>
      <c r="C123">
        <v>430</v>
      </c>
      <c r="D123" s="160">
        <v>12</v>
      </c>
      <c r="E123">
        <v>-56800</v>
      </c>
      <c r="F123">
        <v>-11400</v>
      </c>
      <c r="G123">
        <v>-59260000</v>
      </c>
    </row>
    <row r="124" spans="1:7">
      <c r="A124" s="177">
        <f t="shared" si="11"/>
        <v>118</v>
      </c>
      <c r="B124" s="175">
        <v>0</v>
      </c>
      <c r="C124">
        <v>430</v>
      </c>
      <c r="D124" s="160">
        <v>30</v>
      </c>
      <c r="E124">
        <v>0</v>
      </c>
      <c r="F124">
        <v>0</v>
      </c>
      <c r="G124">
        <v>0</v>
      </c>
    </row>
    <row r="125" spans="1:7">
      <c r="A125" s="177">
        <f t="shared" si="11"/>
        <v>119</v>
      </c>
      <c r="B125" s="175">
        <v>0</v>
      </c>
      <c r="C125">
        <v>440</v>
      </c>
      <c r="D125" s="160">
        <v>1</v>
      </c>
      <c r="E125">
        <v>-68300</v>
      </c>
      <c r="F125">
        <v>-13600</v>
      </c>
      <c r="G125">
        <v>-60380000</v>
      </c>
    </row>
    <row r="126" spans="1:7">
      <c r="A126" s="177">
        <f t="shared" ref="A126:A133" si="12">ROW()-6</f>
        <v>120</v>
      </c>
      <c r="B126" s="175">
        <v>0</v>
      </c>
      <c r="C126">
        <v>440</v>
      </c>
      <c r="D126" s="160">
        <v>12</v>
      </c>
      <c r="E126">
        <v>-56800</v>
      </c>
      <c r="F126">
        <v>-11400</v>
      </c>
      <c r="G126">
        <v>-59260000</v>
      </c>
    </row>
    <row r="127" spans="1:7">
      <c r="A127" s="177">
        <f t="shared" si="12"/>
        <v>121</v>
      </c>
      <c r="B127" s="175">
        <v>0</v>
      </c>
      <c r="C127">
        <v>440</v>
      </c>
      <c r="D127" s="160">
        <v>30</v>
      </c>
      <c r="E127">
        <v>0</v>
      </c>
      <c r="F127">
        <v>0</v>
      </c>
      <c r="G127">
        <v>0</v>
      </c>
    </row>
    <row r="128" spans="1:7">
      <c r="A128" s="177">
        <f t="shared" si="12"/>
        <v>122</v>
      </c>
      <c r="B128" s="175">
        <v>0</v>
      </c>
      <c r="C128">
        <v>450</v>
      </c>
      <c r="D128" s="160">
        <v>1</v>
      </c>
      <c r="E128">
        <v>-68300</v>
      </c>
      <c r="F128">
        <v>-13600</v>
      </c>
      <c r="G128">
        <v>-60380000</v>
      </c>
    </row>
    <row r="129" spans="1:7">
      <c r="A129" s="177">
        <f t="shared" si="12"/>
        <v>123</v>
      </c>
      <c r="B129" s="175">
        <v>0</v>
      </c>
      <c r="C129">
        <v>450</v>
      </c>
      <c r="D129" s="160">
        <v>12</v>
      </c>
      <c r="E129">
        <v>-56800</v>
      </c>
      <c r="F129">
        <v>-11400</v>
      </c>
      <c r="G129">
        <v>-59260000</v>
      </c>
    </row>
    <row r="130" spans="1:7">
      <c r="A130" s="177">
        <f t="shared" si="12"/>
        <v>124</v>
      </c>
      <c r="B130" s="175">
        <v>0</v>
      </c>
      <c r="C130">
        <v>450</v>
      </c>
      <c r="D130" s="160">
        <v>30</v>
      </c>
      <c r="E130">
        <v>0</v>
      </c>
      <c r="F130">
        <v>0</v>
      </c>
      <c r="G130">
        <v>0</v>
      </c>
    </row>
    <row r="131" spans="1:7">
      <c r="A131" s="177">
        <f t="shared" si="12"/>
        <v>125</v>
      </c>
      <c r="B131" s="175">
        <v>0</v>
      </c>
      <c r="C131">
        <v>460</v>
      </c>
      <c r="D131" s="160">
        <v>1</v>
      </c>
      <c r="E131">
        <v>-60400</v>
      </c>
      <c r="F131">
        <v>-13600</v>
      </c>
      <c r="G131">
        <v>-51760000</v>
      </c>
    </row>
    <row r="132" spans="1:7">
      <c r="A132" s="177">
        <f t="shared" si="12"/>
        <v>126</v>
      </c>
      <c r="B132" s="175">
        <v>0</v>
      </c>
      <c r="C132">
        <v>460</v>
      </c>
      <c r="D132" s="160">
        <v>12</v>
      </c>
      <c r="E132">
        <v>-50200</v>
      </c>
      <c r="F132">
        <v>-11400</v>
      </c>
      <c r="G132">
        <v>-50800000</v>
      </c>
    </row>
    <row r="133" spans="1:7">
      <c r="A133" s="177">
        <f t="shared" si="12"/>
        <v>127</v>
      </c>
      <c r="B133" s="175">
        <v>0</v>
      </c>
      <c r="C133">
        <v>460</v>
      </c>
      <c r="D133" s="160">
        <v>30</v>
      </c>
      <c r="E133">
        <v>0</v>
      </c>
      <c r="F133">
        <v>0</v>
      </c>
      <c r="G133">
        <v>0</v>
      </c>
    </row>
  </sheetData>
  <conditionalFormatting sqref="B12:B16">
    <cfRule type="duplicateValues" dxfId="0" priority="1"/>
  </conditionalFormatting>
  <conditionalFormatting sqref="A1:A16 B2:B3 B6:B11 A17:B1048576">
    <cfRule type="duplicateValues" dxfId="0" priority="2681"/>
  </conditionalFormatting>
  <pageMargins left="0.75" right="0.75" top="1" bottom="1" header="0.511805555555556" footer="0.511805555555556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AK1277"/>
  <sheetViews>
    <sheetView workbookViewId="0">
      <selection activeCell="AD32285" sqref="AD32285"/>
    </sheetView>
  </sheetViews>
  <sheetFormatPr defaultColWidth="9" defaultRowHeight="14"/>
  <cols>
    <col min="1" max="1" width="10.5090909090909" customWidth="1"/>
    <col min="2" max="2" width="5.25454545454545" customWidth="1"/>
    <col min="4" max="4" width="10.5090909090909" customWidth="1"/>
    <col min="11" max="11" width="11.5090909090909" customWidth="1"/>
    <col min="14" max="14" width="15" style="103" customWidth="1"/>
    <col min="16" max="16" width="11.6272727272727" customWidth="1"/>
    <col min="31" max="31" width="9.37272727272727" customWidth="1"/>
  </cols>
  <sheetData>
    <row r="3" spans="32:37">
      <c r="AF3" t="s">
        <v>97</v>
      </c>
      <c r="AG3" t="s">
        <v>98</v>
      </c>
      <c r="AH3" t="s">
        <v>99</v>
      </c>
      <c r="AI3" t="s">
        <v>5</v>
      </c>
      <c r="AJ3" t="s">
        <v>6</v>
      </c>
      <c r="AK3" t="s">
        <v>100</v>
      </c>
    </row>
    <row r="4" spans="10:37">
      <c r="J4">
        <v>42</v>
      </c>
      <c r="K4">
        <v>2264000000</v>
      </c>
      <c r="O4" t="s">
        <v>101</v>
      </c>
      <c r="W4" t="s">
        <v>102</v>
      </c>
      <c r="AD4" s="131">
        <v>200101</v>
      </c>
      <c r="AE4" s="132">
        <v>121010</v>
      </c>
      <c r="AF4">
        <f>MOD(ROUNDDOWN(AD4/100,0),100)</f>
        <v>1</v>
      </c>
      <c r="AG4">
        <f>ROUNDDOWN(RIGHT(AD4,2),0)</f>
        <v>1</v>
      </c>
      <c r="AH4" t="str">
        <f>IF(VLOOKUP(AF4,AF:AG,2,1)=4,IF(AG4&lt;3,"简单","困难"),IF(AG4&lt;4,"简单","困难"))</f>
        <v>简单</v>
      </c>
      <c r="AI4">
        <f t="shared" ref="AI4:AI12" si="0">IF($AH4="简单",IF(AE4&lt;122000,VLOOKUP($AF4,$N:$T,2,0),VLOOKUP($AF4,$N:$T,5,0)),IF(AE4&lt;122000,VLOOKUP($AF4,$V:$AB,2,0),VLOOKUP($AF4,$V:$AB,5,0)))</f>
        <v>127</v>
      </c>
      <c r="AJ4">
        <f>IF($AH4="简单",IF(AF4&lt;122000,VLOOKUP($AF4,$N:$T,3,0),VLOOKUP($AF4,$N:$T,6,0)),IF(AF4&lt;122000,VLOOKUP($AF4,$V:$AB,3,0),VLOOKUP($AF4,$V:$AB,6,0)))</f>
        <v>50</v>
      </c>
      <c r="AK4">
        <f>IF($AH4="简单",IF(AG4&lt;122000,VLOOKUP($AF4,$N:$T,4,0),VLOOKUP($AF4,$N:$T,7,0)),IF(AG4&lt;122000,VLOOKUP($AF4,$V:$AB,3,0),VLOOKUP($AF4,$V:$AB,6,0)))</f>
        <v>1017</v>
      </c>
    </row>
    <row r="5" spans="10:37">
      <c r="J5">
        <v>43</v>
      </c>
      <c r="K5">
        <v>2355800000</v>
      </c>
      <c r="O5" t="s">
        <v>103</v>
      </c>
      <c r="R5" t="s">
        <v>104</v>
      </c>
      <c r="W5" t="s">
        <v>103</v>
      </c>
      <c r="Z5" t="s">
        <v>104</v>
      </c>
      <c r="AD5" s="131" t="s">
        <v>105</v>
      </c>
      <c r="AE5" s="132">
        <v>121008</v>
      </c>
      <c r="AF5">
        <f t="shared" ref="AF5:AF29" si="1">MOD(ROUNDDOWN(AD5/100,0),100)</f>
        <v>1</v>
      </c>
      <c r="AG5">
        <f t="shared" ref="AG5:AG21" si="2">ROUNDDOWN(RIGHT(AD5,2),0)</f>
        <v>1</v>
      </c>
      <c r="AH5" t="str">
        <f>IF(VLOOKUP(AF5,AF:AG,2,1)=4,IF(AG5&lt;3,"简单","困难"),IF(AG5&lt;4,"简单","困难"))</f>
        <v>简单</v>
      </c>
      <c r="AI5">
        <f t="shared" si="0"/>
        <v>127</v>
      </c>
      <c r="AJ5">
        <f t="shared" ref="AJ5:AJ12" si="3">IF($AH5="简单",IF(AF5&lt;122000,VLOOKUP($AF5,$N:$T,3,0),VLOOKUP($AF5,$N:$T,6,0)),IF(AF5&lt;122000,VLOOKUP($AF5,$V:$AB,3,0),VLOOKUP($AF5,$V:$AB,6,0)))</f>
        <v>50</v>
      </c>
      <c r="AK5">
        <f t="shared" ref="AK5:AK12" si="4">IF($AH5="简单",IF(AG5&lt;122000,VLOOKUP($AF5,$N:$T,4,0),VLOOKUP($AF5,$N:$T,7,0)),IF(AG5&lt;122000,VLOOKUP($AF5,$V:$AB,3,0),VLOOKUP($AF5,$V:$AB,6,0)))</f>
        <v>1017</v>
      </c>
    </row>
    <row r="6" spans="3:37">
      <c r="C6">
        <v>111001</v>
      </c>
      <c r="E6" t="s">
        <v>106</v>
      </c>
      <c r="J6">
        <v>44</v>
      </c>
      <c r="K6">
        <v>2448200000</v>
      </c>
      <c r="N6" s="103" t="s">
        <v>97</v>
      </c>
      <c r="O6" t="s">
        <v>5</v>
      </c>
      <c r="P6" t="s">
        <v>6</v>
      </c>
      <c r="Q6" t="s">
        <v>100</v>
      </c>
      <c r="R6" t="s">
        <v>5</v>
      </c>
      <c r="S6" t="s">
        <v>6</v>
      </c>
      <c r="T6" t="s">
        <v>100</v>
      </c>
      <c r="V6" t="s">
        <v>97</v>
      </c>
      <c r="W6" t="s">
        <v>5</v>
      </c>
      <c r="X6" t="s">
        <v>6</v>
      </c>
      <c r="Y6" t="s">
        <v>100</v>
      </c>
      <c r="Z6" t="s">
        <v>5</v>
      </c>
      <c r="AA6" t="s">
        <v>6</v>
      </c>
      <c r="AB6" t="s">
        <v>100</v>
      </c>
      <c r="AD6" s="131" t="s">
        <v>105</v>
      </c>
      <c r="AE6" s="132">
        <v>121009</v>
      </c>
      <c r="AF6">
        <f t="shared" si="1"/>
        <v>1</v>
      </c>
      <c r="AG6">
        <f t="shared" si="2"/>
        <v>1</v>
      </c>
      <c r="AH6" t="str">
        <f t="shared" ref="AH6:AH12" si="5">IF(VLOOKUP(AF6,AF:AG,2,1)=4,IF(AG6&lt;3,"简单","困难"),IF(AG6&lt;4,"简单","困难"))</f>
        <v>简单</v>
      </c>
      <c r="AI6">
        <f t="shared" si="0"/>
        <v>127</v>
      </c>
      <c r="AJ6">
        <f t="shared" si="3"/>
        <v>50</v>
      </c>
      <c r="AK6">
        <f t="shared" si="4"/>
        <v>1017</v>
      </c>
    </row>
    <row r="7" spans="3:37">
      <c r="C7">
        <v>111002</v>
      </c>
      <c r="E7" t="s">
        <v>107</v>
      </c>
      <c r="J7">
        <v>45</v>
      </c>
      <c r="K7">
        <v>2541200000</v>
      </c>
      <c r="N7" s="103">
        <v>1</v>
      </c>
      <c r="O7">
        <v>127</v>
      </c>
      <c r="P7">
        <v>50</v>
      </c>
      <c r="Q7">
        <v>1017</v>
      </c>
      <c r="R7">
        <v>169</v>
      </c>
      <c r="S7">
        <v>67</v>
      </c>
      <c r="T7">
        <v>1356</v>
      </c>
      <c r="V7">
        <f>N7</f>
        <v>1</v>
      </c>
      <c r="W7">
        <v>857</v>
      </c>
      <c r="X7">
        <v>343</v>
      </c>
      <c r="Y7">
        <v>6861</v>
      </c>
      <c r="Z7">
        <v>943</v>
      </c>
      <c r="AA7">
        <v>377</v>
      </c>
      <c r="AB7">
        <v>7547</v>
      </c>
      <c r="AD7" s="131" t="s">
        <v>105</v>
      </c>
      <c r="AE7" s="132">
        <v>121008</v>
      </c>
      <c r="AF7">
        <f t="shared" si="1"/>
        <v>1</v>
      </c>
      <c r="AG7">
        <f t="shared" si="2"/>
        <v>1</v>
      </c>
      <c r="AH7" t="str">
        <f t="shared" si="5"/>
        <v>简单</v>
      </c>
      <c r="AI7">
        <f t="shared" si="0"/>
        <v>127</v>
      </c>
      <c r="AJ7">
        <f t="shared" si="3"/>
        <v>50</v>
      </c>
      <c r="AK7">
        <f t="shared" si="4"/>
        <v>1017</v>
      </c>
    </row>
    <row r="8" spans="3:37">
      <c r="C8">
        <v>111003</v>
      </c>
      <c r="E8" t="s">
        <v>108</v>
      </c>
      <c r="G8" t="s">
        <v>109</v>
      </c>
      <c r="J8">
        <v>46</v>
      </c>
      <c r="K8">
        <v>2634700000</v>
      </c>
      <c r="N8" s="103">
        <v>2</v>
      </c>
      <c r="O8">
        <v>163</v>
      </c>
      <c r="P8">
        <v>65</v>
      </c>
      <c r="Q8">
        <v>1305</v>
      </c>
      <c r="R8">
        <v>217</v>
      </c>
      <c r="S8">
        <v>87</v>
      </c>
      <c r="T8">
        <v>1740</v>
      </c>
      <c r="V8">
        <f t="shared" ref="V8:V21" si="6">N8</f>
        <v>2</v>
      </c>
      <c r="W8">
        <v>868</v>
      </c>
      <c r="X8">
        <v>347</v>
      </c>
      <c r="Y8">
        <v>6948</v>
      </c>
      <c r="Z8">
        <v>955</v>
      </c>
      <c r="AA8">
        <v>382</v>
      </c>
      <c r="AB8">
        <v>7642</v>
      </c>
      <c r="AD8" s="69">
        <v>200102</v>
      </c>
      <c r="AE8" s="133">
        <v>121008</v>
      </c>
      <c r="AF8">
        <f t="shared" si="1"/>
        <v>1</v>
      </c>
      <c r="AG8">
        <f t="shared" si="2"/>
        <v>2</v>
      </c>
      <c r="AH8" t="str">
        <f t="shared" si="5"/>
        <v>简单</v>
      </c>
      <c r="AI8">
        <f t="shared" si="0"/>
        <v>127</v>
      </c>
      <c r="AJ8">
        <f t="shared" si="3"/>
        <v>50</v>
      </c>
      <c r="AK8">
        <f t="shared" si="4"/>
        <v>1017</v>
      </c>
    </row>
    <row r="9" spans="3:37">
      <c r="C9">
        <v>111004</v>
      </c>
      <c r="E9" t="s">
        <v>110</v>
      </c>
      <c r="J9">
        <v>47</v>
      </c>
      <c r="K9">
        <v>2728900000</v>
      </c>
      <c r="N9" s="103">
        <v>3</v>
      </c>
      <c r="O9">
        <v>199</v>
      </c>
      <c r="P9">
        <v>79</v>
      </c>
      <c r="Q9">
        <v>1593</v>
      </c>
      <c r="R9">
        <v>265</v>
      </c>
      <c r="S9">
        <v>106</v>
      </c>
      <c r="T9">
        <v>2124</v>
      </c>
      <c r="V9">
        <f t="shared" si="6"/>
        <v>3</v>
      </c>
      <c r="W9">
        <v>987</v>
      </c>
      <c r="X9">
        <v>351</v>
      </c>
      <c r="Y9">
        <v>7034</v>
      </c>
      <c r="Z9">
        <v>1086</v>
      </c>
      <c r="AA9">
        <v>386</v>
      </c>
      <c r="AB9">
        <v>7737</v>
      </c>
      <c r="AD9" s="69">
        <v>200102</v>
      </c>
      <c r="AE9" s="133">
        <v>121009</v>
      </c>
      <c r="AF9">
        <f t="shared" si="1"/>
        <v>1</v>
      </c>
      <c r="AG9">
        <f t="shared" si="2"/>
        <v>2</v>
      </c>
      <c r="AH9" t="str">
        <f t="shared" si="5"/>
        <v>简单</v>
      </c>
      <c r="AI9">
        <f t="shared" si="0"/>
        <v>127</v>
      </c>
      <c r="AJ9">
        <f t="shared" si="3"/>
        <v>50</v>
      </c>
      <c r="AK9">
        <f t="shared" si="4"/>
        <v>1017</v>
      </c>
    </row>
    <row r="10" spans="3:37">
      <c r="C10">
        <v>111005</v>
      </c>
      <c r="E10" t="s">
        <v>111</v>
      </c>
      <c r="J10">
        <v>48</v>
      </c>
      <c r="K10">
        <v>2823600000</v>
      </c>
      <c r="N10" s="103">
        <v>4</v>
      </c>
      <c r="O10">
        <v>213</v>
      </c>
      <c r="P10">
        <v>85</v>
      </c>
      <c r="Q10">
        <v>1708</v>
      </c>
      <c r="R10">
        <v>284</v>
      </c>
      <c r="S10">
        <v>113</v>
      </c>
      <c r="T10">
        <v>2278</v>
      </c>
      <c r="V10">
        <f t="shared" si="6"/>
        <v>4</v>
      </c>
      <c r="W10">
        <v>1025</v>
      </c>
      <c r="X10">
        <v>366</v>
      </c>
      <c r="Y10">
        <v>7336</v>
      </c>
      <c r="Z10">
        <v>1127</v>
      </c>
      <c r="AA10">
        <v>403</v>
      </c>
      <c r="AB10">
        <v>8070</v>
      </c>
      <c r="AD10" s="69">
        <v>200102</v>
      </c>
      <c r="AE10" s="133">
        <v>121009</v>
      </c>
      <c r="AF10">
        <f t="shared" si="1"/>
        <v>1</v>
      </c>
      <c r="AG10">
        <f t="shared" si="2"/>
        <v>2</v>
      </c>
      <c r="AH10" t="str">
        <f t="shared" si="5"/>
        <v>简单</v>
      </c>
      <c r="AI10">
        <f t="shared" si="0"/>
        <v>127</v>
      </c>
      <c r="AJ10">
        <f t="shared" si="3"/>
        <v>50</v>
      </c>
      <c r="AK10">
        <f t="shared" si="4"/>
        <v>1017</v>
      </c>
    </row>
    <row r="11" spans="3:37">
      <c r="C11">
        <v>111006</v>
      </c>
      <c r="E11" t="s">
        <v>112</v>
      </c>
      <c r="J11">
        <v>49</v>
      </c>
      <c r="K11">
        <v>2918900000</v>
      </c>
      <c r="N11" s="103">
        <v>5</v>
      </c>
      <c r="O11">
        <v>252</v>
      </c>
      <c r="P11">
        <v>91</v>
      </c>
      <c r="Q11">
        <v>1824</v>
      </c>
      <c r="R11">
        <v>336</v>
      </c>
      <c r="S11">
        <v>121</v>
      </c>
      <c r="T11">
        <v>2432</v>
      </c>
      <c r="V11">
        <f t="shared" si="6"/>
        <v>5</v>
      </c>
      <c r="W11">
        <v>1035</v>
      </c>
      <c r="X11">
        <v>371</v>
      </c>
      <c r="Y11">
        <v>7423</v>
      </c>
      <c r="Z11">
        <v>1139</v>
      </c>
      <c r="AA11">
        <v>408</v>
      </c>
      <c r="AB11">
        <v>8165</v>
      </c>
      <c r="AD11" s="69">
        <v>200102</v>
      </c>
      <c r="AE11" s="134">
        <v>1111002</v>
      </c>
      <c r="AF11">
        <f t="shared" si="1"/>
        <v>1</v>
      </c>
      <c r="AG11">
        <f t="shared" si="2"/>
        <v>2</v>
      </c>
      <c r="AH11" t="str">
        <f t="shared" si="5"/>
        <v>简单</v>
      </c>
      <c r="AI11">
        <f t="shared" si="0"/>
        <v>169</v>
      </c>
      <c r="AJ11">
        <f t="shared" si="3"/>
        <v>50</v>
      </c>
      <c r="AK11">
        <f t="shared" si="4"/>
        <v>1017</v>
      </c>
    </row>
    <row r="12" spans="3:37">
      <c r="C12">
        <v>111007</v>
      </c>
      <c r="E12" t="s">
        <v>113</v>
      </c>
      <c r="J12">
        <v>50</v>
      </c>
      <c r="K12">
        <v>3014700000</v>
      </c>
      <c r="N12" s="103">
        <v>6</v>
      </c>
      <c r="O12">
        <v>259</v>
      </c>
      <c r="P12">
        <v>103</v>
      </c>
      <c r="Q12">
        <v>1881</v>
      </c>
      <c r="R12">
        <v>345</v>
      </c>
      <c r="S12">
        <v>138</v>
      </c>
      <c r="T12">
        <v>2508</v>
      </c>
      <c r="V12">
        <f t="shared" si="6"/>
        <v>6</v>
      </c>
      <c r="W12">
        <v>1046</v>
      </c>
      <c r="X12">
        <v>418</v>
      </c>
      <c r="Y12">
        <v>7509</v>
      </c>
      <c r="Z12">
        <v>1151</v>
      </c>
      <c r="AA12">
        <v>460</v>
      </c>
      <c r="AB12">
        <v>8260</v>
      </c>
      <c r="AD12" s="131">
        <v>200103</v>
      </c>
      <c r="AE12" s="132">
        <v>121010</v>
      </c>
      <c r="AF12">
        <f t="shared" si="1"/>
        <v>1</v>
      </c>
      <c r="AG12">
        <f t="shared" si="2"/>
        <v>3</v>
      </c>
      <c r="AH12" t="str">
        <f t="shared" si="5"/>
        <v>困难</v>
      </c>
      <c r="AI12">
        <f t="shared" si="0"/>
        <v>857</v>
      </c>
      <c r="AJ12">
        <f t="shared" si="3"/>
        <v>343</v>
      </c>
      <c r="AK12">
        <f t="shared" si="4"/>
        <v>343</v>
      </c>
    </row>
    <row r="13" spans="3:37">
      <c r="C13">
        <v>111008</v>
      </c>
      <c r="E13" t="s">
        <v>114</v>
      </c>
      <c r="J13">
        <v>51</v>
      </c>
      <c r="K13">
        <v>3111200000</v>
      </c>
      <c r="N13" s="103">
        <v>7</v>
      </c>
      <c r="O13">
        <v>259</v>
      </c>
      <c r="P13">
        <v>103</v>
      </c>
      <c r="Q13">
        <v>1881</v>
      </c>
      <c r="R13">
        <v>345</v>
      </c>
      <c r="S13">
        <v>138</v>
      </c>
      <c r="T13">
        <v>2508</v>
      </c>
      <c r="V13">
        <f t="shared" si="6"/>
        <v>7</v>
      </c>
      <c r="W13">
        <v>1057</v>
      </c>
      <c r="X13">
        <v>423</v>
      </c>
      <c r="Y13">
        <v>7596</v>
      </c>
      <c r="Z13">
        <v>1163</v>
      </c>
      <c r="AA13">
        <v>465</v>
      </c>
      <c r="AB13">
        <v>8355</v>
      </c>
      <c r="AD13" s="131">
        <v>200103</v>
      </c>
      <c r="AE13" s="132">
        <v>121008</v>
      </c>
      <c r="AF13">
        <f t="shared" si="1"/>
        <v>1</v>
      </c>
      <c r="AG13">
        <f t="shared" si="2"/>
        <v>3</v>
      </c>
      <c r="AH13" t="str">
        <f t="shared" ref="AH13:AH34" si="7">IF(VLOOKUP(AF13,AF:AG,2,1)=4,IF(AG13&lt;3,"简单","困难"),IF(AG13&lt;4,"简单","困难"))</f>
        <v>困难</v>
      </c>
      <c r="AI13">
        <f t="shared" ref="AI13:AI30" si="8">IF($AH13="简单",IF(AE13&lt;122000,VLOOKUP($AF13,$N:$T,2,0),VLOOKUP($AF13,$N:$T,5,0)),IF(AE13&lt;122000,VLOOKUP($AF13,$V:$AB,2,0),VLOOKUP($AF13,$V:$AB,5,0)))</f>
        <v>857</v>
      </c>
      <c r="AJ13">
        <f t="shared" ref="AJ13:AJ30" si="9">IF($AH13="简单",IF(AF13&lt;122000,VLOOKUP($AF13,$N:$T,3,0),VLOOKUP($AF13,$N:$T,6,0)),IF(AF13&lt;122000,VLOOKUP($AF13,$V:$AB,3,0),VLOOKUP($AF13,$V:$AB,6,0)))</f>
        <v>343</v>
      </c>
      <c r="AK13">
        <f t="shared" ref="AK13:AK30" si="10">IF($AH13="简单",IF(AG13&lt;122000,VLOOKUP($AF13,$N:$T,4,0),VLOOKUP($AF13,$N:$T,7,0)),IF(AG13&lt;122000,VLOOKUP($AF13,$V:$AB,3,0),VLOOKUP($AF13,$V:$AB,6,0)))</f>
        <v>343</v>
      </c>
    </row>
    <row r="14" spans="3:37">
      <c r="C14">
        <v>111009</v>
      </c>
      <c r="E14" t="s">
        <v>115</v>
      </c>
      <c r="J14">
        <v>52</v>
      </c>
      <c r="K14">
        <v>3208200000</v>
      </c>
      <c r="N14" s="103">
        <v>8</v>
      </c>
      <c r="O14">
        <v>259</v>
      </c>
      <c r="P14">
        <v>103</v>
      </c>
      <c r="Q14">
        <v>1881</v>
      </c>
      <c r="R14">
        <v>345</v>
      </c>
      <c r="S14">
        <v>138</v>
      </c>
      <c r="T14">
        <v>2508</v>
      </c>
      <c r="V14">
        <f t="shared" si="6"/>
        <v>8</v>
      </c>
      <c r="W14">
        <v>1068</v>
      </c>
      <c r="X14">
        <v>427</v>
      </c>
      <c r="Y14">
        <v>7682</v>
      </c>
      <c r="Z14">
        <v>1175</v>
      </c>
      <c r="AA14">
        <v>470</v>
      </c>
      <c r="AB14">
        <v>8450</v>
      </c>
      <c r="AD14" s="131">
        <v>200103</v>
      </c>
      <c r="AE14" s="132">
        <v>121009</v>
      </c>
      <c r="AF14">
        <f t="shared" si="1"/>
        <v>1</v>
      </c>
      <c r="AG14">
        <f t="shared" si="2"/>
        <v>3</v>
      </c>
      <c r="AH14" t="str">
        <f t="shared" si="7"/>
        <v>困难</v>
      </c>
      <c r="AI14">
        <f t="shared" si="8"/>
        <v>857</v>
      </c>
      <c r="AJ14">
        <f t="shared" si="9"/>
        <v>343</v>
      </c>
      <c r="AK14">
        <f t="shared" si="10"/>
        <v>343</v>
      </c>
    </row>
    <row r="15" spans="3:37">
      <c r="C15">
        <v>111010</v>
      </c>
      <c r="E15" t="s">
        <v>116</v>
      </c>
      <c r="J15">
        <v>53</v>
      </c>
      <c r="K15">
        <v>3305800000</v>
      </c>
      <c r="N15" s="103">
        <v>9</v>
      </c>
      <c r="O15">
        <v>266</v>
      </c>
      <c r="P15">
        <v>106</v>
      </c>
      <c r="Q15">
        <v>1939</v>
      </c>
      <c r="R15">
        <v>355</v>
      </c>
      <c r="S15">
        <v>142</v>
      </c>
      <c r="T15">
        <v>2585</v>
      </c>
      <c r="V15">
        <f t="shared" si="6"/>
        <v>9</v>
      </c>
      <c r="W15">
        <v>1164</v>
      </c>
      <c r="X15">
        <v>484</v>
      </c>
      <c r="Y15">
        <v>9469</v>
      </c>
      <c r="Z15">
        <v>1281</v>
      </c>
      <c r="AA15">
        <v>533</v>
      </c>
      <c r="AB15">
        <v>10416</v>
      </c>
      <c r="AD15" s="131">
        <v>200103</v>
      </c>
      <c r="AE15" s="132">
        <v>121008</v>
      </c>
      <c r="AF15">
        <f t="shared" si="1"/>
        <v>1</v>
      </c>
      <c r="AG15">
        <f t="shared" si="2"/>
        <v>3</v>
      </c>
      <c r="AH15" t="str">
        <f t="shared" si="7"/>
        <v>困难</v>
      </c>
      <c r="AI15">
        <f t="shared" si="8"/>
        <v>857</v>
      </c>
      <c r="AJ15">
        <f t="shared" si="9"/>
        <v>343</v>
      </c>
      <c r="AK15">
        <f t="shared" si="10"/>
        <v>343</v>
      </c>
    </row>
    <row r="16" spans="3:37">
      <c r="C16">
        <v>111011</v>
      </c>
      <c r="E16" t="s">
        <v>117</v>
      </c>
      <c r="J16">
        <v>54</v>
      </c>
      <c r="K16">
        <v>3403900000</v>
      </c>
      <c r="N16" s="103">
        <v>10</v>
      </c>
      <c r="O16">
        <v>266</v>
      </c>
      <c r="P16">
        <v>106</v>
      </c>
      <c r="Q16">
        <v>1939</v>
      </c>
      <c r="R16">
        <v>355</v>
      </c>
      <c r="S16">
        <v>142</v>
      </c>
      <c r="T16">
        <v>2585</v>
      </c>
      <c r="V16">
        <f t="shared" si="6"/>
        <v>10</v>
      </c>
      <c r="W16">
        <v>1423</v>
      </c>
      <c r="X16">
        <v>592</v>
      </c>
      <c r="Y16">
        <v>11574</v>
      </c>
      <c r="Z16">
        <v>1565</v>
      </c>
      <c r="AA16">
        <v>651</v>
      </c>
      <c r="AB16">
        <v>12731</v>
      </c>
      <c r="AD16" s="131">
        <v>200103</v>
      </c>
      <c r="AE16" s="132">
        <v>121008</v>
      </c>
      <c r="AF16">
        <f t="shared" si="1"/>
        <v>1</v>
      </c>
      <c r="AG16">
        <f t="shared" si="2"/>
        <v>3</v>
      </c>
      <c r="AH16" t="str">
        <f t="shared" si="7"/>
        <v>困难</v>
      </c>
      <c r="AI16">
        <f t="shared" si="8"/>
        <v>857</v>
      </c>
      <c r="AJ16">
        <f t="shared" si="9"/>
        <v>343</v>
      </c>
      <c r="AK16">
        <f t="shared" si="10"/>
        <v>343</v>
      </c>
    </row>
    <row r="17" spans="3:37">
      <c r="C17">
        <v>111012</v>
      </c>
      <c r="E17" t="s">
        <v>118</v>
      </c>
      <c r="J17">
        <v>55</v>
      </c>
      <c r="K17">
        <v>3502700000</v>
      </c>
      <c r="N17" s="103">
        <v>11</v>
      </c>
      <c r="O17">
        <v>266</v>
      </c>
      <c r="P17">
        <v>106</v>
      </c>
      <c r="Q17">
        <v>1939</v>
      </c>
      <c r="R17">
        <v>355</v>
      </c>
      <c r="S17">
        <v>142</v>
      </c>
      <c r="T17">
        <v>2585</v>
      </c>
      <c r="V17">
        <f t="shared" si="6"/>
        <v>11</v>
      </c>
      <c r="W17">
        <v>1436</v>
      </c>
      <c r="X17">
        <v>597</v>
      </c>
      <c r="Y17">
        <v>11679</v>
      </c>
      <c r="Z17">
        <v>1580</v>
      </c>
      <c r="AA17">
        <v>657</v>
      </c>
      <c r="AB17">
        <v>12847</v>
      </c>
      <c r="AD17" s="131">
        <v>200104</v>
      </c>
      <c r="AE17" s="132">
        <v>121008</v>
      </c>
      <c r="AF17">
        <f t="shared" si="1"/>
        <v>1</v>
      </c>
      <c r="AG17">
        <f t="shared" si="2"/>
        <v>4</v>
      </c>
      <c r="AH17" t="str">
        <f t="shared" si="7"/>
        <v>困难</v>
      </c>
      <c r="AI17">
        <f t="shared" si="8"/>
        <v>857</v>
      </c>
      <c r="AJ17">
        <f t="shared" si="9"/>
        <v>343</v>
      </c>
      <c r="AK17">
        <f t="shared" si="10"/>
        <v>343</v>
      </c>
    </row>
    <row r="18" spans="3:37">
      <c r="C18">
        <v>111013</v>
      </c>
      <c r="E18" t="s">
        <v>119</v>
      </c>
      <c r="J18">
        <v>56</v>
      </c>
      <c r="K18">
        <v>3602000000</v>
      </c>
      <c r="N18" s="103">
        <v>12</v>
      </c>
      <c r="O18">
        <v>276</v>
      </c>
      <c r="P18">
        <v>110</v>
      </c>
      <c r="Q18">
        <v>2212</v>
      </c>
      <c r="R18">
        <v>368</v>
      </c>
      <c r="S18">
        <v>147</v>
      </c>
      <c r="T18">
        <v>2950</v>
      </c>
      <c r="V18">
        <f t="shared" si="6"/>
        <v>12</v>
      </c>
      <c r="W18">
        <v>1449</v>
      </c>
      <c r="X18">
        <v>603</v>
      </c>
      <c r="Y18">
        <v>11785</v>
      </c>
      <c r="Z18">
        <v>1594</v>
      </c>
      <c r="AA18">
        <v>663</v>
      </c>
      <c r="AB18">
        <v>12963</v>
      </c>
      <c r="AD18" s="131">
        <v>200104</v>
      </c>
      <c r="AE18" s="132">
        <v>121009</v>
      </c>
      <c r="AF18">
        <f t="shared" si="1"/>
        <v>1</v>
      </c>
      <c r="AG18">
        <f t="shared" si="2"/>
        <v>4</v>
      </c>
      <c r="AH18" t="str">
        <f t="shared" si="7"/>
        <v>困难</v>
      </c>
      <c r="AI18">
        <f t="shared" si="8"/>
        <v>857</v>
      </c>
      <c r="AJ18">
        <f t="shared" si="9"/>
        <v>343</v>
      </c>
      <c r="AK18">
        <f t="shared" si="10"/>
        <v>343</v>
      </c>
    </row>
    <row r="19" spans="3:37">
      <c r="C19">
        <v>111014</v>
      </c>
      <c r="E19" t="s">
        <v>120</v>
      </c>
      <c r="J19">
        <v>57</v>
      </c>
      <c r="K19">
        <v>3701900000</v>
      </c>
      <c r="N19" s="103">
        <v>13</v>
      </c>
      <c r="O19">
        <v>319</v>
      </c>
      <c r="P19">
        <v>113</v>
      </c>
      <c r="Q19">
        <v>2270</v>
      </c>
      <c r="R19">
        <v>426</v>
      </c>
      <c r="S19">
        <v>151</v>
      </c>
      <c r="T19">
        <v>3027</v>
      </c>
      <c r="V19">
        <f t="shared" si="6"/>
        <v>13</v>
      </c>
      <c r="W19">
        <v>1463</v>
      </c>
      <c r="X19">
        <v>608</v>
      </c>
      <c r="Y19">
        <v>11891</v>
      </c>
      <c r="Z19">
        <v>1609</v>
      </c>
      <c r="AA19">
        <v>669</v>
      </c>
      <c r="AB19">
        <v>13080</v>
      </c>
      <c r="AD19" s="131">
        <v>200104</v>
      </c>
      <c r="AE19" s="132">
        <v>121009</v>
      </c>
      <c r="AF19">
        <f t="shared" si="1"/>
        <v>1</v>
      </c>
      <c r="AG19">
        <f t="shared" si="2"/>
        <v>4</v>
      </c>
      <c r="AH19" t="str">
        <f t="shared" si="7"/>
        <v>困难</v>
      </c>
      <c r="AI19">
        <f t="shared" si="8"/>
        <v>857</v>
      </c>
      <c r="AJ19">
        <f t="shared" si="9"/>
        <v>343</v>
      </c>
      <c r="AK19">
        <f t="shared" si="10"/>
        <v>343</v>
      </c>
    </row>
    <row r="20" spans="3:37">
      <c r="C20">
        <v>111015</v>
      </c>
      <c r="E20" t="s">
        <v>121</v>
      </c>
      <c r="J20">
        <v>58</v>
      </c>
      <c r="K20">
        <v>3802300000</v>
      </c>
      <c r="N20" s="103">
        <v>14</v>
      </c>
      <c r="O20">
        <v>479</v>
      </c>
      <c r="P20">
        <v>191</v>
      </c>
      <c r="Q20">
        <v>3403</v>
      </c>
      <c r="R20">
        <v>639</v>
      </c>
      <c r="S20">
        <v>255</v>
      </c>
      <c r="T20">
        <v>4537</v>
      </c>
      <c r="V20">
        <f t="shared" si="6"/>
        <v>14</v>
      </c>
      <c r="W20">
        <v>1685</v>
      </c>
      <c r="X20">
        <v>635</v>
      </c>
      <c r="Y20">
        <v>12436</v>
      </c>
      <c r="Z20">
        <v>1853</v>
      </c>
      <c r="AA20">
        <v>699</v>
      </c>
      <c r="AB20">
        <v>13680</v>
      </c>
      <c r="AD20" s="131">
        <v>200104</v>
      </c>
      <c r="AE20" s="135">
        <v>1111002</v>
      </c>
      <c r="AF20">
        <f t="shared" si="1"/>
        <v>1</v>
      </c>
      <c r="AG20">
        <f t="shared" si="2"/>
        <v>4</v>
      </c>
      <c r="AH20" t="str">
        <f t="shared" si="7"/>
        <v>困难</v>
      </c>
      <c r="AI20">
        <f t="shared" si="8"/>
        <v>943</v>
      </c>
      <c r="AJ20">
        <f t="shared" si="9"/>
        <v>343</v>
      </c>
      <c r="AK20">
        <f t="shared" si="10"/>
        <v>343</v>
      </c>
    </row>
    <row r="21" spans="3:37">
      <c r="C21">
        <v>111016</v>
      </c>
      <c r="E21" t="s">
        <v>122</v>
      </c>
      <c r="J21">
        <v>59</v>
      </c>
      <c r="K21">
        <v>3903400000</v>
      </c>
      <c r="N21" s="103">
        <v>15</v>
      </c>
      <c r="O21">
        <v>486</v>
      </c>
      <c r="P21">
        <v>194</v>
      </c>
      <c r="Q21">
        <v>3460</v>
      </c>
      <c r="R21">
        <v>648</v>
      </c>
      <c r="S21">
        <v>259</v>
      </c>
      <c r="T21">
        <v>4614</v>
      </c>
      <c r="V21">
        <f t="shared" si="6"/>
        <v>15</v>
      </c>
      <c r="W21">
        <v>2107</v>
      </c>
      <c r="X21">
        <v>831</v>
      </c>
      <c r="Y21">
        <v>16005</v>
      </c>
      <c r="Z21">
        <v>2318</v>
      </c>
      <c r="AA21">
        <v>914</v>
      </c>
      <c r="AB21">
        <v>17605</v>
      </c>
      <c r="AD21" s="131">
        <v>200104</v>
      </c>
      <c r="AE21" s="132">
        <v>121013</v>
      </c>
      <c r="AF21">
        <f t="shared" si="1"/>
        <v>1</v>
      </c>
      <c r="AG21">
        <f t="shared" si="2"/>
        <v>4</v>
      </c>
      <c r="AH21" t="str">
        <f t="shared" si="7"/>
        <v>困难</v>
      </c>
      <c r="AI21">
        <f t="shared" si="8"/>
        <v>857</v>
      </c>
      <c r="AJ21">
        <f t="shared" si="9"/>
        <v>343</v>
      </c>
      <c r="AK21">
        <f t="shared" si="10"/>
        <v>343</v>
      </c>
    </row>
    <row r="22" spans="3:37">
      <c r="C22">
        <v>112001</v>
      </c>
      <c r="E22" t="s">
        <v>123</v>
      </c>
      <c r="J22">
        <v>60</v>
      </c>
      <c r="K22">
        <v>4005000000</v>
      </c>
      <c r="N22" s="103">
        <v>16</v>
      </c>
      <c r="O22">
        <v>560</v>
      </c>
      <c r="P22">
        <v>224</v>
      </c>
      <c r="Q22">
        <v>4483</v>
      </c>
      <c r="R22">
        <v>747</v>
      </c>
      <c r="S22">
        <v>298</v>
      </c>
      <c r="T22">
        <v>5977</v>
      </c>
      <c r="V22">
        <f t="shared" ref="V22:V66" si="11">N22</f>
        <v>16</v>
      </c>
      <c r="W22">
        <v>2120</v>
      </c>
      <c r="X22">
        <v>836</v>
      </c>
      <c r="Y22">
        <v>16110</v>
      </c>
      <c r="Z22">
        <v>2332</v>
      </c>
      <c r="AA22">
        <v>920</v>
      </c>
      <c r="AB22">
        <v>17721</v>
      </c>
      <c r="AD22" s="69" t="s">
        <v>124</v>
      </c>
      <c r="AE22" s="71">
        <v>121014</v>
      </c>
      <c r="AF22">
        <f t="shared" si="1"/>
        <v>2</v>
      </c>
      <c r="AG22">
        <f t="shared" ref="AG22:AG85" si="12">ROUNDDOWN(RIGHT(AD22,2),0)</f>
        <v>1</v>
      </c>
      <c r="AH22" t="str">
        <f t="shared" si="7"/>
        <v>简单</v>
      </c>
      <c r="AI22">
        <f t="shared" si="8"/>
        <v>163</v>
      </c>
      <c r="AJ22">
        <f t="shared" si="9"/>
        <v>65</v>
      </c>
      <c r="AK22">
        <f t="shared" si="10"/>
        <v>1305</v>
      </c>
    </row>
    <row r="23" spans="3:37">
      <c r="C23">
        <v>112002</v>
      </c>
      <c r="E23" t="s">
        <v>125</v>
      </c>
      <c r="J23">
        <v>61</v>
      </c>
      <c r="K23">
        <v>4149800000</v>
      </c>
      <c r="N23" s="103">
        <v>17</v>
      </c>
      <c r="O23">
        <v>736</v>
      </c>
      <c r="P23">
        <v>294</v>
      </c>
      <c r="Q23">
        <v>5289</v>
      </c>
      <c r="R23">
        <v>981</v>
      </c>
      <c r="S23">
        <v>392</v>
      </c>
      <c r="T23">
        <v>7052</v>
      </c>
      <c r="V23">
        <f t="shared" si="11"/>
        <v>17</v>
      </c>
      <c r="W23">
        <v>2134</v>
      </c>
      <c r="X23">
        <v>903</v>
      </c>
      <c r="Y23">
        <v>16216</v>
      </c>
      <c r="Z23">
        <v>2347</v>
      </c>
      <c r="AA23">
        <v>994</v>
      </c>
      <c r="AB23">
        <v>17837</v>
      </c>
      <c r="AD23" s="69" t="s">
        <v>124</v>
      </c>
      <c r="AE23" s="71">
        <v>121015</v>
      </c>
      <c r="AF23">
        <f t="shared" si="1"/>
        <v>2</v>
      </c>
      <c r="AG23">
        <f t="shared" si="12"/>
        <v>1</v>
      </c>
      <c r="AH23" t="str">
        <f t="shared" si="7"/>
        <v>简单</v>
      </c>
      <c r="AI23">
        <f t="shared" si="8"/>
        <v>163</v>
      </c>
      <c r="AJ23">
        <f t="shared" si="9"/>
        <v>65</v>
      </c>
      <c r="AK23">
        <f t="shared" si="10"/>
        <v>1305</v>
      </c>
    </row>
    <row r="24" spans="3:37">
      <c r="C24">
        <v>112003</v>
      </c>
      <c r="E24" t="s">
        <v>126</v>
      </c>
      <c r="J24">
        <v>62</v>
      </c>
      <c r="K24">
        <v>4298300000</v>
      </c>
      <c r="N24" s="103">
        <v>18</v>
      </c>
      <c r="O24">
        <v>736</v>
      </c>
      <c r="P24">
        <v>294</v>
      </c>
      <c r="Q24">
        <v>5289</v>
      </c>
      <c r="R24">
        <v>981</v>
      </c>
      <c r="S24">
        <v>392</v>
      </c>
      <c r="T24">
        <v>7052</v>
      </c>
      <c r="V24">
        <f t="shared" si="11"/>
        <v>18</v>
      </c>
      <c r="W24">
        <v>1449</v>
      </c>
      <c r="X24">
        <v>603</v>
      </c>
      <c r="Y24">
        <v>11785</v>
      </c>
      <c r="Z24">
        <v>1594</v>
      </c>
      <c r="AA24">
        <v>663</v>
      </c>
      <c r="AB24">
        <v>12963</v>
      </c>
      <c r="AD24" s="69" t="s">
        <v>124</v>
      </c>
      <c r="AE24" s="134">
        <v>121021</v>
      </c>
      <c r="AF24">
        <f t="shared" si="1"/>
        <v>2</v>
      </c>
      <c r="AG24">
        <f t="shared" si="12"/>
        <v>1</v>
      </c>
      <c r="AH24" t="str">
        <f t="shared" si="7"/>
        <v>简单</v>
      </c>
      <c r="AI24">
        <f t="shared" si="8"/>
        <v>163</v>
      </c>
      <c r="AJ24">
        <f t="shared" si="9"/>
        <v>65</v>
      </c>
      <c r="AK24">
        <f t="shared" si="10"/>
        <v>1305</v>
      </c>
    </row>
    <row r="25" spans="3:37">
      <c r="C25">
        <v>112004</v>
      </c>
      <c r="E25" t="s">
        <v>127</v>
      </c>
      <c r="J25">
        <v>63</v>
      </c>
      <c r="K25">
        <v>4448200000</v>
      </c>
      <c r="N25" s="103">
        <v>19</v>
      </c>
      <c r="O25">
        <v>1252</v>
      </c>
      <c r="P25">
        <v>487</v>
      </c>
      <c r="Q25">
        <v>9411</v>
      </c>
      <c r="R25">
        <v>1670</v>
      </c>
      <c r="S25">
        <v>650</v>
      </c>
      <c r="T25">
        <v>12548</v>
      </c>
      <c r="V25">
        <f t="shared" si="11"/>
        <v>19</v>
      </c>
      <c r="W25">
        <v>2134</v>
      </c>
      <c r="X25">
        <v>903</v>
      </c>
      <c r="Y25">
        <v>16216</v>
      </c>
      <c r="Z25">
        <v>2347</v>
      </c>
      <c r="AA25">
        <v>994</v>
      </c>
      <c r="AB25">
        <v>17837</v>
      </c>
      <c r="AD25" s="69" t="s">
        <v>124</v>
      </c>
      <c r="AE25" s="71">
        <v>121015</v>
      </c>
      <c r="AF25">
        <f t="shared" si="1"/>
        <v>2</v>
      </c>
      <c r="AG25">
        <f t="shared" si="12"/>
        <v>1</v>
      </c>
      <c r="AH25" t="str">
        <f t="shared" si="7"/>
        <v>简单</v>
      </c>
      <c r="AI25">
        <f t="shared" si="8"/>
        <v>163</v>
      </c>
      <c r="AJ25">
        <f t="shared" si="9"/>
        <v>65</v>
      </c>
      <c r="AK25">
        <f t="shared" si="10"/>
        <v>1305</v>
      </c>
    </row>
    <row r="26" spans="3:37">
      <c r="C26">
        <v>112005</v>
      </c>
      <c r="E26" t="s">
        <v>128</v>
      </c>
      <c r="J26">
        <v>64</v>
      </c>
      <c r="K26">
        <v>4601700000</v>
      </c>
      <c r="N26" s="103">
        <v>20</v>
      </c>
      <c r="O26">
        <v>1267</v>
      </c>
      <c r="P26">
        <v>534</v>
      </c>
      <c r="Q26">
        <v>9526</v>
      </c>
      <c r="R26">
        <v>1689</v>
      </c>
      <c r="S26">
        <v>712</v>
      </c>
      <c r="T26">
        <v>12702</v>
      </c>
      <c r="V26">
        <f t="shared" si="11"/>
        <v>20</v>
      </c>
      <c r="W26">
        <v>2147</v>
      </c>
      <c r="X26">
        <v>909</v>
      </c>
      <c r="Y26">
        <v>16321</v>
      </c>
      <c r="Z26">
        <v>2361</v>
      </c>
      <c r="AA26">
        <v>999</v>
      </c>
      <c r="AB26">
        <v>17953</v>
      </c>
      <c r="AD26" s="69">
        <v>200202</v>
      </c>
      <c r="AE26" s="134">
        <v>1111003</v>
      </c>
      <c r="AF26">
        <f t="shared" si="1"/>
        <v>2</v>
      </c>
      <c r="AG26">
        <f t="shared" si="12"/>
        <v>2</v>
      </c>
      <c r="AH26" t="str">
        <f t="shared" si="7"/>
        <v>简单</v>
      </c>
      <c r="AI26">
        <f t="shared" si="8"/>
        <v>217</v>
      </c>
      <c r="AJ26">
        <f t="shared" si="9"/>
        <v>65</v>
      </c>
      <c r="AK26">
        <f t="shared" si="10"/>
        <v>1305</v>
      </c>
    </row>
    <row r="27" spans="3:37">
      <c r="C27">
        <v>112006</v>
      </c>
      <c r="E27" t="s">
        <v>129</v>
      </c>
      <c r="J27">
        <v>65</v>
      </c>
      <c r="K27">
        <v>4757700000</v>
      </c>
      <c r="N27" s="103">
        <v>21</v>
      </c>
      <c r="O27">
        <v>1274</v>
      </c>
      <c r="P27">
        <v>537</v>
      </c>
      <c r="Q27">
        <v>9584</v>
      </c>
      <c r="R27">
        <v>1699</v>
      </c>
      <c r="S27">
        <v>716</v>
      </c>
      <c r="T27">
        <v>12779</v>
      </c>
      <c r="V27">
        <f t="shared" si="11"/>
        <v>21</v>
      </c>
      <c r="W27">
        <v>2160</v>
      </c>
      <c r="X27">
        <v>914</v>
      </c>
      <c r="Y27">
        <v>16427</v>
      </c>
      <c r="Z27">
        <v>2376</v>
      </c>
      <c r="AA27">
        <v>1005</v>
      </c>
      <c r="AB27">
        <v>18070</v>
      </c>
      <c r="AD27" s="69">
        <v>200202</v>
      </c>
      <c r="AE27" s="71">
        <v>121015</v>
      </c>
      <c r="AF27">
        <f t="shared" si="1"/>
        <v>2</v>
      </c>
      <c r="AG27">
        <f t="shared" si="12"/>
        <v>2</v>
      </c>
      <c r="AH27" t="str">
        <f t="shared" si="7"/>
        <v>简单</v>
      </c>
      <c r="AI27">
        <f t="shared" si="8"/>
        <v>163</v>
      </c>
      <c r="AJ27">
        <f t="shared" si="9"/>
        <v>65</v>
      </c>
      <c r="AK27">
        <f t="shared" si="10"/>
        <v>1305</v>
      </c>
    </row>
    <row r="28" spans="3:37">
      <c r="C28">
        <v>112007</v>
      </c>
      <c r="E28" t="s">
        <v>130</v>
      </c>
      <c r="J28">
        <v>66</v>
      </c>
      <c r="K28">
        <v>4915000000</v>
      </c>
      <c r="N28" s="103">
        <v>22</v>
      </c>
      <c r="O28">
        <v>1274</v>
      </c>
      <c r="P28">
        <v>537</v>
      </c>
      <c r="Q28">
        <v>9584</v>
      </c>
      <c r="R28">
        <v>1699</v>
      </c>
      <c r="S28">
        <v>716</v>
      </c>
      <c r="T28">
        <v>12779</v>
      </c>
      <c r="V28">
        <f t="shared" si="11"/>
        <v>22</v>
      </c>
      <c r="W28">
        <v>2160</v>
      </c>
      <c r="X28">
        <v>914</v>
      </c>
      <c r="Y28">
        <v>16427</v>
      </c>
      <c r="Z28">
        <v>2376</v>
      </c>
      <c r="AA28">
        <v>1005</v>
      </c>
      <c r="AB28">
        <v>18070</v>
      </c>
      <c r="AD28" s="69">
        <v>200202</v>
      </c>
      <c r="AE28" s="71">
        <v>121015</v>
      </c>
      <c r="AF28">
        <f t="shared" si="1"/>
        <v>2</v>
      </c>
      <c r="AG28">
        <f t="shared" si="12"/>
        <v>2</v>
      </c>
      <c r="AH28" t="str">
        <f t="shared" si="7"/>
        <v>简单</v>
      </c>
      <c r="AI28">
        <f t="shared" si="8"/>
        <v>163</v>
      </c>
      <c r="AJ28">
        <f t="shared" si="9"/>
        <v>65</v>
      </c>
      <c r="AK28">
        <f t="shared" si="10"/>
        <v>1305</v>
      </c>
    </row>
    <row r="29" spans="3:37">
      <c r="C29">
        <v>112008</v>
      </c>
      <c r="E29" t="s">
        <v>131</v>
      </c>
      <c r="J29">
        <v>67</v>
      </c>
      <c r="K29">
        <v>5076100000</v>
      </c>
      <c r="N29" s="103">
        <v>23</v>
      </c>
      <c r="O29">
        <v>1422</v>
      </c>
      <c r="P29">
        <v>618</v>
      </c>
      <c r="Q29">
        <v>11718</v>
      </c>
      <c r="R29">
        <v>1896</v>
      </c>
      <c r="S29">
        <v>824</v>
      </c>
      <c r="T29">
        <v>15624</v>
      </c>
      <c r="V29">
        <f t="shared" si="11"/>
        <v>23</v>
      </c>
      <c r="W29">
        <v>2409</v>
      </c>
      <c r="X29">
        <v>1053</v>
      </c>
      <c r="Y29">
        <v>19890</v>
      </c>
      <c r="Z29">
        <v>2649</v>
      </c>
      <c r="AA29">
        <v>1158</v>
      </c>
      <c r="AB29">
        <v>21879</v>
      </c>
      <c r="AD29" s="69">
        <v>200202</v>
      </c>
      <c r="AE29" s="71">
        <v>121014</v>
      </c>
      <c r="AF29">
        <f t="shared" si="1"/>
        <v>2</v>
      </c>
      <c r="AG29">
        <f t="shared" si="12"/>
        <v>2</v>
      </c>
      <c r="AH29" t="str">
        <f t="shared" si="7"/>
        <v>简单</v>
      </c>
      <c r="AI29">
        <f t="shared" si="8"/>
        <v>163</v>
      </c>
      <c r="AJ29">
        <f t="shared" si="9"/>
        <v>65</v>
      </c>
      <c r="AK29">
        <f t="shared" si="10"/>
        <v>1305</v>
      </c>
    </row>
    <row r="30" spans="3:37">
      <c r="C30">
        <v>112009</v>
      </c>
      <c r="E30" t="s">
        <v>132</v>
      </c>
      <c r="J30">
        <v>68</v>
      </c>
      <c r="K30">
        <v>5238300000</v>
      </c>
      <c r="N30" s="103">
        <v>24</v>
      </c>
      <c r="O30">
        <v>1658</v>
      </c>
      <c r="P30">
        <v>658</v>
      </c>
      <c r="Q30">
        <v>12524</v>
      </c>
      <c r="R30">
        <v>2211</v>
      </c>
      <c r="S30">
        <v>877</v>
      </c>
      <c r="T30">
        <v>16699</v>
      </c>
      <c r="V30">
        <f t="shared" si="11"/>
        <v>24</v>
      </c>
      <c r="W30">
        <v>2721</v>
      </c>
      <c r="X30">
        <v>1099</v>
      </c>
      <c r="Y30">
        <v>20805</v>
      </c>
      <c r="Z30">
        <v>2993</v>
      </c>
      <c r="AA30">
        <v>1209</v>
      </c>
      <c r="AB30">
        <v>22885</v>
      </c>
      <c r="AD30" s="69">
        <v>200203</v>
      </c>
      <c r="AE30" s="71">
        <v>1112010</v>
      </c>
      <c r="AF30">
        <f t="shared" ref="AF30:AF93" si="13">MOD(ROUNDDOWN(AD30/100,0),100)</f>
        <v>2</v>
      </c>
      <c r="AG30">
        <f t="shared" si="12"/>
        <v>3</v>
      </c>
      <c r="AH30" t="str">
        <f t="shared" si="7"/>
        <v>简单</v>
      </c>
      <c r="AI30">
        <f t="shared" si="8"/>
        <v>217</v>
      </c>
      <c r="AJ30">
        <f t="shared" si="9"/>
        <v>65</v>
      </c>
      <c r="AK30">
        <f t="shared" si="10"/>
        <v>1305</v>
      </c>
    </row>
    <row r="31" spans="3:37">
      <c r="C31">
        <v>112010</v>
      </c>
      <c r="E31" t="s">
        <v>133</v>
      </c>
      <c r="J31">
        <v>69</v>
      </c>
      <c r="K31">
        <v>5404400000</v>
      </c>
      <c r="N31" s="103">
        <v>25</v>
      </c>
      <c r="O31">
        <v>1658</v>
      </c>
      <c r="P31">
        <v>658</v>
      </c>
      <c r="Q31">
        <v>12524</v>
      </c>
      <c r="R31">
        <v>2211</v>
      </c>
      <c r="S31">
        <v>877</v>
      </c>
      <c r="T31">
        <v>16699</v>
      </c>
      <c r="V31">
        <f t="shared" si="11"/>
        <v>25</v>
      </c>
      <c r="W31">
        <v>2721</v>
      </c>
      <c r="X31">
        <v>1099</v>
      </c>
      <c r="Y31">
        <v>20805</v>
      </c>
      <c r="Z31">
        <v>2993</v>
      </c>
      <c r="AA31">
        <v>1209</v>
      </c>
      <c r="AB31">
        <v>22885</v>
      </c>
      <c r="AD31" s="69">
        <v>200203</v>
      </c>
      <c r="AE31" s="71">
        <v>121016</v>
      </c>
      <c r="AF31">
        <f t="shared" si="13"/>
        <v>2</v>
      </c>
      <c r="AG31">
        <f t="shared" si="12"/>
        <v>3</v>
      </c>
      <c r="AH31" t="str">
        <f t="shared" si="7"/>
        <v>简单</v>
      </c>
      <c r="AI31">
        <f t="shared" ref="AI31:AI94" si="14">IF($AH31="简单",IF(AE31&lt;122000,VLOOKUP($AF31,$N:$T,2,0),VLOOKUP($AF31,$N:$T,5,0)),IF(AE31&lt;122000,VLOOKUP($AF31,$V:$AB,2,0),VLOOKUP($AF31,$V:$AB,5,0)))</f>
        <v>163</v>
      </c>
      <c r="AJ31">
        <f t="shared" ref="AJ31:AJ94" si="15">IF($AH31="简单",IF(AF31&lt;122000,VLOOKUP($AF31,$N:$T,3,0),VLOOKUP($AF31,$N:$T,6,0)),IF(AF31&lt;122000,VLOOKUP($AF31,$V:$AB,3,0),VLOOKUP($AF31,$V:$AB,6,0)))</f>
        <v>65</v>
      </c>
      <c r="AK31">
        <f t="shared" ref="AK31:AK94" si="16">IF($AH31="简单",IF(AG31&lt;122000,VLOOKUP($AF31,$N:$T,4,0),VLOOKUP($AF31,$N:$T,7,0)),IF(AG31&lt;122000,VLOOKUP($AF31,$V:$AB,3,0),VLOOKUP($AF31,$V:$AB,6,0)))</f>
        <v>1305</v>
      </c>
    </row>
    <row r="32" spans="3:37">
      <c r="C32">
        <v>112011</v>
      </c>
      <c r="E32" t="s">
        <v>134</v>
      </c>
      <c r="J32">
        <v>70</v>
      </c>
      <c r="K32">
        <v>5573000000</v>
      </c>
      <c r="N32" s="103">
        <v>26</v>
      </c>
      <c r="O32">
        <v>1658</v>
      </c>
      <c r="P32">
        <v>658</v>
      </c>
      <c r="Q32">
        <v>12524</v>
      </c>
      <c r="R32">
        <v>2211</v>
      </c>
      <c r="S32">
        <v>877</v>
      </c>
      <c r="T32">
        <v>16699</v>
      </c>
      <c r="V32">
        <f t="shared" si="11"/>
        <v>26</v>
      </c>
      <c r="W32">
        <v>2773</v>
      </c>
      <c r="X32">
        <v>1142</v>
      </c>
      <c r="Y32">
        <v>21406</v>
      </c>
      <c r="Z32">
        <v>3050</v>
      </c>
      <c r="AA32">
        <v>1257</v>
      </c>
      <c r="AB32">
        <v>23546</v>
      </c>
      <c r="AD32" s="69">
        <v>200203</v>
      </c>
      <c r="AE32" s="71">
        <v>121016</v>
      </c>
      <c r="AF32">
        <f t="shared" si="13"/>
        <v>2</v>
      </c>
      <c r="AG32">
        <f t="shared" si="12"/>
        <v>3</v>
      </c>
      <c r="AH32" t="str">
        <f t="shared" si="7"/>
        <v>简单</v>
      </c>
      <c r="AI32">
        <f t="shared" si="14"/>
        <v>163</v>
      </c>
      <c r="AJ32">
        <f t="shared" si="15"/>
        <v>65</v>
      </c>
      <c r="AK32">
        <f t="shared" si="16"/>
        <v>1305</v>
      </c>
    </row>
    <row r="33" spans="3:37">
      <c r="C33">
        <v>112012</v>
      </c>
      <c r="E33" t="s">
        <v>135</v>
      </c>
      <c r="J33">
        <v>71</v>
      </c>
      <c r="K33">
        <v>5742700000</v>
      </c>
      <c r="N33" s="103">
        <v>27</v>
      </c>
      <c r="O33">
        <v>1779</v>
      </c>
      <c r="P33">
        <v>773</v>
      </c>
      <c r="Q33">
        <v>13591</v>
      </c>
      <c r="R33">
        <v>2372</v>
      </c>
      <c r="S33">
        <v>1030</v>
      </c>
      <c r="T33">
        <v>18121</v>
      </c>
      <c r="V33">
        <f t="shared" si="11"/>
        <v>27</v>
      </c>
      <c r="W33">
        <v>2909</v>
      </c>
      <c r="X33">
        <v>1276</v>
      </c>
      <c r="Y33">
        <v>22497</v>
      </c>
      <c r="Z33">
        <v>3200</v>
      </c>
      <c r="AA33">
        <v>1404</v>
      </c>
      <c r="AB33">
        <v>24746</v>
      </c>
      <c r="AD33" s="69">
        <v>200203</v>
      </c>
      <c r="AE33" s="71">
        <v>121014</v>
      </c>
      <c r="AF33">
        <f t="shared" si="13"/>
        <v>2</v>
      </c>
      <c r="AG33">
        <f t="shared" si="12"/>
        <v>3</v>
      </c>
      <c r="AH33" t="str">
        <f t="shared" si="7"/>
        <v>简单</v>
      </c>
      <c r="AI33">
        <f t="shared" si="14"/>
        <v>163</v>
      </c>
      <c r="AJ33">
        <f t="shared" si="15"/>
        <v>65</v>
      </c>
      <c r="AK33">
        <f t="shared" si="16"/>
        <v>1305</v>
      </c>
    </row>
    <row r="34" spans="3:37">
      <c r="C34">
        <v>112013</v>
      </c>
      <c r="E34" t="s">
        <v>136</v>
      </c>
      <c r="J34">
        <v>72</v>
      </c>
      <c r="K34">
        <v>5916300000</v>
      </c>
      <c r="N34" s="103">
        <v>28</v>
      </c>
      <c r="O34">
        <v>1779</v>
      </c>
      <c r="P34">
        <v>773</v>
      </c>
      <c r="Q34">
        <v>13591</v>
      </c>
      <c r="R34">
        <v>2372</v>
      </c>
      <c r="S34">
        <v>1030</v>
      </c>
      <c r="T34">
        <v>18121</v>
      </c>
      <c r="V34">
        <f t="shared" si="11"/>
        <v>28</v>
      </c>
      <c r="W34">
        <v>2909</v>
      </c>
      <c r="X34">
        <v>1276</v>
      </c>
      <c r="Y34">
        <v>22497</v>
      </c>
      <c r="Z34">
        <v>3200</v>
      </c>
      <c r="AA34">
        <v>1404</v>
      </c>
      <c r="AB34">
        <v>24746</v>
      </c>
      <c r="AD34" s="69">
        <v>200203</v>
      </c>
      <c r="AE34" s="71">
        <v>121014</v>
      </c>
      <c r="AF34">
        <f t="shared" si="13"/>
        <v>2</v>
      </c>
      <c r="AG34">
        <f t="shared" si="12"/>
        <v>3</v>
      </c>
      <c r="AH34" t="str">
        <f t="shared" si="7"/>
        <v>简单</v>
      </c>
      <c r="AI34">
        <f t="shared" si="14"/>
        <v>163</v>
      </c>
      <c r="AJ34">
        <f t="shared" si="15"/>
        <v>65</v>
      </c>
      <c r="AK34">
        <f t="shared" si="16"/>
        <v>1305</v>
      </c>
    </row>
    <row r="35" spans="3:37">
      <c r="C35">
        <v>112014</v>
      </c>
      <c r="E35" t="s">
        <v>137</v>
      </c>
      <c r="J35">
        <v>73</v>
      </c>
      <c r="K35">
        <v>6092400000</v>
      </c>
      <c r="N35" s="103">
        <v>29</v>
      </c>
      <c r="O35">
        <v>1779</v>
      </c>
      <c r="P35">
        <v>773</v>
      </c>
      <c r="Q35">
        <v>13591</v>
      </c>
      <c r="R35">
        <v>2372</v>
      </c>
      <c r="S35">
        <v>1030</v>
      </c>
      <c r="T35">
        <v>18121</v>
      </c>
      <c r="V35">
        <f t="shared" si="11"/>
        <v>29</v>
      </c>
      <c r="W35">
        <v>2922</v>
      </c>
      <c r="X35">
        <v>1281</v>
      </c>
      <c r="Y35">
        <v>22602</v>
      </c>
      <c r="Z35">
        <v>3214</v>
      </c>
      <c r="AA35">
        <v>1410</v>
      </c>
      <c r="AB35">
        <v>24863</v>
      </c>
      <c r="AD35" s="63">
        <v>200204</v>
      </c>
      <c r="AE35" s="136">
        <v>121014</v>
      </c>
      <c r="AF35">
        <f t="shared" si="13"/>
        <v>2</v>
      </c>
      <c r="AG35">
        <f t="shared" si="12"/>
        <v>4</v>
      </c>
      <c r="AH35" t="str">
        <f t="shared" ref="AH35:AH43" si="17">IF(VLOOKUP(AF35,AF:AG,2,1)=4,IF(AG35&lt;3,"简单","困难"),IF(AG35&lt;4,"简单","困难"))</f>
        <v>困难</v>
      </c>
      <c r="AI35">
        <f t="shared" si="14"/>
        <v>868</v>
      </c>
      <c r="AJ35">
        <f t="shared" si="15"/>
        <v>347</v>
      </c>
      <c r="AK35">
        <f t="shared" si="16"/>
        <v>347</v>
      </c>
    </row>
    <row r="36" spans="3:37">
      <c r="C36">
        <v>112015</v>
      </c>
      <c r="E36" t="s">
        <v>138</v>
      </c>
      <c r="J36">
        <v>74</v>
      </c>
      <c r="K36">
        <v>6269600000</v>
      </c>
      <c r="N36" s="103">
        <v>30</v>
      </c>
      <c r="O36">
        <v>2053</v>
      </c>
      <c r="P36">
        <v>902</v>
      </c>
      <c r="Q36">
        <v>16984</v>
      </c>
      <c r="R36">
        <v>2737</v>
      </c>
      <c r="S36">
        <v>1203</v>
      </c>
      <c r="T36">
        <v>22646</v>
      </c>
      <c r="V36">
        <f t="shared" si="11"/>
        <v>30</v>
      </c>
      <c r="W36">
        <v>3390</v>
      </c>
      <c r="X36">
        <v>1505</v>
      </c>
      <c r="Y36">
        <v>28146</v>
      </c>
      <c r="Z36">
        <v>3729</v>
      </c>
      <c r="AA36">
        <v>1655</v>
      </c>
      <c r="AB36">
        <v>30961</v>
      </c>
      <c r="AD36" s="63">
        <v>200204</v>
      </c>
      <c r="AE36" s="136">
        <v>121015</v>
      </c>
      <c r="AF36">
        <f t="shared" si="13"/>
        <v>2</v>
      </c>
      <c r="AG36">
        <f t="shared" si="12"/>
        <v>4</v>
      </c>
      <c r="AH36" t="str">
        <f t="shared" si="17"/>
        <v>困难</v>
      </c>
      <c r="AI36">
        <f t="shared" si="14"/>
        <v>868</v>
      </c>
      <c r="AJ36">
        <f t="shared" si="15"/>
        <v>347</v>
      </c>
      <c r="AK36">
        <f t="shared" si="16"/>
        <v>347</v>
      </c>
    </row>
    <row r="37" spans="3:37">
      <c r="C37">
        <v>112016</v>
      </c>
      <c r="E37" t="s">
        <v>139</v>
      </c>
      <c r="J37">
        <v>75</v>
      </c>
      <c r="K37">
        <v>6450800000</v>
      </c>
      <c r="N37" s="103">
        <v>31</v>
      </c>
      <c r="O37">
        <v>2053</v>
      </c>
      <c r="P37">
        <v>902</v>
      </c>
      <c r="Q37">
        <v>16984</v>
      </c>
      <c r="R37">
        <v>2737</v>
      </c>
      <c r="S37">
        <v>1203</v>
      </c>
      <c r="T37">
        <v>22646</v>
      </c>
      <c r="V37">
        <f t="shared" si="11"/>
        <v>31</v>
      </c>
      <c r="W37">
        <v>3557</v>
      </c>
      <c r="X37">
        <v>1572</v>
      </c>
      <c r="Y37">
        <v>29484</v>
      </c>
      <c r="Z37">
        <v>3913</v>
      </c>
      <c r="AA37">
        <v>1729</v>
      </c>
      <c r="AB37">
        <v>32432</v>
      </c>
      <c r="AD37" s="63">
        <v>200204</v>
      </c>
      <c r="AE37" s="137">
        <v>121021</v>
      </c>
      <c r="AF37">
        <f t="shared" si="13"/>
        <v>2</v>
      </c>
      <c r="AG37">
        <f t="shared" si="12"/>
        <v>4</v>
      </c>
      <c r="AH37" t="str">
        <f t="shared" si="17"/>
        <v>困难</v>
      </c>
      <c r="AI37">
        <f t="shared" si="14"/>
        <v>868</v>
      </c>
      <c r="AJ37">
        <f t="shared" si="15"/>
        <v>347</v>
      </c>
      <c r="AK37">
        <f t="shared" si="16"/>
        <v>347</v>
      </c>
    </row>
    <row r="38" spans="3:37">
      <c r="C38">
        <v>112017</v>
      </c>
      <c r="E38" t="s">
        <v>140</v>
      </c>
      <c r="J38">
        <v>76</v>
      </c>
      <c r="K38">
        <v>6633000000</v>
      </c>
      <c r="N38" s="103">
        <v>32</v>
      </c>
      <c r="O38">
        <v>2157</v>
      </c>
      <c r="P38">
        <v>944</v>
      </c>
      <c r="Q38">
        <v>17820</v>
      </c>
      <c r="R38">
        <v>2876</v>
      </c>
      <c r="S38">
        <v>1259</v>
      </c>
      <c r="T38">
        <v>23760</v>
      </c>
      <c r="V38">
        <f t="shared" si="11"/>
        <v>32</v>
      </c>
      <c r="W38">
        <v>3570</v>
      </c>
      <c r="X38">
        <v>1577</v>
      </c>
      <c r="Y38">
        <v>29590</v>
      </c>
      <c r="Z38">
        <v>3927</v>
      </c>
      <c r="AA38">
        <v>1735</v>
      </c>
      <c r="AB38">
        <v>32549</v>
      </c>
      <c r="AD38" s="63">
        <v>200204</v>
      </c>
      <c r="AE38" s="136">
        <v>121014</v>
      </c>
      <c r="AF38">
        <f t="shared" si="13"/>
        <v>2</v>
      </c>
      <c r="AG38">
        <f t="shared" si="12"/>
        <v>4</v>
      </c>
      <c r="AH38" t="str">
        <f t="shared" si="17"/>
        <v>困难</v>
      </c>
      <c r="AI38">
        <f t="shared" si="14"/>
        <v>868</v>
      </c>
      <c r="AJ38">
        <f t="shared" si="15"/>
        <v>347</v>
      </c>
      <c r="AK38">
        <f t="shared" si="16"/>
        <v>347</v>
      </c>
    </row>
    <row r="39" spans="3:37">
      <c r="C39">
        <v>112018</v>
      </c>
      <c r="E39" t="s">
        <v>141</v>
      </c>
      <c r="J39">
        <v>77</v>
      </c>
      <c r="K39">
        <v>6819100000</v>
      </c>
      <c r="N39" s="103">
        <v>33</v>
      </c>
      <c r="O39">
        <v>2157</v>
      </c>
      <c r="P39">
        <v>944</v>
      </c>
      <c r="Q39">
        <v>17820</v>
      </c>
      <c r="R39">
        <v>2876</v>
      </c>
      <c r="S39">
        <v>1259</v>
      </c>
      <c r="T39">
        <v>23760</v>
      </c>
      <c r="V39">
        <f t="shared" si="11"/>
        <v>33</v>
      </c>
      <c r="W39">
        <v>3583</v>
      </c>
      <c r="X39">
        <v>1582</v>
      </c>
      <c r="Y39">
        <v>29695</v>
      </c>
      <c r="Z39">
        <v>3942</v>
      </c>
      <c r="AA39">
        <v>1740</v>
      </c>
      <c r="AB39">
        <v>32665</v>
      </c>
      <c r="AD39" s="63">
        <v>200204</v>
      </c>
      <c r="AE39" s="136">
        <v>121015</v>
      </c>
      <c r="AF39">
        <f t="shared" si="13"/>
        <v>2</v>
      </c>
      <c r="AG39">
        <f t="shared" si="12"/>
        <v>4</v>
      </c>
      <c r="AH39" t="str">
        <f t="shared" si="17"/>
        <v>困难</v>
      </c>
      <c r="AI39">
        <f t="shared" si="14"/>
        <v>868</v>
      </c>
      <c r="AJ39">
        <f t="shared" si="15"/>
        <v>347</v>
      </c>
      <c r="AK39">
        <f t="shared" si="16"/>
        <v>347</v>
      </c>
    </row>
    <row r="40" spans="3:37">
      <c r="C40">
        <v>112019</v>
      </c>
      <c r="E40" t="s">
        <v>142</v>
      </c>
      <c r="J40">
        <v>78</v>
      </c>
      <c r="K40">
        <v>7007800000</v>
      </c>
      <c r="N40" s="103">
        <v>34</v>
      </c>
      <c r="O40">
        <v>2467</v>
      </c>
      <c r="P40">
        <v>1012</v>
      </c>
      <c r="Q40">
        <v>19030</v>
      </c>
      <c r="R40">
        <v>3289</v>
      </c>
      <c r="S40">
        <v>1349</v>
      </c>
      <c r="T40">
        <v>25374</v>
      </c>
      <c r="V40">
        <f t="shared" si="11"/>
        <v>34</v>
      </c>
      <c r="W40">
        <v>4066</v>
      </c>
      <c r="X40">
        <v>1702</v>
      </c>
      <c r="Y40">
        <v>31809</v>
      </c>
      <c r="Z40">
        <v>4473</v>
      </c>
      <c r="AA40">
        <v>1872</v>
      </c>
      <c r="AB40">
        <v>34990</v>
      </c>
      <c r="AD40" s="69">
        <v>200205</v>
      </c>
      <c r="AE40" s="134">
        <v>1111003</v>
      </c>
      <c r="AF40">
        <f t="shared" si="13"/>
        <v>2</v>
      </c>
      <c r="AG40">
        <f t="shared" si="12"/>
        <v>5</v>
      </c>
      <c r="AH40" t="str">
        <f t="shared" si="17"/>
        <v>困难</v>
      </c>
      <c r="AI40">
        <f t="shared" si="14"/>
        <v>955</v>
      </c>
      <c r="AJ40">
        <f t="shared" si="15"/>
        <v>347</v>
      </c>
      <c r="AK40">
        <f t="shared" si="16"/>
        <v>347</v>
      </c>
    </row>
    <row r="41" spans="3:37">
      <c r="C41">
        <v>112020</v>
      </c>
      <c r="E41" t="s">
        <v>143</v>
      </c>
      <c r="J41">
        <v>79</v>
      </c>
      <c r="K41">
        <v>7197400000</v>
      </c>
      <c r="N41" s="103">
        <v>35</v>
      </c>
      <c r="O41">
        <v>2467</v>
      </c>
      <c r="P41">
        <v>1012</v>
      </c>
      <c r="Q41">
        <v>19030</v>
      </c>
      <c r="R41">
        <v>3289</v>
      </c>
      <c r="S41">
        <v>1349</v>
      </c>
      <c r="T41">
        <v>25374</v>
      </c>
      <c r="V41">
        <f t="shared" si="11"/>
        <v>35</v>
      </c>
      <c r="W41">
        <v>4066</v>
      </c>
      <c r="X41">
        <v>1702</v>
      </c>
      <c r="Y41">
        <v>31809</v>
      </c>
      <c r="Z41">
        <v>4473</v>
      </c>
      <c r="AA41">
        <v>1872</v>
      </c>
      <c r="AB41">
        <v>34990</v>
      </c>
      <c r="AD41" s="69">
        <v>200205</v>
      </c>
      <c r="AE41" s="71">
        <v>121015</v>
      </c>
      <c r="AF41">
        <f t="shared" si="13"/>
        <v>2</v>
      </c>
      <c r="AG41">
        <f t="shared" si="12"/>
        <v>5</v>
      </c>
      <c r="AH41" t="str">
        <f t="shared" si="17"/>
        <v>困难</v>
      </c>
      <c r="AI41">
        <f t="shared" si="14"/>
        <v>868</v>
      </c>
      <c r="AJ41">
        <f t="shared" si="15"/>
        <v>347</v>
      </c>
      <c r="AK41">
        <f t="shared" si="16"/>
        <v>347</v>
      </c>
    </row>
    <row r="42" spans="3:37">
      <c r="C42">
        <v>112024</v>
      </c>
      <c r="E42" t="s">
        <v>144</v>
      </c>
      <c r="J42">
        <v>80</v>
      </c>
      <c r="K42">
        <v>7391100000</v>
      </c>
      <c r="N42" s="103">
        <v>36</v>
      </c>
      <c r="O42">
        <v>2467</v>
      </c>
      <c r="P42">
        <v>1012</v>
      </c>
      <c r="Q42">
        <v>19030</v>
      </c>
      <c r="R42">
        <v>3289</v>
      </c>
      <c r="S42">
        <v>1349</v>
      </c>
      <c r="T42">
        <v>25374</v>
      </c>
      <c r="V42">
        <f t="shared" si="11"/>
        <v>36</v>
      </c>
      <c r="W42">
        <v>4079</v>
      </c>
      <c r="X42">
        <v>1707</v>
      </c>
      <c r="Y42">
        <v>31915</v>
      </c>
      <c r="Z42">
        <v>4487</v>
      </c>
      <c r="AA42">
        <v>1878</v>
      </c>
      <c r="AB42">
        <v>35106</v>
      </c>
      <c r="AD42" s="69">
        <v>200205</v>
      </c>
      <c r="AE42" s="71">
        <v>121015</v>
      </c>
      <c r="AF42">
        <f t="shared" si="13"/>
        <v>2</v>
      </c>
      <c r="AG42">
        <f t="shared" si="12"/>
        <v>5</v>
      </c>
      <c r="AH42" t="str">
        <f t="shared" si="17"/>
        <v>困难</v>
      </c>
      <c r="AI42">
        <f t="shared" si="14"/>
        <v>868</v>
      </c>
      <c r="AJ42">
        <f t="shared" si="15"/>
        <v>347</v>
      </c>
      <c r="AK42">
        <f t="shared" si="16"/>
        <v>347</v>
      </c>
    </row>
    <row r="43" spans="3:37">
      <c r="C43">
        <v>112025</v>
      </c>
      <c r="E43" t="s">
        <v>145</v>
      </c>
      <c r="J43">
        <v>81</v>
      </c>
      <c r="K43">
        <v>7391100000</v>
      </c>
      <c r="N43" s="103">
        <v>37</v>
      </c>
      <c r="O43">
        <v>2596</v>
      </c>
      <c r="P43">
        <v>1132</v>
      </c>
      <c r="Q43">
        <v>20067</v>
      </c>
      <c r="R43">
        <v>3462</v>
      </c>
      <c r="S43">
        <v>1510</v>
      </c>
      <c r="T43">
        <v>26756</v>
      </c>
      <c r="V43">
        <f t="shared" si="11"/>
        <v>37</v>
      </c>
      <c r="W43">
        <v>4106</v>
      </c>
      <c r="X43">
        <v>1814</v>
      </c>
      <c r="Y43">
        <v>32126</v>
      </c>
      <c r="Z43">
        <v>4516</v>
      </c>
      <c r="AA43">
        <v>1996</v>
      </c>
      <c r="AB43">
        <v>35339</v>
      </c>
      <c r="AD43" s="69">
        <v>200205</v>
      </c>
      <c r="AE43" s="71">
        <v>121014</v>
      </c>
      <c r="AF43">
        <f t="shared" si="13"/>
        <v>2</v>
      </c>
      <c r="AG43">
        <f t="shared" si="12"/>
        <v>5</v>
      </c>
      <c r="AH43" t="str">
        <f t="shared" si="17"/>
        <v>困难</v>
      </c>
      <c r="AI43">
        <f t="shared" si="14"/>
        <v>868</v>
      </c>
      <c r="AJ43">
        <f t="shared" si="15"/>
        <v>347</v>
      </c>
      <c r="AK43">
        <f t="shared" si="16"/>
        <v>347</v>
      </c>
    </row>
    <row r="44" spans="3:37">
      <c r="C44">
        <v>112026</v>
      </c>
      <c r="E44" t="s">
        <v>146</v>
      </c>
      <c r="N44" s="103">
        <v>38</v>
      </c>
      <c r="O44">
        <v>2596</v>
      </c>
      <c r="P44">
        <v>1132</v>
      </c>
      <c r="Q44">
        <v>20067</v>
      </c>
      <c r="R44">
        <v>3462</v>
      </c>
      <c r="S44">
        <v>1510</v>
      </c>
      <c r="T44">
        <v>26756</v>
      </c>
      <c r="V44">
        <f t="shared" si="11"/>
        <v>38</v>
      </c>
      <c r="W44">
        <v>4106</v>
      </c>
      <c r="X44">
        <v>1814</v>
      </c>
      <c r="Y44">
        <v>32126</v>
      </c>
      <c r="Z44">
        <v>4516</v>
      </c>
      <c r="AA44">
        <v>1996</v>
      </c>
      <c r="AB44">
        <v>35339</v>
      </c>
      <c r="AD44" s="69">
        <v>200205</v>
      </c>
      <c r="AE44" s="71">
        <v>121014</v>
      </c>
      <c r="AF44">
        <f t="shared" si="13"/>
        <v>2</v>
      </c>
      <c r="AG44">
        <f t="shared" si="12"/>
        <v>5</v>
      </c>
      <c r="AH44" t="str">
        <f t="shared" ref="AH44:AH107" si="18">IF(VLOOKUP(AF44,AF:AG,2,1)=4,IF(AG44&lt;3,"简单","困难"),IF(AG44&lt;4,"简单","困难"))</f>
        <v>困难</v>
      </c>
      <c r="AI44">
        <f t="shared" si="14"/>
        <v>868</v>
      </c>
      <c r="AJ44">
        <f t="shared" si="15"/>
        <v>347</v>
      </c>
      <c r="AK44">
        <f t="shared" si="16"/>
        <v>347</v>
      </c>
    </row>
    <row r="45" spans="3:37">
      <c r="C45">
        <v>113001</v>
      </c>
      <c r="E45" t="s">
        <v>147</v>
      </c>
      <c r="N45" s="103">
        <v>39</v>
      </c>
      <c r="O45">
        <v>2596</v>
      </c>
      <c r="P45">
        <v>1132</v>
      </c>
      <c r="Q45">
        <v>20067</v>
      </c>
      <c r="R45">
        <v>3462</v>
      </c>
      <c r="S45">
        <v>1510</v>
      </c>
      <c r="T45">
        <v>26756</v>
      </c>
      <c r="V45">
        <f t="shared" si="11"/>
        <v>39</v>
      </c>
      <c r="W45">
        <v>4119</v>
      </c>
      <c r="X45">
        <v>1820</v>
      </c>
      <c r="Y45">
        <v>32232</v>
      </c>
      <c r="Z45">
        <v>4531</v>
      </c>
      <c r="AA45">
        <v>2002</v>
      </c>
      <c r="AB45">
        <v>35455</v>
      </c>
      <c r="AD45" s="138">
        <v>200206</v>
      </c>
      <c r="AE45" s="139">
        <v>1112010</v>
      </c>
      <c r="AF45">
        <f t="shared" si="13"/>
        <v>2</v>
      </c>
      <c r="AG45">
        <f t="shared" si="12"/>
        <v>6</v>
      </c>
      <c r="AH45" t="str">
        <f t="shared" si="18"/>
        <v>困难</v>
      </c>
      <c r="AI45">
        <f t="shared" si="14"/>
        <v>955</v>
      </c>
      <c r="AJ45">
        <f t="shared" si="15"/>
        <v>347</v>
      </c>
      <c r="AK45">
        <f t="shared" si="16"/>
        <v>347</v>
      </c>
    </row>
    <row r="46" spans="3:37">
      <c r="C46">
        <v>113002</v>
      </c>
      <c r="E46" t="s">
        <v>148</v>
      </c>
      <c r="N46" s="103">
        <v>40</v>
      </c>
      <c r="O46">
        <v>2784</v>
      </c>
      <c r="P46">
        <v>1229</v>
      </c>
      <c r="Q46">
        <v>23104</v>
      </c>
      <c r="R46">
        <v>3712</v>
      </c>
      <c r="S46">
        <v>1638</v>
      </c>
      <c r="T46">
        <v>30806</v>
      </c>
      <c r="V46">
        <f t="shared" si="11"/>
        <v>40</v>
      </c>
      <c r="W46">
        <v>4428</v>
      </c>
      <c r="X46">
        <v>1982</v>
      </c>
      <c r="Y46">
        <v>36946</v>
      </c>
      <c r="Z46">
        <v>4871</v>
      </c>
      <c r="AA46">
        <v>2180</v>
      </c>
      <c r="AB46">
        <v>40641</v>
      </c>
      <c r="AD46" s="138">
        <v>200206</v>
      </c>
      <c r="AE46" s="139">
        <v>121016</v>
      </c>
      <c r="AF46">
        <f t="shared" si="13"/>
        <v>2</v>
      </c>
      <c r="AG46">
        <f t="shared" si="12"/>
        <v>6</v>
      </c>
      <c r="AH46" t="str">
        <f t="shared" si="18"/>
        <v>困难</v>
      </c>
      <c r="AI46">
        <f t="shared" si="14"/>
        <v>868</v>
      </c>
      <c r="AJ46">
        <f t="shared" si="15"/>
        <v>347</v>
      </c>
      <c r="AK46">
        <f t="shared" si="16"/>
        <v>347</v>
      </c>
    </row>
    <row r="47" spans="3:37">
      <c r="C47">
        <v>113003</v>
      </c>
      <c r="E47" t="s">
        <v>149</v>
      </c>
      <c r="N47" s="103">
        <v>41</v>
      </c>
      <c r="O47">
        <v>2784</v>
      </c>
      <c r="P47">
        <v>1229</v>
      </c>
      <c r="Q47">
        <v>23104</v>
      </c>
      <c r="R47">
        <v>3712</v>
      </c>
      <c r="S47">
        <v>1638</v>
      </c>
      <c r="T47">
        <v>30806</v>
      </c>
      <c r="V47">
        <f t="shared" si="11"/>
        <v>41</v>
      </c>
      <c r="W47">
        <v>4428</v>
      </c>
      <c r="X47">
        <v>1982</v>
      </c>
      <c r="Y47">
        <v>36946</v>
      </c>
      <c r="Z47">
        <v>4871</v>
      </c>
      <c r="AA47">
        <v>2180</v>
      </c>
      <c r="AB47">
        <v>40641</v>
      </c>
      <c r="AD47" s="138">
        <v>200206</v>
      </c>
      <c r="AE47" s="139">
        <v>121016</v>
      </c>
      <c r="AF47">
        <f t="shared" si="13"/>
        <v>2</v>
      </c>
      <c r="AG47">
        <f t="shared" si="12"/>
        <v>6</v>
      </c>
      <c r="AH47" t="str">
        <f t="shared" si="18"/>
        <v>困难</v>
      </c>
      <c r="AI47">
        <f t="shared" si="14"/>
        <v>868</v>
      </c>
      <c r="AJ47">
        <f t="shared" si="15"/>
        <v>347</v>
      </c>
      <c r="AK47">
        <f t="shared" si="16"/>
        <v>347</v>
      </c>
    </row>
    <row r="48" spans="3:37">
      <c r="C48">
        <v>113004</v>
      </c>
      <c r="E48" t="s">
        <v>150</v>
      </c>
      <c r="N48" s="103">
        <v>42</v>
      </c>
      <c r="O48">
        <v>2784</v>
      </c>
      <c r="P48">
        <v>1229</v>
      </c>
      <c r="Q48">
        <v>23104</v>
      </c>
      <c r="R48">
        <v>3712</v>
      </c>
      <c r="S48">
        <v>1638</v>
      </c>
      <c r="T48">
        <v>30806</v>
      </c>
      <c r="V48">
        <f t="shared" si="11"/>
        <v>42</v>
      </c>
      <c r="W48">
        <v>4455</v>
      </c>
      <c r="X48">
        <v>1993</v>
      </c>
      <c r="Y48">
        <v>37158</v>
      </c>
      <c r="Z48">
        <v>4900</v>
      </c>
      <c r="AA48">
        <v>2192</v>
      </c>
      <c r="AB48">
        <v>40873</v>
      </c>
      <c r="AD48" s="138">
        <v>200206</v>
      </c>
      <c r="AE48" s="139">
        <v>121014</v>
      </c>
      <c r="AF48">
        <f t="shared" si="13"/>
        <v>2</v>
      </c>
      <c r="AG48">
        <f t="shared" si="12"/>
        <v>6</v>
      </c>
      <c r="AH48" t="str">
        <f t="shared" si="18"/>
        <v>困难</v>
      </c>
      <c r="AI48">
        <f t="shared" si="14"/>
        <v>868</v>
      </c>
      <c r="AJ48">
        <f t="shared" si="15"/>
        <v>347</v>
      </c>
      <c r="AK48">
        <f t="shared" si="16"/>
        <v>347</v>
      </c>
    </row>
    <row r="49" spans="3:37">
      <c r="C49">
        <v>113006</v>
      </c>
      <c r="E49" t="s">
        <v>151</v>
      </c>
      <c r="N49" s="103">
        <v>43</v>
      </c>
      <c r="O49">
        <v>3189</v>
      </c>
      <c r="P49">
        <v>1319</v>
      </c>
      <c r="Q49">
        <v>24766</v>
      </c>
      <c r="R49">
        <v>4252</v>
      </c>
      <c r="S49">
        <v>1759</v>
      </c>
      <c r="T49">
        <v>33022</v>
      </c>
      <c r="V49">
        <f t="shared" si="11"/>
        <v>43</v>
      </c>
      <c r="W49">
        <v>5083</v>
      </c>
      <c r="X49">
        <v>2135</v>
      </c>
      <c r="Y49">
        <v>39729</v>
      </c>
      <c r="Z49">
        <v>5591</v>
      </c>
      <c r="AA49">
        <v>2349</v>
      </c>
      <c r="AB49">
        <v>43702</v>
      </c>
      <c r="AD49" s="138">
        <v>200206</v>
      </c>
      <c r="AE49" s="139">
        <v>121015</v>
      </c>
      <c r="AF49">
        <f t="shared" si="13"/>
        <v>2</v>
      </c>
      <c r="AG49">
        <f t="shared" si="12"/>
        <v>6</v>
      </c>
      <c r="AH49" t="str">
        <f t="shared" si="18"/>
        <v>困难</v>
      </c>
      <c r="AI49">
        <f t="shared" si="14"/>
        <v>868</v>
      </c>
      <c r="AJ49">
        <f t="shared" si="15"/>
        <v>347</v>
      </c>
      <c r="AK49">
        <f t="shared" si="16"/>
        <v>347</v>
      </c>
    </row>
    <row r="50" spans="3:37">
      <c r="C50">
        <v>113008</v>
      </c>
      <c r="E50" t="s">
        <v>152</v>
      </c>
      <c r="N50" s="103">
        <v>44</v>
      </c>
      <c r="O50">
        <v>3189</v>
      </c>
      <c r="P50">
        <v>1319</v>
      </c>
      <c r="Q50">
        <v>24766</v>
      </c>
      <c r="R50">
        <v>4252</v>
      </c>
      <c r="S50">
        <v>1759</v>
      </c>
      <c r="T50">
        <v>33022</v>
      </c>
      <c r="V50">
        <f t="shared" si="11"/>
        <v>44</v>
      </c>
      <c r="W50">
        <v>5083</v>
      </c>
      <c r="X50">
        <v>2135</v>
      </c>
      <c r="Y50">
        <v>39729</v>
      </c>
      <c r="Z50">
        <v>5591</v>
      </c>
      <c r="AA50">
        <v>2349</v>
      </c>
      <c r="AB50">
        <v>43702</v>
      </c>
      <c r="AD50" s="69" t="s">
        <v>153</v>
      </c>
      <c r="AE50" s="71">
        <v>121003</v>
      </c>
      <c r="AF50">
        <f t="shared" si="13"/>
        <v>3</v>
      </c>
      <c r="AG50">
        <f t="shared" si="12"/>
        <v>1</v>
      </c>
      <c r="AH50" t="str">
        <f t="shared" si="18"/>
        <v>简单</v>
      </c>
      <c r="AI50">
        <f t="shared" si="14"/>
        <v>199</v>
      </c>
      <c r="AJ50">
        <f t="shared" si="15"/>
        <v>79</v>
      </c>
      <c r="AK50">
        <f t="shared" si="16"/>
        <v>1593</v>
      </c>
    </row>
    <row r="51" spans="3:37">
      <c r="C51">
        <v>113009</v>
      </c>
      <c r="E51" t="s">
        <v>154</v>
      </c>
      <c r="N51" s="103">
        <v>45</v>
      </c>
      <c r="O51">
        <v>3189</v>
      </c>
      <c r="P51">
        <v>1319</v>
      </c>
      <c r="Q51">
        <v>24766</v>
      </c>
      <c r="R51">
        <v>4252</v>
      </c>
      <c r="S51">
        <v>1759</v>
      </c>
      <c r="T51">
        <v>33022</v>
      </c>
      <c r="V51">
        <f t="shared" si="11"/>
        <v>45</v>
      </c>
      <c r="W51">
        <v>5109</v>
      </c>
      <c r="X51">
        <v>2278</v>
      </c>
      <c r="Y51">
        <v>39941</v>
      </c>
      <c r="Z51">
        <v>5620</v>
      </c>
      <c r="AA51">
        <v>2505</v>
      </c>
      <c r="AB51">
        <v>43935</v>
      </c>
      <c r="AD51" s="69" t="s">
        <v>153</v>
      </c>
      <c r="AE51" s="71">
        <v>121004</v>
      </c>
      <c r="AF51">
        <f t="shared" si="13"/>
        <v>3</v>
      </c>
      <c r="AG51">
        <f t="shared" si="12"/>
        <v>1</v>
      </c>
      <c r="AH51" t="str">
        <f t="shared" si="18"/>
        <v>简单</v>
      </c>
      <c r="AI51">
        <f t="shared" si="14"/>
        <v>199</v>
      </c>
      <c r="AJ51">
        <f t="shared" si="15"/>
        <v>79</v>
      </c>
      <c r="AK51">
        <f t="shared" si="16"/>
        <v>1593</v>
      </c>
    </row>
    <row r="52" spans="3:37">
      <c r="C52">
        <v>113010</v>
      </c>
      <c r="E52" t="s">
        <v>155</v>
      </c>
      <c r="N52" s="103">
        <v>46</v>
      </c>
      <c r="O52">
        <v>3678</v>
      </c>
      <c r="P52">
        <v>1618</v>
      </c>
      <c r="Q52">
        <v>30525</v>
      </c>
      <c r="R52">
        <v>4904</v>
      </c>
      <c r="S52">
        <v>2158</v>
      </c>
      <c r="T52">
        <v>40700</v>
      </c>
      <c r="V52">
        <f t="shared" si="11"/>
        <v>46</v>
      </c>
      <c r="W52">
        <v>5935</v>
      </c>
      <c r="X52">
        <v>2644</v>
      </c>
      <c r="Y52">
        <v>49495</v>
      </c>
      <c r="Z52">
        <v>6529</v>
      </c>
      <c r="AA52">
        <v>2908</v>
      </c>
      <c r="AB52">
        <v>54445</v>
      </c>
      <c r="AD52" s="69" t="s">
        <v>153</v>
      </c>
      <c r="AE52" s="71">
        <v>1111005</v>
      </c>
      <c r="AF52">
        <f t="shared" si="13"/>
        <v>3</v>
      </c>
      <c r="AG52">
        <f t="shared" si="12"/>
        <v>1</v>
      </c>
      <c r="AH52" t="str">
        <f t="shared" si="18"/>
        <v>简单</v>
      </c>
      <c r="AI52">
        <f t="shared" si="14"/>
        <v>265</v>
      </c>
      <c r="AJ52">
        <f t="shared" si="15"/>
        <v>79</v>
      </c>
      <c r="AK52">
        <f t="shared" si="16"/>
        <v>1593</v>
      </c>
    </row>
    <row r="53" spans="14:37">
      <c r="N53" s="103">
        <v>47</v>
      </c>
      <c r="O53">
        <v>3678</v>
      </c>
      <c r="P53">
        <v>1618</v>
      </c>
      <c r="Q53">
        <v>30525</v>
      </c>
      <c r="R53">
        <v>4904</v>
      </c>
      <c r="S53">
        <v>2158</v>
      </c>
      <c r="T53">
        <v>40700</v>
      </c>
      <c r="V53">
        <f t="shared" si="11"/>
        <v>47</v>
      </c>
      <c r="W53">
        <v>5935</v>
      </c>
      <c r="X53">
        <v>2644</v>
      </c>
      <c r="Y53">
        <v>49495</v>
      </c>
      <c r="Z53">
        <v>6529</v>
      </c>
      <c r="AA53">
        <v>2908</v>
      </c>
      <c r="AB53">
        <v>54445</v>
      </c>
      <c r="AD53" s="69" t="s">
        <v>153</v>
      </c>
      <c r="AE53" s="71">
        <v>121002</v>
      </c>
      <c r="AF53">
        <f t="shared" si="13"/>
        <v>3</v>
      </c>
      <c r="AG53">
        <f t="shared" si="12"/>
        <v>1</v>
      </c>
      <c r="AH53" t="str">
        <f t="shared" si="18"/>
        <v>简单</v>
      </c>
      <c r="AI53">
        <f t="shared" si="14"/>
        <v>199</v>
      </c>
      <c r="AJ53">
        <f t="shared" si="15"/>
        <v>79</v>
      </c>
      <c r="AK53">
        <f t="shared" si="16"/>
        <v>1593</v>
      </c>
    </row>
    <row r="54" spans="14:37">
      <c r="N54" s="103">
        <v>48</v>
      </c>
      <c r="O54">
        <v>3678</v>
      </c>
      <c r="P54">
        <v>1618</v>
      </c>
      <c r="Q54">
        <v>30525</v>
      </c>
      <c r="R54">
        <v>4904</v>
      </c>
      <c r="S54">
        <v>2158</v>
      </c>
      <c r="T54">
        <v>40700</v>
      </c>
      <c r="V54">
        <f t="shared" si="11"/>
        <v>48</v>
      </c>
      <c r="W54">
        <v>5962</v>
      </c>
      <c r="X54">
        <v>2654</v>
      </c>
      <c r="Y54">
        <v>49706</v>
      </c>
      <c r="Z54">
        <v>6558</v>
      </c>
      <c r="AA54">
        <v>2920</v>
      </c>
      <c r="AB54">
        <v>54677</v>
      </c>
      <c r="AD54" s="69" t="s">
        <v>153</v>
      </c>
      <c r="AE54" s="71">
        <v>121002</v>
      </c>
      <c r="AF54">
        <f t="shared" si="13"/>
        <v>3</v>
      </c>
      <c r="AG54">
        <f t="shared" si="12"/>
        <v>1</v>
      </c>
      <c r="AH54" t="str">
        <f t="shared" si="18"/>
        <v>简单</v>
      </c>
      <c r="AI54">
        <f t="shared" si="14"/>
        <v>199</v>
      </c>
      <c r="AJ54">
        <f t="shared" si="15"/>
        <v>79</v>
      </c>
      <c r="AK54">
        <f t="shared" si="16"/>
        <v>1593</v>
      </c>
    </row>
    <row r="55" spans="3:37">
      <c r="C55">
        <v>10725</v>
      </c>
      <c r="D55">
        <v>121205</v>
      </c>
      <c r="N55" s="103">
        <v>49</v>
      </c>
      <c r="O55">
        <v>4158</v>
      </c>
      <c r="P55">
        <v>1721</v>
      </c>
      <c r="Q55">
        <v>32427</v>
      </c>
      <c r="R55">
        <v>5544</v>
      </c>
      <c r="S55">
        <v>2295</v>
      </c>
      <c r="T55">
        <v>43236</v>
      </c>
      <c r="V55">
        <f t="shared" si="11"/>
        <v>49</v>
      </c>
      <c r="W55">
        <v>6510</v>
      </c>
      <c r="X55">
        <v>2761</v>
      </c>
      <c r="Y55">
        <v>51068</v>
      </c>
      <c r="Z55">
        <v>7161</v>
      </c>
      <c r="AA55">
        <v>3038</v>
      </c>
      <c r="AB55">
        <v>56175</v>
      </c>
      <c r="AD55" s="131" t="s">
        <v>156</v>
      </c>
      <c r="AE55" s="65">
        <v>1111005</v>
      </c>
      <c r="AF55">
        <f t="shared" si="13"/>
        <v>3</v>
      </c>
      <c r="AG55">
        <f t="shared" si="12"/>
        <v>2</v>
      </c>
      <c r="AH55" t="str">
        <f t="shared" si="18"/>
        <v>简单</v>
      </c>
      <c r="AI55">
        <f t="shared" si="14"/>
        <v>265</v>
      </c>
      <c r="AJ55">
        <f t="shared" si="15"/>
        <v>79</v>
      </c>
      <c r="AK55">
        <f t="shared" si="16"/>
        <v>1593</v>
      </c>
    </row>
    <row r="56" spans="3:37">
      <c r="C56">
        <v>10726</v>
      </c>
      <c r="D56">
        <v>121206</v>
      </c>
      <c r="N56" s="103">
        <v>50</v>
      </c>
      <c r="O56">
        <v>4158</v>
      </c>
      <c r="P56">
        <v>1721</v>
      </c>
      <c r="Q56">
        <v>32427</v>
      </c>
      <c r="R56">
        <v>5544</v>
      </c>
      <c r="S56">
        <v>2295</v>
      </c>
      <c r="T56">
        <v>43236</v>
      </c>
      <c r="V56">
        <f t="shared" si="11"/>
        <v>50</v>
      </c>
      <c r="W56">
        <v>6510</v>
      </c>
      <c r="X56">
        <v>2761</v>
      </c>
      <c r="Y56">
        <v>51068</v>
      </c>
      <c r="Z56">
        <v>7161</v>
      </c>
      <c r="AA56">
        <v>3038</v>
      </c>
      <c r="AB56">
        <v>56175</v>
      </c>
      <c r="AD56" s="131" t="s">
        <v>156</v>
      </c>
      <c r="AE56" s="65">
        <v>1111004</v>
      </c>
      <c r="AF56">
        <f t="shared" si="13"/>
        <v>3</v>
      </c>
      <c r="AG56">
        <f t="shared" si="12"/>
        <v>2</v>
      </c>
      <c r="AH56" t="str">
        <f t="shared" si="18"/>
        <v>简单</v>
      </c>
      <c r="AI56">
        <f t="shared" si="14"/>
        <v>265</v>
      </c>
      <c r="AJ56">
        <f t="shared" si="15"/>
        <v>79</v>
      </c>
      <c r="AK56">
        <f t="shared" si="16"/>
        <v>1593</v>
      </c>
    </row>
    <row r="57" spans="14:37">
      <c r="N57" s="103">
        <v>51</v>
      </c>
      <c r="O57">
        <v>4158</v>
      </c>
      <c r="P57">
        <v>1721</v>
      </c>
      <c r="Q57">
        <v>32427</v>
      </c>
      <c r="R57">
        <v>5544</v>
      </c>
      <c r="S57">
        <v>2295</v>
      </c>
      <c r="T57">
        <v>43236</v>
      </c>
      <c r="V57">
        <f t="shared" si="11"/>
        <v>51</v>
      </c>
      <c r="W57">
        <v>6524</v>
      </c>
      <c r="X57">
        <v>2767</v>
      </c>
      <c r="Y57">
        <v>51174</v>
      </c>
      <c r="Z57">
        <v>7176</v>
      </c>
      <c r="AA57">
        <v>3043</v>
      </c>
      <c r="AB57">
        <v>56291</v>
      </c>
      <c r="AD57" s="131" t="s">
        <v>156</v>
      </c>
      <c r="AE57" s="65">
        <v>121001</v>
      </c>
      <c r="AF57">
        <f t="shared" si="13"/>
        <v>3</v>
      </c>
      <c r="AG57">
        <f t="shared" si="12"/>
        <v>2</v>
      </c>
      <c r="AH57" t="str">
        <f t="shared" si="18"/>
        <v>简单</v>
      </c>
      <c r="AI57">
        <f t="shared" si="14"/>
        <v>199</v>
      </c>
      <c r="AJ57">
        <f t="shared" si="15"/>
        <v>79</v>
      </c>
      <c r="AK57">
        <f t="shared" si="16"/>
        <v>1593</v>
      </c>
    </row>
    <row r="58" spans="14:37">
      <c r="N58" s="103">
        <v>52</v>
      </c>
      <c r="O58">
        <v>4180</v>
      </c>
      <c r="P58">
        <v>1831</v>
      </c>
      <c r="Q58">
        <v>32600</v>
      </c>
      <c r="R58">
        <v>5573</v>
      </c>
      <c r="S58">
        <v>2442</v>
      </c>
      <c r="T58">
        <v>43467</v>
      </c>
      <c r="V58">
        <f t="shared" si="11"/>
        <v>52</v>
      </c>
      <c r="W58">
        <v>6550</v>
      </c>
      <c r="X58">
        <v>2944</v>
      </c>
      <c r="Y58">
        <v>51385</v>
      </c>
      <c r="Z58">
        <v>7205</v>
      </c>
      <c r="AA58">
        <v>3239</v>
      </c>
      <c r="AB58">
        <v>56523</v>
      </c>
      <c r="AD58" s="131" t="s">
        <v>156</v>
      </c>
      <c r="AE58" s="65">
        <v>121032</v>
      </c>
      <c r="AF58">
        <f t="shared" si="13"/>
        <v>3</v>
      </c>
      <c r="AG58">
        <f t="shared" si="12"/>
        <v>2</v>
      </c>
      <c r="AH58" t="str">
        <f t="shared" si="18"/>
        <v>简单</v>
      </c>
      <c r="AI58">
        <f t="shared" si="14"/>
        <v>199</v>
      </c>
      <c r="AJ58">
        <f t="shared" si="15"/>
        <v>79</v>
      </c>
      <c r="AK58">
        <f t="shared" si="16"/>
        <v>1593</v>
      </c>
    </row>
    <row r="59" spans="14:37">
      <c r="N59" s="103">
        <v>53</v>
      </c>
      <c r="O59">
        <v>4180</v>
      </c>
      <c r="P59">
        <v>1831</v>
      </c>
      <c r="Q59">
        <v>32600</v>
      </c>
      <c r="R59">
        <v>5573</v>
      </c>
      <c r="S59">
        <v>2442</v>
      </c>
      <c r="T59">
        <v>43467</v>
      </c>
      <c r="V59">
        <f t="shared" si="11"/>
        <v>53</v>
      </c>
      <c r="W59">
        <v>6550</v>
      </c>
      <c r="X59">
        <v>2944</v>
      </c>
      <c r="Y59">
        <v>51385</v>
      </c>
      <c r="Z59">
        <v>7205</v>
      </c>
      <c r="AA59">
        <v>3239</v>
      </c>
      <c r="AB59">
        <v>56523</v>
      </c>
      <c r="AD59" s="131" t="s">
        <v>156</v>
      </c>
      <c r="AE59" s="65">
        <v>121001</v>
      </c>
      <c r="AF59">
        <f t="shared" si="13"/>
        <v>3</v>
      </c>
      <c r="AG59">
        <f t="shared" si="12"/>
        <v>2</v>
      </c>
      <c r="AH59" t="str">
        <f t="shared" si="18"/>
        <v>简单</v>
      </c>
      <c r="AI59">
        <f t="shared" si="14"/>
        <v>199</v>
      </c>
      <c r="AJ59">
        <f t="shared" si="15"/>
        <v>79</v>
      </c>
      <c r="AK59">
        <f t="shared" si="16"/>
        <v>1593</v>
      </c>
    </row>
    <row r="60" spans="14:37">
      <c r="N60" s="103">
        <v>54</v>
      </c>
      <c r="O60">
        <v>4180</v>
      </c>
      <c r="P60">
        <v>1831</v>
      </c>
      <c r="Q60">
        <v>32600</v>
      </c>
      <c r="R60">
        <v>5573</v>
      </c>
      <c r="S60">
        <v>2442</v>
      </c>
      <c r="T60">
        <v>43467</v>
      </c>
      <c r="V60">
        <f t="shared" si="11"/>
        <v>54</v>
      </c>
      <c r="W60">
        <v>6563</v>
      </c>
      <c r="X60">
        <v>2950</v>
      </c>
      <c r="Y60">
        <v>51491</v>
      </c>
      <c r="Z60">
        <v>7220</v>
      </c>
      <c r="AA60">
        <v>3245</v>
      </c>
      <c r="AB60">
        <v>56640</v>
      </c>
      <c r="AD60" s="69">
        <v>200303</v>
      </c>
      <c r="AE60" s="71">
        <v>121003</v>
      </c>
      <c r="AF60">
        <f t="shared" si="13"/>
        <v>3</v>
      </c>
      <c r="AG60">
        <f t="shared" si="12"/>
        <v>3</v>
      </c>
      <c r="AH60" t="str">
        <f t="shared" si="18"/>
        <v>困难</v>
      </c>
      <c r="AI60">
        <f t="shared" si="14"/>
        <v>987</v>
      </c>
      <c r="AJ60">
        <f t="shared" si="15"/>
        <v>351</v>
      </c>
      <c r="AK60">
        <f t="shared" si="16"/>
        <v>351</v>
      </c>
    </row>
    <row r="61" spans="14:37">
      <c r="N61" s="103">
        <v>55</v>
      </c>
      <c r="O61">
        <v>4454</v>
      </c>
      <c r="P61">
        <v>1971</v>
      </c>
      <c r="Q61">
        <v>37005</v>
      </c>
      <c r="R61">
        <v>5939</v>
      </c>
      <c r="S61">
        <v>2628</v>
      </c>
      <c r="T61">
        <v>49340</v>
      </c>
      <c r="V61">
        <f t="shared" si="11"/>
        <v>55</v>
      </c>
      <c r="W61">
        <v>6974</v>
      </c>
      <c r="X61">
        <v>3174</v>
      </c>
      <c r="Y61">
        <v>58603</v>
      </c>
      <c r="Z61">
        <v>7671</v>
      </c>
      <c r="AA61">
        <v>3491</v>
      </c>
      <c r="AB61">
        <v>64463</v>
      </c>
      <c r="AD61" s="69">
        <v>200303</v>
      </c>
      <c r="AE61" s="71">
        <v>121004</v>
      </c>
      <c r="AF61">
        <f t="shared" si="13"/>
        <v>3</v>
      </c>
      <c r="AG61">
        <f t="shared" si="12"/>
        <v>3</v>
      </c>
      <c r="AH61" t="str">
        <f t="shared" si="18"/>
        <v>困难</v>
      </c>
      <c r="AI61">
        <f t="shared" si="14"/>
        <v>987</v>
      </c>
      <c r="AJ61">
        <f t="shared" si="15"/>
        <v>351</v>
      </c>
      <c r="AK61">
        <f t="shared" si="16"/>
        <v>351</v>
      </c>
    </row>
    <row r="62" spans="14:37">
      <c r="N62" s="103">
        <v>56</v>
      </c>
      <c r="O62">
        <v>4454</v>
      </c>
      <c r="P62">
        <v>1971</v>
      </c>
      <c r="Q62">
        <v>37005</v>
      </c>
      <c r="R62">
        <v>5939</v>
      </c>
      <c r="S62">
        <v>2628</v>
      </c>
      <c r="T62">
        <v>49340</v>
      </c>
      <c r="V62">
        <f t="shared" si="11"/>
        <v>56</v>
      </c>
      <c r="W62">
        <v>6974</v>
      </c>
      <c r="X62">
        <v>3174</v>
      </c>
      <c r="Y62">
        <v>58603</v>
      </c>
      <c r="Z62">
        <v>7671</v>
      </c>
      <c r="AA62">
        <v>3491</v>
      </c>
      <c r="AB62">
        <v>64463</v>
      </c>
      <c r="AD62" s="69">
        <v>200303</v>
      </c>
      <c r="AE62" s="71">
        <v>1111005</v>
      </c>
      <c r="AF62">
        <f t="shared" si="13"/>
        <v>3</v>
      </c>
      <c r="AG62">
        <f t="shared" si="12"/>
        <v>3</v>
      </c>
      <c r="AH62" t="str">
        <f t="shared" si="18"/>
        <v>困难</v>
      </c>
      <c r="AI62">
        <f t="shared" si="14"/>
        <v>1086</v>
      </c>
      <c r="AJ62">
        <f t="shared" si="15"/>
        <v>351</v>
      </c>
      <c r="AK62">
        <f t="shared" si="16"/>
        <v>351</v>
      </c>
    </row>
    <row r="63" spans="14:37">
      <c r="N63" s="103">
        <v>57</v>
      </c>
      <c r="O63">
        <v>4454</v>
      </c>
      <c r="P63">
        <v>1971</v>
      </c>
      <c r="Q63">
        <v>37005</v>
      </c>
      <c r="R63">
        <v>5939</v>
      </c>
      <c r="S63">
        <v>2628</v>
      </c>
      <c r="T63">
        <v>49340</v>
      </c>
      <c r="V63">
        <f t="shared" si="11"/>
        <v>57</v>
      </c>
      <c r="W63">
        <v>7000</v>
      </c>
      <c r="X63">
        <v>3184</v>
      </c>
      <c r="Y63">
        <v>58814</v>
      </c>
      <c r="Z63">
        <v>7700</v>
      </c>
      <c r="AA63">
        <v>3503</v>
      </c>
      <c r="AB63">
        <v>64696</v>
      </c>
      <c r="AD63" s="69">
        <v>200303</v>
      </c>
      <c r="AE63" s="71">
        <v>121002</v>
      </c>
      <c r="AF63">
        <f t="shared" si="13"/>
        <v>3</v>
      </c>
      <c r="AG63">
        <f t="shared" si="12"/>
        <v>3</v>
      </c>
      <c r="AH63" t="str">
        <f t="shared" si="18"/>
        <v>困难</v>
      </c>
      <c r="AI63">
        <f t="shared" si="14"/>
        <v>987</v>
      </c>
      <c r="AJ63">
        <f t="shared" si="15"/>
        <v>351</v>
      </c>
      <c r="AK63">
        <f t="shared" si="16"/>
        <v>351</v>
      </c>
    </row>
    <row r="64" spans="14:37">
      <c r="N64" s="103">
        <v>58</v>
      </c>
      <c r="O64">
        <v>5009</v>
      </c>
      <c r="P64">
        <v>2086</v>
      </c>
      <c r="Q64">
        <v>39147</v>
      </c>
      <c r="R64">
        <v>6679</v>
      </c>
      <c r="S64">
        <v>2781</v>
      </c>
      <c r="T64">
        <v>52196</v>
      </c>
      <c r="V64">
        <f t="shared" si="11"/>
        <v>58</v>
      </c>
      <c r="W64">
        <v>7628</v>
      </c>
      <c r="X64">
        <v>3239</v>
      </c>
      <c r="Y64">
        <v>59626</v>
      </c>
      <c r="Z64">
        <v>8391</v>
      </c>
      <c r="AA64">
        <v>3563</v>
      </c>
      <c r="AB64">
        <v>65589</v>
      </c>
      <c r="AD64" s="69">
        <v>200303</v>
      </c>
      <c r="AE64" s="71">
        <v>121002</v>
      </c>
      <c r="AF64">
        <f t="shared" si="13"/>
        <v>3</v>
      </c>
      <c r="AG64">
        <f t="shared" si="12"/>
        <v>3</v>
      </c>
      <c r="AH64" t="str">
        <f t="shared" si="18"/>
        <v>困难</v>
      </c>
      <c r="AI64">
        <f t="shared" si="14"/>
        <v>987</v>
      </c>
      <c r="AJ64">
        <f t="shared" si="15"/>
        <v>351</v>
      </c>
      <c r="AK64">
        <f t="shared" si="16"/>
        <v>351</v>
      </c>
    </row>
    <row r="65" spans="14:37">
      <c r="N65" s="103">
        <v>59</v>
      </c>
      <c r="O65">
        <v>5009</v>
      </c>
      <c r="P65">
        <v>2086</v>
      </c>
      <c r="Q65">
        <v>39147</v>
      </c>
      <c r="R65">
        <v>6679</v>
      </c>
      <c r="S65">
        <v>2781</v>
      </c>
      <c r="T65">
        <v>52196</v>
      </c>
      <c r="V65">
        <f t="shared" si="11"/>
        <v>59</v>
      </c>
      <c r="W65">
        <v>7654</v>
      </c>
      <c r="X65">
        <v>3469</v>
      </c>
      <c r="Y65">
        <v>59837</v>
      </c>
      <c r="Z65">
        <v>8420</v>
      </c>
      <c r="AA65">
        <v>3816</v>
      </c>
      <c r="AB65">
        <v>65821</v>
      </c>
      <c r="AD65" s="131">
        <v>200304</v>
      </c>
      <c r="AE65" s="65">
        <v>1111005</v>
      </c>
      <c r="AF65">
        <f t="shared" si="13"/>
        <v>3</v>
      </c>
      <c r="AG65">
        <f t="shared" si="12"/>
        <v>4</v>
      </c>
      <c r="AH65" t="str">
        <f t="shared" si="18"/>
        <v>困难</v>
      </c>
      <c r="AI65">
        <f t="shared" si="14"/>
        <v>1086</v>
      </c>
      <c r="AJ65">
        <f t="shared" si="15"/>
        <v>351</v>
      </c>
      <c r="AK65">
        <f t="shared" si="16"/>
        <v>351</v>
      </c>
    </row>
    <row r="66" spans="14:37">
      <c r="N66" s="103">
        <v>60</v>
      </c>
      <c r="O66">
        <v>5418</v>
      </c>
      <c r="P66">
        <v>2393</v>
      </c>
      <c r="Q66">
        <v>45141</v>
      </c>
      <c r="R66">
        <v>7224</v>
      </c>
      <c r="S66">
        <v>3191</v>
      </c>
      <c r="T66">
        <v>60188</v>
      </c>
      <c r="V66">
        <f t="shared" si="11"/>
        <v>60</v>
      </c>
      <c r="W66">
        <v>8263</v>
      </c>
      <c r="X66">
        <v>3767</v>
      </c>
      <c r="Y66">
        <v>69713</v>
      </c>
      <c r="Z66">
        <v>9089</v>
      </c>
      <c r="AA66">
        <v>4144</v>
      </c>
      <c r="AB66">
        <v>76684</v>
      </c>
      <c r="AD66" s="131">
        <v>200304</v>
      </c>
      <c r="AE66" s="65">
        <v>1111004</v>
      </c>
      <c r="AF66">
        <f t="shared" si="13"/>
        <v>3</v>
      </c>
      <c r="AG66">
        <f t="shared" si="12"/>
        <v>4</v>
      </c>
      <c r="AH66" t="str">
        <f t="shared" si="18"/>
        <v>困难</v>
      </c>
      <c r="AI66">
        <f t="shared" si="14"/>
        <v>1086</v>
      </c>
      <c r="AJ66">
        <f t="shared" si="15"/>
        <v>351</v>
      </c>
      <c r="AK66">
        <f t="shared" si="16"/>
        <v>351</v>
      </c>
    </row>
    <row r="67" spans="30:37">
      <c r="AD67" s="131">
        <v>200304</v>
      </c>
      <c r="AE67" s="65">
        <v>121001</v>
      </c>
      <c r="AF67">
        <f t="shared" si="13"/>
        <v>3</v>
      </c>
      <c r="AG67">
        <f t="shared" si="12"/>
        <v>4</v>
      </c>
      <c r="AH67" t="str">
        <f t="shared" si="18"/>
        <v>困难</v>
      </c>
      <c r="AI67">
        <f t="shared" si="14"/>
        <v>987</v>
      </c>
      <c r="AJ67">
        <f t="shared" si="15"/>
        <v>351</v>
      </c>
      <c r="AK67">
        <f t="shared" si="16"/>
        <v>351</v>
      </c>
    </row>
    <row r="68" spans="30:37">
      <c r="AD68" s="131">
        <v>200304</v>
      </c>
      <c r="AE68" s="65">
        <v>121032</v>
      </c>
      <c r="AF68">
        <f t="shared" si="13"/>
        <v>3</v>
      </c>
      <c r="AG68">
        <f t="shared" si="12"/>
        <v>4</v>
      </c>
      <c r="AH68" t="str">
        <f t="shared" si="18"/>
        <v>困难</v>
      </c>
      <c r="AI68">
        <f t="shared" si="14"/>
        <v>987</v>
      </c>
      <c r="AJ68">
        <f t="shared" si="15"/>
        <v>351</v>
      </c>
      <c r="AK68">
        <f t="shared" si="16"/>
        <v>351</v>
      </c>
    </row>
    <row r="69" spans="30:37">
      <c r="AD69" s="131">
        <v>200304</v>
      </c>
      <c r="AE69" s="65">
        <v>121001</v>
      </c>
      <c r="AF69">
        <f t="shared" si="13"/>
        <v>3</v>
      </c>
      <c r="AG69">
        <f t="shared" si="12"/>
        <v>4</v>
      </c>
      <c r="AH69" t="str">
        <f t="shared" si="18"/>
        <v>困难</v>
      </c>
      <c r="AI69">
        <f t="shared" si="14"/>
        <v>987</v>
      </c>
      <c r="AJ69">
        <f t="shared" si="15"/>
        <v>351</v>
      </c>
      <c r="AK69">
        <f t="shared" si="16"/>
        <v>351</v>
      </c>
    </row>
    <row r="70" spans="30:37">
      <c r="AD70" s="69" t="s">
        <v>157</v>
      </c>
      <c r="AE70" s="140">
        <v>121033</v>
      </c>
      <c r="AF70">
        <f t="shared" si="13"/>
        <v>4</v>
      </c>
      <c r="AG70">
        <f t="shared" si="12"/>
        <v>1</v>
      </c>
      <c r="AH70" t="str">
        <f t="shared" si="18"/>
        <v>简单</v>
      </c>
      <c r="AI70">
        <f t="shared" si="14"/>
        <v>213</v>
      </c>
      <c r="AJ70">
        <f t="shared" si="15"/>
        <v>85</v>
      </c>
      <c r="AK70">
        <f t="shared" si="16"/>
        <v>1708</v>
      </c>
    </row>
    <row r="71" spans="30:37">
      <c r="AD71" s="69" t="s">
        <v>157</v>
      </c>
      <c r="AE71" s="140">
        <v>121033</v>
      </c>
      <c r="AF71">
        <f t="shared" si="13"/>
        <v>4</v>
      </c>
      <c r="AG71">
        <f t="shared" si="12"/>
        <v>1</v>
      </c>
      <c r="AH71" t="str">
        <f t="shared" si="18"/>
        <v>简单</v>
      </c>
      <c r="AI71">
        <f t="shared" si="14"/>
        <v>213</v>
      </c>
      <c r="AJ71">
        <f t="shared" si="15"/>
        <v>85</v>
      </c>
      <c r="AK71">
        <f t="shared" si="16"/>
        <v>1708</v>
      </c>
    </row>
    <row r="72" spans="30:37">
      <c r="AD72" s="69" t="s">
        <v>157</v>
      </c>
      <c r="AE72" s="71">
        <v>121020</v>
      </c>
      <c r="AF72">
        <f t="shared" si="13"/>
        <v>4</v>
      </c>
      <c r="AG72">
        <f t="shared" si="12"/>
        <v>1</v>
      </c>
      <c r="AH72" t="str">
        <f t="shared" si="18"/>
        <v>简单</v>
      </c>
      <c r="AI72">
        <f t="shared" si="14"/>
        <v>213</v>
      </c>
      <c r="AJ72">
        <f t="shared" si="15"/>
        <v>85</v>
      </c>
      <c r="AK72">
        <f t="shared" si="16"/>
        <v>1708</v>
      </c>
    </row>
    <row r="73" spans="30:37">
      <c r="AD73" s="69" t="s">
        <v>157</v>
      </c>
      <c r="AE73" s="71">
        <v>1111008</v>
      </c>
      <c r="AF73">
        <f t="shared" si="13"/>
        <v>4</v>
      </c>
      <c r="AG73">
        <f t="shared" si="12"/>
        <v>1</v>
      </c>
      <c r="AH73" t="str">
        <f t="shared" si="18"/>
        <v>简单</v>
      </c>
      <c r="AI73">
        <f t="shared" si="14"/>
        <v>284</v>
      </c>
      <c r="AJ73">
        <f t="shared" si="15"/>
        <v>85</v>
      </c>
      <c r="AK73">
        <f t="shared" si="16"/>
        <v>1708</v>
      </c>
    </row>
    <row r="74" spans="30:37">
      <c r="AD74" s="69" t="s">
        <v>157</v>
      </c>
      <c r="AE74" s="71">
        <v>121020</v>
      </c>
      <c r="AF74">
        <f t="shared" si="13"/>
        <v>4</v>
      </c>
      <c r="AG74">
        <f t="shared" si="12"/>
        <v>1</v>
      </c>
      <c r="AH74" t="str">
        <f t="shared" si="18"/>
        <v>简单</v>
      </c>
      <c r="AI74">
        <f t="shared" si="14"/>
        <v>213</v>
      </c>
      <c r="AJ74">
        <f t="shared" si="15"/>
        <v>85</v>
      </c>
      <c r="AK74">
        <f t="shared" si="16"/>
        <v>1708</v>
      </c>
    </row>
    <row r="75" spans="30:37">
      <c r="AD75" s="131" t="s">
        <v>158</v>
      </c>
      <c r="AE75" s="65">
        <v>1111007</v>
      </c>
      <c r="AF75">
        <f t="shared" si="13"/>
        <v>4</v>
      </c>
      <c r="AG75">
        <f t="shared" si="12"/>
        <v>2</v>
      </c>
      <c r="AH75" t="str">
        <f t="shared" si="18"/>
        <v>简单</v>
      </c>
      <c r="AI75">
        <f t="shared" si="14"/>
        <v>284</v>
      </c>
      <c r="AJ75">
        <f t="shared" si="15"/>
        <v>85</v>
      </c>
      <c r="AK75">
        <f t="shared" si="16"/>
        <v>1708</v>
      </c>
    </row>
    <row r="76" spans="30:37">
      <c r="AD76" s="131" t="s">
        <v>158</v>
      </c>
      <c r="AE76" s="65">
        <v>121017</v>
      </c>
      <c r="AF76">
        <f t="shared" si="13"/>
        <v>4</v>
      </c>
      <c r="AG76">
        <f t="shared" si="12"/>
        <v>2</v>
      </c>
      <c r="AH76" t="str">
        <f t="shared" si="18"/>
        <v>简单</v>
      </c>
      <c r="AI76">
        <f t="shared" si="14"/>
        <v>213</v>
      </c>
      <c r="AJ76">
        <f t="shared" si="15"/>
        <v>85</v>
      </c>
      <c r="AK76">
        <f t="shared" si="16"/>
        <v>1708</v>
      </c>
    </row>
    <row r="77" spans="30:37">
      <c r="AD77" s="131" t="s">
        <v>158</v>
      </c>
      <c r="AE77" s="65">
        <v>121017</v>
      </c>
      <c r="AF77">
        <f t="shared" si="13"/>
        <v>4</v>
      </c>
      <c r="AG77">
        <f t="shared" si="12"/>
        <v>2</v>
      </c>
      <c r="AH77" t="str">
        <f t="shared" si="18"/>
        <v>简单</v>
      </c>
      <c r="AI77">
        <f t="shared" si="14"/>
        <v>213</v>
      </c>
      <c r="AJ77">
        <f t="shared" si="15"/>
        <v>85</v>
      </c>
      <c r="AK77">
        <f t="shared" si="16"/>
        <v>1708</v>
      </c>
    </row>
    <row r="78" spans="30:37">
      <c r="AD78" s="131" t="s">
        <v>158</v>
      </c>
      <c r="AE78" s="65">
        <v>121035</v>
      </c>
      <c r="AF78">
        <f t="shared" si="13"/>
        <v>4</v>
      </c>
      <c r="AG78">
        <f t="shared" si="12"/>
        <v>2</v>
      </c>
      <c r="AH78" t="str">
        <f t="shared" si="18"/>
        <v>简单</v>
      </c>
      <c r="AI78">
        <f t="shared" si="14"/>
        <v>213</v>
      </c>
      <c r="AJ78">
        <f t="shared" si="15"/>
        <v>85</v>
      </c>
      <c r="AK78">
        <f t="shared" si="16"/>
        <v>1708</v>
      </c>
    </row>
    <row r="79" spans="30:37">
      <c r="AD79" s="131" t="s">
        <v>158</v>
      </c>
      <c r="AE79" s="65">
        <v>121035</v>
      </c>
      <c r="AF79">
        <f t="shared" si="13"/>
        <v>4</v>
      </c>
      <c r="AG79">
        <f t="shared" si="12"/>
        <v>2</v>
      </c>
      <c r="AH79" t="str">
        <f t="shared" si="18"/>
        <v>简单</v>
      </c>
      <c r="AI79">
        <f t="shared" si="14"/>
        <v>213</v>
      </c>
      <c r="AJ79">
        <f t="shared" si="15"/>
        <v>85</v>
      </c>
      <c r="AK79">
        <f t="shared" si="16"/>
        <v>1708</v>
      </c>
    </row>
    <row r="80" spans="30:37">
      <c r="AD80" s="69">
        <v>200403</v>
      </c>
      <c r="AE80" s="71">
        <v>121035</v>
      </c>
      <c r="AF80">
        <f t="shared" si="13"/>
        <v>4</v>
      </c>
      <c r="AG80">
        <f t="shared" si="12"/>
        <v>3</v>
      </c>
      <c r="AH80" t="str">
        <f t="shared" si="18"/>
        <v>简单</v>
      </c>
      <c r="AI80">
        <f t="shared" si="14"/>
        <v>213</v>
      </c>
      <c r="AJ80">
        <f t="shared" si="15"/>
        <v>85</v>
      </c>
      <c r="AK80">
        <f t="shared" si="16"/>
        <v>1708</v>
      </c>
    </row>
    <row r="81" spans="30:37">
      <c r="AD81" s="69">
        <v>200403</v>
      </c>
      <c r="AE81" s="71">
        <v>121017</v>
      </c>
      <c r="AF81">
        <f t="shared" si="13"/>
        <v>4</v>
      </c>
      <c r="AG81">
        <f t="shared" si="12"/>
        <v>3</v>
      </c>
      <c r="AH81" t="str">
        <f t="shared" si="18"/>
        <v>简单</v>
      </c>
      <c r="AI81">
        <f t="shared" si="14"/>
        <v>213</v>
      </c>
      <c r="AJ81">
        <f t="shared" si="15"/>
        <v>85</v>
      </c>
      <c r="AK81">
        <f t="shared" si="16"/>
        <v>1708</v>
      </c>
    </row>
    <row r="82" spans="30:37">
      <c r="AD82" s="69">
        <v>200403</v>
      </c>
      <c r="AE82" s="71">
        <v>121017</v>
      </c>
      <c r="AF82">
        <f t="shared" si="13"/>
        <v>4</v>
      </c>
      <c r="AG82">
        <f t="shared" si="12"/>
        <v>3</v>
      </c>
      <c r="AH82" t="str">
        <f t="shared" si="18"/>
        <v>简单</v>
      </c>
      <c r="AI82">
        <f t="shared" si="14"/>
        <v>213</v>
      </c>
      <c r="AJ82">
        <f t="shared" si="15"/>
        <v>85</v>
      </c>
      <c r="AK82">
        <f t="shared" si="16"/>
        <v>1708</v>
      </c>
    </row>
    <row r="83" spans="30:37">
      <c r="AD83" s="69">
        <v>200403</v>
      </c>
      <c r="AE83" s="71">
        <v>121020</v>
      </c>
      <c r="AF83">
        <f t="shared" si="13"/>
        <v>4</v>
      </c>
      <c r="AG83">
        <f t="shared" si="12"/>
        <v>3</v>
      </c>
      <c r="AH83" t="str">
        <f t="shared" si="18"/>
        <v>简单</v>
      </c>
      <c r="AI83">
        <f t="shared" si="14"/>
        <v>213</v>
      </c>
      <c r="AJ83">
        <f t="shared" si="15"/>
        <v>85</v>
      </c>
      <c r="AK83">
        <f t="shared" si="16"/>
        <v>1708</v>
      </c>
    </row>
    <row r="84" spans="30:37">
      <c r="AD84" s="69">
        <v>200403</v>
      </c>
      <c r="AE84" s="71">
        <v>1111006</v>
      </c>
      <c r="AF84">
        <f t="shared" si="13"/>
        <v>4</v>
      </c>
      <c r="AG84">
        <f t="shared" si="12"/>
        <v>3</v>
      </c>
      <c r="AH84" t="str">
        <f t="shared" si="18"/>
        <v>简单</v>
      </c>
      <c r="AI84">
        <f t="shared" si="14"/>
        <v>284</v>
      </c>
      <c r="AJ84">
        <f t="shared" si="15"/>
        <v>85</v>
      </c>
      <c r="AK84">
        <f t="shared" si="16"/>
        <v>1708</v>
      </c>
    </row>
    <row r="85" spans="30:37">
      <c r="AD85" s="131">
        <v>200404</v>
      </c>
      <c r="AE85" s="141">
        <v>121033</v>
      </c>
      <c r="AF85">
        <f t="shared" si="13"/>
        <v>4</v>
      </c>
      <c r="AG85">
        <f t="shared" si="12"/>
        <v>4</v>
      </c>
      <c r="AH85" t="str">
        <f t="shared" si="18"/>
        <v>困难</v>
      </c>
      <c r="AI85">
        <f t="shared" si="14"/>
        <v>1025</v>
      </c>
      <c r="AJ85">
        <f t="shared" si="15"/>
        <v>366</v>
      </c>
      <c r="AK85">
        <f t="shared" si="16"/>
        <v>366</v>
      </c>
    </row>
    <row r="86" spans="30:37">
      <c r="AD86" s="131">
        <v>200404</v>
      </c>
      <c r="AE86" s="141">
        <v>121033</v>
      </c>
      <c r="AF86">
        <f t="shared" si="13"/>
        <v>4</v>
      </c>
      <c r="AG86">
        <f t="shared" ref="AG86:AG149" si="19">ROUNDDOWN(RIGHT(AD86,2),0)</f>
        <v>4</v>
      </c>
      <c r="AH86" t="str">
        <f t="shared" si="18"/>
        <v>困难</v>
      </c>
      <c r="AI86">
        <f t="shared" si="14"/>
        <v>1025</v>
      </c>
      <c r="AJ86">
        <f t="shared" si="15"/>
        <v>366</v>
      </c>
      <c r="AK86">
        <f t="shared" si="16"/>
        <v>366</v>
      </c>
    </row>
    <row r="87" spans="30:37">
      <c r="AD87" s="131">
        <v>200404</v>
      </c>
      <c r="AE87" s="65">
        <v>121020</v>
      </c>
      <c r="AF87">
        <f t="shared" si="13"/>
        <v>4</v>
      </c>
      <c r="AG87">
        <f t="shared" si="19"/>
        <v>4</v>
      </c>
      <c r="AH87" t="str">
        <f t="shared" si="18"/>
        <v>困难</v>
      </c>
      <c r="AI87">
        <f t="shared" si="14"/>
        <v>1025</v>
      </c>
      <c r="AJ87">
        <f t="shared" si="15"/>
        <v>366</v>
      </c>
      <c r="AK87">
        <f t="shared" si="16"/>
        <v>366</v>
      </c>
    </row>
    <row r="88" spans="30:37">
      <c r="AD88" s="131">
        <v>200404</v>
      </c>
      <c r="AE88" s="65">
        <v>1111008</v>
      </c>
      <c r="AF88">
        <f t="shared" si="13"/>
        <v>4</v>
      </c>
      <c r="AG88">
        <f t="shared" si="19"/>
        <v>4</v>
      </c>
      <c r="AH88" t="str">
        <f t="shared" si="18"/>
        <v>困难</v>
      </c>
      <c r="AI88">
        <f t="shared" si="14"/>
        <v>1127</v>
      </c>
      <c r="AJ88">
        <f t="shared" si="15"/>
        <v>366</v>
      </c>
      <c r="AK88">
        <f t="shared" si="16"/>
        <v>366</v>
      </c>
    </row>
    <row r="89" spans="30:37">
      <c r="AD89" s="69">
        <v>200405</v>
      </c>
      <c r="AE89" s="71">
        <v>1111007</v>
      </c>
      <c r="AF89">
        <f t="shared" si="13"/>
        <v>4</v>
      </c>
      <c r="AG89">
        <f t="shared" si="19"/>
        <v>5</v>
      </c>
      <c r="AH89" t="str">
        <f t="shared" si="18"/>
        <v>困难</v>
      </c>
      <c r="AI89">
        <f t="shared" si="14"/>
        <v>1127</v>
      </c>
      <c r="AJ89">
        <f t="shared" si="15"/>
        <v>366</v>
      </c>
      <c r="AK89">
        <f t="shared" si="16"/>
        <v>366</v>
      </c>
    </row>
    <row r="90" spans="30:37">
      <c r="AD90" s="69">
        <v>200405</v>
      </c>
      <c r="AE90" s="71">
        <v>121017</v>
      </c>
      <c r="AF90">
        <f t="shared" si="13"/>
        <v>4</v>
      </c>
      <c r="AG90">
        <f t="shared" si="19"/>
        <v>5</v>
      </c>
      <c r="AH90" t="str">
        <f t="shared" si="18"/>
        <v>困难</v>
      </c>
      <c r="AI90">
        <f t="shared" si="14"/>
        <v>1025</v>
      </c>
      <c r="AJ90">
        <f t="shared" si="15"/>
        <v>366</v>
      </c>
      <c r="AK90">
        <f t="shared" si="16"/>
        <v>366</v>
      </c>
    </row>
    <row r="91" spans="30:37">
      <c r="AD91" s="69">
        <v>200405</v>
      </c>
      <c r="AE91" s="71">
        <v>121017</v>
      </c>
      <c r="AF91">
        <f t="shared" si="13"/>
        <v>4</v>
      </c>
      <c r="AG91">
        <f t="shared" si="19"/>
        <v>5</v>
      </c>
      <c r="AH91" t="str">
        <f t="shared" si="18"/>
        <v>困难</v>
      </c>
      <c r="AI91">
        <f t="shared" si="14"/>
        <v>1025</v>
      </c>
      <c r="AJ91">
        <f t="shared" si="15"/>
        <v>366</v>
      </c>
      <c r="AK91">
        <f t="shared" si="16"/>
        <v>366</v>
      </c>
    </row>
    <row r="92" spans="30:37">
      <c r="AD92" s="69">
        <v>200405</v>
      </c>
      <c r="AE92" s="71">
        <v>121035</v>
      </c>
      <c r="AF92">
        <f t="shared" si="13"/>
        <v>4</v>
      </c>
      <c r="AG92">
        <f t="shared" si="19"/>
        <v>5</v>
      </c>
      <c r="AH92" t="str">
        <f t="shared" si="18"/>
        <v>困难</v>
      </c>
      <c r="AI92">
        <f t="shared" si="14"/>
        <v>1025</v>
      </c>
      <c r="AJ92">
        <f t="shared" si="15"/>
        <v>366</v>
      </c>
      <c r="AK92">
        <f t="shared" si="16"/>
        <v>366</v>
      </c>
    </row>
    <row r="93" spans="30:37">
      <c r="AD93" s="69">
        <v>200405</v>
      </c>
      <c r="AE93" s="71">
        <v>121035</v>
      </c>
      <c r="AF93">
        <f t="shared" si="13"/>
        <v>4</v>
      </c>
      <c r="AG93">
        <f t="shared" si="19"/>
        <v>5</v>
      </c>
      <c r="AH93" t="str">
        <f t="shared" si="18"/>
        <v>困难</v>
      </c>
      <c r="AI93">
        <f t="shared" si="14"/>
        <v>1025</v>
      </c>
      <c r="AJ93">
        <f t="shared" si="15"/>
        <v>366</v>
      </c>
      <c r="AK93">
        <f t="shared" si="16"/>
        <v>366</v>
      </c>
    </row>
    <row r="94" spans="30:37">
      <c r="AD94" s="131">
        <v>200406</v>
      </c>
      <c r="AE94" s="65">
        <v>121035</v>
      </c>
      <c r="AF94">
        <f t="shared" ref="AF94:AF157" si="20">MOD(ROUNDDOWN(AD94/100,0),100)</f>
        <v>4</v>
      </c>
      <c r="AG94">
        <f t="shared" si="19"/>
        <v>6</v>
      </c>
      <c r="AH94" t="str">
        <f t="shared" si="18"/>
        <v>困难</v>
      </c>
      <c r="AI94">
        <f t="shared" si="14"/>
        <v>1025</v>
      </c>
      <c r="AJ94">
        <f t="shared" si="15"/>
        <v>366</v>
      </c>
      <c r="AK94">
        <f t="shared" si="16"/>
        <v>366</v>
      </c>
    </row>
    <row r="95" spans="30:37">
      <c r="AD95" s="131">
        <v>200406</v>
      </c>
      <c r="AE95" s="65">
        <v>121017</v>
      </c>
      <c r="AF95">
        <f t="shared" si="20"/>
        <v>4</v>
      </c>
      <c r="AG95">
        <f t="shared" si="19"/>
        <v>6</v>
      </c>
      <c r="AH95" t="str">
        <f t="shared" si="18"/>
        <v>困难</v>
      </c>
      <c r="AI95">
        <f t="shared" ref="AI95:AI158" si="21">IF($AH95="简单",IF(AE95&lt;122000,VLOOKUP($AF95,$N:$T,2,0),VLOOKUP($AF95,$N:$T,5,0)),IF(AE95&lt;122000,VLOOKUP($AF95,$V:$AB,2,0),VLOOKUP($AF95,$V:$AB,5,0)))</f>
        <v>1025</v>
      </c>
      <c r="AJ95">
        <f t="shared" ref="AJ95:AJ158" si="22">IF($AH95="简单",IF(AF95&lt;122000,VLOOKUP($AF95,$N:$T,3,0),VLOOKUP($AF95,$N:$T,6,0)),IF(AF95&lt;122000,VLOOKUP($AF95,$V:$AB,3,0),VLOOKUP($AF95,$V:$AB,6,0)))</f>
        <v>366</v>
      </c>
      <c r="AK95">
        <f t="shared" ref="AK95:AK158" si="23">IF($AH95="简单",IF(AG95&lt;122000,VLOOKUP($AF95,$N:$T,4,0),VLOOKUP($AF95,$N:$T,7,0)),IF(AG95&lt;122000,VLOOKUP($AF95,$V:$AB,3,0),VLOOKUP($AF95,$V:$AB,6,0)))</f>
        <v>366</v>
      </c>
    </row>
    <row r="96" spans="30:37">
      <c r="AD96" s="131">
        <v>200406</v>
      </c>
      <c r="AE96" s="65">
        <v>121017</v>
      </c>
      <c r="AF96">
        <f t="shared" si="20"/>
        <v>4</v>
      </c>
      <c r="AG96">
        <f t="shared" si="19"/>
        <v>6</v>
      </c>
      <c r="AH96" t="str">
        <f t="shared" si="18"/>
        <v>困难</v>
      </c>
      <c r="AI96">
        <f t="shared" si="21"/>
        <v>1025</v>
      </c>
      <c r="AJ96">
        <f t="shared" si="22"/>
        <v>366</v>
      </c>
      <c r="AK96">
        <f t="shared" si="23"/>
        <v>366</v>
      </c>
    </row>
    <row r="97" spans="30:37">
      <c r="AD97" s="131">
        <v>200406</v>
      </c>
      <c r="AE97" s="65">
        <v>121020</v>
      </c>
      <c r="AF97">
        <f t="shared" si="20"/>
        <v>4</v>
      </c>
      <c r="AG97">
        <f t="shared" si="19"/>
        <v>6</v>
      </c>
      <c r="AH97" t="str">
        <f t="shared" si="18"/>
        <v>困难</v>
      </c>
      <c r="AI97">
        <f t="shared" si="21"/>
        <v>1025</v>
      </c>
      <c r="AJ97">
        <f t="shared" si="22"/>
        <v>366</v>
      </c>
      <c r="AK97">
        <f t="shared" si="23"/>
        <v>366</v>
      </c>
    </row>
    <row r="98" spans="30:37">
      <c r="AD98" s="131">
        <v>200406</v>
      </c>
      <c r="AE98" s="65">
        <v>1111006</v>
      </c>
      <c r="AF98">
        <f t="shared" si="20"/>
        <v>4</v>
      </c>
      <c r="AG98">
        <f t="shared" si="19"/>
        <v>6</v>
      </c>
      <c r="AH98" t="str">
        <f t="shared" si="18"/>
        <v>困难</v>
      </c>
      <c r="AI98">
        <f t="shared" si="21"/>
        <v>1127</v>
      </c>
      <c r="AJ98">
        <f t="shared" si="22"/>
        <v>366</v>
      </c>
      <c r="AK98">
        <f t="shared" si="23"/>
        <v>366</v>
      </c>
    </row>
    <row r="99" spans="30:37">
      <c r="AD99" s="69" t="s">
        <v>159</v>
      </c>
      <c r="AE99" s="71">
        <v>121028</v>
      </c>
      <c r="AF99">
        <f t="shared" si="20"/>
        <v>5</v>
      </c>
      <c r="AG99">
        <f t="shared" si="19"/>
        <v>1</v>
      </c>
      <c r="AH99" t="str">
        <f t="shared" si="18"/>
        <v>简单</v>
      </c>
      <c r="AI99">
        <f t="shared" si="21"/>
        <v>252</v>
      </c>
      <c r="AJ99">
        <f t="shared" si="22"/>
        <v>91</v>
      </c>
      <c r="AK99">
        <f t="shared" si="23"/>
        <v>1824</v>
      </c>
    </row>
    <row r="100" spans="30:37">
      <c r="AD100" s="69" t="s">
        <v>159</v>
      </c>
      <c r="AE100" s="71">
        <v>121027</v>
      </c>
      <c r="AF100">
        <f t="shared" si="20"/>
        <v>5</v>
      </c>
      <c r="AG100">
        <f t="shared" si="19"/>
        <v>1</v>
      </c>
      <c r="AH100" t="str">
        <f t="shared" si="18"/>
        <v>简单</v>
      </c>
      <c r="AI100">
        <f t="shared" si="21"/>
        <v>252</v>
      </c>
      <c r="AJ100">
        <f t="shared" si="22"/>
        <v>91</v>
      </c>
      <c r="AK100">
        <f t="shared" si="23"/>
        <v>1824</v>
      </c>
    </row>
    <row r="101" spans="30:37">
      <c r="AD101" s="69" t="s">
        <v>159</v>
      </c>
      <c r="AE101" s="71">
        <v>121028</v>
      </c>
      <c r="AF101">
        <f t="shared" si="20"/>
        <v>5</v>
      </c>
      <c r="AG101">
        <f t="shared" si="19"/>
        <v>1</v>
      </c>
      <c r="AH101" t="str">
        <f t="shared" si="18"/>
        <v>简单</v>
      </c>
      <c r="AI101">
        <f t="shared" si="21"/>
        <v>252</v>
      </c>
      <c r="AJ101">
        <f t="shared" si="22"/>
        <v>91</v>
      </c>
      <c r="AK101">
        <f t="shared" si="23"/>
        <v>1824</v>
      </c>
    </row>
    <row r="102" spans="30:37">
      <c r="AD102" s="69" t="s">
        <v>159</v>
      </c>
      <c r="AE102" s="71">
        <v>121023</v>
      </c>
      <c r="AF102">
        <f t="shared" si="20"/>
        <v>5</v>
      </c>
      <c r="AG102">
        <f t="shared" si="19"/>
        <v>1</v>
      </c>
      <c r="AH102" t="str">
        <f t="shared" si="18"/>
        <v>简单</v>
      </c>
      <c r="AI102">
        <f t="shared" si="21"/>
        <v>252</v>
      </c>
      <c r="AJ102">
        <f t="shared" si="22"/>
        <v>91</v>
      </c>
      <c r="AK102">
        <f t="shared" si="23"/>
        <v>1824</v>
      </c>
    </row>
    <row r="103" spans="30:37">
      <c r="AD103" s="69" t="s">
        <v>159</v>
      </c>
      <c r="AE103" s="65">
        <v>121025</v>
      </c>
      <c r="AF103">
        <f t="shared" si="20"/>
        <v>5</v>
      </c>
      <c r="AG103">
        <f t="shared" si="19"/>
        <v>1</v>
      </c>
      <c r="AH103" t="str">
        <f t="shared" si="18"/>
        <v>简单</v>
      </c>
      <c r="AI103">
        <f t="shared" si="21"/>
        <v>252</v>
      </c>
      <c r="AJ103">
        <f t="shared" si="22"/>
        <v>91</v>
      </c>
      <c r="AK103">
        <f t="shared" si="23"/>
        <v>1824</v>
      </c>
    </row>
    <row r="104" spans="30:37">
      <c r="AD104" s="131" t="s">
        <v>160</v>
      </c>
      <c r="AE104" s="65">
        <v>121027</v>
      </c>
      <c r="AF104">
        <f t="shared" si="20"/>
        <v>5</v>
      </c>
      <c r="AG104">
        <f t="shared" si="19"/>
        <v>2</v>
      </c>
      <c r="AH104" t="str">
        <f t="shared" si="18"/>
        <v>简单</v>
      </c>
      <c r="AI104">
        <f t="shared" si="21"/>
        <v>252</v>
      </c>
      <c r="AJ104">
        <f t="shared" si="22"/>
        <v>91</v>
      </c>
      <c r="AK104">
        <f t="shared" si="23"/>
        <v>1824</v>
      </c>
    </row>
    <row r="105" spans="30:37">
      <c r="AD105" s="131" t="s">
        <v>160</v>
      </c>
      <c r="AE105" s="65">
        <v>121027</v>
      </c>
      <c r="AF105">
        <f t="shared" si="20"/>
        <v>5</v>
      </c>
      <c r="AG105">
        <f t="shared" si="19"/>
        <v>2</v>
      </c>
      <c r="AH105" t="str">
        <f t="shared" si="18"/>
        <v>简单</v>
      </c>
      <c r="AI105">
        <f t="shared" si="21"/>
        <v>252</v>
      </c>
      <c r="AJ105">
        <f t="shared" si="22"/>
        <v>91</v>
      </c>
      <c r="AK105">
        <f t="shared" si="23"/>
        <v>1824</v>
      </c>
    </row>
    <row r="106" spans="30:37">
      <c r="AD106" s="131" t="s">
        <v>160</v>
      </c>
      <c r="AE106" s="65">
        <v>121022</v>
      </c>
      <c r="AF106">
        <f t="shared" si="20"/>
        <v>5</v>
      </c>
      <c r="AG106">
        <f t="shared" si="19"/>
        <v>2</v>
      </c>
      <c r="AH106" t="str">
        <f t="shared" si="18"/>
        <v>简单</v>
      </c>
      <c r="AI106">
        <f t="shared" si="21"/>
        <v>252</v>
      </c>
      <c r="AJ106">
        <f t="shared" si="22"/>
        <v>91</v>
      </c>
      <c r="AK106">
        <f t="shared" si="23"/>
        <v>1824</v>
      </c>
    </row>
    <row r="107" spans="30:37">
      <c r="AD107" s="131" t="s">
        <v>160</v>
      </c>
      <c r="AE107" s="65">
        <v>1111010</v>
      </c>
      <c r="AF107">
        <f t="shared" si="20"/>
        <v>5</v>
      </c>
      <c r="AG107">
        <f t="shared" si="19"/>
        <v>2</v>
      </c>
      <c r="AH107" t="str">
        <f t="shared" si="18"/>
        <v>简单</v>
      </c>
      <c r="AI107">
        <f t="shared" si="21"/>
        <v>336</v>
      </c>
      <c r="AJ107">
        <f t="shared" si="22"/>
        <v>91</v>
      </c>
      <c r="AK107">
        <f t="shared" si="23"/>
        <v>1824</v>
      </c>
    </row>
    <row r="108" spans="30:37">
      <c r="AD108" s="131" t="s">
        <v>160</v>
      </c>
      <c r="AE108" s="65">
        <v>121023</v>
      </c>
      <c r="AF108">
        <f t="shared" si="20"/>
        <v>5</v>
      </c>
      <c r="AG108">
        <f t="shared" si="19"/>
        <v>2</v>
      </c>
      <c r="AH108" t="str">
        <f t="shared" ref="AH108:AH171" si="24">IF(VLOOKUP(AF108,AF:AG,2,1)=4,IF(AG108&lt;3,"简单","困难"),IF(AG108&lt;4,"简单","困难"))</f>
        <v>简单</v>
      </c>
      <c r="AI108">
        <f t="shared" si="21"/>
        <v>252</v>
      </c>
      <c r="AJ108">
        <f t="shared" si="22"/>
        <v>91</v>
      </c>
      <c r="AK108">
        <f t="shared" si="23"/>
        <v>1824</v>
      </c>
    </row>
    <row r="109" spans="30:37">
      <c r="AD109" s="131">
        <v>200503</v>
      </c>
      <c r="AE109" s="65">
        <v>121028</v>
      </c>
      <c r="AF109">
        <f t="shared" si="20"/>
        <v>5</v>
      </c>
      <c r="AG109">
        <f t="shared" si="19"/>
        <v>3</v>
      </c>
      <c r="AH109" t="str">
        <f t="shared" si="24"/>
        <v>简单</v>
      </c>
      <c r="AI109">
        <f t="shared" si="21"/>
        <v>252</v>
      </c>
      <c r="AJ109">
        <f t="shared" si="22"/>
        <v>91</v>
      </c>
      <c r="AK109">
        <f t="shared" si="23"/>
        <v>1824</v>
      </c>
    </row>
    <row r="110" spans="30:37">
      <c r="AD110" s="131">
        <v>200503</v>
      </c>
      <c r="AE110" s="65">
        <v>121027</v>
      </c>
      <c r="AF110">
        <f t="shared" si="20"/>
        <v>5</v>
      </c>
      <c r="AG110">
        <f t="shared" si="19"/>
        <v>3</v>
      </c>
      <c r="AH110" t="str">
        <f t="shared" si="24"/>
        <v>简单</v>
      </c>
      <c r="AI110">
        <f t="shared" si="21"/>
        <v>252</v>
      </c>
      <c r="AJ110">
        <f t="shared" si="22"/>
        <v>91</v>
      </c>
      <c r="AK110">
        <f t="shared" si="23"/>
        <v>1824</v>
      </c>
    </row>
    <row r="111" spans="30:37">
      <c r="AD111" s="131">
        <v>200503</v>
      </c>
      <c r="AE111" s="65">
        <v>1111009</v>
      </c>
      <c r="AF111">
        <f t="shared" si="20"/>
        <v>5</v>
      </c>
      <c r="AG111">
        <f t="shared" si="19"/>
        <v>3</v>
      </c>
      <c r="AH111" t="str">
        <f t="shared" si="24"/>
        <v>简单</v>
      </c>
      <c r="AI111">
        <f t="shared" si="21"/>
        <v>336</v>
      </c>
      <c r="AJ111">
        <f t="shared" si="22"/>
        <v>91</v>
      </c>
      <c r="AK111">
        <f t="shared" si="23"/>
        <v>1824</v>
      </c>
    </row>
    <row r="112" spans="30:37">
      <c r="AD112" s="131">
        <v>200503</v>
      </c>
      <c r="AE112" s="65">
        <v>121025</v>
      </c>
      <c r="AF112">
        <f t="shared" si="20"/>
        <v>5</v>
      </c>
      <c r="AG112">
        <f t="shared" si="19"/>
        <v>3</v>
      </c>
      <c r="AH112" t="str">
        <f t="shared" si="24"/>
        <v>简单</v>
      </c>
      <c r="AI112">
        <f t="shared" si="21"/>
        <v>252</v>
      </c>
      <c r="AJ112">
        <f t="shared" si="22"/>
        <v>91</v>
      </c>
      <c r="AK112">
        <f t="shared" si="23"/>
        <v>1824</v>
      </c>
    </row>
    <row r="113" spans="30:37">
      <c r="AD113" s="131">
        <v>200503</v>
      </c>
      <c r="AE113" s="65">
        <v>121026</v>
      </c>
      <c r="AF113">
        <f t="shared" si="20"/>
        <v>5</v>
      </c>
      <c r="AG113">
        <f t="shared" si="19"/>
        <v>3</v>
      </c>
      <c r="AH113" t="str">
        <f t="shared" si="24"/>
        <v>简单</v>
      </c>
      <c r="AI113">
        <f t="shared" si="21"/>
        <v>252</v>
      </c>
      <c r="AJ113">
        <f t="shared" si="22"/>
        <v>91</v>
      </c>
      <c r="AK113">
        <f t="shared" si="23"/>
        <v>1824</v>
      </c>
    </row>
    <row r="114" spans="30:37">
      <c r="AD114" s="69">
        <v>200504</v>
      </c>
      <c r="AE114" s="71">
        <v>121028</v>
      </c>
      <c r="AF114">
        <f t="shared" si="20"/>
        <v>5</v>
      </c>
      <c r="AG114">
        <f t="shared" si="19"/>
        <v>4</v>
      </c>
      <c r="AH114" t="str">
        <f t="shared" si="24"/>
        <v>困难</v>
      </c>
      <c r="AI114">
        <f t="shared" si="21"/>
        <v>1035</v>
      </c>
      <c r="AJ114">
        <f t="shared" si="22"/>
        <v>371</v>
      </c>
      <c r="AK114">
        <f t="shared" si="23"/>
        <v>371</v>
      </c>
    </row>
    <row r="115" spans="30:37">
      <c r="AD115" s="69">
        <v>200504</v>
      </c>
      <c r="AE115" s="71">
        <v>121027</v>
      </c>
      <c r="AF115">
        <f t="shared" si="20"/>
        <v>5</v>
      </c>
      <c r="AG115">
        <f t="shared" si="19"/>
        <v>4</v>
      </c>
      <c r="AH115" t="str">
        <f t="shared" si="24"/>
        <v>困难</v>
      </c>
      <c r="AI115">
        <f t="shared" si="21"/>
        <v>1035</v>
      </c>
      <c r="AJ115">
        <f t="shared" si="22"/>
        <v>371</v>
      </c>
      <c r="AK115">
        <f t="shared" si="23"/>
        <v>371</v>
      </c>
    </row>
    <row r="116" spans="30:37">
      <c r="AD116" s="69">
        <v>200504</v>
      </c>
      <c r="AE116" s="71">
        <v>121028</v>
      </c>
      <c r="AF116">
        <f t="shared" si="20"/>
        <v>5</v>
      </c>
      <c r="AG116">
        <f t="shared" si="19"/>
        <v>4</v>
      </c>
      <c r="AH116" t="str">
        <f t="shared" si="24"/>
        <v>困难</v>
      </c>
      <c r="AI116">
        <f t="shared" si="21"/>
        <v>1035</v>
      </c>
      <c r="AJ116">
        <f t="shared" si="22"/>
        <v>371</v>
      </c>
      <c r="AK116">
        <f t="shared" si="23"/>
        <v>371</v>
      </c>
    </row>
    <row r="117" spans="30:37">
      <c r="AD117" s="69">
        <v>200504</v>
      </c>
      <c r="AE117" s="71">
        <v>121027</v>
      </c>
      <c r="AF117">
        <f t="shared" si="20"/>
        <v>5</v>
      </c>
      <c r="AG117">
        <f t="shared" si="19"/>
        <v>4</v>
      </c>
      <c r="AH117" t="str">
        <f t="shared" si="24"/>
        <v>困难</v>
      </c>
      <c r="AI117">
        <f t="shared" si="21"/>
        <v>1035</v>
      </c>
      <c r="AJ117">
        <f t="shared" si="22"/>
        <v>371</v>
      </c>
      <c r="AK117">
        <f t="shared" si="23"/>
        <v>371</v>
      </c>
    </row>
    <row r="118" spans="30:37">
      <c r="AD118" s="69">
        <v>200504</v>
      </c>
      <c r="AE118" s="71">
        <v>121023</v>
      </c>
      <c r="AF118">
        <f t="shared" si="20"/>
        <v>5</v>
      </c>
      <c r="AG118">
        <f t="shared" si="19"/>
        <v>4</v>
      </c>
      <c r="AH118" t="str">
        <f t="shared" si="24"/>
        <v>困难</v>
      </c>
      <c r="AI118">
        <f t="shared" si="21"/>
        <v>1035</v>
      </c>
      <c r="AJ118">
        <f t="shared" si="22"/>
        <v>371</v>
      </c>
      <c r="AK118">
        <f t="shared" si="23"/>
        <v>371</v>
      </c>
    </row>
    <row r="119" spans="30:37">
      <c r="AD119" s="131">
        <v>200505</v>
      </c>
      <c r="AE119" s="65">
        <v>121027</v>
      </c>
      <c r="AF119">
        <f t="shared" si="20"/>
        <v>5</v>
      </c>
      <c r="AG119">
        <f t="shared" si="19"/>
        <v>5</v>
      </c>
      <c r="AH119" t="str">
        <f t="shared" si="24"/>
        <v>困难</v>
      </c>
      <c r="AI119">
        <f t="shared" si="21"/>
        <v>1035</v>
      </c>
      <c r="AJ119">
        <f t="shared" si="22"/>
        <v>371</v>
      </c>
      <c r="AK119">
        <f t="shared" si="23"/>
        <v>371</v>
      </c>
    </row>
    <row r="120" spans="30:37">
      <c r="AD120" s="131">
        <v>200505</v>
      </c>
      <c r="AE120" s="65">
        <v>121027</v>
      </c>
      <c r="AF120">
        <f t="shared" si="20"/>
        <v>5</v>
      </c>
      <c r="AG120">
        <f t="shared" si="19"/>
        <v>5</v>
      </c>
      <c r="AH120" t="str">
        <f t="shared" si="24"/>
        <v>困难</v>
      </c>
      <c r="AI120">
        <f t="shared" si="21"/>
        <v>1035</v>
      </c>
      <c r="AJ120">
        <f t="shared" si="22"/>
        <v>371</v>
      </c>
      <c r="AK120">
        <f t="shared" si="23"/>
        <v>371</v>
      </c>
    </row>
    <row r="121" spans="30:37">
      <c r="AD121" s="131">
        <v>200505</v>
      </c>
      <c r="AE121" s="65">
        <v>121022</v>
      </c>
      <c r="AF121">
        <f t="shared" si="20"/>
        <v>5</v>
      </c>
      <c r="AG121">
        <f t="shared" si="19"/>
        <v>5</v>
      </c>
      <c r="AH121" t="str">
        <f t="shared" si="24"/>
        <v>困难</v>
      </c>
      <c r="AI121">
        <f t="shared" si="21"/>
        <v>1035</v>
      </c>
      <c r="AJ121">
        <f t="shared" si="22"/>
        <v>371</v>
      </c>
      <c r="AK121">
        <f t="shared" si="23"/>
        <v>371</v>
      </c>
    </row>
    <row r="122" spans="30:37">
      <c r="AD122" s="131">
        <v>200505</v>
      </c>
      <c r="AE122" s="65">
        <v>1111010</v>
      </c>
      <c r="AF122">
        <f t="shared" si="20"/>
        <v>5</v>
      </c>
      <c r="AG122">
        <f t="shared" si="19"/>
        <v>5</v>
      </c>
      <c r="AH122" t="str">
        <f t="shared" si="24"/>
        <v>困难</v>
      </c>
      <c r="AI122">
        <f t="shared" si="21"/>
        <v>1139</v>
      </c>
      <c r="AJ122">
        <f t="shared" si="22"/>
        <v>371</v>
      </c>
      <c r="AK122">
        <f t="shared" si="23"/>
        <v>371</v>
      </c>
    </row>
    <row r="123" spans="30:37">
      <c r="AD123" s="131">
        <v>200505</v>
      </c>
      <c r="AE123" s="65">
        <v>121023</v>
      </c>
      <c r="AF123">
        <f t="shared" si="20"/>
        <v>5</v>
      </c>
      <c r="AG123">
        <f t="shared" si="19"/>
        <v>5</v>
      </c>
      <c r="AH123" t="str">
        <f t="shared" si="24"/>
        <v>困难</v>
      </c>
      <c r="AI123">
        <f t="shared" si="21"/>
        <v>1035</v>
      </c>
      <c r="AJ123">
        <f t="shared" si="22"/>
        <v>371</v>
      </c>
      <c r="AK123">
        <f t="shared" si="23"/>
        <v>371</v>
      </c>
    </row>
    <row r="124" spans="30:37">
      <c r="AD124" s="69">
        <v>200506</v>
      </c>
      <c r="AE124" s="71">
        <v>121028</v>
      </c>
      <c r="AF124">
        <f t="shared" si="20"/>
        <v>5</v>
      </c>
      <c r="AG124">
        <f t="shared" si="19"/>
        <v>6</v>
      </c>
      <c r="AH124" t="str">
        <f t="shared" si="24"/>
        <v>困难</v>
      </c>
      <c r="AI124">
        <f t="shared" si="21"/>
        <v>1035</v>
      </c>
      <c r="AJ124">
        <f t="shared" si="22"/>
        <v>371</v>
      </c>
      <c r="AK124">
        <f t="shared" si="23"/>
        <v>371</v>
      </c>
    </row>
    <row r="125" spans="30:37">
      <c r="AD125" s="69">
        <v>200506</v>
      </c>
      <c r="AE125" s="71">
        <v>121027</v>
      </c>
      <c r="AF125">
        <f t="shared" si="20"/>
        <v>5</v>
      </c>
      <c r="AG125">
        <f t="shared" si="19"/>
        <v>6</v>
      </c>
      <c r="AH125" t="str">
        <f t="shared" si="24"/>
        <v>困难</v>
      </c>
      <c r="AI125">
        <f t="shared" si="21"/>
        <v>1035</v>
      </c>
      <c r="AJ125">
        <f t="shared" si="22"/>
        <v>371</v>
      </c>
      <c r="AK125">
        <f t="shared" si="23"/>
        <v>371</v>
      </c>
    </row>
    <row r="126" spans="30:37">
      <c r="AD126" s="69">
        <v>200506</v>
      </c>
      <c r="AE126" s="71">
        <v>1111009</v>
      </c>
      <c r="AF126">
        <f t="shared" si="20"/>
        <v>5</v>
      </c>
      <c r="AG126">
        <f t="shared" si="19"/>
        <v>6</v>
      </c>
      <c r="AH126" t="str">
        <f t="shared" si="24"/>
        <v>困难</v>
      </c>
      <c r="AI126">
        <f t="shared" si="21"/>
        <v>1139</v>
      </c>
      <c r="AJ126">
        <f t="shared" si="22"/>
        <v>371</v>
      </c>
      <c r="AK126">
        <f t="shared" si="23"/>
        <v>371</v>
      </c>
    </row>
    <row r="127" spans="30:37">
      <c r="AD127" s="69">
        <v>200506</v>
      </c>
      <c r="AE127" s="71">
        <v>121025</v>
      </c>
      <c r="AF127">
        <f t="shared" si="20"/>
        <v>5</v>
      </c>
      <c r="AG127">
        <f t="shared" si="19"/>
        <v>6</v>
      </c>
      <c r="AH127" t="str">
        <f t="shared" si="24"/>
        <v>困难</v>
      </c>
      <c r="AI127">
        <f t="shared" si="21"/>
        <v>1035</v>
      </c>
      <c r="AJ127">
        <f t="shared" si="22"/>
        <v>371</v>
      </c>
      <c r="AK127">
        <f t="shared" si="23"/>
        <v>371</v>
      </c>
    </row>
    <row r="128" spans="30:37">
      <c r="AD128" s="69">
        <v>200506</v>
      </c>
      <c r="AE128" s="71">
        <v>121026</v>
      </c>
      <c r="AF128">
        <f t="shared" si="20"/>
        <v>5</v>
      </c>
      <c r="AG128">
        <f t="shared" si="19"/>
        <v>6</v>
      </c>
      <c r="AH128" t="str">
        <f t="shared" si="24"/>
        <v>困难</v>
      </c>
      <c r="AI128">
        <f t="shared" si="21"/>
        <v>1035</v>
      </c>
      <c r="AJ128">
        <f t="shared" si="22"/>
        <v>371</v>
      </c>
      <c r="AK128">
        <f t="shared" si="23"/>
        <v>371</v>
      </c>
    </row>
    <row r="129" spans="30:37">
      <c r="AD129" s="142" t="s">
        <v>161</v>
      </c>
      <c r="AE129" s="143">
        <v>121009</v>
      </c>
      <c r="AF129">
        <f t="shared" si="20"/>
        <v>6</v>
      </c>
      <c r="AG129">
        <f t="shared" si="19"/>
        <v>1</v>
      </c>
      <c r="AH129" t="str">
        <f t="shared" si="24"/>
        <v>简单</v>
      </c>
      <c r="AI129">
        <f t="shared" si="21"/>
        <v>259</v>
      </c>
      <c r="AJ129">
        <f t="shared" si="22"/>
        <v>103</v>
      </c>
      <c r="AK129">
        <f t="shared" si="23"/>
        <v>1881</v>
      </c>
    </row>
    <row r="130" spans="30:37">
      <c r="AD130" s="142" t="s">
        <v>161</v>
      </c>
      <c r="AE130" s="143">
        <v>121008</v>
      </c>
      <c r="AF130">
        <f t="shared" si="20"/>
        <v>6</v>
      </c>
      <c r="AG130">
        <f t="shared" si="19"/>
        <v>1</v>
      </c>
      <c r="AH130" t="str">
        <f t="shared" si="24"/>
        <v>简单</v>
      </c>
      <c r="AI130">
        <f t="shared" si="21"/>
        <v>259</v>
      </c>
      <c r="AJ130">
        <f t="shared" si="22"/>
        <v>103</v>
      </c>
      <c r="AK130">
        <f t="shared" si="23"/>
        <v>1881</v>
      </c>
    </row>
    <row r="131" spans="30:37">
      <c r="AD131" s="142" t="s">
        <v>161</v>
      </c>
      <c r="AE131" s="143">
        <v>121008</v>
      </c>
      <c r="AF131">
        <f t="shared" si="20"/>
        <v>6</v>
      </c>
      <c r="AG131">
        <f t="shared" si="19"/>
        <v>1</v>
      </c>
      <c r="AH131" t="str">
        <f t="shared" si="24"/>
        <v>简单</v>
      </c>
      <c r="AI131">
        <f t="shared" si="21"/>
        <v>259</v>
      </c>
      <c r="AJ131">
        <f t="shared" si="22"/>
        <v>103</v>
      </c>
      <c r="AK131">
        <f t="shared" si="23"/>
        <v>1881</v>
      </c>
    </row>
    <row r="132" spans="30:37">
      <c r="AD132" s="142" t="s">
        <v>161</v>
      </c>
      <c r="AE132" s="143">
        <v>121013</v>
      </c>
      <c r="AF132">
        <f t="shared" si="20"/>
        <v>6</v>
      </c>
      <c r="AG132">
        <f t="shared" si="19"/>
        <v>1</v>
      </c>
      <c r="AH132" t="str">
        <f t="shared" si="24"/>
        <v>简单</v>
      </c>
      <c r="AI132">
        <f t="shared" si="21"/>
        <v>259</v>
      </c>
      <c r="AJ132">
        <f t="shared" si="22"/>
        <v>103</v>
      </c>
      <c r="AK132">
        <f t="shared" si="23"/>
        <v>1881</v>
      </c>
    </row>
    <row r="133" spans="30:37">
      <c r="AD133" s="142" t="s">
        <v>161</v>
      </c>
      <c r="AE133" s="143">
        <v>121013</v>
      </c>
      <c r="AF133">
        <f t="shared" si="20"/>
        <v>6</v>
      </c>
      <c r="AG133">
        <f t="shared" si="19"/>
        <v>1</v>
      </c>
      <c r="AH133" t="str">
        <f t="shared" si="24"/>
        <v>简单</v>
      </c>
      <c r="AI133">
        <f t="shared" si="21"/>
        <v>259</v>
      </c>
      <c r="AJ133">
        <f t="shared" si="22"/>
        <v>103</v>
      </c>
      <c r="AK133">
        <f t="shared" si="23"/>
        <v>1881</v>
      </c>
    </row>
    <row r="134" spans="30:37">
      <c r="AD134" s="144" t="s">
        <v>162</v>
      </c>
      <c r="AE134" s="71">
        <v>121008</v>
      </c>
      <c r="AF134">
        <f t="shared" si="20"/>
        <v>6</v>
      </c>
      <c r="AG134">
        <f t="shared" si="19"/>
        <v>2</v>
      </c>
      <c r="AH134" t="str">
        <f t="shared" si="24"/>
        <v>简单</v>
      </c>
      <c r="AI134">
        <f t="shared" si="21"/>
        <v>259</v>
      </c>
      <c r="AJ134">
        <f t="shared" si="22"/>
        <v>103</v>
      </c>
      <c r="AK134">
        <f t="shared" si="23"/>
        <v>1881</v>
      </c>
    </row>
    <row r="135" spans="30:37">
      <c r="AD135" s="144" t="s">
        <v>162</v>
      </c>
      <c r="AE135" s="71">
        <v>121008</v>
      </c>
      <c r="AF135">
        <f t="shared" si="20"/>
        <v>6</v>
      </c>
      <c r="AG135">
        <f t="shared" si="19"/>
        <v>2</v>
      </c>
      <c r="AH135" t="str">
        <f t="shared" si="24"/>
        <v>简单</v>
      </c>
      <c r="AI135">
        <f t="shared" si="21"/>
        <v>259</v>
      </c>
      <c r="AJ135">
        <f t="shared" si="22"/>
        <v>103</v>
      </c>
      <c r="AK135">
        <f t="shared" si="23"/>
        <v>1881</v>
      </c>
    </row>
    <row r="136" spans="30:37">
      <c r="AD136" s="144" t="s">
        <v>162</v>
      </c>
      <c r="AE136" s="71">
        <v>121008</v>
      </c>
      <c r="AF136">
        <f t="shared" si="20"/>
        <v>6</v>
      </c>
      <c r="AG136">
        <f t="shared" si="19"/>
        <v>2</v>
      </c>
      <c r="AH136" t="str">
        <f t="shared" si="24"/>
        <v>简单</v>
      </c>
      <c r="AI136">
        <f t="shared" si="21"/>
        <v>259</v>
      </c>
      <c r="AJ136">
        <f t="shared" si="22"/>
        <v>103</v>
      </c>
      <c r="AK136">
        <f t="shared" si="23"/>
        <v>1881</v>
      </c>
    </row>
    <row r="137" spans="30:37">
      <c r="AD137" s="144" t="s">
        <v>162</v>
      </c>
      <c r="AE137" s="71">
        <v>121013</v>
      </c>
      <c r="AF137">
        <f t="shared" si="20"/>
        <v>6</v>
      </c>
      <c r="AG137">
        <f t="shared" si="19"/>
        <v>2</v>
      </c>
      <c r="AH137" t="str">
        <f t="shared" si="24"/>
        <v>简单</v>
      </c>
      <c r="AI137">
        <f t="shared" si="21"/>
        <v>259</v>
      </c>
      <c r="AJ137">
        <f t="shared" si="22"/>
        <v>103</v>
      </c>
      <c r="AK137">
        <f t="shared" si="23"/>
        <v>1881</v>
      </c>
    </row>
    <row r="138" spans="30:37">
      <c r="AD138" s="144" t="s">
        <v>162</v>
      </c>
      <c r="AE138" s="71">
        <v>121013</v>
      </c>
      <c r="AF138">
        <f t="shared" si="20"/>
        <v>6</v>
      </c>
      <c r="AG138">
        <f t="shared" si="19"/>
        <v>2</v>
      </c>
      <c r="AH138" t="str">
        <f t="shared" si="24"/>
        <v>简单</v>
      </c>
      <c r="AI138">
        <f t="shared" si="21"/>
        <v>259</v>
      </c>
      <c r="AJ138">
        <f t="shared" si="22"/>
        <v>103</v>
      </c>
      <c r="AK138">
        <f t="shared" si="23"/>
        <v>1881</v>
      </c>
    </row>
    <row r="139" spans="30:37">
      <c r="AD139" s="145">
        <v>200603</v>
      </c>
      <c r="AE139" s="65">
        <v>121009</v>
      </c>
      <c r="AF139">
        <f t="shared" si="20"/>
        <v>6</v>
      </c>
      <c r="AG139">
        <f t="shared" si="19"/>
        <v>3</v>
      </c>
      <c r="AH139" t="str">
        <f t="shared" si="24"/>
        <v>困难</v>
      </c>
      <c r="AI139">
        <f t="shared" si="21"/>
        <v>1046</v>
      </c>
      <c r="AJ139">
        <f t="shared" si="22"/>
        <v>418</v>
      </c>
      <c r="AK139">
        <f t="shared" si="23"/>
        <v>418</v>
      </c>
    </row>
    <row r="140" spans="30:37">
      <c r="AD140" s="145">
        <v>200603</v>
      </c>
      <c r="AE140" s="65">
        <v>121008</v>
      </c>
      <c r="AF140">
        <f t="shared" si="20"/>
        <v>6</v>
      </c>
      <c r="AG140">
        <f t="shared" si="19"/>
        <v>3</v>
      </c>
      <c r="AH140" t="str">
        <f t="shared" si="24"/>
        <v>困难</v>
      </c>
      <c r="AI140">
        <f t="shared" si="21"/>
        <v>1046</v>
      </c>
      <c r="AJ140">
        <f t="shared" si="22"/>
        <v>418</v>
      </c>
      <c r="AK140">
        <f t="shared" si="23"/>
        <v>418</v>
      </c>
    </row>
    <row r="141" spans="30:37">
      <c r="AD141" s="145">
        <v>200603</v>
      </c>
      <c r="AE141" s="65">
        <v>121008</v>
      </c>
      <c r="AF141">
        <f t="shared" si="20"/>
        <v>6</v>
      </c>
      <c r="AG141">
        <f t="shared" si="19"/>
        <v>3</v>
      </c>
      <c r="AH141" t="str">
        <f t="shared" si="24"/>
        <v>困难</v>
      </c>
      <c r="AI141">
        <f t="shared" si="21"/>
        <v>1046</v>
      </c>
      <c r="AJ141">
        <f t="shared" si="22"/>
        <v>418</v>
      </c>
      <c r="AK141">
        <f t="shared" si="23"/>
        <v>418</v>
      </c>
    </row>
    <row r="142" spans="30:37">
      <c r="AD142" s="145">
        <v>200603</v>
      </c>
      <c r="AE142" s="65">
        <v>121013</v>
      </c>
      <c r="AF142">
        <f t="shared" si="20"/>
        <v>6</v>
      </c>
      <c r="AG142">
        <f t="shared" si="19"/>
        <v>3</v>
      </c>
      <c r="AH142" t="str">
        <f t="shared" si="24"/>
        <v>困难</v>
      </c>
      <c r="AI142">
        <f t="shared" si="21"/>
        <v>1046</v>
      </c>
      <c r="AJ142">
        <f t="shared" si="22"/>
        <v>418</v>
      </c>
      <c r="AK142">
        <f t="shared" si="23"/>
        <v>418</v>
      </c>
    </row>
    <row r="143" spans="30:37">
      <c r="AD143" s="145">
        <v>200603</v>
      </c>
      <c r="AE143" s="65">
        <v>121013</v>
      </c>
      <c r="AF143">
        <f t="shared" si="20"/>
        <v>6</v>
      </c>
      <c r="AG143">
        <f t="shared" si="19"/>
        <v>3</v>
      </c>
      <c r="AH143" t="str">
        <f t="shared" si="24"/>
        <v>困难</v>
      </c>
      <c r="AI143">
        <f t="shared" si="21"/>
        <v>1046</v>
      </c>
      <c r="AJ143">
        <f t="shared" si="22"/>
        <v>418</v>
      </c>
      <c r="AK143">
        <f t="shared" si="23"/>
        <v>418</v>
      </c>
    </row>
    <row r="144" spans="30:37">
      <c r="AD144" s="145">
        <v>200604</v>
      </c>
      <c r="AE144" s="65">
        <v>121008</v>
      </c>
      <c r="AF144">
        <f t="shared" si="20"/>
        <v>6</v>
      </c>
      <c r="AG144">
        <f t="shared" si="19"/>
        <v>4</v>
      </c>
      <c r="AH144" t="str">
        <f t="shared" si="24"/>
        <v>困难</v>
      </c>
      <c r="AI144">
        <f t="shared" si="21"/>
        <v>1046</v>
      </c>
      <c r="AJ144">
        <f t="shared" si="22"/>
        <v>418</v>
      </c>
      <c r="AK144">
        <f t="shared" si="23"/>
        <v>418</v>
      </c>
    </row>
    <row r="145" spans="30:37">
      <c r="AD145" s="145">
        <v>200604</v>
      </c>
      <c r="AE145" s="65">
        <v>121008</v>
      </c>
      <c r="AF145">
        <f t="shared" si="20"/>
        <v>6</v>
      </c>
      <c r="AG145">
        <f t="shared" si="19"/>
        <v>4</v>
      </c>
      <c r="AH145" t="str">
        <f t="shared" si="24"/>
        <v>困难</v>
      </c>
      <c r="AI145">
        <f t="shared" si="21"/>
        <v>1046</v>
      </c>
      <c r="AJ145">
        <f t="shared" si="22"/>
        <v>418</v>
      </c>
      <c r="AK145">
        <f t="shared" si="23"/>
        <v>418</v>
      </c>
    </row>
    <row r="146" spans="30:37">
      <c r="AD146" s="145">
        <v>200604</v>
      </c>
      <c r="AE146" s="65">
        <v>121008</v>
      </c>
      <c r="AF146">
        <f t="shared" si="20"/>
        <v>6</v>
      </c>
      <c r="AG146">
        <f t="shared" si="19"/>
        <v>4</v>
      </c>
      <c r="AH146" t="str">
        <f t="shared" si="24"/>
        <v>困难</v>
      </c>
      <c r="AI146">
        <f t="shared" si="21"/>
        <v>1046</v>
      </c>
      <c r="AJ146">
        <f t="shared" si="22"/>
        <v>418</v>
      </c>
      <c r="AK146">
        <f t="shared" si="23"/>
        <v>418</v>
      </c>
    </row>
    <row r="147" spans="30:37">
      <c r="AD147" s="145">
        <v>200604</v>
      </c>
      <c r="AE147" s="65">
        <v>121013</v>
      </c>
      <c r="AF147">
        <f t="shared" si="20"/>
        <v>6</v>
      </c>
      <c r="AG147">
        <f t="shared" si="19"/>
        <v>4</v>
      </c>
      <c r="AH147" t="str">
        <f t="shared" si="24"/>
        <v>困难</v>
      </c>
      <c r="AI147">
        <f t="shared" si="21"/>
        <v>1046</v>
      </c>
      <c r="AJ147">
        <f t="shared" si="22"/>
        <v>418</v>
      </c>
      <c r="AK147">
        <f t="shared" si="23"/>
        <v>418</v>
      </c>
    </row>
    <row r="148" spans="30:37">
      <c r="AD148" s="145">
        <v>200604</v>
      </c>
      <c r="AE148" s="65">
        <v>121013</v>
      </c>
      <c r="AF148">
        <f t="shared" si="20"/>
        <v>6</v>
      </c>
      <c r="AG148">
        <f t="shared" si="19"/>
        <v>4</v>
      </c>
      <c r="AH148" t="str">
        <f t="shared" si="24"/>
        <v>困难</v>
      </c>
      <c r="AI148">
        <f t="shared" si="21"/>
        <v>1046</v>
      </c>
      <c r="AJ148">
        <f t="shared" si="22"/>
        <v>418</v>
      </c>
      <c r="AK148">
        <f t="shared" si="23"/>
        <v>418</v>
      </c>
    </row>
    <row r="149" spans="30:37">
      <c r="AD149" s="146" t="s">
        <v>163</v>
      </c>
      <c r="AE149" s="71">
        <v>121021</v>
      </c>
      <c r="AF149">
        <f t="shared" si="20"/>
        <v>7</v>
      </c>
      <c r="AG149">
        <f t="shared" si="19"/>
        <v>1</v>
      </c>
      <c r="AH149" t="str">
        <f t="shared" si="24"/>
        <v>简单</v>
      </c>
      <c r="AI149">
        <f t="shared" si="21"/>
        <v>259</v>
      </c>
      <c r="AJ149">
        <f t="shared" si="22"/>
        <v>103</v>
      </c>
      <c r="AK149">
        <f t="shared" si="23"/>
        <v>1881</v>
      </c>
    </row>
    <row r="150" spans="30:37">
      <c r="AD150" s="146" t="s">
        <v>163</v>
      </c>
      <c r="AE150" s="71">
        <v>121014</v>
      </c>
      <c r="AF150">
        <f t="shared" si="20"/>
        <v>7</v>
      </c>
      <c r="AG150">
        <f t="shared" ref="AG150:AG213" si="25">ROUNDDOWN(RIGHT(AD150,2),0)</f>
        <v>1</v>
      </c>
      <c r="AH150" t="str">
        <f t="shared" si="24"/>
        <v>简单</v>
      </c>
      <c r="AI150">
        <f t="shared" si="21"/>
        <v>259</v>
      </c>
      <c r="AJ150">
        <f t="shared" si="22"/>
        <v>103</v>
      </c>
      <c r="AK150">
        <f t="shared" si="23"/>
        <v>1881</v>
      </c>
    </row>
    <row r="151" spans="30:37">
      <c r="AD151" s="146" t="s">
        <v>163</v>
      </c>
      <c r="AE151" s="71">
        <v>121014</v>
      </c>
      <c r="AF151">
        <f t="shared" si="20"/>
        <v>7</v>
      </c>
      <c r="AG151">
        <f t="shared" si="25"/>
        <v>1</v>
      </c>
      <c r="AH151" t="str">
        <f t="shared" si="24"/>
        <v>简单</v>
      </c>
      <c r="AI151">
        <f t="shared" si="21"/>
        <v>259</v>
      </c>
      <c r="AJ151">
        <f t="shared" si="22"/>
        <v>103</v>
      </c>
      <c r="AK151">
        <f t="shared" si="23"/>
        <v>1881</v>
      </c>
    </row>
    <row r="152" spans="30:37">
      <c r="AD152" s="146" t="s">
        <v>163</v>
      </c>
      <c r="AE152" s="71">
        <v>121014</v>
      </c>
      <c r="AF152">
        <f t="shared" si="20"/>
        <v>7</v>
      </c>
      <c r="AG152">
        <f t="shared" si="25"/>
        <v>1</v>
      </c>
      <c r="AH152" t="str">
        <f t="shared" si="24"/>
        <v>简单</v>
      </c>
      <c r="AI152">
        <f t="shared" si="21"/>
        <v>259</v>
      </c>
      <c r="AJ152">
        <f t="shared" si="22"/>
        <v>103</v>
      </c>
      <c r="AK152">
        <f t="shared" si="23"/>
        <v>1881</v>
      </c>
    </row>
    <row r="153" spans="30:37">
      <c r="AD153" s="146" t="s">
        <v>163</v>
      </c>
      <c r="AE153" s="71">
        <v>1111003</v>
      </c>
      <c r="AF153">
        <f t="shared" si="20"/>
        <v>7</v>
      </c>
      <c r="AG153">
        <f t="shared" si="25"/>
        <v>1</v>
      </c>
      <c r="AH153" t="str">
        <f t="shared" si="24"/>
        <v>简单</v>
      </c>
      <c r="AI153">
        <f t="shared" si="21"/>
        <v>345</v>
      </c>
      <c r="AJ153">
        <f t="shared" si="22"/>
        <v>103</v>
      </c>
      <c r="AK153">
        <f t="shared" si="23"/>
        <v>1881</v>
      </c>
    </row>
    <row r="154" spans="30:37">
      <c r="AD154" s="147" t="s">
        <v>164</v>
      </c>
      <c r="AE154" s="65">
        <v>121016</v>
      </c>
      <c r="AF154">
        <f t="shared" si="20"/>
        <v>7</v>
      </c>
      <c r="AG154">
        <f t="shared" si="25"/>
        <v>2</v>
      </c>
      <c r="AH154" t="str">
        <f t="shared" si="24"/>
        <v>简单</v>
      </c>
      <c r="AI154">
        <f t="shared" si="21"/>
        <v>259</v>
      </c>
      <c r="AJ154">
        <f t="shared" si="22"/>
        <v>103</v>
      </c>
      <c r="AK154">
        <f t="shared" si="23"/>
        <v>1881</v>
      </c>
    </row>
    <row r="155" spans="30:37">
      <c r="AD155" s="147" t="s">
        <v>164</v>
      </c>
      <c r="AE155" s="65">
        <v>121016</v>
      </c>
      <c r="AF155">
        <f t="shared" si="20"/>
        <v>7</v>
      </c>
      <c r="AG155">
        <f t="shared" si="25"/>
        <v>2</v>
      </c>
      <c r="AH155" t="str">
        <f t="shared" si="24"/>
        <v>简单</v>
      </c>
      <c r="AI155">
        <f t="shared" si="21"/>
        <v>259</v>
      </c>
      <c r="AJ155">
        <f t="shared" si="22"/>
        <v>103</v>
      </c>
      <c r="AK155">
        <f t="shared" si="23"/>
        <v>1881</v>
      </c>
    </row>
    <row r="156" spans="30:37">
      <c r="AD156" s="147" t="s">
        <v>164</v>
      </c>
      <c r="AE156" s="65">
        <v>121015</v>
      </c>
      <c r="AF156">
        <f t="shared" si="20"/>
        <v>7</v>
      </c>
      <c r="AG156">
        <f t="shared" si="25"/>
        <v>2</v>
      </c>
      <c r="AH156" t="str">
        <f t="shared" si="24"/>
        <v>简单</v>
      </c>
      <c r="AI156">
        <f t="shared" si="21"/>
        <v>259</v>
      </c>
      <c r="AJ156">
        <f t="shared" si="22"/>
        <v>103</v>
      </c>
      <c r="AK156">
        <f t="shared" si="23"/>
        <v>1881</v>
      </c>
    </row>
    <row r="157" spans="30:37">
      <c r="AD157" s="147" t="s">
        <v>164</v>
      </c>
      <c r="AE157" s="65">
        <v>121015</v>
      </c>
      <c r="AF157">
        <f t="shared" si="20"/>
        <v>7</v>
      </c>
      <c r="AG157">
        <f t="shared" si="25"/>
        <v>2</v>
      </c>
      <c r="AH157" t="str">
        <f t="shared" si="24"/>
        <v>简单</v>
      </c>
      <c r="AI157">
        <f t="shared" si="21"/>
        <v>259</v>
      </c>
      <c r="AJ157">
        <f t="shared" si="22"/>
        <v>103</v>
      </c>
      <c r="AK157">
        <f t="shared" si="23"/>
        <v>1881</v>
      </c>
    </row>
    <row r="158" spans="30:37">
      <c r="AD158" s="147" t="s">
        <v>164</v>
      </c>
      <c r="AE158" s="65">
        <v>1112010</v>
      </c>
      <c r="AF158">
        <f t="shared" ref="AF158:AF221" si="26">MOD(ROUNDDOWN(AD158/100,0),100)</f>
        <v>7</v>
      </c>
      <c r="AG158">
        <f t="shared" si="25"/>
        <v>2</v>
      </c>
      <c r="AH158" t="str">
        <f t="shared" si="24"/>
        <v>简单</v>
      </c>
      <c r="AI158">
        <f t="shared" si="21"/>
        <v>345</v>
      </c>
      <c r="AJ158">
        <f t="shared" si="22"/>
        <v>103</v>
      </c>
      <c r="AK158">
        <f t="shared" si="23"/>
        <v>1881</v>
      </c>
    </row>
    <row r="159" spans="30:37">
      <c r="AD159" s="146">
        <v>200703</v>
      </c>
      <c r="AE159" s="71">
        <v>121021</v>
      </c>
      <c r="AF159">
        <f t="shared" si="26"/>
        <v>7</v>
      </c>
      <c r="AG159">
        <f t="shared" si="25"/>
        <v>3</v>
      </c>
      <c r="AH159" t="str">
        <f t="shared" si="24"/>
        <v>困难</v>
      </c>
      <c r="AI159">
        <f t="shared" ref="AI159:AI222" si="27">IF($AH159="简单",IF(AE159&lt;122000,VLOOKUP($AF159,$N:$T,2,0),VLOOKUP($AF159,$N:$T,5,0)),IF(AE159&lt;122000,VLOOKUP($AF159,$V:$AB,2,0),VLOOKUP($AF159,$V:$AB,5,0)))</f>
        <v>1057</v>
      </c>
      <c r="AJ159">
        <f t="shared" ref="AJ159:AJ222" si="28">IF($AH159="简单",IF(AF159&lt;122000,VLOOKUP($AF159,$N:$T,3,0),VLOOKUP($AF159,$N:$T,6,0)),IF(AF159&lt;122000,VLOOKUP($AF159,$V:$AB,3,0),VLOOKUP($AF159,$V:$AB,6,0)))</f>
        <v>423</v>
      </c>
      <c r="AK159">
        <f t="shared" ref="AK159:AK222" si="29">IF($AH159="简单",IF(AG159&lt;122000,VLOOKUP($AF159,$N:$T,4,0),VLOOKUP($AF159,$N:$T,7,0)),IF(AG159&lt;122000,VLOOKUP($AF159,$V:$AB,3,0),VLOOKUP($AF159,$V:$AB,6,0)))</f>
        <v>423</v>
      </c>
    </row>
    <row r="160" spans="30:37">
      <c r="AD160" s="146">
        <v>200703</v>
      </c>
      <c r="AE160" s="71">
        <v>121014</v>
      </c>
      <c r="AF160">
        <f t="shared" si="26"/>
        <v>7</v>
      </c>
      <c r="AG160">
        <f t="shared" si="25"/>
        <v>3</v>
      </c>
      <c r="AH160" t="str">
        <f t="shared" si="24"/>
        <v>困难</v>
      </c>
      <c r="AI160">
        <f t="shared" si="27"/>
        <v>1057</v>
      </c>
      <c r="AJ160">
        <f t="shared" si="28"/>
        <v>423</v>
      </c>
      <c r="AK160">
        <f t="shared" si="29"/>
        <v>423</v>
      </c>
    </row>
    <row r="161" spans="30:37">
      <c r="AD161" s="146">
        <v>200703</v>
      </c>
      <c r="AE161" s="71">
        <v>121014</v>
      </c>
      <c r="AF161">
        <f t="shared" si="26"/>
        <v>7</v>
      </c>
      <c r="AG161">
        <f t="shared" si="25"/>
        <v>3</v>
      </c>
      <c r="AH161" t="str">
        <f t="shared" si="24"/>
        <v>困难</v>
      </c>
      <c r="AI161">
        <f t="shared" si="27"/>
        <v>1057</v>
      </c>
      <c r="AJ161">
        <f t="shared" si="28"/>
        <v>423</v>
      </c>
      <c r="AK161">
        <f t="shared" si="29"/>
        <v>423</v>
      </c>
    </row>
    <row r="162" spans="30:37">
      <c r="AD162" s="146">
        <v>200703</v>
      </c>
      <c r="AE162" s="71">
        <v>121014</v>
      </c>
      <c r="AF162">
        <f t="shared" si="26"/>
        <v>7</v>
      </c>
      <c r="AG162">
        <f t="shared" si="25"/>
        <v>3</v>
      </c>
      <c r="AH162" t="str">
        <f t="shared" si="24"/>
        <v>困难</v>
      </c>
      <c r="AI162">
        <f t="shared" si="27"/>
        <v>1057</v>
      </c>
      <c r="AJ162">
        <f t="shared" si="28"/>
        <v>423</v>
      </c>
      <c r="AK162">
        <f t="shared" si="29"/>
        <v>423</v>
      </c>
    </row>
    <row r="163" spans="30:37">
      <c r="AD163" s="146">
        <v>200703</v>
      </c>
      <c r="AE163" s="71">
        <v>1111003</v>
      </c>
      <c r="AF163">
        <f t="shared" si="26"/>
        <v>7</v>
      </c>
      <c r="AG163">
        <f t="shared" si="25"/>
        <v>3</v>
      </c>
      <c r="AH163" t="str">
        <f t="shared" si="24"/>
        <v>困难</v>
      </c>
      <c r="AI163">
        <f t="shared" si="27"/>
        <v>1163</v>
      </c>
      <c r="AJ163">
        <f t="shared" si="28"/>
        <v>423</v>
      </c>
      <c r="AK163">
        <f t="shared" si="29"/>
        <v>423</v>
      </c>
    </row>
    <row r="164" spans="30:37">
      <c r="AD164" s="147">
        <v>200704</v>
      </c>
      <c r="AE164" s="65">
        <v>121016</v>
      </c>
      <c r="AF164">
        <f t="shared" si="26"/>
        <v>7</v>
      </c>
      <c r="AG164">
        <f t="shared" si="25"/>
        <v>4</v>
      </c>
      <c r="AH164" t="str">
        <f t="shared" si="24"/>
        <v>困难</v>
      </c>
      <c r="AI164">
        <f t="shared" si="27"/>
        <v>1057</v>
      </c>
      <c r="AJ164">
        <f t="shared" si="28"/>
        <v>423</v>
      </c>
      <c r="AK164">
        <f t="shared" si="29"/>
        <v>423</v>
      </c>
    </row>
    <row r="165" spans="30:37">
      <c r="AD165" s="147">
        <v>200704</v>
      </c>
      <c r="AE165" s="65">
        <v>121016</v>
      </c>
      <c r="AF165">
        <f t="shared" si="26"/>
        <v>7</v>
      </c>
      <c r="AG165">
        <f t="shared" si="25"/>
        <v>4</v>
      </c>
      <c r="AH165" t="str">
        <f t="shared" si="24"/>
        <v>困难</v>
      </c>
      <c r="AI165">
        <f t="shared" si="27"/>
        <v>1057</v>
      </c>
      <c r="AJ165">
        <f t="shared" si="28"/>
        <v>423</v>
      </c>
      <c r="AK165">
        <f t="shared" si="29"/>
        <v>423</v>
      </c>
    </row>
    <row r="166" spans="30:37">
      <c r="AD166" s="147">
        <v>200704</v>
      </c>
      <c r="AE166" s="65">
        <v>121015</v>
      </c>
      <c r="AF166">
        <f t="shared" si="26"/>
        <v>7</v>
      </c>
      <c r="AG166">
        <f t="shared" si="25"/>
        <v>4</v>
      </c>
      <c r="AH166" t="str">
        <f t="shared" si="24"/>
        <v>困难</v>
      </c>
      <c r="AI166">
        <f t="shared" si="27"/>
        <v>1057</v>
      </c>
      <c r="AJ166">
        <f t="shared" si="28"/>
        <v>423</v>
      </c>
      <c r="AK166">
        <f t="shared" si="29"/>
        <v>423</v>
      </c>
    </row>
    <row r="167" spans="30:37">
      <c r="AD167" s="147">
        <v>200704</v>
      </c>
      <c r="AE167" s="65">
        <v>121015</v>
      </c>
      <c r="AF167">
        <f t="shared" si="26"/>
        <v>7</v>
      </c>
      <c r="AG167">
        <f t="shared" si="25"/>
        <v>4</v>
      </c>
      <c r="AH167" t="str">
        <f t="shared" si="24"/>
        <v>困难</v>
      </c>
      <c r="AI167">
        <f t="shared" si="27"/>
        <v>1057</v>
      </c>
      <c r="AJ167">
        <f t="shared" si="28"/>
        <v>423</v>
      </c>
      <c r="AK167">
        <f t="shared" si="29"/>
        <v>423</v>
      </c>
    </row>
    <row r="168" spans="30:37">
      <c r="AD168" s="147">
        <v>200704</v>
      </c>
      <c r="AE168" s="65">
        <v>1112010</v>
      </c>
      <c r="AF168">
        <f t="shared" si="26"/>
        <v>7</v>
      </c>
      <c r="AG168">
        <f t="shared" si="25"/>
        <v>4</v>
      </c>
      <c r="AH168" t="str">
        <f t="shared" si="24"/>
        <v>困难</v>
      </c>
      <c r="AI168">
        <f t="shared" si="27"/>
        <v>1163</v>
      </c>
      <c r="AJ168">
        <f t="shared" si="28"/>
        <v>423</v>
      </c>
      <c r="AK168">
        <f t="shared" si="29"/>
        <v>423</v>
      </c>
    </row>
    <row r="169" spans="30:37">
      <c r="AD169" s="69" t="s">
        <v>165</v>
      </c>
      <c r="AE169" s="134">
        <v>121009</v>
      </c>
      <c r="AF169">
        <f t="shared" si="26"/>
        <v>8</v>
      </c>
      <c r="AG169">
        <f t="shared" si="25"/>
        <v>1</v>
      </c>
      <c r="AH169" t="str">
        <f t="shared" si="24"/>
        <v>简单</v>
      </c>
      <c r="AI169">
        <f t="shared" si="27"/>
        <v>259</v>
      </c>
      <c r="AJ169">
        <f t="shared" si="28"/>
        <v>103</v>
      </c>
      <c r="AK169">
        <f t="shared" si="29"/>
        <v>1881</v>
      </c>
    </row>
    <row r="170" spans="30:37">
      <c r="AD170" s="69" t="s">
        <v>165</v>
      </c>
      <c r="AE170" s="134">
        <v>121009</v>
      </c>
      <c r="AF170">
        <f t="shared" si="26"/>
        <v>8</v>
      </c>
      <c r="AG170">
        <f t="shared" si="25"/>
        <v>1</v>
      </c>
      <c r="AH170" t="str">
        <f t="shared" si="24"/>
        <v>简单</v>
      </c>
      <c r="AI170">
        <f t="shared" si="27"/>
        <v>259</v>
      </c>
      <c r="AJ170">
        <f t="shared" si="28"/>
        <v>103</v>
      </c>
      <c r="AK170">
        <f t="shared" si="29"/>
        <v>1881</v>
      </c>
    </row>
    <row r="171" spans="30:37">
      <c r="AD171" s="69" t="s">
        <v>165</v>
      </c>
      <c r="AE171" s="134">
        <v>121013</v>
      </c>
      <c r="AF171">
        <f t="shared" si="26"/>
        <v>8</v>
      </c>
      <c r="AG171">
        <f t="shared" si="25"/>
        <v>1</v>
      </c>
      <c r="AH171" t="str">
        <f t="shared" si="24"/>
        <v>简单</v>
      </c>
      <c r="AI171">
        <f t="shared" si="27"/>
        <v>259</v>
      </c>
      <c r="AJ171">
        <f t="shared" si="28"/>
        <v>103</v>
      </c>
      <c r="AK171">
        <f t="shared" si="29"/>
        <v>1881</v>
      </c>
    </row>
    <row r="172" spans="30:37">
      <c r="AD172" s="69" t="s">
        <v>165</v>
      </c>
      <c r="AE172" s="134">
        <v>1112012</v>
      </c>
      <c r="AF172">
        <f t="shared" si="26"/>
        <v>8</v>
      </c>
      <c r="AG172">
        <f t="shared" si="25"/>
        <v>1</v>
      </c>
      <c r="AH172" t="str">
        <f t="shared" ref="AH172:AH235" si="30">IF(VLOOKUP(AF172,AF:AG,2,1)=4,IF(AG172&lt;3,"简单","困难"),IF(AG172&lt;4,"简单","困难"))</f>
        <v>简单</v>
      </c>
      <c r="AI172">
        <f t="shared" si="27"/>
        <v>345</v>
      </c>
      <c r="AJ172">
        <f t="shared" si="28"/>
        <v>103</v>
      </c>
      <c r="AK172">
        <f t="shared" si="29"/>
        <v>1881</v>
      </c>
    </row>
    <row r="173" spans="30:37">
      <c r="AD173" s="69" t="s">
        <v>165</v>
      </c>
      <c r="AE173" s="134">
        <v>121013</v>
      </c>
      <c r="AF173">
        <f t="shared" si="26"/>
        <v>8</v>
      </c>
      <c r="AG173">
        <f t="shared" si="25"/>
        <v>1</v>
      </c>
      <c r="AH173" t="str">
        <f t="shared" si="30"/>
        <v>简单</v>
      </c>
      <c r="AI173">
        <f t="shared" si="27"/>
        <v>259</v>
      </c>
      <c r="AJ173">
        <f t="shared" si="28"/>
        <v>103</v>
      </c>
      <c r="AK173">
        <f t="shared" si="29"/>
        <v>1881</v>
      </c>
    </row>
    <row r="174" spans="30:37">
      <c r="AD174" s="131" t="s">
        <v>166</v>
      </c>
      <c r="AE174" s="135">
        <v>1112011</v>
      </c>
      <c r="AF174">
        <f t="shared" si="26"/>
        <v>8</v>
      </c>
      <c r="AG174">
        <f t="shared" si="25"/>
        <v>2</v>
      </c>
      <c r="AH174" t="str">
        <f t="shared" si="30"/>
        <v>简单</v>
      </c>
      <c r="AI174">
        <f t="shared" si="27"/>
        <v>345</v>
      </c>
      <c r="AJ174">
        <f t="shared" si="28"/>
        <v>103</v>
      </c>
      <c r="AK174">
        <f t="shared" si="29"/>
        <v>1881</v>
      </c>
    </row>
    <row r="175" spans="30:37">
      <c r="AD175" s="131" t="s">
        <v>166</v>
      </c>
      <c r="AE175" s="135">
        <v>121008</v>
      </c>
      <c r="AF175">
        <f t="shared" si="26"/>
        <v>8</v>
      </c>
      <c r="AG175">
        <f t="shared" si="25"/>
        <v>2</v>
      </c>
      <c r="AH175" t="str">
        <f t="shared" si="30"/>
        <v>简单</v>
      </c>
      <c r="AI175">
        <f t="shared" si="27"/>
        <v>259</v>
      </c>
      <c r="AJ175">
        <f t="shared" si="28"/>
        <v>103</v>
      </c>
      <c r="AK175">
        <f t="shared" si="29"/>
        <v>1881</v>
      </c>
    </row>
    <row r="176" spans="30:37">
      <c r="AD176" s="131" t="s">
        <v>166</v>
      </c>
      <c r="AE176" s="135">
        <v>121008</v>
      </c>
      <c r="AF176">
        <f t="shared" si="26"/>
        <v>8</v>
      </c>
      <c r="AG176">
        <f t="shared" si="25"/>
        <v>2</v>
      </c>
      <c r="AH176" t="str">
        <f t="shared" si="30"/>
        <v>简单</v>
      </c>
      <c r="AI176">
        <f t="shared" si="27"/>
        <v>259</v>
      </c>
      <c r="AJ176">
        <f t="shared" si="28"/>
        <v>103</v>
      </c>
      <c r="AK176">
        <f t="shared" si="29"/>
        <v>1881</v>
      </c>
    </row>
    <row r="177" spans="30:37">
      <c r="AD177" s="131" t="s">
        <v>166</v>
      </c>
      <c r="AE177" s="135">
        <v>121013</v>
      </c>
      <c r="AF177">
        <f t="shared" si="26"/>
        <v>8</v>
      </c>
      <c r="AG177">
        <f t="shared" si="25"/>
        <v>2</v>
      </c>
      <c r="AH177" t="str">
        <f t="shared" si="30"/>
        <v>简单</v>
      </c>
      <c r="AI177">
        <f t="shared" si="27"/>
        <v>259</v>
      </c>
      <c r="AJ177">
        <f t="shared" si="28"/>
        <v>103</v>
      </c>
      <c r="AK177">
        <f t="shared" si="29"/>
        <v>1881</v>
      </c>
    </row>
    <row r="178" spans="30:37">
      <c r="AD178" s="131" t="s">
        <v>166</v>
      </c>
      <c r="AE178" s="135">
        <v>121013</v>
      </c>
      <c r="AF178">
        <f t="shared" si="26"/>
        <v>8</v>
      </c>
      <c r="AG178">
        <f t="shared" si="25"/>
        <v>2</v>
      </c>
      <c r="AH178" t="str">
        <f t="shared" si="30"/>
        <v>简单</v>
      </c>
      <c r="AI178">
        <f t="shared" si="27"/>
        <v>259</v>
      </c>
      <c r="AJ178">
        <f t="shared" si="28"/>
        <v>103</v>
      </c>
      <c r="AK178">
        <f t="shared" si="29"/>
        <v>1881</v>
      </c>
    </row>
    <row r="179" spans="30:37">
      <c r="AD179" s="146">
        <v>200803</v>
      </c>
      <c r="AE179" s="134">
        <v>121009</v>
      </c>
      <c r="AF179">
        <f t="shared" si="26"/>
        <v>8</v>
      </c>
      <c r="AG179">
        <f t="shared" si="25"/>
        <v>3</v>
      </c>
      <c r="AH179" t="str">
        <f t="shared" si="30"/>
        <v>困难</v>
      </c>
      <c r="AI179">
        <f t="shared" si="27"/>
        <v>1068</v>
      </c>
      <c r="AJ179">
        <f t="shared" si="28"/>
        <v>427</v>
      </c>
      <c r="AK179">
        <f t="shared" si="29"/>
        <v>427</v>
      </c>
    </row>
    <row r="180" spans="30:37">
      <c r="AD180" s="146">
        <v>200803</v>
      </c>
      <c r="AE180" s="134">
        <v>121009</v>
      </c>
      <c r="AF180">
        <f t="shared" si="26"/>
        <v>8</v>
      </c>
      <c r="AG180">
        <f t="shared" si="25"/>
        <v>3</v>
      </c>
      <c r="AH180" t="str">
        <f t="shared" si="30"/>
        <v>困难</v>
      </c>
      <c r="AI180">
        <f t="shared" si="27"/>
        <v>1068</v>
      </c>
      <c r="AJ180">
        <f t="shared" si="28"/>
        <v>427</v>
      </c>
      <c r="AK180">
        <f t="shared" si="29"/>
        <v>427</v>
      </c>
    </row>
    <row r="181" spans="30:37">
      <c r="AD181" s="146">
        <v>200803</v>
      </c>
      <c r="AE181" s="134">
        <v>121013</v>
      </c>
      <c r="AF181">
        <f t="shared" si="26"/>
        <v>8</v>
      </c>
      <c r="AG181">
        <f t="shared" si="25"/>
        <v>3</v>
      </c>
      <c r="AH181" t="str">
        <f t="shared" si="30"/>
        <v>困难</v>
      </c>
      <c r="AI181">
        <f t="shared" si="27"/>
        <v>1068</v>
      </c>
      <c r="AJ181">
        <f t="shared" si="28"/>
        <v>427</v>
      </c>
      <c r="AK181">
        <f t="shared" si="29"/>
        <v>427</v>
      </c>
    </row>
    <row r="182" spans="30:37">
      <c r="AD182" s="146">
        <v>200803</v>
      </c>
      <c r="AE182" s="134">
        <v>1112012</v>
      </c>
      <c r="AF182">
        <f t="shared" si="26"/>
        <v>8</v>
      </c>
      <c r="AG182">
        <f t="shared" si="25"/>
        <v>3</v>
      </c>
      <c r="AH182" t="str">
        <f t="shared" si="30"/>
        <v>困难</v>
      </c>
      <c r="AI182">
        <f t="shared" si="27"/>
        <v>1175</v>
      </c>
      <c r="AJ182">
        <f t="shared" si="28"/>
        <v>427</v>
      </c>
      <c r="AK182">
        <f t="shared" si="29"/>
        <v>427</v>
      </c>
    </row>
    <row r="183" spans="30:37">
      <c r="AD183" s="146">
        <v>200803</v>
      </c>
      <c r="AE183" s="134">
        <v>121013</v>
      </c>
      <c r="AF183">
        <f t="shared" si="26"/>
        <v>8</v>
      </c>
      <c r="AG183">
        <f t="shared" si="25"/>
        <v>3</v>
      </c>
      <c r="AH183" t="str">
        <f t="shared" si="30"/>
        <v>困难</v>
      </c>
      <c r="AI183">
        <f t="shared" si="27"/>
        <v>1068</v>
      </c>
      <c r="AJ183">
        <f t="shared" si="28"/>
        <v>427</v>
      </c>
      <c r="AK183">
        <f t="shared" si="29"/>
        <v>427</v>
      </c>
    </row>
    <row r="184" spans="30:37">
      <c r="AD184" s="147">
        <v>200804</v>
      </c>
      <c r="AE184" s="148">
        <v>1112011</v>
      </c>
      <c r="AF184">
        <f t="shared" si="26"/>
        <v>8</v>
      </c>
      <c r="AG184">
        <f t="shared" si="25"/>
        <v>4</v>
      </c>
      <c r="AH184" t="str">
        <f t="shared" si="30"/>
        <v>困难</v>
      </c>
      <c r="AI184">
        <f t="shared" si="27"/>
        <v>1175</v>
      </c>
      <c r="AJ184">
        <f t="shared" si="28"/>
        <v>427</v>
      </c>
      <c r="AK184">
        <f t="shared" si="29"/>
        <v>427</v>
      </c>
    </row>
    <row r="185" spans="30:37">
      <c r="AD185" s="147">
        <v>200804</v>
      </c>
      <c r="AE185" s="148">
        <v>121008</v>
      </c>
      <c r="AF185">
        <f t="shared" si="26"/>
        <v>8</v>
      </c>
      <c r="AG185">
        <f t="shared" si="25"/>
        <v>4</v>
      </c>
      <c r="AH185" t="str">
        <f t="shared" si="30"/>
        <v>困难</v>
      </c>
      <c r="AI185">
        <f t="shared" si="27"/>
        <v>1068</v>
      </c>
      <c r="AJ185">
        <f t="shared" si="28"/>
        <v>427</v>
      </c>
      <c r="AK185">
        <f t="shared" si="29"/>
        <v>427</v>
      </c>
    </row>
    <row r="186" spans="30:37">
      <c r="AD186" s="147">
        <v>200804</v>
      </c>
      <c r="AE186" s="148">
        <v>121008</v>
      </c>
      <c r="AF186">
        <f t="shared" si="26"/>
        <v>8</v>
      </c>
      <c r="AG186">
        <f t="shared" si="25"/>
        <v>4</v>
      </c>
      <c r="AH186" t="str">
        <f t="shared" si="30"/>
        <v>困难</v>
      </c>
      <c r="AI186">
        <f t="shared" si="27"/>
        <v>1068</v>
      </c>
      <c r="AJ186">
        <f t="shared" si="28"/>
        <v>427</v>
      </c>
      <c r="AK186">
        <f t="shared" si="29"/>
        <v>427</v>
      </c>
    </row>
    <row r="187" spans="30:37">
      <c r="AD187" s="147">
        <v>200804</v>
      </c>
      <c r="AE187" s="148">
        <v>121013</v>
      </c>
      <c r="AF187">
        <f t="shared" si="26"/>
        <v>8</v>
      </c>
      <c r="AG187">
        <f t="shared" si="25"/>
        <v>4</v>
      </c>
      <c r="AH187" t="str">
        <f t="shared" si="30"/>
        <v>困难</v>
      </c>
      <c r="AI187">
        <f t="shared" si="27"/>
        <v>1068</v>
      </c>
      <c r="AJ187">
        <f t="shared" si="28"/>
        <v>427</v>
      </c>
      <c r="AK187">
        <f t="shared" si="29"/>
        <v>427</v>
      </c>
    </row>
    <row r="188" spans="30:37">
      <c r="AD188" s="147">
        <v>200804</v>
      </c>
      <c r="AE188" s="148">
        <v>121013</v>
      </c>
      <c r="AF188">
        <f t="shared" si="26"/>
        <v>8</v>
      </c>
      <c r="AG188">
        <f t="shared" si="25"/>
        <v>4</v>
      </c>
      <c r="AH188" t="str">
        <f t="shared" si="30"/>
        <v>困难</v>
      </c>
      <c r="AI188">
        <f t="shared" si="27"/>
        <v>1068</v>
      </c>
      <c r="AJ188">
        <f t="shared" si="28"/>
        <v>427</v>
      </c>
      <c r="AK188">
        <f t="shared" si="29"/>
        <v>427</v>
      </c>
    </row>
    <row r="189" spans="30:37">
      <c r="AD189" s="69" t="s">
        <v>167</v>
      </c>
      <c r="AE189" s="134">
        <v>121018</v>
      </c>
      <c r="AF189">
        <f t="shared" si="26"/>
        <v>9</v>
      </c>
      <c r="AG189">
        <f t="shared" si="25"/>
        <v>1</v>
      </c>
      <c r="AH189" t="str">
        <f t="shared" si="30"/>
        <v>简单</v>
      </c>
      <c r="AI189">
        <f t="shared" si="27"/>
        <v>266</v>
      </c>
      <c r="AJ189">
        <f t="shared" si="28"/>
        <v>106</v>
      </c>
      <c r="AK189">
        <f t="shared" si="29"/>
        <v>1939</v>
      </c>
    </row>
    <row r="190" spans="30:37">
      <c r="AD190" s="69" t="s">
        <v>167</v>
      </c>
      <c r="AE190" s="134">
        <v>121018</v>
      </c>
      <c r="AF190">
        <f t="shared" si="26"/>
        <v>9</v>
      </c>
      <c r="AG190">
        <f t="shared" si="25"/>
        <v>1</v>
      </c>
      <c r="AH190" t="str">
        <f t="shared" si="30"/>
        <v>简单</v>
      </c>
      <c r="AI190">
        <f t="shared" si="27"/>
        <v>266</v>
      </c>
      <c r="AJ190">
        <f t="shared" si="28"/>
        <v>106</v>
      </c>
      <c r="AK190">
        <f t="shared" si="29"/>
        <v>1939</v>
      </c>
    </row>
    <row r="191" spans="30:37">
      <c r="AD191" s="69" t="s">
        <v>167</v>
      </c>
      <c r="AE191" s="134">
        <v>121033</v>
      </c>
      <c r="AF191">
        <f t="shared" si="26"/>
        <v>9</v>
      </c>
      <c r="AG191">
        <f t="shared" si="25"/>
        <v>1</v>
      </c>
      <c r="AH191" t="str">
        <f t="shared" si="30"/>
        <v>简单</v>
      </c>
      <c r="AI191">
        <f t="shared" si="27"/>
        <v>266</v>
      </c>
      <c r="AJ191">
        <f t="shared" si="28"/>
        <v>106</v>
      </c>
      <c r="AK191">
        <f t="shared" si="29"/>
        <v>1939</v>
      </c>
    </row>
    <row r="192" spans="30:37">
      <c r="AD192" s="69" t="s">
        <v>167</v>
      </c>
      <c r="AE192" s="134">
        <v>121033</v>
      </c>
      <c r="AF192">
        <f t="shared" si="26"/>
        <v>9</v>
      </c>
      <c r="AG192">
        <f t="shared" si="25"/>
        <v>1</v>
      </c>
      <c r="AH192" t="str">
        <f t="shared" si="30"/>
        <v>简单</v>
      </c>
      <c r="AI192">
        <f t="shared" si="27"/>
        <v>266</v>
      </c>
      <c r="AJ192">
        <f t="shared" si="28"/>
        <v>106</v>
      </c>
      <c r="AK192">
        <f t="shared" si="29"/>
        <v>1939</v>
      </c>
    </row>
    <row r="193" spans="30:37">
      <c r="AD193" s="69" t="s">
        <v>167</v>
      </c>
      <c r="AE193" s="134">
        <v>121033</v>
      </c>
      <c r="AF193">
        <f t="shared" si="26"/>
        <v>9</v>
      </c>
      <c r="AG193">
        <f t="shared" si="25"/>
        <v>1</v>
      </c>
      <c r="AH193" t="str">
        <f t="shared" si="30"/>
        <v>简单</v>
      </c>
      <c r="AI193">
        <f t="shared" si="27"/>
        <v>266</v>
      </c>
      <c r="AJ193">
        <f t="shared" si="28"/>
        <v>106</v>
      </c>
      <c r="AK193">
        <f t="shared" si="29"/>
        <v>1939</v>
      </c>
    </row>
    <row r="194" spans="30:37">
      <c r="AD194" s="131" t="s">
        <v>168</v>
      </c>
      <c r="AE194" s="135">
        <v>121017</v>
      </c>
      <c r="AF194">
        <f t="shared" si="26"/>
        <v>9</v>
      </c>
      <c r="AG194">
        <f t="shared" si="25"/>
        <v>2</v>
      </c>
      <c r="AH194" t="str">
        <f t="shared" si="30"/>
        <v>简单</v>
      </c>
      <c r="AI194">
        <f t="shared" si="27"/>
        <v>266</v>
      </c>
      <c r="AJ194">
        <f t="shared" si="28"/>
        <v>106</v>
      </c>
      <c r="AK194">
        <f t="shared" si="29"/>
        <v>1939</v>
      </c>
    </row>
    <row r="195" spans="30:37">
      <c r="AD195" s="131" t="s">
        <v>168</v>
      </c>
      <c r="AE195" s="135">
        <v>121017</v>
      </c>
      <c r="AF195">
        <f t="shared" si="26"/>
        <v>9</v>
      </c>
      <c r="AG195">
        <f t="shared" si="25"/>
        <v>2</v>
      </c>
      <c r="AH195" t="str">
        <f t="shared" si="30"/>
        <v>简单</v>
      </c>
      <c r="AI195">
        <f t="shared" si="27"/>
        <v>266</v>
      </c>
      <c r="AJ195">
        <f t="shared" si="28"/>
        <v>106</v>
      </c>
      <c r="AK195">
        <f t="shared" si="29"/>
        <v>1939</v>
      </c>
    </row>
    <row r="196" spans="30:37">
      <c r="AD196" s="131" t="s">
        <v>168</v>
      </c>
      <c r="AE196" s="135">
        <v>121017</v>
      </c>
      <c r="AF196">
        <f t="shared" si="26"/>
        <v>9</v>
      </c>
      <c r="AG196">
        <f t="shared" si="25"/>
        <v>2</v>
      </c>
      <c r="AH196" t="str">
        <f t="shared" si="30"/>
        <v>简单</v>
      </c>
      <c r="AI196">
        <f t="shared" si="27"/>
        <v>266</v>
      </c>
      <c r="AJ196">
        <f t="shared" si="28"/>
        <v>106</v>
      </c>
      <c r="AK196">
        <f t="shared" si="29"/>
        <v>1939</v>
      </c>
    </row>
    <row r="197" spans="30:37">
      <c r="AD197" s="131" t="s">
        <v>168</v>
      </c>
      <c r="AE197" s="135">
        <v>121017</v>
      </c>
      <c r="AF197">
        <f t="shared" si="26"/>
        <v>9</v>
      </c>
      <c r="AG197">
        <f t="shared" si="25"/>
        <v>2</v>
      </c>
      <c r="AH197" t="str">
        <f t="shared" si="30"/>
        <v>简单</v>
      </c>
      <c r="AI197">
        <f t="shared" si="27"/>
        <v>266</v>
      </c>
      <c r="AJ197">
        <f t="shared" si="28"/>
        <v>106</v>
      </c>
      <c r="AK197">
        <f t="shared" si="29"/>
        <v>1939</v>
      </c>
    </row>
    <row r="198" spans="30:37">
      <c r="AD198" s="131" t="s">
        <v>168</v>
      </c>
      <c r="AE198" s="135">
        <v>121035</v>
      </c>
      <c r="AF198">
        <f t="shared" si="26"/>
        <v>9</v>
      </c>
      <c r="AG198">
        <f t="shared" si="25"/>
        <v>2</v>
      </c>
      <c r="AH198" t="str">
        <f t="shared" si="30"/>
        <v>简单</v>
      </c>
      <c r="AI198">
        <f t="shared" si="27"/>
        <v>266</v>
      </c>
      <c r="AJ198">
        <f t="shared" si="28"/>
        <v>106</v>
      </c>
      <c r="AK198">
        <f t="shared" si="29"/>
        <v>1939</v>
      </c>
    </row>
    <row r="199" spans="30:37">
      <c r="AD199" s="69">
        <v>200903</v>
      </c>
      <c r="AE199" s="134">
        <v>121017</v>
      </c>
      <c r="AF199">
        <f t="shared" si="26"/>
        <v>9</v>
      </c>
      <c r="AG199">
        <f t="shared" si="25"/>
        <v>3</v>
      </c>
      <c r="AH199" t="str">
        <f t="shared" si="30"/>
        <v>困难</v>
      </c>
      <c r="AI199">
        <f t="shared" si="27"/>
        <v>1164</v>
      </c>
      <c r="AJ199">
        <f t="shared" si="28"/>
        <v>484</v>
      </c>
      <c r="AK199">
        <f t="shared" si="29"/>
        <v>484</v>
      </c>
    </row>
    <row r="200" spans="30:37">
      <c r="AD200" s="69">
        <v>200903</v>
      </c>
      <c r="AE200" s="134">
        <v>121018</v>
      </c>
      <c r="AF200">
        <f t="shared" si="26"/>
        <v>9</v>
      </c>
      <c r="AG200">
        <f t="shared" si="25"/>
        <v>3</v>
      </c>
      <c r="AH200" t="str">
        <f t="shared" si="30"/>
        <v>困难</v>
      </c>
      <c r="AI200">
        <f t="shared" si="27"/>
        <v>1164</v>
      </c>
      <c r="AJ200">
        <f t="shared" si="28"/>
        <v>484</v>
      </c>
      <c r="AK200">
        <f t="shared" si="29"/>
        <v>484</v>
      </c>
    </row>
    <row r="201" spans="30:37">
      <c r="AD201" s="69">
        <v>200903</v>
      </c>
      <c r="AE201" s="134">
        <v>121033</v>
      </c>
      <c r="AF201">
        <f t="shared" si="26"/>
        <v>9</v>
      </c>
      <c r="AG201">
        <f t="shared" si="25"/>
        <v>3</v>
      </c>
      <c r="AH201" t="str">
        <f t="shared" si="30"/>
        <v>困难</v>
      </c>
      <c r="AI201">
        <f t="shared" si="27"/>
        <v>1164</v>
      </c>
      <c r="AJ201">
        <f t="shared" si="28"/>
        <v>484</v>
      </c>
      <c r="AK201">
        <f t="shared" si="29"/>
        <v>484</v>
      </c>
    </row>
    <row r="202" spans="30:37">
      <c r="AD202" s="69">
        <v>200903</v>
      </c>
      <c r="AE202" s="134">
        <v>121019</v>
      </c>
      <c r="AF202">
        <f t="shared" si="26"/>
        <v>9</v>
      </c>
      <c r="AG202">
        <f t="shared" si="25"/>
        <v>3</v>
      </c>
      <c r="AH202" t="str">
        <f t="shared" si="30"/>
        <v>困难</v>
      </c>
      <c r="AI202">
        <f t="shared" si="27"/>
        <v>1164</v>
      </c>
      <c r="AJ202">
        <f t="shared" si="28"/>
        <v>484</v>
      </c>
      <c r="AK202">
        <f t="shared" si="29"/>
        <v>484</v>
      </c>
    </row>
    <row r="203" spans="30:37">
      <c r="AD203" s="69">
        <v>200903</v>
      </c>
      <c r="AE203" s="134">
        <v>121033</v>
      </c>
      <c r="AF203">
        <f t="shared" si="26"/>
        <v>9</v>
      </c>
      <c r="AG203">
        <f t="shared" si="25"/>
        <v>3</v>
      </c>
      <c r="AH203" t="str">
        <f t="shared" si="30"/>
        <v>困难</v>
      </c>
      <c r="AI203">
        <f t="shared" si="27"/>
        <v>1164</v>
      </c>
      <c r="AJ203">
        <f t="shared" si="28"/>
        <v>484</v>
      </c>
      <c r="AK203">
        <f t="shared" si="29"/>
        <v>484</v>
      </c>
    </row>
    <row r="204" spans="30:37">
      <c r="AD204" s="131">
        <v>200904</v>
      </c>
      <c r="AE204" s="135">
        <v>121017</v>
      </c>
      <c r="AF204">
        <f t="shared" si="26"/>
        <v>9</v>
      </c>
      <c r="AG204">
        <f t="shared" si="25"/>
        <v>4</v>
      </c>
      <c r="AH204" t="str">
        <f t="shared" si="30"/>
        <v>困难</v>
      </c>
      <c r="AI204">
        <f t="shared" si="27"/>
        <v>1164</v>
      </c>
      <c r="AJ204">
        <f t="shared" si="28"/>
        <v>484</v>
      </c>
      <c r="AK204">
        <f t="shared" si="29"/>
        <v>484</v>
      </c>
    </row>
    <row r="205" spans="30:37">
      <c r="AD205" s="131">
        <v>200904</v>
      </c>
      <c r="AE205" s="135">
        <v>121017</v>
      </c>
      <c r="AF205">
        <f t="shared" si="26"/>
        <v>9</v>
      </c>
      <c r="AG205">
        <f t="shared" si="25"/>
        <v>4</v>
      </c>
      <c r="AH205" t="str">
        <f t="shared" si="30"/>
        <v>困难</v>
      </c>
      <c r="AI205">
        <f t="shared" si="27"/>
        <v>1164</v>
      </c>
      <c r="AJ205">
        <f t="shared" si="28"/>
        <v>484</v>
      </c>
      <c r="AK205">
        <f t="shared" si="29"/>
        <v>484</v>
      </c>
    </row>
    <row r="206" spans="30:37">
      <c r="AD206" s="131">
        <v>200904</v>
      </c>
      <c r="AE206" s="135">
        <v>121017</v>
      </c>
      <c r="AF206">
        <f t="shared" si="26"/>
        <v>9</v>
      </c>
      <c r="AG206">
        <f t="shared" si="25"/>
        <v>4</v>
      </c>
      <c r="AH206" t="str">
        <f t="shared" si="30"/>
        <v>困难</v>
      </c>
      <c r="AI206">
        <f t="shared" si="27"/>
        <v>1164</v>
      </c>
      <c r="AJ206">
        <f t="shared" si="28"/>
        <v>484</v>
      </c>
      <c r="AK206">
        <f t="shared" si="29"/>
        <v>484</v>
      </c>
    </row>
    <row r="207" spans="30:37">
      <c r="AD207" s="131">
        <v>200904</v>
      </c>
      <c r="AE207" s="135">
        <v>121017</v>
      </c>
      <c r="AF207">
        <f t="shared" si="26"/>
        <v>9</v>
      </c>
      <c r="AG207">
        <f t="shared" si="25"/>
        <v>4</v>
      </c>
      <c r="AH207" t="str">
        <f t="shared" si="30"/>
        <v>困难</v>
      </c>
      <c r="AI207">
        <f t="shared" si="27"/>
        <v>1164</v>
      </c>
      <c r="AJ207">
        <f t="shared" si="28"/>
        <v>484</v>
      </c>
      <c r="AK207">
        <f t="shared" si="29"/>
        <v>484</v>
      </c>
    </row>
    <row r="208" spans="30:37">
      <c r="AD208" s="131">
        <v>200904</v>
      </c>
      <c r="AE208" s="135">
        <v>121035</v>
      </c>
      <c r="AF208">
        <f t="shared" si="26"/>
        <v>9</v>
      </c>
      <c r="AG208">
        <f t="shared" si="25"/>
        <v>4</v>
      </c>
      <c r="AH208" t="str">
        <f t="shared" si="30"/>
        <v>困难</v>
      </c>
      <c r="AI208">
        <f t="shared" si="27"/>
        <v>1164</v>
      </c>
      <c r="AJ208">
        <f t="shared" si="28"/>
        <v>484</v>
      </c>
      <c r="AK208">
        <f t="shared" si="29"/>
        <v>484</v>
      </c>
    </row>
    <row r="209" spans="30:37">
      <c r="AD209" s="69" t="s">
        <v>169</v>
      </c>
      <c r="AE209" s="134">
        <v>121037</v>
      </c>
      <c r="AF209">
        <f t="shared" si="26"/>
        <v>10</v>
      </c>
      <c r="AG209">
        <f t="shared" si="25"/>
        <v>1</v>
      </c>
      <c r="AH209" t="str">
        <f t="shared" si="30"/>
        <v>简单</v>
      </c>
      <c r="AI209">
        <f t="shared" si="27"/>
        <v>266</v>
      </c>
      <c r="AJ209">
        <f t="shared" si="28"/>
        <v>106</v>
      </c>
      <c r="AK209">
        <f t="shared" si="29"/>
        <v>1939</v>
      </c>
    </row>
    <row r="210" spans="30:37">
      <c r="AD210" s="69" t="s">
        <v>169</v>
      </c>
      <c r="AE210" s="134">
        <v>121034</v>
      </c>
      <c r="AF210">
        <f t="shared" si="26"/>
        <v>10</v>
      </c>
      <c r="AG210">
        <f t="shared" si="25"/>
        <v>1</v>
      </c>
      <c r="AH210" t="str">
        <f t="shared" si="30"/>
        <v>简单</v>
      </c>
      <c r="AI210">
        <f t="shared" si="27"/>
        <v>266</v>
      </c>
      <c r="AJ210">
        <f t="shared" si="28"/>
        <v>106</v>
      </c>
      <c r="AK210">
        <f t="shared" si="29"/>
        <v>1939</v>
      </c>
    </row>
    <row r="211" spans="30:37">
      <c r="AD211" s="69" t="s">
        <v>169</v>
      </c>
      <c r="AE211" s="134">
        <v>121035</v>
      </c>
      <c r="AF211">
        <f t="shared" si="26"/>
        <v>10</v>
      </c>
      <c r="AG211">
        <f t="shared" si="25"/>
        <v>1</v>
      </c>
      <c r="AH211" t="str">
        <f t="shared" si="30"/>
        <v>简单</v>
      </c>
      <c r="AI211">
        <f t="shared" si="27"/>
        <v>266</v>
      </c>
      <c r="AJ211">
        <f t="shared" si="28"/>
        <v>106</v>
      </c>
      <c r="AK211">
        <f t="shared" si="29"/>
        <v>1939</v>
      </c>
    </row>
    <row r="212" spans="30:37">
      <c r="AD212" s="69" t="s">
        <v>169</v>
      </c>
      <c r="AE212" s="134">
        <v>121033</v>
      </c>
      <c r="AF212">
        <f t="shared" si="26"/>
        <v>10</v>
      </c>
      <c r="AG212">
        <f t="shared" si="25"/>
        <v>1</v>
      </c>
      <c r="AH212" t="str">
        <f t="shared" si="30"/>
        <v>简单</v>
      </c>
      <c r="AI212">
        <f t="shared" si="27"/>
        <v>266</v>
      </c>
      <c r="AJ212">
        <f t="shared" si="28"/>
        <v>106</v>
      </c>
      <c r="AK212">
        <f t="shared" si="29"/>
        <v>1939</v>
      </c>
    </row>
    <row r="213" spans="30:37">
      <c r="AD213" s="69" t="s">
        <v>169</v>
      </c>
      <c r="AE213" s="134">
        <v>121033</v>
      </c>
      <c r="AF213">
        <f t="shared" si="26"/>
        <v>10</v>
      </c>
      <c r="AG213">
        <f t="shared" si="25"/>
        <v>1</v>
      </c>
      <c r="AH213" t="str">
        <f t="shared" si="30"/>
        <v>简单</v>
      </c>
      <c r="AI213">
        <f t="shared" si="27"/>
        <v>266</v>
      </c>
      <c r="AJ213">
        <f t="shared" si="28"/>
        <v>106</v>
      </c>
      <c r="AK213">
        <f t="shared" si="29"/>
        <v>1939</v>
      </c>
    </row>
    <row r="214" spans="30:37">
      <c r="AD214" s="131" t="s">
        <v>170</v>
      </c>
      <c r="AE214" s="135">
        <v>121017</v>
      </c>
      <c r="AF214">
        <f t="shared" si="26"/>
        <v>10</v>
      </c>
      <c r="AG214">
        <f t="shared" ref="AG214:AG277" si="31">ROUNDDOWN(RIGHT(AD214,2),0)</f>
        <v>2</v>
      </c>
      <c r="AH214" t="str">
        <f t="shared" si="30"/>
        <v>简单</v>
      </c>
      <c r="AI214">
        <f t="shared" si="27"/>
        <v>266</v>
      </c>
      <c r="AJ214">
        <f t="shared" si="28"/>
        <v>106</v>
      </c>
      <c r="AK214">
        <f t="shared" si="29"/>
        <v>1939</v>
      </c>
    </row>
    <row r="215" spans="30:37">
      <c r="AD215" s="131" t="s">
        <v>170</v>
      </c>
      <c r="AE215" s="135">
        <v>121017</v>
      </c>
      <c r="AF215">
        <f t="shared" si="26"/>
        <v>10</v>
      </c>
      <c r="AG215">
        <f t="shared" si="31"/>
        <v>2</v>
      </c>
      <c r="AH215" t="str">
        <f t="shared" si="30"/>
        <v>简单</v>
      </c>
      <c r="AI215">
        <f t="shared" si="27"/>
        <v>266</v>
      </c>
      <c r="AJ215">
        <f t="shared" si="28"/>
        <v>106</v>
      </c>
      <c r="AK215">
        <f t="shared" si="29"/>
        <v>1939</v>
      </c>
    </row>
    <row r="216" spans="30:37">
      <c r="AD216" s="131" t="s">
        <v>170</v>
      </c>
      <c r="AE216" s="135">
        <v>121036</v>
      </c>
      <c r="AF216">
        <f t="shared" si="26"/>
        <v>10</v>
      </c>
      <c r="AG216">
        <f t="shared" si="31"/>
        <v>2</v>
      </c>
      <c r="AH216" t="str">
        <f t="shared" si="30"/>
        <v>简单</v>
      </c>
      <c r="AI216">
        <f t="shared" si="27"/>
        <v>266</v>
      </c>
      <c r="AJ216">
        <f t="shared" si="28"/>
        <v>106</v>
      </c>
      <c r="AK216">
        <f t="shared" si="29"/>
        <v>1939</v>
      </c>
    </row>
    <row r="217" spans="30:37">
      <c r="AD217" s="131" t="s">
        <v>170</v>
      </c>
      <c r="AE217" s="135">
        <v>121036</v>
      </c>
      <c r="AF217">
        <f t="shared" si="26"/>
        <v>10</v>
      </c>
      <c r="AG217">
        <f t="shared" si="31"/>
        <v>2</v>
      </c>
      <c r="AH217" t="str">
        <f t="shared" si="30"/>
        <v>简单</v>
      </c>
      <c r="AI217">
        <f t="shared" si="27"/>
        <v>266</v>
      </c>
      <c r="AJ217">
        <f t="shared" si="28"/>
        <v>106</v>
      </c>
      <c r="AK217">
        <f t="shared" si="29"/>
        <v>1939</v>
      </c>
    </row>
    <row r="218" spans="30:37">
      <c r="AD218" s="131" t="s">
        <v>170</v>
      </c>
      <c r="AE218" s="135">
        <v>121080</v>
      </c>
      <c r="AF218">
        <f t="shared" si="26"/>
        <v>10</v>
      </c>
      <c r="AG218">
        <f t="shared" si="31"/>
        <v>2</v>
      </c>
      <c r="AH218" t="str">
        <f t="shared" si="30"/>
        <v>简单</v>
      </c>
      <c r="AI218">
        <f t="shared" si="27"/>
        <v>266</v>
      </c>
      <c r="AJ218">
        <f t="shared" si="28"/>
        <v>106</v>
      </c>
      <c r="AK218">
        <f t="shared" si="29"/>
        <v>1939</v>
      </c>
    </row>
    <row r="219" spans="30:37">
      <c r="AD219" s="69">
        <v>201003</v>
      </c>
      <c r="AE219" s="134">
        <v>121037</v>
      </c>
      <c r="AF219">
        <f t="shared" si="26"/>
        <v>10</v>
      </c>
      <c r="AG219">
        <f t="shared" si="31"/>
        <v>3</v>
      </c>
      <c r="AH219" t="str">
        <f t="shared" si="30"/>
        <v>困难</v>
      </c>
      <c r="AI219">
        <f t="shared" si="27"/>
        <v>1423</v>
      </c>
      <c r="AJ219">
        <f t="shared" si="28"/>
        <v>592</v>
      </c>
      <c r="AK219">
        <f t="shared" si="29"/>
        <v>592</v>
      </c>
    </row>
    <row r="220" spans="30:37">
      <c r="AD220" s="69">
        <v>201003</v>
      </c>
      <c r="AE220" s="134">
        <v>121034</v>
      </c>
      <c r="AF220">
        <f t="shared" si="26"/>
        <v>10</v>
      </c>
      <c r="AG220">
        <f t="shared" si="31"/>
        <v>3</v>
      </c>
      <c r="AH220" t="str">
        <f t="shared" si="30"/>
        <v>困难</v>
      </c>
      <c r="AI220">
        <f t="shared" si="27"/>
        <v>1423</v>
      </c>
      <c r="AJ220">
        <f t="shared" si="28"/>
        <v>592</v>
      </c>
      <c r="AK220">
        <f t="shared" si="29"/>
        <v>592</v>
      </c>
    </row>
    <row r="221" spans="30:37">
      <c r="AD221" s="69">
        <v>201003</v>
      </c>
      <c r="AE221" s="134">
        <v>121035</v>
      </c>
      <c r="AF221">
        <f t="shared" si="26"/>
        <v>10</v>
      </c>
      <c r="AG221">
        <f t="shared" si="31"/>
        <v>3</v>
      </c>
      <c r="AH221" t="str">
        <f t="shared" si="30"/>
        <v>困难</v>
      </c>
      <c r="AI221">
        <f t="shared" si="27"/>
        <v>1423</v>
      </c>
      <c r="AJ221">
        <f t="shared" si="28"/>
        <v>592</v>
      </c>
      <c r="AK221">
        <f t="shared" si="29"/>
        <v>592</v>
      </c>
    </row>
    <row r="222" spans="30:37">
      <c r="AD222" s="69">
        <v>201003</v>
      </c>
      <c r="AE222" s="134">
        <v>121033</v>
      </c>
      <c r="AF222">
        <f t="shared" ref="AF222:AF285" si="32">MOD(ROUNDDOWN(AD222/100,0),100)</f>
        <v>10</v>
      </c>
      <c r="AG222">
        <f t="shared" si="31"/>
        <v>3</v>
      </c>
      <c r="AH222" t="str">
        <f t="shared" si="30"/>
        <v>困难</v>
      </c>
      <c r="AI222">
        <f t="shared" si="27"/>
        <v>1423</v>
      </c>
      <c r="AJ222">
        <f t="shared" si="28"/>
        <v>592</v>
      </c>
      <c r="AK222">
        <f t="shared" si="29"/>
        <v>592</v>
      </c>
    </row>
    <row r="223" spans="30:37">
      <c r="AD223" s="69">
        <v>201003</v>
      </c>
      <c r="AE223" s="134">
        <v>121033</v>
      </c>
      <c r="AF223">
        <f t="shared" si="32"/>
        <v>10</v>
      </c>
      <c r="AG223">
        <f t="shared" si="31"/>
        <v>3</v>
      </c>
      <c r="AH223" t="str">
        <f t="shared" si="30"/>
        <v>困难</v>
      </c>
      <c r="AI223">
        <f t="shared" ref="AI223:AI286" si="33">IF($AH223="简单",IF(AE223&lt;122000,VLOOKUP($AF223,$N:$T,2,0),VLOOKUP($AF223,$N:$T,5,0)),IF(AE223&lt;122000,VLOOKUP($AF223,$V:$AB,2,0),VLOOKUP($AF223,$V:$AB,5,0)))</f>
        <v>1423</v>
      </c>
      <c r="AJ223">
        <f t="shared" ref="AJ223:AJ286" si="34">IF($AH223="简单",IF(AF223&lt;122000,VLOOKUP($AF223,$N:$T,3,0),VLOOKUP($AF223,$N:$T,6,0)),IF(AF223&lt;122000,VLOOKUP($AF223,$V:$AB,3,0),VLOOKUP($AF223,$V:$AB,6,0)))</f>
        <v>592</v>
      </c>
      <c r="AK223">
        <f t="shared" ref="AK223:AK286" si="35">IF($AH223="简单",IF(AG223&lt;122000,VLOOKUP($AF223,$N:$T,4,0),VLOOKUP($AF223,$N:$T,7,0)),IF(AG223&lt;122000,VLOOKUP($AF223,$V:$AB,3,0),VLOOKUP($AF223,$V:$AB,6,0)))</f>
        <v>592</v>
      </c>
    </row>
    <row r="224" spans="30:37">
      <c r="AD224" s="131">
        <v>201004</v>
      </c>
      <c r="AE224" s="135">
        <v>121017</v>
      </c>
      <c r="AF224">
        <f t="shared" si="32"/>
        <v>10</v>
      </c>
      <c r="AG224">
        <f t="shared" si="31"/>
        <v>4</v>
      </c>
      <c r="AH224" t="str">
        <f t="shared" si="30"/>
        <v>困难</v>
      </c>
      <c r="AI224">
        <f t="shared" si="33"/>
        <v>1423</v>
      </c>
      <c r="AJ224">
        <f t="shared" si="34"/>
        <v>592</v>
      </c>
      <c r="AK224">
        <f t="shared" si="35"/>
        <v>592</v>
      </c>
    </row>
    <row r="225" spans="30:37">
      <c r="AD225" s="131">
        <v>201004</v>
      </c>
      <c r="AE225" s="135">
        <v>121017</v>
      </c>
      <c r="AF225">
        <f t="shared" si="32"/>
        <v>10</v>
      </c>
      <c r="AG225">
        <f t="shared" si="31"/>
        <v>4</v>
      </c>
      <c r="AH225" t="str">
        <f t="shared" si="30"/>
        <v>困难</v>
      </c>
      <c r="AI225">
        <f t="shared" si="33"/>
        <v>1423</v>
      </c>
      <c r="AJ225">
        <f t="shared" si="34"/>
        <v>592</v>
      </c>
      <c r="AK225">
        <f t="shared" si="35"/>
        <v>592</v>
      </c>
    </row>
    <row r="226" spans="30:37">
      <c r="AD226" s="131">
        <v>201004</v>
      </c>
      <c r="AE226" s="135">
        <v>121036</v>
      </c>
      <c r="AF226">
        <f t="shared" si="32"/>
        <v>10</v>
      </c>
      <c r="AG226">
        <f t="shared" si="31"/>
        <v>4</v>
      </c>
      <c r="AH226" t="str">
        <f t="shared" si="30"/>
        <v>困难</v>
      </c>
      <c r="AI226">
        <f t="shared" si="33"/>
        <v>1423</v>
      </c>
      <c r="AJ226">
        <f t="shared" si="34"/>
        <v>592</v>
      </c>
      <c r="AK226">
        <f t="shared" si="35"/>
        <v>592</v>
      </c>
    </row>
    <row r="227" spans="30:37">
      <c r="AD227" s="131">
        <v>201004</v>
      </c>
      <c r="AE227" s="135">
        <v>121036</v>
      </c>
      <c r="AF227">
        <f t="shared" si="32"/>
        <v>10</v>
      </c>
      <c r="AG227">
        <f t="shared" si="31"/>
        <v>4</v>
      </c>
      <c r="AH227" t="str">
        <f t="shared" si="30"/>
        <v>困难</v>
      </c>
      <c r="AI227">
        <f t="shared" si="33"/>
        <v>1423</v>
      </c>
      <c r="AJ227">
        <f t="shared" si="34"/>
        <v>592</v>
      </c>
      <c r="AK227">
        <f t="shared" si="35"/>
        <v>592</v>
      </c>
    </row>
    <row r="228" spans="30:37">
      <c r="AD228" s="131">
        <v>201004</v>
      </c>
      <c r="AE228" s="135">
        <v>121080</v>
      </c>
      <c r="AF228">
        <f t="shared" si="32"/>
        <v>10</v>
      </c>
      <c r="AG228">
        <f t="shared" si="31"/>
        <v>4</v>
      </c>
      <c r="AH228" t="str">
        <f t="shared" si="30"/>
        <v>困难</v>
      </c>
      <c r="AI228">
        <f t="shared" si="33"/>
        <v>1423</v>
      </c>
      <c r="AJ228">
        <f t="shared" si="34"/>
        <v>592</v>
      </c>
      <c r="AK228">
        <f t="shared" si="35"/>
        <v>592</v>
      </c>
    </row>
    <row r="229" spans="30:37">
      <c r="AD229" s="69">
        <v>201101</v>
      </c>
      <c r="AE229" s="134">
        <v>121037</v>
      </c>
      <c r="AF229">
        <f t="shared" si="32"/>
        <v>11</v>
      </c>
      <c r="AG229">
        <f t="shared" si="31"/>
        <v>1</v>
      </c>
      <c r="AH229" t="str">
        <f t="shared" si="30"/>
        <v>简单</v>
      </c>
      <c r="AI229">
        <f t="shared" si="33"/>
        <v>266</v>
      </c>
      <c r="AJ229">
        <f t="shared" si="34"/>
        <v>106</v>
      </c>
      <c r="AK229">
        <f t="shared" si="35"/>
        <v>1939</v>
      </c>
    </row>
    <row r="230" spans="30:37">
      <c r="AD230" s="69">
        <v>201101</v>
      </c>
      <c r="AE230" s="134">
        <v>121038</v>
      </c>
      <c r="AF230">
        <f t="shared" si="32"/>
        <v>11</v>
      </c>
      <c r="AG230">
        <f t="shared" si="31"/>
        <v>1</v>
      </c>
      <c r="AH230" t="str">
        <f t="shared" si="30"/>
        <v>简单</v>
      </c>
      <c r="AI230">
        <f t="shared" si="33"/>
        <v>266</v>
      </c>
      <c r="AJ230">
        <f t="shared" si="34"/>
        <v>106</v>
      </c>
      <c r="AK230">
        <f t="shared" si="35"/>
        <v>1939</v>
      </c>
    </row>
    <row r="231" spans="30:37">
      <c r="AD231" s="69">
        <v>201101</v>
      </c>
      <c r="AE231" s="134">
        <v>121020</v>
      </c>
      <c r="AF231">
        <f t="shared" si="32"/>
        <v>11</v>
      </c>
      <c r="AG231">
        <f t="shared" si="31"/>
        <v>1</v>
      </c>
      <c r="AH231" t="str">
        <f t="shared" si="30"/>
        <v>简单</v>
      </c>
      <c r="AI231">
        <f t="shared" si="33"/>
        <v>266</v>
      </c>
      <c r="AJ231">
        <f t="shared" si="34"/>
        <v>106</v>
      </c>
      <c r="AK231">
        <f t="shared" si="35"/>
        <v>1939</v>
      </c>
    </row>
    <row r="232" spans="30:37">
      <c r="AD232" s="69">
        <v>201101</v>
      </c>
      <c r="AE232" s="134">
        <v>121020</v>
      </c>
      <c r="AF232">
        <f t="shared" si="32"/>
        <v>11</v>
      </c>
      <c r="AG232">
        <f t="shared" si="31"/>
        <v>1</v>
      </c>
      <c r="AH232" t="str">
        <f t="shared" si="30"/>
        <v>简单</v>
      </c>
      <c r="AI232">
        <f t="shared" si="33"/>
        <v>266</v>
      </c>
      <c r="AJ232">
        <f t="shared" si="34"/>
        <v>106</v>
      </c>
      <c r="AK232">
        <f t="shared" si="35"/>
        <v>1939</v>
      </c>
    </row>
    <row r="233" spans="30:37">
      <c r="AD233" s="69">
        <v>201101</v>
      </c>
      <c r="AE233" s="134">
        <v>121020</v>
      </c>
      <c r="AF233">
        <f t="shared" si="32"/>
        <v>11</v>
      </c>
      <c r="AG233">
        <f t="shared" si="31"/>
        <v>1</v>
      </c>
      <c r="AH233" t="str">
        <f t="shared" si="30"/>
        <v>简单</v>
      </c>
      <c r="AI233">
        <f t="shared" si="33"/>
        <v>266</v>
      </c>
      <c r="AJ233">
        <f t="shared" si="34"/>
        <v>106</v>
      </c>
      <c r="AK233">
        <f t="shared" si="35"/>
        <v>1939</v>
      </c>
    </row>
    <row r="234" spans="30:37">
      <c r="AD234" s="131">
        <v>201102</v>
      </c>
      <c r="AE234" s="135">
        <v>121034</v>
      </c>
      <c r="AF234">
        <f t="shared" si="32"/>
        <v>11</v>
      </c>
      <c r="AG234">
        <f t="shared" si="31"/>
        <v>2</v>
      </c>
      <c r="AH234" t="str">
        <f t="shared" si="30"/>
        <v>简单</v>
      </c>
      <c r="AI234">
        <f t="shared" si="33"/>
        <v>266</v>
      </c>
      <c r="AJ234">
        <f t="shared" si="34"/>
        <v>106</v>
      </c>
      <c r="AK234">
        <f t="shared" si="35"/>
        <v>1939</v>
      </c>
    </row>
    <row r="235" spans="30:37">
      <c r="AD235" s="131">
        <v>201102</v>
      </c>
      <c r="AE235" s="135">
        <v>121035</v>
      </c>
      <c r="AF235">
        <f t="shared" si="32"/>
        <v>11</v>
      </c>
      <c r="AG235">
        <f t="shared" si="31"/>
        <v>2</v>
      </c>
      <c r="AH235" t="str">
        <f t="shared" si="30"/>
        <v>简单</v>
      </c>
      <c r="AI235">
        <f t="shared" si="33"/>
        <v>266</v>
      </c>
      <c r="AJ235">
        <f t="shared" si="34"/>
        <v>106</v>
      </c>
      <c r="AK235">
        <f t="shared" si="35"/>
        <v>1939</v>
      </c>
    </row>
    <row r="236" spans="30:37">
      <c r="AD236" s="131">
        <v>201102</v>
      </c>
      <c r="AE236" s="135">
        <v>121035</v>
      </c>
      <c r="AF236">
        <f t="shared" si="32"/>
        <v>11</v>
      </c>
      <c r="AG236">
        <f t="shared" si="31"/>
        <v>2</v>
      </c>
      <c r="AH236" t="str">
        <f t="shared" ref="AH236:AH299" si="36">IF(VLOOKUP(AF236,AF:AG,2,1)=4,IF(AG236&lt;3,"简单","困难"),IF(AG236&lt;4,"简单","困难"))</f>
        <v>简单</v>
      </c>
      <c r="AI236">
        <f t="shared" si="33"/>
        <v>266</v>
      </c>
      <c r="AJ236">
        <f t="shared" si="34"/>
        <v>106</v>
      </c>
      <c r="AK236">
        <f t="shared" si="35"/>
        <v>1939</v>
      </c>
    </row>
    <row r="237" spans="30:37">
      <c r="AD237" s="131">
        <v>201102</v>
      </c>
      <c r="AE237" s="135">
        <v>121039</v>
      </c>
      <c r="AF237">
        <f t="shared" si="32"/>
        <v>11</v>
      </c>
      <c r="AG237">
        <f t="shared" si="31"/>
        <v>2</v>
      </c>
      <c r="AH237" t="str">
        <f t="shared" si="36"/>
        <v>简单</v>
      </c>
      <c r="AI237">
        <f t="shared" si="33"/>
        <v>266</v>
      </c>
      <c r="AJ237">
        <f t="shared" si="34"/>
        <v>106</v>
      </c>
      <c r="AK237">
        <f t="shared" si="35"/>
        <v>1939</v>
      </c>
    </row>
    <row r="238" spans="30:37">
      <c r="AD238" s="131">
        <v>201102</v>
      </c>
      <c r="AE238" s="135">
        <v>121080</v>
      </c>
      <c r="AF238">
        <f t="shared" si="32"/>
        <v>11</v>
      </c>
      <c r="AG238">
        <f t="shared" si="31"/>
        <v>2</v>
      </c>
      <c r="AH238" t="str">
        <f t="shared" si="36"/>
        <v>简单</v>
      </c>
      <c r="AI238">
        <f t="shared" si="33"/>
        <v>266</v>
      </c>
      <c r="AJ238">
        <f t="shared" si="34"/>
        <v>106</v>
      </c>
      <c r="AK238">
        <f t="shared" si="35"/>
        <v>1939</v>
      </c>
    </row>
    <row r="239" spans="30:37">
      <c r="AD239" s="69">
        <v>201103</v>
      </c>
      <c r="AE239" s="134">
        <v>121034</v>
      </c>
      <c r="AF239">
        <f t="shared" si="32"/>
        <v>11</v>
      </c>
      <c r="AG239">
        <f t="shared" si="31"/>
        <v>3</v>
      </c>
      <c r="AH239" t="str">
        <f t="shared" si="36"/>
        <v>简单</v>
      </c>
      <c r="AI239">
        <f t="shared" si="33"/>
        <v>266</v>
      </c>
      <c r="AJ239">
        <f t="shared" si="34"/>
        <v>106</v>
      </c>
      <c r="AK239">
        <f t="shared" si="35"/>
        <v>1939</v>
      </c>
    </row>
    <row r="240" spans="30:37">
      <c r="AD240" s="69">
        <v>201103</v>
      </c>
      <c r="AE240" s="134">
        <v>121017</v>
      </c>
      <c r="AF240">
        <f t="shared" si="32"/>
        <v>11</v>
      </c>
      <c r="AG240">
        <f t="shared" si="31"/>
        <v>3</v>
      </c>
      <c r="AH240" t="str">
        <f t="shared" si="36"/>
        <v>简单</v>
      </c>
      <c r="AI240">
        <f t="shared" si="33"/>
        <v>266</v>
      </c>
      <c r="AJ240">
        <f t="shared" si="34"/>
        <v>106</v>
      </c>
      <c r="AK240">
        <f t="shared" si="35"/>
        <v>1939</v>
      </c>
    </row>
    <row r="241" spans="30:37">
      <c r="AD241" s="69">
        <v>201103</v>
      </c>
      <c r="AE241" s="134">
        <v>121034</v>
      </c>
      <c r="AF241">
        <f t="shared" si="32"/>
        <v>11</v>
      </c>
      <c r="AG241">
        <f t="shared" si="31"/>
        <v>3</v>
      </c>
      <c r="AH241" t="str">
        <f t="shared" si="36"/>
        <v>简单</v>
      </c>
      <c r="AI241">
        <f t="shared" si="33"/>
        <v>266</v>
      </c>
      <c r="AJ241">
        <f t="shared" si="34"/>
        <v>106</v>
      </c>
      <c r="AK241">
        <f t="shared" si="35"/>
        <v>1939</v>
      </c>
    </row>
    <row r="242" spans="30:37">
      <c r="AD242" s="69">
        <v>201103</v>
      </c>
      <c r="AE242" s="134">
        <v>121017</v>
      </c>
      <c r="AF242">
        <f t="shared" si="32"/>
        <v>11</v>
      </c>
      <c r="AG242">
        <f t="shared" si="31"/>
        <v>3</v>
      </c>
      <c r="AH242" t="str">
        <f t="shared" si="36"/>
        <v>简单</v>
      </c>
      <c r="AI242">
        <f t="shared" si="33"/>
        <v>266</v>
      </c>
      <c r="AJ242">
        <f t="shared" si="34"/>
        <v>106</v>
      </c>
      <c r="AK242">
        <f t="shared" si="35"/>
        <v>1939</v>
      </c>
    </row>
    <row r="243" spans="30:37">
      <c r="AD243" s="69">
        <v>201103</v>
      </c>
      <c r="AE243" s="134">
        <v>1111012</v>
      </c>
      <c r="AF243">
        <f t="shared" si="32"/>
        <v>11</v>
      </c>
      <c r="AG243">
        <f t="shared" si="31"/>
        <v>3</v>
      </c>
      <c r="AH243" t="str">
        <f t="shared" si="36"/>
        <v>简单</v>
      </c>
      <c r="AI243">
        <f t="shared" si="33"/>
        <v>355</v>
      </c>
      <c r="AJ243">
        <f t="shared" si="34"/>
        <v>106</v>
      </c>
      <c r="AK243">
        <f t="shared" si="35"/>
        <v>1939</v>
      </c>
    </row>
    <row r="244" spans="30:37">
      <c r="AD244" s="131">
        <v>201104</v>
      </c>
      <c r="AE244" s="135">
        <v>121037</v>
      </c>
      <c r="AF244">
        <f t="shared" si="32"/>
        <v>11</v>
      </c>
      <c r="AG244">
        <f t="shared" si="31"/>
        <v>4</v>
      </c>
      <c r="AH244" t="str">
        <f t="shared" si="36"/>
        <v>困难</v>
      </c>
      <c r="AI244">
        <f t="shared" si="33"/>
        <v>1436</v>
      </c>
      <c r="AJ244">
        <f t="shared" si="34"/>
        <v>597</v>
      </c>
      <c r="AK244">
        <f t="shared" si="35"/>
        <v>597</v>
      </c>
    </row>
    <row r="245" spans="30:37">
      <c r="AD245" s="131">
        <v>201104</v>
      </c>
      <c r="AE245" s="135">
        <v>121038</v>
      </c>
      <c r="AF245">
        <f t="shared" si="32"/>
        <v>11</v>
      </c>
      <c r="AG245">
        <f t="shared" si="31"/>
        <v>4</v>
      </c>
      <c r="AH245" t="str">
        <f t="shared" si="36"/>
        <v>困难</v>
      </c>
      <c r="AI245">
        <f t="shared" si="33"/>
        <v>1436</v>
      </c>
      <c r="AJ245">
        <f t="shared" si="34"/>
        <v>597</v>
      </c>
      <c r="AK245">
        <f t="shared" si="35"/>
        <v>597</v>
      </c>
    </row>
    <row r="246" spans="30:37">
      <c r="AD246" s="131">
        <v>201104</v>
      </c>
      <c r="AE246" s="135">
        <v>121020</v>
      </c>
      <c r="AF246">
        <f t="shared" si="32"/>
        <v>11</v>
      </c>
      <c r="AG246">
        <f t="shared" si="31"/>
        <v>4</v>
      </c>
      <c r="AH246" t="str">
        <f t="shared" si="36"/>
        <v>困难</v>
      </c>
      <c r="AI246">
        <f t="shared" si="33"/>
        <v>1436</v>
      </c>
      <c r="AJ246">
        <f t="shared" si="34"/>
        <v>597</v>
      </c>
      <c r="AK246">
        <f t="shared" si="35"/>
        <v>597</v>
      </c>
    </row>
    <row r="247" spans="30:37">
      <c r="AD247" s="131">
        <v>201104</v>
      </c>
      <c r="AE247" s="135">
        <v>121020</v>
      </c>
      <c r="AF247">
        <f t="shared" si="32"/>
        <v>11</v>
      </c>
      <c r="AG247">
        <f t="shared" si="31"/>
        <v>4</v>
      </c>
      <c r="AH247" t="str">
        <f t="shared" si="36"/>
        <v>困难</v>
      </c>
      <c r="AI247">
        <f t="shared" si="33"/>
        <v>1436</v>
      </c>
      <c r="AJ247">
        <f t="shared" si="34"/>
        <v>597</v>
      </c>
      <c r="AK247">
        <f t="shared" si="35"/>
        <v>597</v>
      </c>
    </row>
    <row r="248" spans="30:37">
      <c r="AD248" s="131">
        <v>201104</v>
      </c>
      <c r="AE248" s="135">
        <v>121020</v>
      </c>
      <c r="AF248">
        <f t="shared" si="32"/>
        <v>11</v>
      </c>
      <c r="AG248">
        <f t="shared" si="31"/>
        <v>4</v>
      </c>
      <c r="AH248" t="str">
        <f t="shared" si="36"/>
        <v>困难</v>
      </c>
      <c r="AI248">
        <f t="shared" si="33"/>
        <v>1436</v>
      </c>
      <c r="AJ248">
        <f t="shared" si="34"/>
        <v>597</v>
      </c>
      <c r="AK248">
        <f t="shared" si="35"/>
        <v>597</v>
      </c>
    </row>
    <row r="249" spans="30:37">
      <c r="AD249" s="69">
        <v>201105</v>
      </c>
      <c r="AE249" s="134">
        <v>121034</v>
      </c>
      <c r="AF249">
        <f t="shared" si="32"/>
        <v>11</v>
      </c>
      <c r="AG249">
        <f t="shared" si="31"/>
        <v>5</v>
      </c>
      <c r="AH249" t="str">
        <f t="shared" si="36"/>
        <v>困难</v>
      </c>
      <c r="AI249">
        <f t="shared" si="33"/>
        <v>1436</v>
      </c>
      <c r="AJ249">
        <f t="shared" si="34"/>
        <v>597</v>
      </c>
      <c r="AK249">
        <f t="shared" si="35"/>
        <v>597</v>
      </c>
    </row>
    <row r="250" spans="30:37">
      <c r="AD250" s="69">
        <v>201105</v>
      </c>
      <c r="AE250" s="134">
        <v>121035</v>
      </c>
      <c r="AF250">
        <f t="shared" si="32"/>
        <v>11</v>
      </c>
      <c r="AG250">
        <f t="shared" si="31"/>
        <v>5</v>
      </c>
      <c r="AH250" t="str">
        <f t="shared" si="36"/>
        <v>困难</v>
      </c>
      <c r="AI250">
        <f t="shared" si="33"/>
        <v>1436</v>
      </c>
      <c r="AJ250">
        <f t="shared" si="34"/>
        <v>597</v>
      </c>
      <c r="AK250">
        <f t="shared" si="35"/>
        <v>597</v>
      </c>
    </row>
    <row r="251" spans="30:37">
      <c r="AD251" s="69">
        <v>201105</v>
      </c>
      <c r="AE251" s="134">
        <v>121035</v>
      </c>
      <c r="AF251">
        <f t="shared" si="32"/>
        <v>11</v>
      </c>
      <c r="AG251">
        <f t="shared" si="31"/>
        <v>5</v>
      </c>
      <c r="AH251" t="str">
        <f t="shared" si="36"/>
        <v>困难</v>
      </c>
      <c r="AI251">
        <f t="shared" si="33"/>
        <v>1436</v>
      </c>
      <c r="AJ251">
        <f t="shared" si="34"/>
        <v>597</v>
      </c>
      <c r="AK251">
        <f t="shared" si="35"/>
        <v>597</v>
      </c>
    </row>
    <row r="252" spans="30:37">
      <c r="AD252" s="69">
        <v>201105</v>
      </c>
      <c r="AE252" s="134">
        <v>121039</v>
      </c>
      <c r="AF252">
        <f t="shared" si="32"/>
        <v>11</v>
      </c>
      <c r="AG252">
        <f t="shared" si="31"/>
        <v>5</v>
      </c>
      <c r="AH252" t="str">
        <f t="shared" si="36"/>
        <v>困难</v>
      </c>
      <c r="AI252">
        <f t="shared" si="33"/>
        <v>1436</v>
      </c>
      <c r="AJ252">
        <f t="shared" si="34"/>
        <v>597</v>
      </c>
      <c r="AK252">
        <f t="shared" si="35"/>
        <v>597</v>
      </c>
    </row>
    <row r="253" spans="30:37">
      <c r="AD253" s="69">
        <v>201105</v>
      </c>
      <c r="AE253" s="134">
        <v>121080</v>
      </c>
      <c r="AF253">
        <f t="shared" si="32"/>
        <v>11</v>
      </c>
      <c r="AG253">
        <f t="shared" si="31"/>
        <v>5</v>
      </c>
      <c r="AH253" t="str">
        <f t="shared" si="36"/>
        <v>困难</v>
      </c>
      <c r="AI253">
        <f t="shared" si="33"/>
        <v>1436</v>
      </c>
      <c r="AJ253">
        <f t="shared" si="34"/>
        <v>597</v>
      </c>
      <c r="AK253">
        <f t="shared" si="35"/>
        <v>597</v>
      </c>
    </row>
    <row r="254" spans="30:37">
      <c r="AD254" s="131">
        <v>201106</v>
      </c>
      <c r="AE254" s="135">
        <v>121034</v>
      </c>
      <c r="AF254">
        <f t="shared" si="32"/>
        <v>11</v>
      </c>
      <c r="AG254">
        <f t="shared" si="31"/>
        <v>6</v>
      </c>
      <c r="AH254" t="str">
        <f t="shared" si="36"/>
        <v>困难</v>
      </c>
      <c r="AI254">
        <f t="shared" si="33"/>
        <v>1436</v>
      </c>
      <c r="AJ254">
        <f t="shared" si="34"/>
        <v>597</v>
      </c>
      <c r="AK254">
        <f t="shared" si="35"/>
        <v>597</v>
      </c>
    </row>
    <row r="255" spans="30:37">
      <c r="AD255" s="131">
        <v>201106</v>
      </c>
      <c r="AE255" s="135">
        <v>121017</v>
      </c>
      <c r="AF255">
        <f t="shared" si="32"/>
        <v>11</v>
      </c>
      <c r="AG255">
        <f t="shared" si="31"/>
        <v>6</v>
      </c>
      <c r="AH255" t="str">
        <f t="shared" si="36"/>
        <v>困难</v>
      </c>
      <c r="AI255">
        <f t="shared" si="33"/>
        <v>1436</v>
      </c>
      <c r="AJ255">
        <f t="shared" si="34"/>
        <v>597</v>
      </c>
      <c r="AK255">
        <f t="shared" si="35"/>
        <v>597</v>
      </c>
    </row>
    <row r="256" spans="30:37">
      <c r="AD256" s="131">
        <v>201106</v>
      </c>
      <c r="AE256" s="135">
        <v>121034</v>
      </c>
      <c r="AF256">
        <f t="shared" si="32"/>
        <v>11</v>
      </c>
      <c r="AG256">
        <f t="shared" si="31"/>
        <v>6</v>
      </c>
      <c r="AH256" t="str">
        <f t="shared" si="36"/>
        <v>困难</v>
      </c>
      <c r="AI256">
        <f t="shared" si="33"/>
        <v>1436</v>
      </c>
      <c r="AJ256">
        <f t="shared" si="34"/>
        <v>597</v>
      </c>
      <c r="AK256">
        <f t="shared" si="35"/>
        <v>597</v>
      </c>
    </row>
    <row r="257" spans="30:37">
      <c r="AD257" s="131">
        <v>201106</v>
      </c>
      <c r="AE257" s="135">
        <v>121017</v>
      </c>
      <c r="AF257">
        <f t="shared" si="32"/>
        <v>11</v>
      </c>
      <c r="AG257">
        <f t="shared" si="31"/>
        <v>6</v>
      </c>
      <c r="AH257" t="str">
        <f t="shared" si="36"/>
        <v>困难</v>
      </c>
      <c r="AI257">
        <f t="shared" si="33"/>
        <v>1436</v>
      </c>
      <c r="AJ257">
        <f t="shared" si="34"/>
        <v>597</v>
      </c>
      <c r="AK257">
        <f t="shared" si="35"/>
        <v>597</v>
      </c>
    </row>
    <row r="258" spans="30:37">
      <c r="AD258" s="131">
        <v>201106</v>
      </c>
      <c r="AE258" s="135">
        <v>1111012</v>
      </c>
      <c r="AF258">
        <f t="shared" si="32"/>
        <v>11</v>
      </c>
      <c r="AG258">
        <f t="shared" si="31"/>
        <v>6</v>
      </c>
      <c r="AH258" t="str">
        <f t="shared" si="36"/>
        <v>困难</v>
      </c>
      <c r="AI258">
        <f t="shared" si="33"/>
        <v>1580</v>
      </c>
      <c r="AJ258">
        <f t="shared" si="34"/>
        <v>597</v>
      </c>
      <c r="AK258">
        <f t="shared" si="35"/>
        <v>597</v>
      </c>
    </row>
    <row r="259" spans="30:37">
      <c r="AD259" s="69">
        <v>201201</v>
      </c>
      <c r="AE259" s="134">
        <v>121034</v>
      </c>
      <c r="AF259">
        <f t="shared" si="32"/>
        <v>12</v>
      </c>
      <c r="AG259">
        <f t="shared" si="31"/>
        <v>1</v>
      </c>
      <c r="AH259" t="str">
        <f t="shared" si="36"/>
        <v>简单</v>
      </c>
      <c r="AI259">
        <f t="shared" si="33"/>
        <v>276</v>
      </c>
      <c r="AJ259">
        <f t="shared" si="34"/>
        <v>110</v>
      </c>
      <c r="AK259">
        <f t="shared" si="35"/>
        <v>2212</v>
      </c>
    </row>
    <row r="260" spans="30:37">
      <c r="AD260" s="69">
        <v>201201</v>
      </c>
      <c r="AE260" s="134">
        <v>121040</v>
      </c>
      <c r="AF260">
        <f t="shared" si="32"/>
        <v>12</v>
      </c>
      <c r="AG260">
        <f t="shared" si="31"/>
        <v>1</v>
      </c>
      <c r="AH260" t="str">
        <f t="shared" si="36"/>
        <v>简单</v>
      </c>
      <c r="AI260">
        <f t="shared" si="33"/>
        <v>276</v>
      </c>
      <c r="AJ260">
        <f t="shared" si="34"/>
        <v>110</v>
      </c>
      <c r="AK260">
        <f t="shared" si="35"/>
        <v>2212</v>
      </c>
    </row>
    <row r="261" spans="30:37">
      <c r="AD261" s="69">
        <v>201201</v>
      </c>
      <c r="AE261" s="134">
        <v>121034</v>
      </c>
      <c r="AF261">
        <f t="shared" si="32"/>
        <v>12</v>
      </c>
      <c r="AG261">
        <f t="shared" si="31"/>
        <v>1</v>
      </c>
      <c r="AH261" t="str">
        <f t="shared" si="36"/>
        <v>简单</v>
      </c>
      <c r="AI261">
        <f t="shared" si="33"/>
        <v>276</v>
      </c>
      <c r="AJ261">
        <f t="shared" si="34"/>
        <v>110</v>
      </c>
      <c r="AK261">
        <f t="shared" si="35"/>
        <v>2212</v>
      </c>
    </row>
    <row r="262" spans="30:37">
      <c r="AD262" s="69">
        <v>201201</v>
      </c>
      <c r="AE262" s="134">
        <v>121034</v>
      </c>
      <c r="AF262">
        <f t="shared" si="32"/>
        <v>12</v>
      </c>
      <c r="AG262">
        <f t="shared" si="31"/>
        <v>1</v>
      </c>
      <c r="AH262" t="str">
        <f t="shared" si="36"/>
        <v>简单</v>
      </c>
      <c r="AI262">
        <f t="shared" si="33"/>
        <v>276</v>
      </c>
      <c r="AJ262">
        <f t="shared" si="34"/>
        <v>110</v>
      </c>
      <c r="AK262">
        <f t="shared" si="35"/>
        <v>2212</v>
      </c>
    </row>
    <row r="263" spans="30:37">
      <c r="AD263" s="69">
        <v>201201</v>
      </c>
      <c r="AE263" s="134">
        <v>1111012</v>
      </c>
      <c r="AF263">
        <f t="shared" si="32"/>
        <v>12</v>
      </c>
      <c r="AG263">
        <f t="shared" si="31"/>
        <v>1</v>
      </c>
      <c r="AH263" t="str">
        <f t="shared" si="36"/>
        <v>简单</v>
      </c>
      <c r="AI263">
        <f t="shared" si="33"/>
        <v>368</v>
      </c>
      <c r="AJ263">
        <f t="shared" si="34"/>
        <v>110</v>
      </c>
      <c r="AK263">
        <f t="shared" si="35"/>
        <v>2212</v>
      </c>
    </row>
    <row r="264" spans="30:37">
      <c r="AD264" s="131">
        <v>201202</v>
      </c>
      <c r="AE264" s="135">
        <v>121035</v>
      </c>
      <c r="AF264">
        <f t="shared" si="32"/>
        <v>12</v>
      </c>
      <c r="AG264">
        <f t="shared" si="31"/>
        <v>2</v>
      </c>
      <c r="AH264" t="str">
        <f t="shared" si="36"/>
        <v>简单</v>
      </c>
      <c r="AI264">
        <f t="shared" si="33"/>
        <v>276</v>
      </c>
      <c r="AJ264">
        <f t="shared" si="34"/>
        <v>110</v>
      </c>
      <c r="AK264">
        <f t="shared" si="35"/>
        <v>2212</v>
      </c>
    </row>
    <row r="265" spans="30:37">
      <c r="AD265" s="131">
        <v>201202</v>
      </c>
      <c r="AE265" s="135">
        <v>121035</v>
      </c>
      <c r="AF265">
        <f t="shared" si="32"/>
        <v>12</v>
      </c>
      <c r="AG265">
        <f t="shared" si="31"/>
        <v>2</v>
      </c>
      <c r="AH265" t="str">
        <f t="shared" si="36"/>
        <v>简单</v>
      </c>
      <c r="AI265">
        <f t="shared" si="33"/>
        <v>276</v>
      </c>
      <c r="AJ265">
        <f t="shared" si="34"/>
        <v>110</v>
      </c>
      <c r="AK265">
        <f t="shared" si="35"/>
        <v>2212</v>
      </c>
    </row>
    <row r="266" spans="30:37">
      <c r="AD266" s="131">
        <v>201202</v>
      </c>
      <c r="AE266" s="135">
        <v>121035</v>
      </c>
      <c r="AF266">
        <f t="shared" si="32"/>
        <v>12</v>
      </c>
      <c r="AG266">
        <f t="shared" si="31"/>
        <v>2</v>
      </c>
      <c r="AH266" t="str">
        <f t="shared" si="36"/>
        <v>简单</v>
      </c>
      <c r="AI266">
        <f t="shared" si="33"/>
        <v>276</v>
      </c>
      <c r="AJ266">
        <f t="shared" si="34"/>
        <v>110</v>
      </c>
      <c r="AK266">
        <f t="shared" si="35"/>
        <v>2212</v>
      </c>
    </row>
    <row r="267" spans="30:37">
      <c r="AD267" s="131">
        <v>201202</v>
      </c>
      <c r="AE267" s="135">
        <v>1112015</v>
      </c>
      <c r="AF267">
        <f t="shared" si="32"/>
        <v>12</v>
      </c>
      <c r="AG267">
        <f t="shared" si="31"/>
        <v>2</v>
      </c>
      <c r="AH267" t="str">
        <f t="shared" si="36"/>
        <v>简单</v>
      </c>
      <c r="AI267">
        <f t="shared" si="33"/>
        <v>368</v>
      </c>
      <c r="AJ267">
        <f t="shared" si="34"/>
        <v>110</v>
      </c>
      <c r="AK267">
        <f t="shared" si="35"/>
        <v>2212</v>
      </c>
    </row>
    <row r="268" spans="30:37">
      <c r="AD268" s="131">
        <v>201202</v>
      </c>
      <c r="AE268" s="135">
        <v>1111015</v>
      </c>
      <c r="AF268">
        <f t="shared" si="32"/>
        <v>12</v>
      </c>
      <c r="AG268">
        <f t="shared" si="31"/>
        <v>2</v>
      </c>
      <c r="AH268" t="str">
        <f t="shared" si="36"/>
        <v>简单</v>
      </c>
      <c r="AI268">
        <f t="shared" si="33"/>
        <v>368</v>
      </c>
      <c r="AJ268">
        <f t="shared" si="34"/>
        <v>110</v>
      </c>
      <c r="AK268">
        <f t="shared" si="35"/>
        <v>2212</v>
      </c>
    </row>
    <row r="269" spans="30:37">
      <c r="AD269" s="69">
        <v>201203</v>
      </c>
      <c r="AE269" s="134">
        <v>121034</v>
      </c>
      <c r="AF269">
        <f t="shared" si="32"/>
        <v>12</v>
      </c>
      <c r="AG269">
        <f t="shared" si="31"/>
        <v>3</v>
      </c>
      <c r="AH269" t="str">
        <f t="shared" si="36"/>
        <v>困难</v>
      </c>
      <c r="AI269">
        <f t="shared" si="33"/>
        <v>1449</v>
      </c>
      <c r="AJ269">
        <f t="shared" si="34"/>
        <v>603</v>
      </c>
      <c r="AK269">
        <f t="shared" si="35"/>
        <v>603</v>
      </c>
    </row>
    <row r="270" spans="30:37">
      <c r="AD270" s="69">
        <v>201203</v>
      </c>
      <c r="AE270" s="134">
        <v>121040</v>
      </c>
      <c r="AF270">
        <f t="shared" si="32"/>
        <v>12</v>
      </c>
      <c r="AG270">
        <f t="shared" si="31"/>
        <v>3</v>
      </c>
      <c r="AH270" t="str">
        <f t="shared" si="36"/>
        <v>困难</v>
      </c>
      <c r="AI270">
        <f t="shared" si="33"/>
        <v>1449</v>
      </c>
      <c r="AJ270">
        <f t="shared" si="34"/>
        <v>603</v>
      </c>
      <c r="AK270">
        <f t="shared" si="35"/>
        <v>603</v>
      </c>
    </row>
    <row r="271" spans="30:37">
      <c r="AD271" s="69">
        <v>201203</v>
      </c>
      <c r="AE271" s="134">
        <v>121034</v>
      </c>
      <c r="AF271">
        <f t="shared" si="32"/>
        <v>12</v>
      </c>
      <c r="AG271">
        <f t="shared" si="31"/>
        <v>3</v>
      </c>
      <c r="AH271" t="str">
        <f t="shared" si="36"/>
        <v>困难</v>
      </c>
      <c r="AI271">
        <f t="shared" si="33"/>
        <v>1449</v>
      </c>
      <c r="AJ271">
        <f t="shared" si="34"/>
        <v>603</v>
      </c>
      <c r="AK271">
        <f t="shared" si="35"/>
        <v>603</v>
      </c>
    </row>
    <row r="272" spans="30:37">
      <c r="AD272" s="69">
        <v>201203</v>
      </c>
      <c r="AE272" s="134">
        <v>121034</v>
      </c>
      <c r="AF272">
        <f t="shared" si="32"/>
        <v>12</v>
      </c>
      <c r="AG272">
        <f t="shared" si="31"/>
        <v>3</v>
      </c>
      <c r="AH272" t="str">
        <f t="shared" si="36"/>
        <v>困难</v>
      </c>
      <c r="AI272">
        <f t="shared" si="33"/>
        <v>1449</v>
      </c>
      <c r="AJ272">
        <f t="shared" si="34"/>
        <v>603</v>
      </c>
      <c r="AK272">
        <f t="shared" si="35"/>
        <v>603</v>
      </c>
    </row>
    <row r="273" spans="30:37">
      <c r="AD273" s="69">
        <v>201203</v>
      </c>
      <c r="AE273" s="134">
        <v>1111012</v>
      </c>
      <c r="AF273">
        <f t="shared" si="32"/>
        <v>12</v>
      </c>
      <c r="AG273">
        <f t="shared" si="31"/>
        <v>3</v>
      </c>
      <c r="AH273" t="str">
        <f t="shared" si="36"/>
        <v>困难</v>
      </c>
      <c r="AI273">
        <f t="shared" si="33"/>
        <v>1594</v>
      </c>
      <c r="AJ273">
        <f t="shared" si="34"/>
        <v>603</v>
      </c>
      <c r="AK273">
        <f t="shared" si="35"/>
        <v>603</v>
      </c>
    </row>
    <row r="274" spans="30:37">
      <c r="AD274" s="131">
        <v>201204</v>
      </c>
      <c r="AE274" s="135">
        <v>121035</v>
      </c>
      <c r="AF274">
        <f t="shared" si="32"/>
        <v>12</v>
      </c>
      <c r="AG274">
        <f t="shared" si="31"/>
        <v>4</v>
      </c>
      <c r="AH274" t="str">
        <f t="shared" si="36"/>
        <v>困难</v>
      </c>
      <c r="AI274">
        <f t="shared" si="33"/>
        <v>1449</v>
      </c>
      <c r="AJ274">
        <f t="shared" si="34"/>
        <v>603</v>
      </c>
      <c r="AK274">
        <f t="shared" si="35"/>
        <v>603</v>
      </c>
    </row>
    <row r="275" spans="30:37">
      <c r="AD275" s="131">
        <v>201204</v>
      </c>
      <c r="AE275" s="135">
        <v>121035</v>
      </c>
      <c r="AF275">
        <f t="shared" si="32"/>
        <v>12</v>
      </c>
      <c r="AG275">
        <f t="shared" si="31"/>
        <v>4</v>
      </c>
      <c r="AH275" t="str">
        <f t="shared" si="36"/>
        <v>困难</v>
      </c>
      <c r="AI275">
        <f t="shared" si="33"/>
        <v>1449</v>
      </c>
      <c r="AJ275">
        <f t="shared" si="34"/>
        <v>603</v>
      </c>
      <c r="AK275">
        <f t="shared" si="35"/>
        <v>603</v>
      </c>
    </row>
    <row r="276" spans="30:37">
      <c r="AD276" s="131">
        <v>201204</v>
      </c>
      <c r="AE276" s="135">
        <v>121035</v>
      </c>
      <c r="AF276">
        <f t="shared" si="32"/>
        <v>12</v>
      </c>
      <c r="AG276">
        <f t="shared" si="31"/>
        <v>4</v>
      </c>
      <c r="AH276" t="str">
        <f t="shared" si="36"/>
        <v>困难</v>
      </c>
      <c r="AI276">
        <f t="shared" si="33"/>
        <v>1449</v>
      </c>
      <c r="AJ276">
        <f t="shared" si="34"/>
        <v>603</v>
      </c>
      <c r="AK276">
        <f t="shared" si="35"/>
        <v>603</v>
      </c>
    </row>
    <row r="277" spans="30:37">
      <c r="AD277" s="131">
        <v>201204</v>
      </c>
      <c r="AE277" s="135">
        <v>1112015</v>
      </c>
      <c r="AF277">
        <f t="shared" si="32"/>
        <v>12</v>
      </c>
      <c r="AG277">
        <f t="shared" si="31"/>
        <v>4</v>
      </c>
      <c r="AH277" t="str">
        <f t="shared" si="36"/>
        <v>困难</v>
      </c>
      <c r="AI277">
        <f t="shared" si="33"/>
        <v>1594</v>
      </c>
      <c r="AJ277">
        <f t="shared" si="34"/>
        <v>603</v>
      </c>
      <c r="AK277">
        <f t="shared" si="35"/>
        <v>603</v>
      </c>
    </row>
    <row r="278" spans="30:37">
      <c r="AD278" s="131">
        <v>201204</v>
      </c>
      <c r="AE278" s="135">
        <v>1111015</v>
      </c>
      <c r="AF278">
        <f t="shared" si="32"/>
        <v>12</v>
      </c>
      <c r="AG278">
        <f t="shared" ref="AG278:AG341" si="37">ROUNDDOWN(RIGHT(AD278,2),0)</f>
        <v>4</v>
      </c>
      <c r="AH278" t="str">
        <f t="shared" si="36"/>
        <v>困难</v>
      </c>
      <c r="AI278">
        <f t="shared" si="33"/>
        <v>1594</v>
      </c>
      <c r="AJ278">
        <f t="shared" si="34"/>
        <v>603</v>
      </c>
      <c r="AK278">
        <f t="shared" si="35"/>
        <v>603</v>
      </c>
    </row>
    <row r="279" spans="30:37">
      <c r="AD279" s="131">
        <v>201301</v>
      </c>
      <c r="AE279" s="135">
        <v>121059</v>
      </c>
      <c r="AF279">
        <f t="shared" si="32"/>
        <v>13</v>
      </c>
      <c r="AG279">
        <f t="shared" si="37"/>
        <v>1</v>
      </c>
      <c r="AH279" t="str">
        <f t="shared" si="36"/>
        <v>简单</v>
      </c>
      <c r="AI279">
        <f t="shared" si="33"/>
        <v>319</v>
      </c>
      <c r="AJ279">
        <f t="shared" si="34"/>
        <v>113</v>
      </c>
      <c r="AK279">
        <f t="shared" si="35"/>
        <v>2270</v>
      </c>
    </row>
    <row r="280" spans="30:37">
      <c r="AD280" s="131">
        <v>201301</v>
      </c>
      <c r="AE280" s="135">
        <v>121059</v>
      </c>
      <c r="AF280">
        <f t="shared" si="32"/>
        <v>13</v>
      </c>
      <c r="AG280">
        <f t="shared" si="37"/>
        <v>1</v>
      </c>
      <c r="AH280" t="str">
        <f t="shared" si="36"/>
        <v>简单</v>
      </c>
      <c r="AI280">
        <f t="shared" si="33"/>
        <v>319</v>
      </c>
      <c r="AJ280">
        <f t="shared" si="34"/>
        <v>113</v>
      </c>
      <c r="AK280">
        <f t="shared" si="35"/>
        <v>2270</v>
      </c>
    </row>
    <row r="281" spans="30:37">
      <c r="AD281" s="131">
        <v>201301</v>
      </c>
      <c r="AE281" s="135">
        <v>121059</v>
      </c>
      <c r="AF281">
        <f t="shared" si="32"/>
        <v>13</v>
      </c>
      <c r="AG281">
        <f t="shared" si="37"/>
        <v>1</v>
      </c>
      <c r="AH281" t="str">
        <f t="shared" si="36"/>
        <v>简单</v>
      </c>
      <c r="AI281">
        <f t="shared" si="33"/>
        <v>319</v>
      </c>
      <c r="AJ281">
        <f t="shared" si="34"/>
        <v>113</v>
      </c>
      <c r="AK281">
        <f t="shared" si="35"/>
        <v>2270</v>
      </c>
    </row>
    <row r="282" spans="30:37">
      <c r="AD282" s="131">
        <v>201301</v>
      </c>
      <c r="AE282" s="135">
        <v>121059</v>
      </c>
      <c r="AF282">
        <f t="shared" si="32"/>
        <v>13</v>
      </c>
      <c r="AG282">
        <f t="shared" si="37"/>
        <v>1</v>
      </c>
      <c r="AH282" t="str">
        <f t="shared" si="36"/>
        <v>简单</v>
      </c>
      <c r="AI282">
        <f t="shared" si="33"/>
        <v>319</v>
      </c>
      <c r="AJ282">
        <f t="shared" si="34"/>
        <v>113</v>
      </c>
      <c r="AK282">
        <f t="shared" si="35"/>
        <v>2270</v>
      </c>
    </row>
    <row r="283" spans="30:37">
      <c r="AD283" s="131">
        <v>201301</v>
      </c>
      <c r="AE283" s="135">
        <v>121059</v>
      </c>
      <c r="AF283">
        <f t="shared" si="32"/>
        <v>13</v>
      </c>
      <c r="AG283">
        <f t="shared" si="37"/>
        <v>1</v>
      </c>
      <c r="AH283" t="str">
        <f t="shared" si="36"/>
        <v>简单</v>
      </c>
      <c r="AI283">
        <f t="shared" si="33"/>
        <v>319</v>
      </c>
      <c r="AJ283">
        <f t="shared" si="34"/>
        <v>113</v>
      </c>
      <c r="AK283">
        <f t="shared" si="35"/>
        <v>2270</v>
      </c>
    </row>
    <row r="284" spans="30:37">
      <c r="AD284" s="131">
        <v>201301</v>
      </c>
      <c r="AE284" s="135">
        <v>121059</v>
      </c>
      <c r="AF284">
        <f t="shared" si="32"/>
        <v>13</v>
      </c>
      <c r="AG284">
        <f t="shared" si="37"/>
        <v>1</v>
      </c>
      <c r="AH284" t="str">
        <f t="shared" si="36"/>
        <v>简单</v>
      </c>
      <c r="AI284">
        <f t="shared" si="33"/>
        <v>319</v>
      </c>
      <c r="AJ284">
        <f t="shared" si="34"/>
        <v>113</v>
      </c>
      <c r="AK284">
        <f t="shared" si="35"/>
        <v>2270</v>
      </c>
    </row>
    <row r="285" spans="30:37">
      <c r="AD285" s="131">
        <v>201302</v>
      </c>
      <c r="AE285" s="135">
        <v>121045</v>
      </c>
      <c r="AF285">
        <f t="shared" si="32"/>
        <v>13</v>
      </c>
      <c r="AG285">
        <f t="shared" si="37"/>
        <v>2</v>
      </c>
      <c r="AH285" t="str">
        <f t="shared" si="36"/>
        <v>简单</v>
      </c>
      <c r="AI285">
        <f t="shared" si="33"/>
        <v>319</v>
      </c>
      <c r="AJ285">
        <f t="shared" si="34"/>
        <v>113</v>
      </c>
      <c r="AK285">
        <f t="shared" si="35"/>
        <v>2270</v>
      </c>
    </row>
    <row r="286" spans="30:37">
      <c r="AD286" s="131">
        <v>201302</v>
      </c>
      <c r="AE286" s="135">
        <v>121006</v>
      </c>
      <c r="AF286">
        <f t="shared" ref="AF286:AF349" si="38">MOD(ROUNDDOWN(AD286/100,0),100)</f>
        <v>13</v>
      </c>
      <c r="AG286">
        <f t="shared" si="37"/>
        <v>2</v>
      </c>
      <c r="AH286" t="str">
        <f t="shared" si="36"/>
        <v>简单</v>
      </c>
      <c r="AI286">
        <f t="shared" si="33"/>
        <v>319</v>
      </c>
      <c r="AJ286">
        <f t="shared" si="34"/>
        <v>113</v>
      </c>
      <c r="AK286">
        <f t="shared" si="35"/>
        <v>2270</v>
      </c>
    </row>
    <row r="287" spans="30:37">
      <c r="AD287" s="131">
        <v>201302</v>
      </c>
      <c r="AE287" s="135" t="s">
        <v>171</v>
      </c>
      <c r="AF287">
        <f t="shared" si="38"/>
        <v>13</v>
      </c>
      <c r="AG287">
        <f t="shared" si="37"/>
        <v>2</v>
      </c>
      <c r="AH287" t="str">
        <f t="shared" si="36"/>
        <v>简单</v>
      </c>
      <c r="AI287">
        <f t="shared" ref="AI287:AI350" si="39">IF($AH287="简单",IF(AE287&lt;122000,VLOOKUP($AF287,$N:$T,2,0),VLOOKUP($AF287,$N:$T,5,0)),IF(AE287&lt;122000,VLOOKUP($AF287,$V:$AB,2,0),VLOOKUP($AF287,$V:$AB,5,0)))</f>
        <v>426</v>
      </c>
      <c r="AJ287">
        <f t="shared" ref="AJ287:AJ350" si="40">IF($AH287="简单",IF(AF287&lt;122000,VLOOKUP($AF287,$N:$T,3,0),VLOOKUP($AF287,$N:$T,6,0)),IF(AF287&lt;122000,VLOOKUP($AF287,$V:$AB,3,0),VLOOKUP($AF287,$V:$AB,6,0)))</f>
        <v>113</v>
      </c>
      <c r="AK287">
        <f t="shared" ref="AK287:AK350" si="41">IF($AH287="简单",IF(AG287&lt;122000,VLOOKUP($AF287,$N:$T,4,0),VLOOKUP($AF287,$N:$T,7,0)),IF(AG287&lt;122000,VLOOKUP($AF287,$V:$AB,3,0),VLOOKUP($AF287,$V:$AB,6,0)))</f>
        <v>2270</v>
      </c>
    </row>
    <row r="288" spans="30:37">
      <c r="AD288" s="131">
        <v>201302</v>
      </c>
      <c r="AE288" s="135">
        <v>121044</v>
      </c>
      <c r="AF288">
        <f t="shared" si="38"/>
        <v>13</v>
      </c>
      <c r="AG288">
        <f t="shared" si="37"/>
        <v>2</v>
      </c>
      <c r="AH288" t="str">
        <f t="shared" si="36"/>
        <v>简单</v>
      </c>
      <c r="AI288">
        <f t="shared" si="39"/>
        <v>319</v>
      </c>
      <c r="AJ288">
        <f t="shared" si="40"/>
        <v>113</v>
      </c>
      <c r="AK288">
        <f t="shared" si="41"/>
        <v>2270</v>
      </c>
    </row>
    <row r="289" spans="30:37">
      <c r="AD289" s="131">
        <v>201302</v>
      </c>
      <c r="AE289" s="135">
        <v>121044</v>
      </c>
      <c r="AF289">
        <f t="shared" si="38"/>
        <v>13</v>
      </c>
      <c r="AG289">
        <f t="shared" si="37"/>
        <v>2</v>
      </c>
      <c r="AH289" t="str">
        <f t="shared" si="36"/>
        <v>简单</v>
      </c>
      <c r="AI289">
        <f t="shared" si="39"/>
        <v>319</v>
      </c>
      <c r="AJ289">
        <f t="shared" si="40"/>
        <v>113</v>
      </c>
      <c r="AK289">
        <f t="shared" si="41"/>
        <v>2270</v>
      </c>
    </row>
    <row r="290" spans="30:37">
      <c r="AD290" s="131">
        <v>201303</v>
      </c>
      <c r="AE290" s="135">
        <v>1111013</v>
      </c>
      <c r="AF290">
        <f t="shared" si="38"/>
        <v>13</v>
      </c>
      <c r="AG290">
        <f t="shared" si="37"/>
        <v>3</v>
      </c>
      <c r="AH290" t="str">
        <f t="shared" si="36"/>
        <v>简单</v>
      </c>
      <c r="AI290">
        <f t="shared" si="39"/>
        <v>426</v>
      </c>
      <c r="AJ290">
        <f t="shared" si="40"/>
        <v>113</v>
      </c>
      <c r="AK290">
        <f t="shared" si="41"/>
        <v>2270</v>
      </c>
    </row>
    <row r="291" spans="30:37">
      <c r="AD291" s="131">
        <v>201303</v>
      </c>
      <c r="AE291" s="135">
        <v>121045</v>
      </c>
      <c r="AF291">
        <f t="shared" si="38"/>
        <v>13</v>
      </c>
      <c r="AG291">
        <f t="shared" si="37"/>
        <v>3</v>
      </c>
      <c r="AH291" t="str">
        <f t="shared" si="36"/>
        <v>简单</v>
      </c>
      <c r="AI291">
        <f t="shared" si="39"/>
        <v>319</v>
      </c>
      <c r="AJ291">
        <f t="shared" si="40"/>
        <v>113</v>
      </c>
      <c r="AK291">
        <f t="shared" si="41"/>
        <v>2270</v>
      </c>
    </row>
    <row r="292" spans="30:37">
      <c r="AD292" s="131">
        <v>201303</v>
      </c>
      <c r="AE292" s="135">
        <v>121045</v>
      </c>
      <c r="AF292">
        <f t="shared" si="38"/>
        <v>13</v>
      </c>
      <c r="AG292">
        <f t="shared" si="37"/>
        <v>3</v>
      </c>
      <c r="AH292" t="str">
        <f t="shared" si="36"/>
        <v>简单</v>
      </c>
      <c r="AI292">
        <f t="shared" si="39"/>
        <v>319</v>
      </c>
      <c r="AJ292">
        <f t="shared" si="40"/>
        <v>113</v>
      </c>
      <c r="AK292">
        <f t="shared" si="41"/>
        <v>2270</v>
      </c>
    </row>
    <row r="293" spans="30:37">
      <c r="AD293" s="131">
        <v>201303</v>
      </c>
      <c r="AE293" s="135">
        <v>121045</v>
      </c>
      <c r="AF293">
        <f t="shared" si="38"/>
        <v>13</v>
      </c>
      <c r="AG293">
        <f t="shared" si="37"/>
        <v>3</v>
      </c>
      <c r="AH293" t="str">
        <f t="shared" si="36"/>
        <v>简单</v>
      </c>
      <c r="AI293">
        <f t="shared" si="39"/>
        <v>319</v>
      </c>
      <c r="AJ293">
        <f t="shared" si="40"/>
        <v>113</v>
      </c>
      <c r="AK293">
        <f t="shared" si="41"/>
        <v>2270</v>
      </c>
    </row>
    <row r="294" spans="30:37">
      <c r="AD294" s="131">
        <v>201303</v>
      </c>
      <c r="AE294" s="135">
        <v>121045</v>
      </c>
      <c r="AF294">
        <f t="shared" si="38"/>
        <v>13</v>
      </c>
      <c r="AG294">
        <f t="shared" si="37"/>
        <v>3</v>
      </c>
      <c r="AH294" t="str">
        <f t="shared" si="36"/>
        <v>简单</v>
      </c>
      <c r="AI294">
        <f t="shared" si="39"/>
        <v>319</v>
      </c>
      <c r="AJ294">
        <f t="shared" si="40"/>
        <v>113</v>
      </c>
      <c r="AK294">
        <f t="shared" si="41"/>
        <v>2270</v>
      </c>
    </row>
    <row r="295" spans="30:37">
      <c r="AD295" s="131">
        <v>201304</v>
      </c>
      <c r="AE295" s="135">
        <v>121059</v>
      </c>
      <c r="AF295">
        <f t="shared" si="38"/>
        <v>13</v>
      </c>
      <c r="AG295">
        <f t="shared" si="37"/>
        <v>4</v>
      </c>
      <c r="AH295" t="str">
        <f t="shared" si="36"/>
        <v>困难</v>
      </c>
      <c r="AI295">
        <f t="shared" si="39"/>
        <v>1463</v>
      </c>
      <c r="AJ295">
        <f t="shared" si="40"/>
        <v>608</v>
      </c>
      <c r="AK295">
        <f t="shared" si="41"/>
        <v>608</v>
      </c>
    </row>
    <row r="296" spans="30:37">
      <c r="AD296" s="131">
        <v>201304</v>
      </c>
      <c r="AE296" s="135">
        <v>121059</v>
      </c>
      <c r="AF296">
        <f t="shared" si="38"/>
        <v>13</v>
      </c>
      <c r="AG296">
        <f t="shared" si="37"/>
        <v>4</v>
      </c>
      <c r="AH296" t="str">
        <f t="shared" si="36"/>
        <v>困难</v>
      </c>
      <c r="AI296">
        <f t="shared" si="39"/>
        <v>1463</v>
      </c>
      <c r="AJ296">
        <f t="shared" si="40"/>
        <v>608</v>
      </c>
      <c r="AK296">
        <f t="shared" si="41"/>
        <v>608</v>
      </c>
    </row>
    <row r="297" spans="30:37">
      <c r="AD297" s="131">
        <v>201304</v>
      </c>
      <c r="AE297" s="135">
        <v>121059</v>
      </c>
      <c r="AF297">
        <f t="shared" si="38"/>
        <v>13</v>
      </c>
      <c r="AG297">
        <f t="shared" si="37"/>
        <v>4</v>
      </c>
      <c r="AH297" t="str">
        <f t="shared" si="36"/>
        <v>困难</v>
      </c>
      <c r="AI297">
        <f t="shared" si="39"/>
        <v>1463</v>
      </c>
      <c r="AJ297">
        <f t="shared" si="40"/>
        <v>608</v>
      </c>
      <c r="AK297">
        <f t="shared" si="41"/>
        <v>608</v>
      </c>
    </row>
    <row r="298" spans="30:37">
      <c r="AD298" s="131">
        <v>201304</v>
      </c>
      <c r="AE298" s="135">
        <v>121059</v>
      </c>
      <c r="AF298">
        <f t="shared" si="38"/>
        <v>13</v>
      </c>
      <c r="AG298">
        <f t="shared" si="37"/>
        <v>4</v>
      </c>
      <c r="AH298" t="str">
        <f t="shared" si="36"/>
        <v>困难</v>
      </c>
      <c r="AI298">
        <f t="shared" si="39"/>
        <v>1463</v>
      </c>
      <c r="AJ298">
        <f t="shared" si="40"/>
        <v>608</v>
      </c>
      <c r="AK298">
        <f t="shared" si="41"/>
        <v>608</v>
      </c>
    </row>
    <row r="299" spans="30:37">
      <c r="AD299" s="131">
        <v>201304</v>
      </c>
      <c r="AE299" s="135">
        <v>121059</v>
      </c>
      <c r="AF299">
        <f t="shared" si="38"/>
        <v>13</v>
      </c>
      <c r="AG299">
        <f t="shared" si="37"/>
        <v>4</v>
      </c>
      <c r="AH299" t="str">
        <f t="shared" si="36"/>
        <v>困难</v>
      </c>
      <c r="AI299">
        <f t="shared" si="39"/>
        <v>1463</v>
      </c>
      <c r="AJ299">
        <f t="shared" si="40"/>
        <v>608</v>
      </c>
      <c r="AK299">
        <f t="shared" si="41"/>
        <v>608</v>
      </c>
    </row>
    <row r="300" spans="30:37">
      <c r="AD300" s="131">
        <v>201304</v>
      </c>
      <c r="AE300" s="135">
        <v>121059</v>
      </c>
      <c r="AF300">
        <f t="shared" si="38"/>
        <v>13</v>
      </c>
      <c r="AG300">
        <f t="shared" si="37"/>
        <v>4</v>
      </c>
      <c r="AH300" t="str">
        <f t="shared" ref="AH300:AH363" si="42">IF(VLOOKUP(AF300,AF:AG,2,1)=4,IF(AG300&lt;3,"简单","困难"),IF(AG300&lt;4,"简单","困难"))</f>
        <v>困难</v>
      </c>
      <c r="AI300">
        <f t="shared" si="39"/>
        <v>1463</v>
      </c>
      <c r="AJ300">
        <f t="shared" si="40"/>
        <v>608</v>
      </c>
      <c r="AK300">
        <f t="shared" si="41"/>
        <v>608</v>
      </c>
    </row>
    <row r="301" spans="30:37">
      <c r="AD301" s="131">
        <v>201305</v>
      </c>
      <c r="AE301" s="135">
        <v>121045</v>
      </c>
      <c r="AF301">
        <f t="shared" si="38"/>
        <v>13</v>
      </c>
      <c r="AG301">
        <f t="shared" si="37"/>
        <v>5</v>
      </c>
      <c r="AH301" t="str">
        <f t="shared" si="42"/>
        <v>困难</v>
      </c>
      <c r="AI301">
        <f t="shared" si="39"/>
        <v>1463</v>
      </c>
      <c r="AJ301">
        <f t="shared" si="40"/>
        <v>608</v>
      </c>
      <c r="AK301">
        <f t="shared" si="41"/>
        <v>608</v>
      </c>
    </row>
    <row r="302" spans="30:37">
      <c r="AD302" s="131">
        <v>201305</v>
      </c>
      <c r="AE302" s="135">
        <v>121006</v>
      </c>
      <c r="AF302">
        <f t="shared" si="38"/>
        <v>13</v>
      </c>
      <c r="AG302">
        <f t="shared" si="37"/>
        <v>5</v>
      </c>
      <c r="AH302" t="str">
        <f t="shared" si="42"/>
        <v>困难</v>
      </c>
      <c r="AI302">
        <f t="shared" si="39"/>
        <v>1463</v>
      </c>
      <c r="AJ302">
        <f t="shared" si="40"/>
        <v>608</v>
      </c>
      <c r="AK302">
        <f t="shared" si="41"/>
        <v>608</v>
      </c>
    </row>
    <row r="303" spans="30:37">
      <c r="AD303" s="131">
        <v>201305</v>
      </c>
      <c r="AE303" s="135" t="s">
        <v>171</v>
      </c>
      <c r="AF303">
        <f t="shared" si="38"/>
        <v>13</v>
      </c>
      <c r="AG303">
        <f t="shared" si="37"/>
        <v>5</v>
      </c>
      <c r="AH303" t="str">
        <f t="shared" si="42"/>
        <v>困难</v>
      </c>
      <c r="AI303">
        <f t="shared" si="39"/>
        <v>1609</v>
      </c>
      <c r="AJ303">
        <f t="shared" si="40"/>
        <v>608</v>
      </c>
      <c r="AK303">
        <f t="shared" si="41"/>
        <v>608</v>
      </c>
    </row>
    <row r="304" spans="30:37">
      <c r="AD304" s="131">
        <v>201305</v>
      </c>
      <c r="AE304" s="135">
        <v>121044</v>
      </c>
      <c r="AF304">
        <f t="shared" si="38"/>
        <v>13</v>
      </c>
      <c r="AG304">
        <f t="shared" si="37"/>
        <v>5</v>
      </c>
      <c r="AH304" t="str">
        <f t="shared" si="42"/>
        <v>困难</v>
      </c>
      <c r="AI304">
        <f t="shared" si="39"/>
        <v>1463</v>
      </c>
      <c r="AJ304">
        <f t="shared" si="40"/>
        <v>608</v>
      </c>
      <c r="AK304">
        <f t="shared" si="41"/>
        <v>608</v>
      </c>
    </row>
    <row r="305" spans="30:37">
      <c r="AD305" s="131">
        <v>201305</v>
      </c>
      <c r="AE305" s="135">
        <v>121044</v>
      </c>
      <c r="AF305">
        <f t="shared" si="38"/>
        <v>13</v>
      </c>
      <c r="AG305">
        <f t="shared" si="37"/>
        <v>5</v>
      </c>
      <c r="AH305" t="str">
        <f t="shared" si="42"/>
        <v>困难</v>
      </c>
      <c r="AI305">
        <f t="shared" si="39"/>
        <v>1463</v>
      </c>
      <c r="AJ305">
        <f t="shared" si="40"/>
        <v>608</v>
      </c>
      <c r="AK305">
        <f t="shared" si="41"/>
        <v>608</v>
      </c>
    </row>
    <row r="306" spans="30:37">
      <c r="AD306" s="131">
        <v>201306</v>
      </c>
      <c r="AE306" s="135">
        <v>1111013</v>
      </c>
      <c r="AF306">
        <f t="shared" si="38"/>
        <v>13</v>
      </c>
      <c r="AG306">
        <f t="shared" si="37"/>
        <v>6</v>
      </c>
      <c r="AH306" t="str">
        <f t="shared" si="42"/>
        <v>困难</v>
      </c>
      <c r="AI306">
        <f t="shared" si="39"/>
        <v>1609</v>
      </c>
      <c r="AJ306">
        <f t="shared" si="40"/>
        <v>608</v>
      </c>
      <c r="AK306">
        <f t="shared" si="41"/>
        <v>608</v>
      </c>
    </row>
    <row r="307" spans="30:37">
      <c r="AD307" s="131">
        <v>201306</v>
      </c>
      <c r="AE307" s="135">
        <v>121045</v>
      </c>
      <c r="AF307">
        <f t="shared" si="38"/>
        <v>13</v>
      </c>
      <c r="AG307">
        <f t="shared" si="37"/>
        <v>6</v>
      </c>
      <c r="AH307" t="str">
        <f t="shared" si="42"/>
        <v>困难</v>
      </c>
      <c r="AI307">
        <f t="shared" si="39"/>
        <v>1463</v>
      </c>
      <c r="AJ307">
        <f t="shared" si="40"/>
        <v>608</v>
      </c>
      <c r="AK307">
        <f t="shared" si="41"/>
        <v>608</v>
      </c>
    </row>
    <row r="308" spans="30:37">
      <c r="AD308" s="131">
        <v>201306</v>
      </c>
      <c r="AE308" s="135">
        <v>121045</v>
      </c>
      <c r="AF308">
        <f t="shared" si="38"/>
        <v>13</v>
      </c>
      <c r="AG308">
        <f t="shared" si="37"/>
        <v>6</v>
      </c>
      <c r="AH308" t="str">
        <f t="shared" si="42"/>
        <v>困难</v>
      </c>
      <c r="AI308">
        <f t="shared" si="39"/>
        <v>1463</v>
      </c>
      <c r="AJ308">
        <f t="shared" si="40"/>
        <v>608</v>
      </c>
      <c r="AK308">
        <f t="shared" si="41"/>
        <v>608</v>
      </c>
    </row>
    <row r="309" spans="30:37">
      <c r="AD309" s="131">
        <v>201306</v>
      </c>
      <c r="AE309" s="135">
        <v>121045</v>
      </c>
      <c r="AF309">
        <f t="shared" si="38"/>
        <v>13</v>
      </c>
      <c r="AG309">
        <f t="shared" si="37"/>
        <v>6</v>
      </c>
      <c r="AH309" t="str">
        <f t="shared" si="42"/>
        <v>困难</v>
      </c>
      <c r="AI309">
        <f t="shared" si="39"/>
        <v>1463</v>
      </c>
      <c r="AJ309">
        <f t="shared" si="40"/>
        <v>608</v>
      </c>
      <c r="AK309">
        <f t="shared" si="41"/>
        <v>608</v>
      </c>
    </row>
    <row r="310" spans="30:37">
      <c r="AD310" s="131">
        <v>201306</v>
      </c>
      <c r="AE310" s="135">
        <v>121045</v>
      </c>
      <c r="AF310">
        <f t="shared" si="38"/>
        <v>13</v>
      </c>
      <c r="AG310">
        <f t="shared" si="37"/>
        <v>6</v>
      </c>
      <c r="AH310" t="str">
        <f t="shared" si="42"/>
        <v>困难</v>
      </c>
      <c r="AI310">
        <f t="shared" si="39"/>
        <v>1463</v>
      </c>
      <c r="AJ310">
        <f t="shared" si="40"/>
        <v>608</v>
      </c>
      <c r="AK310">
        <f t="shared" si="41"/>
        <v>608</v>
      </c>
    </row>
    <row r="311" spans="30:37">
      <c r="AD311" s="131">
        <v>201401</v>
      </c>
      <c r="AE311" s="135">
        <v>121045</v>
      </c>
      <c r="AF311">
        <f t="shared" si="38"/>
        <v>14</v>
      </c>
      <c r="AG311">
        <f t="shared" si="37"/>
        <v>1</v>
      </c>
      <c r="AH311" t="str">
        <f t="shared" si="42"/>
        <v>简单</v>
      </c>
      <c r="AI311">
        <f t="shared" si="39"/>
        <v>479</v>
      </c>
      <c r="AJ311">
        <f t="shared" si="40"/>
        <v>191</v>
      </c>
      <c r="AK311">
        <f t="shared" si="41"/>
        <v>3403</v>
      </c>
    </row>
    <row r="312" spans="30:37">
      <c r="AD312" s="131">
        <v>201401</v>
      </c>
      <c r="AE312" s="135">
        <v>121045</v>
      </c>
      <c r="AF312">
        <f t="shared" si="38"/>
        <v>14</v>
      </c>
      <c r="AG312">
        <f t="shared" si="37"/>
        <v>1</v>
      </c>
      <c r="AH312" t="str">
        <f t="shared" si="42"/>
        <v>简单</v>
      </c>
      <c r="AI312">
        <f t="shared" si="39"/>
        <v>479</v>
      </c>
      <c r="AJ312">
        <f t="shared" si="40"/>
        <v>191</v>
      </c>
      <c r="AK312">
        <f t="shared" si="41"/>
        <v>3403</v>
      </c>
    </row>
    <row r="313" spans="30:37">
      <c r="AD313" s="131">
        <v>201401</v>
      </c>
      <c r="AE313" s="135">
        <v>121044</v>
      </c>
      <c r="AF313">
        <f t="shared" si="38"/>
        <v>14</v>
      </c>
      <c r="AG313">
        <f t="shared" si="37"/>
        <v>1</v>
      </c>
      <c r="AH313" t="str">
        <f t="shared" si="42"/>
        <v>简单</v>
      </c>
      <c r="AI313">
        <f t="shared" si="39"/>
        <v>479</v>
      </c>
      <c r="AJ313">
        <f t="shared" si="40"/>
        <v>191</v>
      </c>
      <c r="AK313">
        <f t="shared" si="41"/>
        <v>3403</v>
      </c>
    </row>
    <row r="314" spans="30:37">
      <c r="AD314" s="131">
        <v>201401</v>
      </c>
      <c r="AE314" s="135">
        <v>121044</v>
      </c>
      <c r="AF314">
        <f t="shared" si="38"/>
        <v>14</v>
      </c>
      <c r="AG314">
        <f t="shared" si="37"/>
        <v>1</v>
      </c>
      <c r="AH314" t="str">
        <f t="shared" si="42"/>
        <v>简单</v>
      </c>
      <c r="AI314">
        <f t="shared" si="39"/>
        <v>479</v>
      </c>
      <c r="AJ314">
        <f t="shared" si="40"/>
        <v>191</v>
      </c>
      <c r="AK314">
        <f t="shared" si="41"/>
        <v>3403</v>
      </c>
    </row>
    <row r="315" spans="30:37">
      <c r="AD315" s="131">
        <v>201401</v>
      </c>
      <c r="AE315" s="135">
        <v>121043</v>
      </c>
      <c r="AF315">
        <f t="shared" si="38"/>
        <v>14</v>
      </c>
      <c r="AG315">
        <f t="shared" si="37"/>
        <v>1</v>
      </c>
      <c r="AH315" t="str">
        <f t="shared" si="42"/>
        <v>简单</v>
      </c>
      <c r="AI315">
        <f t="shared" si="39"/>
        <v>479</v>
      </c>
      <c r="AJ315">
        <f t="shared" si="40"/>
        <v>191</v>
      </c>
      <c r="AK315">
        <f t="shared" si="41"/>
        <v>3403</v>
      </c>
    </row>
    <row r="316" spans="30:37">
      <c r="AD316" s="131">
        <v>201402</v>
      </c>
      <c r="AE316" s="135">
        <v>121045</v>
      </c>
      <c r="AF316">
        <f t="shared" si="38"/>
        <v>14</v>
      </c>
      <c r="AG316">
        <f t="shared" si="37"/>
        <v>2</v>
      </c>
      <c r="AH316" t="str">
        <f t="shared" si="42"/>
        <v>简单</v>
      </c>
      <c r="AI316">
        <f t="shared" si="39"/>
        <v>479</v>
      </c>
      <c r="AJ316">
        <f t="shared" si="40"/>
        <v>191</v>
      </c>
      <c r="AK316">
        <f t="shared" si="41"/>
        <v>3403</v>
      </c>
    </row>
    <row r="317" spans="30:37">
      <c r="AD317" s="131">
        <v>201402</v>
      </c>
      <c r="AE317" s="135">
        <v>121045</v>
      </c>
      <c r="AF317">
        <f t="shared" si="38"/>
        <v>14</v>
      </c>
      <c r="AG317">
        <f t="shared" si="37"/>
        <v>2</v>
      </c>
      <c r="AH317" t="str">
        <f t="shared" si="42"/>
        <v>简单</v>
      </c>
      <c r="AI317">
        <f t="shared" si="39"/>
        <v>479</v>
      </c>
      <c r="AJ317">
        <f t="shared" si="40"/>
        <v>191</v>
      </c>
      <c r="AK317">
        <f t="shared" si="41"/>
        <v>3403</v>
      </c>
    </row>
    <row r="318" spans="30:37">
      <c r="AD318" s="131">
        <v>201402</v>
      </c>
      <c r="AE318" s="135">
        <v>121006</v>
      </c>
      <c r="AF318">
        <f t="shared" si="38"/>
        <v>14</v>
      </c>
      <c r="AG318">
        <f t="shared" si="37"/>
        <v>2</v>
      </c>
      <c r="AH318" t="str">
        <f t="shared" si="42"/>
        <v>简单</v>
      </c>
      <c r="AI318">
        <f t="shared" si="39"/>
        <v>479</v>
      </c>
      <c r="AJ318">
        <f t="shared" si="40"/>
        <v>191</v>
      </c>
      <c r="AK318">
        <f t="shared" si="41"/>
        <v>3403</v>
      </c>
    </row>
    <row r="319" spans="30:37">
      <c r="AD319" s="131">
        <v>201402</v>
      </c>
      <c r="AE319" s="135">
        <v>121044</v>
      </c>
      <c r="AF319">
        <f t="shared" si="38"/>
        <v>14</v>
      </c>
      <c r="AG319">
        <f t="shared" si="37"/>
        <v>2</v>
      </c>
      <c r="AH319" t="str">
        <f t="shared" si="42"/>
        <v>简单</v>
      </c>
      <c r="AI319">
        <f t="shared" si="39"/>
        <v>479</v>
      </c>
      <c r="AJ319">
        <f t="shared" si="40"/>
        <v>191</v>
      </c>
      <c r="AK319">
        <f t="shared" si="41"/>
        <v>3403</v>
      </c>
    </row>
    <row r="320" spans="30:37">
      <c r="AD320" s="131">
        <v>201402</v>
      </c>
      <c r="AE320" s="135">
        <v>121044</v>
      </c>
      <c r="AF320">
        <f t="shared" si="38"/>
        <v>14</v>
      </c>
      <c r="AG320">
        <f t="shared" si="37"/>
        <v>2</v>
      </c>
      <c r="AH320" t="str">
        <f t="shared" si="42"/>
        <v>简单</v>
      </c>
      <c r="AI320">
        <f t="shared" si="39"/>
        <v>479</v>
      </c>
      <c r="AJ320">
        <f t="shared" si="40"/>
        <v>191</v>
      </c>
      <c r="AK320">
        <f t="shared" si="41"/>
        <v>3403</v>
      </c>
    </row>
    <row r="321" spans="30:37">
      <c r="AD321" s="131">
        <v>201403</v>
      </c>
      <c r="AE321" s="135">
        <v>121006</v>
      </c>
      <c r="AF321">
        <f t="shared" si="38"/>
        <v>14</v>
      </c>
      <c r="AG321">
        <f t="shared" si="37"/>
        <v>3</v>
      </c>
      <c r="AH321" t="str">
        <f t="shared" si="42"/>
        <v>简单</v>
      </c>
      <c r="AI321">
        <f t="shared" si="39"/>
        <v>479</v>
      </c>
      <c r="AJ321">
        <f t="shared" si="40"/>
        <v>191</v>
      </c>
      <c r="AK321">
        <f t="shared" si="41"/>
        <v>3403</v>
      </c>
    </row>
    <row r="322" spans="30:37">
      <c r="AD322" s="131">
        <v>201403</v>
      </c>
      <c r="AE322" s="135">
        <v>121043</v>
      </c>
      <c r="AF322">
        <f t="shared" si="38"/>
        <v>14</v>
      </c>
      <c r="AG322">
        <f t="shared" si="37"/>
        <v>3</v>
      </c>
      <c r="AH322" t="str">
        <f t="shared" si="42"/>
        <v>简单</v>
      </c>
      <c r="AI322">
        <f t="shared" si="39"/>
        <v>479</v>
      </c>
      <c r="AJ322">
        <f t="shared" si="40"/>
        <v>191</v>
      </c>
      <c r="AK322">
        <f t="shared" si="41"/>
        <v>3403</v>
      </c>
    </row>
    <row r="323" spans="30:37">
      <c r="AD323" s="131">
        <v>201403</v>
      </c>
      <c r="AE323" s="135">
        <v>1111013</v>
      </c>
      <c r="AF323">
        <f t="shared" si="38"/>
        <v>14</v>
      </c>
      <c r="AG323">
        <f t="shared" si="37"/>
        <v>3</v>
      </c>
      <c r="AH323" t="str">
        <f t="shared" si="42"/>
        <v>简单</v>
      </c>
      <c r="AI323">
        <f t="shared" si="39"/>
        <v>639</v>
      </c>
      <c r="AJ323">
        <f t="shared" si="40"/>
        <v>191</v>
      </c>
      <c r="AK323">
        <f t="shared" si="41"/>
        <v>3403</v>
      </c>
    </row>
    <row r="324" spans="30:37">
      <c r="AD324" s="131">
        <v>201403</v>
      </c>
      <c r="AE324" s="135">
        <v>121044</v>
      </c>
      <c r="AF324">
        <f t="shared" si="38"/>
        <v>14</v>
      </c>
      <c r="AG324">
        <f t="shared" si="37"/>
        <v>3</v>
      </c>
      <c r="AH324" t="str">
        <f t="shared" si="42"/>
        <v>简单</v>
      </c>
      <c r="AI324">
        <f t="shared" si="39"/>
        <v>479</v>
      </c>
      <c r="AJ324">
        <f t="shared" si="40"/>
        <v>191</v>
      </c>
      <c r="AK324">
        <f t="shared" si="41"/>
        <v>3403</v>
      </c>
    </row>
    <row r="325" spans="30:37">
      <c r="AD325" s="131">
        <v>201403</v>
      </c>
      <c r="AE325" s="135">
        <v>121044</v>
      </c>
      <c r="AF325">
        <f t="shared" si="38"/>
        <v>14</v>
      </c>
      <c r="AG325">
        <f t="shared" si="37"/>
        <v>3</v>
      </c>
      <c r="AH325" t="str">
        <f t="shared" si="42"/>
        <v>简单</v>
      </c>
      <c r="AI325">
        <f t="shared" si="39"/>
        <v>479</v>
      </c>
      <c r="AJ325">
        <f t="shared" si="40"/>
        <v>191</v>
      </c>
      <c r="AK325">
        <f t="shared" si="41"/>
        <v>3403</v>
      </c>
    </row>
    <row r="326" spans="30:37">
      <c r="AD326" s="131">
        <v>201404</v>
      </c>
      <c r="AE326" s="135">
        <v>121045</v>
      </c>
      <c r="AF326">
        <f t="shared" si="38"/>
        <v>14</v>
      </c>
      <c r="AG326">
        <f t="shared" si="37"/>
        <v>4</v>
      </c>
      <c r="AH326" t="str">
        <f t="shared" si="42"/>
        <v>困难</v>
      </c>
      <c r="AI326">
        <f t="shared" si="39"/>
        <v>1685</v>
      </c>
      <c r="AJ326">
        <f t="shared" si="40"/>
        <v>635</v>
      </c>
      <c r="AK326">
        <f t="shared" si="41"/>
        <v>635</v>
      </c>
    </row>
    <row r="327" spans="30:37">
      <c r="AD327" s="131">
        <v>201404</v>
      </c>
      <c r="AE327" s="135">
        <v>121045</v>
      </c>
      <c r="AF327">
        <f t="shared" si="38"/>
        <v>14</v>
      </c>
      <c r="AG327">
        <f t="shared" si="37"/>
        <v>4</v>
      </c>
      <c r="AH327" t="str">
        <f t="shared" si="42"/>
        <v>困难</v>
      </c>
      <c r="AI327">
        <f t="shared" si="39"/>
        <v>1685</v>
      </c>
      <c r="AJ327">
        <f t="shared" si="40"/>
        <v>635</v>
      </c>
      <c r="AK327">
        <f t="shared" si="41"/>
        <v>635</v>
      </c>
    </row>
    <row r="328" spans="30:37">
      <c r="AD328" s="131">
        <v>201404</v>
      </c>
      <c r="AE328" s="135">
        <v>121044</v>
      </c>
      <c r="AF328">
        <f t="shared" si="38"/>
        <v>14</v>
      </c>
      <c r="AG328">
        <f t="shared" si="37"/>
        <v>4</v>
      </c>
      <c r="AH328" t="str">
        <f t="shared" si="42"/>
        <v>困难</v>
      </c>
      <c r="AI328">
        <f t="shared" si="39"/>
        <v>1685</v>
      </c>
      <c r="AJ328">
        <f t="shared" si="40"/>
        <v>635</v>
      </c>
      <c r="AK328">
        <f t="shared" si="41"/>
        <v>635</v>
      </c>
    </row>
    <row r="329" spans="30:37">
      <c r="AD329" s="131">
        <v>201404</v>
      </c>
      <c r="AE329" s="135">
        <v>121044</v>
      </c>
      <c r="AF329">
        <f t="shared" si="38"/>
        <v>14</v>
      </c>
      <c r="AG329">
        <f t="shared" si="37"/>
        <v>4</v>
      </c>
      <c r="AH329" t="str">
        <f t="shared" si="42"/>
        <v>困难</v>
      </c>
      <c r="AI329">
        <f t="shared" si="39"/>
        <v>1685</v>
      </c>
      <c r="AJ329">
        <f t="shared" si="40"/>
        <v>635</v>
      </c>
      <c r="AK329">
        <f t="shared" si="41"/>
        <v>635</v>
      </c>
    </row>
    <row r="330" spans="30:37">
      <c r="AD330" s="131">
        <v>201404</v>
      </c>
      <c r="AE330" s="135">
        <v>121043</v>
      </c>
      <c r="AF330">
        <f t="shared" si="38"/>
        <v>14</v>
      </c>
      <c r="AG330">
        <f t="shared" si="37"/>
        <v>4</v>
      </c>
      <c r="AH330" t="str">
        <f t="shared" si="42"/>
        <v>困难</v>
      </c>
      <c r="AI330">
        <f t="shared" si="39"/>
        <v>1685</v>
      </c>
      <c r="AJ330">
        <f t="shared" si="40"/>
        <v>635</v>
      </c>
      <c r="AK330">
        <f t="shared" si="41"/>
        <v>635</v>
      </c>
    </row>
    <row r="331" spans="30:37">
      <c r="AD331" s="131">
        <v>201405</v>
      </c>
      <c r="AE331" s="135">
        <v>121045</v>
      </c>
      <c r="AF331">
        <f t="shared" si="38"/>
        <v>14</v>
      </c>
      <c r="AG331">
        <f t="shared" si="37"/>
        <v>5</v>
      </c>
      <c r="AH331" t="str">
        <f t="shared" si="42"/>
        <v>困难</v>
      </c>
      <c r="AI331">
        <f t="shared" si="39"/>
        <v>1685</v>
      </c>
      <c r="AJ331">
        <f t="shared" si="40"/>
        <v>635</v>
      </c>
      <c r="AK331">
        <f t="shared" si="41"/>
        <v>635</v>
      </c>
    </row>
    <row r="332" spans="30:37">
      <c r="AD332" s="131">
        <v>201405</v>
      </c>
      <c r="AE332" s="135">
        <v>121045</v>
      </c>
      <c r="AF332">
        <f t="shared" si="38"/>
        <v>14</v>
      </c>
      <c r="AG332">
        <f t="shared" si="37"/>
        <v>5</v>
      </c>
      <c r="AH332" t="str">
        <f t="shared" si="42"/>
        <v>困难</v>
      </c>
      <c r="AI332">
        <f t="shared" si="39"/>
        <v>1685</v>
      </c>
      <c r="AJ332">
        <f t="shared" si="40"/>
        <v>635</v>
      </c>
      <c r="AK332">
        <f t="shared" si="41"/>
        <v>635</v>
      </c>
    </row>
    <row r="333" spans="30:37">
      <c r="AD333" s="131">
        <v>201405</v>
      </c>
      <c r="AE333" s="135">
        <v>121006</v>
      </c>
      <c r="AF333">
        <f t="shared" si="38"/>
        <v>14</v>
      </c>
      <c r="AG333">
        <f t="shared" si="37"/>
        <v>5</v>
      </c>
      <c r="AH333" t="str">
        <f t="shared" si="42"/>
        <v>困难</v>
      </c>
      <c r="AI333">
        <f t="shared" si="39"/>
        <v>1685</v>
      </c>
      <c r="AJ333">
        <f t="shared" si="40"/>
        <v>635</v>
      </c>
      <c r="AK333">
        <f t="shared" si="41"/>
        <v>635</v>
      </c>
    </row>
    <row r="334" spans="30:37">
      <c r="AD334" s="131">
        <v>201405</v>
      </c>
      <c r="AE334" s="135">
        <v>121044</v>
      </c>
      <c r="AF334">
        <f t="shared" si="38"/>
        <v>14</v>
      </c>
      <c r="AG334">
        <f t="shared" si="37"/>
        <v>5</v>
      </c>
      <c r="AH334" t="str">
        <f t="shared" si="42"/>
        <v>困难</v>
      </c>
      <c r="AI334">
        <f t="shared" si="39"/>
        <v>1685</v>
      </c>
      <c r="AJ334">
        <f t="shared" si="40"/>
        <v>635</v>
      </c>
      <c r="AK334">
        <f t="shared" si="41"/>
        <v>635</v>
      </c>
    </row>
    <row r="335" spans="30:37">
      <c r="AD335" s="131">
        <v>201405</v>
      </c>
      <c r="AE335" s="135">
        <v>121044</v>
      </c>
      <c r="AF335">
        <f t="shared" si="38"/>
        <v>14</v>
      </c>
      <c r="AG335">
        <f t="shared" si="37"/>
        <v>5</v>
      </c>
      <c r="AH335" t="str">
        <f t="shared" si="42"/>
        <v>困难</v>
      </c>
      <c r="AI335">
        <f t="shared" si="39"/>
        <v>1685</v>
      </c>
      <c r="AJ335">
        <f t="shared" si="40"/>
        <v>635</v>
      </c>
      <c r="AK335">
        <f t="shared" si="41"/>
        <v>635</v>
      </c>
    </row>
    <row r="336" spans="30:37">
      <c r="AD336" s="131">
        <v>201406</v>
      </c>
      <c r="AE336" s="135">
        <v>121006</v>
      </c>
      <c r="AF336">
        <f t="shared" si="38"/>
        <v>14</v>
      </c>
      <c r="AG336">
        <f t="shared" si="37"/>
        <v>6</v>
      </c>
      <c r="AH336" t="str">
        <f t="shared" si="42"/>
        <v>困难</v>
      </c>
      <c r="AI336">
        <f t="shared" si="39"/>
        <v>1685</v>
      </c>
      <c r="AJ336">
        <f t="shared" si="40"/>
        <v>635</v>
      </c>
      <c r="AK336">
        <f t="shared" si="41"/>
        <v>635</v>
      </c>
    </row>
    <row r="337" spans="30:37">
      <c r="AD337" s="131">
        <v>201406</v>
      </c>
      <c r="AE337" s="135">
        <v>121043</v>
      </c>
      <c r="AF337">
        <f t="shared" si="38"/>
        <v>14</v>
      </c>
      <c r="AG337">
        <f t="shared" si="37"/>
        <v>6</v>
      </c>
      <c r="AH337" t="str">
        <f t="shared" si="42"/>
        <v>困难</v>
      </c>
      <c r="AI337">
        <f t="shared" si="39"/>
        <v>1685</v>
      </c>
      <c r="AJ337">
        <f t="shared" si="40"/>
        <v>635</v>
      </c>
      <c r="AK337">
        <f t="shared" si="41"/>
        <v>635</v>
      </c>
    </row>
    <row r="338" spans="30:37">
      <c r="AD338" s="131">
        <v>201406</v>
      </c>
      <c r="AE338" s="135">
        <v>1111013</v>
      </c>
      <c r="AF338">
        <f t="shared" si="38"/>
        <v>14</v>
      </c>
      <c r="AG338">
        <f t="shared" si="37"/>
        <v>6</v>
      </c>
      <c r="AH338" t="str">
        <f t="shared" si="42"/>
        <v>困难</v>
      </c>
      <c r="AI338">
        <f t="shared" si="39"/>
        <v>1853</v>
      </c>
      <c r="AJ338">
        <f t="shared" si="40"/>
        <v>635</v>
      </c>
      <c r="AK338">
        <f t="shared" si="41"/>
        <v>635</v>
      </c>
    </row>
    <row r="339" spans="30:37">
      <c r="AD339" s="131">
        <v>201406</v>
      </c>
      <c r="AE339" s="135">
        <v>121044</v>
      </c>
      <c r="AF339">
        <f t="shared" si="38"/>
        <v>14</v>
      </c>
      <c r="AG339">
        <f t="shared" si="37"/>
        <v>6</v>
      </c>
      <c r="AH339" t="str">
        <f t="shared" si="42"/>
        <v>困难</v>
      </c>
      <c r="AI339">
        <f t="shared" si="39"/>
        <v>1685</v>
      </c>
      <c r="AJ339">
        <f t="shared" si="40"/>
        <v>635</v>
      </c>
      <c r="AK339">
        <f t="shared" si="41"/>
        <v>635</v>
      </c>
    </row>
    <row r="340" spans="30:37">
      <c r="AD340" s="131">
        <v>201406</v>
      </c>
      <c r="AE340" s="135">
        <v>121044</v>
      </c>
      <c r="AF340">
        <f t="shared" si="38"/>
        <v>14</v>
      </c>
      <c r="AG340">
        <f t="shared" si="37"/>
        <v>6</v>
      </c>
      <c r="AH340" t="str">
        <f t="shared" si="42"/>
        <v>困难</v>
      </c>
      <c r="AI340">
        <f t="shared" si="39"/>
        <v>1685</v>
      </c>
      <c r="AJ340">
        <f t="shared" si="40"/>
        <v>635</v>
      </c>
      <c r="AK340">
        <f t="shared" si="41"/>
        <v>635</v>
      </c>
    </row>
    <row r="341" spans="30:37">
      <c r="AD341" s="131">
        <v>201501</v>
      </c>
      <c r="AE341" s="135">
        <v>121074</v>
      </c>
      <c r="AF341">
        <f t="shared" si="38"/>
        <v>15</v>
      </c>
      <c r="AG341">
        <f t="shared" si="37"/>
        <v>1</v>
      </c>
      <c r="AH341" t="str">
        <f t="shared" si="42"/>
        <v>简单</v>
      </c>
      <c r="AI341">
        <f t="shared" si="39"/>
        <v>486</v>
      </c>
      <c r="AJ341">
        <f t="shared" si="40"/>
        <v>194</v>
      </c>
      <c r="AK341">
        <f t="shared" si="41"/>
        <v>3460</v>
      </c>
    </row>
    <row r="342" spans="30:37">
      <c r="AD342" s="131">
        <v>201501</v>
      </c>
      <c r="AE342" s="135">
        <v>121074</v>
      </c>
      <c r="AF342">
        <f t="shared" si="38"/>
        <v>15</v>
      </c>
      <c r="AG342">
        <f t="shared" ref="AG342:AG405" si="43">ROUNDDOWN(RIGHT(AD342,2),0)</f>
        <v>1</v>
      </c>
      <c r="AH342" t="str">
        <f t="shared" si="42"/>
        <v>简单</v>
      </c>
      <c r="AI342">
        <f t="shared" si="39"/>
        <v>486</v>
      </c>
      <c r="AJ342">
        <f t="shared" si="40"/>
        <v>194</v>
      </c>
      <c r="AK342">
        <f t="shared" si="41"/>
        <v>3460</v>
      </c>
    </row>
    <row r="343" spans="30:37">
      <c r="AD343" s="131">
        <v>201501</v>
      </c>
      <c r="AE343" s="135">
        <v>121074</v>
      </c>
      <c r="AF343">
        <f t="shared" si="38"/>
        <v>15</v>
      </c>
      <c r="AG343">
        <f t="shared" si="43"/>
        <v>1</v>
      </c>
      <c r="AH343" t="str">
        <f t="shared" si="42"/>
        <v>简单</v>
      </c>
      <c r="AI343">
        <f t="shared" si="39"/>
        <v>486</v>
      </c>
      <c r="AJ343">
        <f t="shared" si="40"/>
        <v>194</v>
      </c>
      <c r="AK343">
        <f t="shared" si="41"/>
        <v>3460</v>
      </c>
    </row>
    <row r="344" spans="30:37">
      <c r="AD344" s="131">
        <v>201501</v>
      </c>
      <c r="AE344" s="135">
        <v>121074</v>
      </c>
      <c r="AF344">
        <f t="shared" si="38"/>
        <v>15</v>
      </c>
      <c r="AG344">
        <f t="shared" si="43"/>
        <v>1</v>
      </c>
      <c r="AH344" t="str">
        <f t="shared" si="42"/>
        <v>简单</v>
      </c>
      <c r="AI344">
        <f t="shared" si="39"/>
        <v>486</v>
      </c>
      <c r="AJ344">
        <f t="shared" si="40"/>
        <v>194</v>
      </c>
      <c r="AK344">
        <f t="shared" si="41"/>
        <v>3460</v>
      </c>
    </row>
    <row r="345" spans="30:37">
      <c r="AD345" s="131">
        <v>201501</v>
      </c>
      <c r="AE345" s="135">
        <v>121074</v>
      </c>
      <c r="AF345">
        <f t="shared" si="38"/>
        <v>15</v>
      </c>
      <c r="AG345">
        <f t="shared" si="43"/>
        <v>1</v>
      </c>
      <c r="AH345" t="str">
        <f t="shared" si="42"/>
        <v>简单</v>
      </c>
      <c r="AI345">
        <f t="shared" si="39"/>
        <v>486</v>
      </c>
      <c r="AJ345">
        <f t="shared" si="40"/>
        <v>194</v>
      </c>
      <c r="AK345">
        <f t="shared" si="41"/>
        <v>3460</v>
      </c>
    </row>
    <row r="346" spans="30:37">
      <c r="AD346" s="131">
        <v>201502</v>
      </c>
      <c r="AE346" s="135">
        <v>1112011</v>
      </c>
      <c r="AF346">
        <f t="shared" si="38"/>
        <v>15</v>
      </c>
      <c r="AG346">
        <f t="shared" si="43"/>
        <v>2</v>
      </c>
      <c r="AH346" t="str">
        <f t="shared" si="42"/>
        <v>简单</v>
      </c>
      <c r="AI346">
        <f t="shared" si="39"/>
        <v>648</v>
      </c>
      <c r="AJ346">
        <f t="shared" si="40"/>
        <v>194</v>
      </c>
      <c r="AK346">
        <f t="shared" si="41"/>
        <v>3460</v>
      </c>
    </row>
    <row r="347" spans="30:37">
      <c r="AD347" s="131">
        <v>201502</v>
      </c>
      <c r="AE347" s="135">
        <v>121074</v>
      </c>
      <c r="AF347">
        <f t="shared" si="38"/>
        <v>15</v>
      </c>
      <c r="AG347">
        <f t="shared" si="43"/>
        <v>2</v>
      </c>
      <c r="AH347" t="str">
        <f t="shared" si="42"/>
        <v>简单</v>
      </c>
      <c r="AI347">
        <f t="shared" si="39"/>
        <v>486</v>
      </c>
      <c r="AJ347">
        <f t="shared" si="40"/>
        <v>194</v>
      </c>
      <c r="AK347">
        <f t="shared" si="41"/>
        <v>3460</v>
      </c>
    </row>
    <row r="348" spans="30:37">
      <c r="AD348" s="131">
        <v>201502</v>
      </c>
      <c r="AE348" s="135">
        <v>121075</v>
      </c>
      <c r="AF348">
        <f t="shared" si="38"/>
        <v>15</v>
      </c>
      <c r="AG348">
        <f t="shared" si="43"/>
        <v>2</v>
      </c>
      <c r="AH348" t="str">
        <f t="shared" si="42"/>
        <v>简单</v>
      </c>
      <c r="AI348">
        <f t="shared" si="39"/>
        <v>486</v>
      </c>
      <c r="AJ348">
        <f t="shared" si="40"/>
        <v>194</v>
      </c>
      <c r="AK348">
        <f t="shared" si="41"/>
        <v>3460</v>
      </c>
    </row>
    <row r="349" spans="30:37">
      <c r="AD349" s="131">
        <v>201502</v>
      </c>
      <c r="AE349" s="135">
        <v>121074</v>
      </c>
      <c r="AF349">
        <f t="shared" si="38"/>
        <v>15</v>
      </c>
      <c r="AG349">
        <f t="shared" si="43"/>
        <v>2</v>
      </c>
      <c r="AH349" t="str">
        <f t="shared" si="42"/>
        <v>简单</v>
      </c>
      <c r="AI349">
        <f t="shared" si="39"/>
        <v>486</v>
      </c>
      <c r="AJ349">
        <f t="shared" si="40"/>
        <v>194</v>
      </c>
      <c r="AK349">
        <f t="shared" si="41"/>
        <v>3460</v>
      </c>
    </row>
    <row r="350" spans="30:37">
      <c r="AD350" s="131">
        <v>201502</v>
      </c>
      <c r="AE350" s="135">
        <v>121074</v>
      </c>
      <c r="AF350">
        <f t="shared" ref="AF350:AF413" si="44">MOD(ROUNDDOWN(AD350/100,0),100)</f>
        <v>15</v>
      </c>
      <c r="AG350">
        <f t="shared" si="43"/>
        <v>2</v>
      </c>
      <c r="AH350" t="str">
        <f t="shared" si="42"/>
        <v>简单</v>
      </c>
      <c r="AI350">
        <f t="shared" si="39"/>
        <v>486</v>
      </c>
      <c r="AJ350">
        <f t="shared" si="40"/>
        <v>194</v>
      </c>
      <c r="AK350">
        <f t="shared" si="41"/>
        <v>3460</v>
      </c>
    </row>
    <row r="351" spans="30:37">
      <c r="AD351" s="131">
        <v>201503</v>
      </c>
      <c r="AE351" s="135">
        <v>121042</v>
      </c>
      <c r="AF351">
        <f t="shared" si="44"/>
        <v>15</v>
      </c>
      <c r="AG351">
        <f t="shared" si="43"/>
        <v>3</v>
      </c>
      <c r="AH351" t="str">
        <f t="shared" si="42"/>
        <v>简单</v>
      </c>
      <c r="AI351">
        <f t="shared" ref="AI351:AI414" si="45">IF($AH351="简单",IF(AE351&lt;122000,VLOOKUP($AF351,$N:$T,2,0),VLOOKUP($AF351,$N:$T,5,0)),IF(AE351&lt;122000,VLOOKUP($AF351,$V:$AB,2,0),VLOOKUP($AF351,$V:$AB,5,0)))</f>
        <v>486</v>
      </c>
      <c r="AJ351">
        <f t="shared" ref="AJ351:AJ414" si="46">IF($AH351="简单",IF(AF351&lt;122000,VLOOKUP($AF351,$N:$T,3,0),VLOOKUP($AF351,$N:$T,6,0)),IF(AF351&lt;122000,VLOOKUP($AF351,$V:$AB,3,0),VLOOKUP($AF351,$V:$AB,6,0)))</f>
        <v>194</v>
      </c>
      <c r="AK351">
        <f t="shared" ref="AK351:AK414" si="47">IF($AH351="简单",IF(AG351&lt;122000,VLOOKUP($AF351,$N:$T,4,0),VLOOKUP($AF351,$N:$T,7,0)),IF(AG351&lt;122000,VLOOKUP($AF351,$V:$AB,3,0),VLOOKUP($AF351,$V:$AB,6,0)))</f>
        <v>3460</v>
      </c>
    </row>
    <row r="352" spans="30:37">
      <c r="AD352" s="131">
        <v>201503</v>
      </c>
      <c r="AE352" s="135">
        <v>121042</v>
      </c>
      <c r="AF352">
        <f t="shared" si="44"/>
        <v>15</v>
      </c>
      <c r="AG352">
        <f t="shared" si="43"/>
        <v>3</v>
      </c>
      <c r="AH352" t="str">
        <f t="shared" si="42"/>
        <v>简单</v>
      </c>
      <c r="AI352">
        <f t="shared" si="45"/>
        <v>486</v>
      </c>
      <c r="AJ352">
        <f t="shared" si="46"/>
        <v>194</v>
      </c>
      <c r="AK352">
        <f t="shared" si="47"/>
        <v>3460</v>
      </c>
    </row>
    <row r="353" spans="30:37">
      <c r="AD353" s="131">
        <v>201503</v>
      </c>
      <c r="AE353" s="135">
        <v>121042</v>
      </c>
      <c r="AF353">
        <f t="shared" si="44"/>
        <v>15</v>
      </c>
      <c r="AG353">
        <f t="shared" si="43"/>
        <v>3</v>
      </c>
      <c r="AH353" t="str">
        <f t="shared" si="42"/>
        <v>简单</v>
      </c>
      <c r="AI353">
        <f t="shared" si="45"/>
        <v>486</v>
      </c>
      <c r="AJ353">
        <f t="shared" si="46"/>
        <v>194</v>
      </c>
      <c r="AK353">
        <f t="shared" si="47"/>
        <v>3460</v>
      </c>
    </row>
    <row r="354" spans="30:37">
      <c r="AD354" s="131">
        <v>201503</v>
      </c>
      <c r="AE354" s="135">
        <v>121042</v>
      </c>
      <c r="AF354">
        <f t="shared" si="44"/>
        <v>15</v>
      </c>
      <c r="AG354">
        <f t="shared" si="43"/>
        <v>3</v>
      </c>
      <c r="AH354" t="str">
        <f t="shared" si="42"/>
        <v>简单</v>
      </c>
      <c r="AI354">
        <f t="shared" si="45"/>
        <v>486</v>
      </c>
      <c r="AJ354">
        <f t="shared" si="46"/>
        <v>194</v>
      </c>
      <c r="AK354">
        <f t="shared" si="47"/>
        <v>3460</v>
      </c>
    </row>
    <row r="355" spans="30:37">
      <c r="AD355" s="131">
        <v>201503</v>
      </c>
      <c r="AE355" s="135">
        <v>121042</v>
      </c>
      <c r="AF355">
        <f t="shared" si="44"/>
        <v>15</v>
      </c>
      <c r="AG355">
        <f t="shared" si="43"/>
        <v>3</v>
      </c>
      <c r="AH355" t="str">
        <f t="shared" si="42"/>
        <v>简单</v>
      </c>
      <c r="AI355">
        <f t="shared" si="45"/>
        <v>486</v>
      </c>
      <c r="AJ355">
        <f t="shared" si="46"/>
        <v>194</v>
      </c>
      <c r="AK355">
        <f t="shared" si="47"/>
        <v>3460</v>
      </c>
    </row>
    <row r="356" spans="30:37">
      <c r="AD356" s="131">
        <v>201504</v>
      </c>
      <c r="AE356" s="135">
        <v>121074</v>
      </c>
      <c r="AF356">
        <f t="shared" si="44"/>
        <v>15</v>
      </c>
      <c r="AG356">
        <f t="shared" si="43"/>
        <v>4</v>
      </c>
      <c r="AH356" t="str">
        <f t="shared" si="42"/>
        <v>困难</v>
      </c>
      <c r="AI356">
        <f t="shared" si="45"/>
        <v>2107</v>
      </c>
      <c r="AJ356">
        <f t="shared" si="46"/>
        <v>831</v>
      </c>
      <c r="AK356">
        <f t="shared" si="47"/>
        <v>831</v>
      </c>
    </row>
    <row r="357" spans="30:37">
      <c r="AD357" s="131">
        <v>201504</v>
      </c>
      <c r="AE357" s="135">
        <v>121074</v>
      </c>
      <c r="AF357">
        <f t="shared" si="44"/>
        <v>15</v>
      </c>
      <c r="AG357">
        <f t="shared" si="43"/>
        <v>4</v>
      </c>
      <c r="AH357" t="str">
        <f t="shared" si="42"/>
        <v>困难</v>
      </c>
      <c r="AI357">
        <f t="shared" si="45"/>
        <v>2107</v>
      </c>
      <c r="AJ357">
        <f t="shared" si="46"/>
        <v>831</v>
      </c>
      <c r="AK357">
        <f t="shared" si="47"/>
        <v>831</v>
      </c>
    </row>
    <row r="358" spans="30:37">
      <c r="AD358" s="131">
        <v>201504</v>
      </c>
      <c r="AE358" s="135">
        <v>121074</v>
      </c>
      <c r="AF358">
        <f t="shared" si="44"/>
        <v>15</v>
      </c>
      <c r="AG358">
        <f t="shared" si="43"/>
        <v>4</v>
      </c>
      <c r="AH358" t="str">
        <f t="shared" si="42"/>
        <v>困难</v>
      </c>
      <c r="AI358">
        <f t="shared" si="45"/>
        <v>2107</v>
      </c>
      <c r="AJ358">
        <f t="shared" si="46"/>
        <v>831</v>
      </c>
      <c r="AK358">
        <f t="shared" si="47"/>
        <v>831</v>
      </c>
    </row>
    <row r="359" spans="30:37">
      <c r="AD359" s="131">
        <v>201504</v>
      </c>
      <c r="AE359" s="135">
        <v>121074</v>
      </c>
      <c r="AF359">
        <f t="shared" si="44"/>
        <v>15</v>
      </c>
      <c r="AG359">
        <f t="shared" si="43"/>
        <v>4</v>
      </c>
      <c r="AH359" t="str">
        <f t="shared" si="42"/>
        <v>困难</v>
      </c>
      <c r="AI359">
        <f t="shared" si="45"/>
        <v>2107</v>
      </c>
      <c r="AJ359">
        <f t="shared" si="46"/>
        <v>831</v>
      </c>
      <c r="AK359">
        <f t="shared" si="47"/>
        <v>831</v>
      </c>
    </row>
    <row r="360" spans="30:37">
      <c r="AD360" s="131">
        <v>201504</v>
      </c>
      <c r="AE360" s="135">
        <v>121074</v>
      </c>
      <c r="AF360">
        <f t="shared" si="44"/>
        <v>15</v>
      </c>
      <c r="AG360">
        <f t="shared" si="43"/>
        <v>4</v>
      </c>
      <c r="AH360" t="str">
        <f t="shared" si="42"/>
        <v>困难</v>
      </c>
      <c r="AI360">
        <f t="shared" si="45"/>
        <v>2107</v>
      </c>
      <c r="AJ360">
        <f t="shared" si="46"/>
        <v>831</v>
      </c>
      <c r="AK360">
        <f t="shared" si="47"/>
        <v>831</v>
      </c>
    </row>
    <row r="361" spans="30:37">
      <c r="AD361" s="131">
        <v>201505</v>
      </c>
      <c r="AE361" s="135">
        <v>1112011</v>
      </c>
      <c r="AF361">
        <f t="shared" si="44"/>
        <v>15</v>
      </c>
      <c r="AG361">
        <f t="shared" si="43"/>
        <v>5</v>
      </c>
      <c r="AH361" t="str">
        <f t="shared" si="42"/>
        <v>困难</v>
      </c>
      <c r="AI361">
        <f t="shared" si="45"/>
        <v>2318</v>
      </c>
      <c r="AJ361">
        <f t="shared" si="46"/>
        <v>831</v>
      </c>
      <c r="AK361">
        <f t="shared" si="47"/>
        <v>831</v>
      </c>
    </row>
    <row r="362" spans="30:37">
      <c r="AD362" s="131">
        <v>201505</v>
      </c>
      <c r="AE362" s="135">
        <v>121074</v>
      </c>
      <c r="AF362">
        <f t="shared" si="44"/>
        <v>15</v>
      </c>
      <c r="AG362">
        <f t="shared" si="43"/>
        <v>5</v>
      </c>
      <c r="AH362" t="str">
        <f t="shared" si="42"/>
        <v>困难</v>
      </c>
      <c r="AI362">
        <f t="shared" si="45"/>
        <v>2107</v>
      </c>
      <c r="AJ362">
        <f t="shared" si="46"/>
        <v>831</v>
      </c>
      <c r="AK362">
        <f t="shared" si="47"/>
        <v>831</v>
      </c>
    </row>
    <row r="363" spans="30:37">
      <c r="AD363" s="131">
        <v>201505</v>
      </c>
      <c r="AE363" s="135">
        <v>121075</v>
      </c>
      <c r="AF363">
        <f t="shared" si="44"/>
        <v>15</v>
      </c>
      <c r="AG363">
        <f t="shared" si="43"/>
        <v>5</v>
      </c>
      <c r="AH363" t="str">
        <f t="shared" si="42"/>
        <v>困难</v>
      </c>
      <c r="AI363">
        <f t="shared" si="45"/>
        <v>2107</v>
      </c>
      <c r="AJ363">
        <f t="shared" si="46"/>
        <v>831</v>
      </c>
      <c r="AK363">
        <f t="shared" si="47"/>
        <v>831</v>
      </c>
    </row>
    <row r="364" spans="30:37">
      <c r="AD364" s="131">
        <v>201505</v>
      </c>
      <c r="AE364" s="135">
        <v>121074</v>
      </c>
      <c r="AF364">
        <f t="shared" si="44"/>
        <v>15</v>
      </c>
      <c r="AG364">
        <f t="shared" si="43"/>
        <v>5</v>
      </c>
      <c r="AH364" t="str">
        <f t="shared" ref="AH364:AH427" si="48">IF(VLOOKUP(AF364,AF:AG,2,1)=4,IF(AG364&lt;3,"简单","困难"),IF(AG364&lt;4,"简单","困难"))</f>
        <v>困难</v>
      </c>
      <c r="AI364">
        <f t="shared" si="45"/>
        <v>2107</v>
      </c>
      <c r="AJ364">
        <f t="shared" si="46"/>
        <v>831</v>
      </c>
      <c r="AK364">
        <f t="shared" si="47"/>
        <v>831</v>
      </c>
    </row>
    <row r="365" spans="30:37">
      <c r="AD365" s="131">
        <v>201505</v>
      </c>
      <c r="AE365" s="135">
        <v>121074</v>
      </c>
      <c r="AF365">
        <f t="shared" si="44"/>
        <v>15</v>
      </c>
      <c r="AG365">
        <f t="shared" si="43"/>
        <v>5</v>
      </c>
      <c r="AH365" t="str">
        <f t="shared" si="48"/>
        <v>困难</v>
      </c>
      <c r="AI365">
        <f t="shared" si="45"/>
        <v>2107</v>
      </c>
      <c r="AJ365">
        <f t="shared" si="46"/>
        <v>831</v>
      </c>
      <c r="AK365">
        <f t="shared" si="47"/>
        <v>831</v>
      </c>
    </row>
    <row r="366" spans="30:37">
      <c r="AD366" s="131">
        <v>201506</v>
      </c>
      <c r="AE366" s="135">
        <v>121042</v>
      </c>
      <c r="AF366">
        <f t="shared" si="44"/>
        <v>15</v>
      </c>
      <c r="AG366">
        <f t="shared" si="43"/>
        <v>6</v>
      </c>
      <c r="AH366" t="str">
        <f t="shared" si="48"/>
        <v>困难</v>
      </c>
      <c r="AI366">
        <f t="shared" si="45"/>
        <v>2107</v>
      </c>
      <c r="AJ366">
        <f t="shared" si="46"/>
        <v>831</v>
      </c>
      <c r="AK366">
        <f t="shared" si="47"/>
        <v>831</v>
      </c>
    </row>
    <row r="367" spans="30:37">
      <c r="AD367" s="131">
        <v>201506</v>
      </c>
      <c r="AE367" s="135">
        <v>121042</v>
      </c>
      <c r="AF367">
        <f t="shared" si="44"/>
        <v>15</v>
      </c>
      <c r="AG367">
        <f t="shared" si="43"/>
        <v>6</v>
      </c>
      <c r="AH367" t="str">
        <f t="shared" si="48"/>
        <v>困难</v>
      </c>
      <c r="AI367">
        <f t="shared" si="45"/>
        <v>2107</v>
      </c>
      <c r="AJ367">
        <f t="shared" si="46"/>
        <v>831</v>
      </c>
      <c r="AK367">
        <f t="shared" si="47"/>
        <v>831</v>
      </c>
    </row>
    <row r="368" spans="30:37">
      <c r="AD368" s="131">
        <v>201506</v>
      </c>
      <c r="AE368" s="135">
        <v>121042</v>
      </c>
      <c r="AF368">
        <f t="shared" si="44"/>
        <v>15</v>
      </c>
      <c r="AG368">
        <f t="shared" si="43"/>
        <v>6</v>
      </c>
      <c r="AH368" t="str">
        <f t="shared" si="48"/>
        <v>困难</v>
      </c>
      <c r="AI368">
        <f t="shared" si="45"/>
        <v>2107</v>
      </c>
      <c r="AJ368">
        <f t="shared" si="46"/>
        <v>831</v>
      </c>
      <c r="AK368">
        <f t="shared" si="47"/>
        <v>831</v>
      </c>
    </row>
    <row r="369" spans="30:37">
      <c r="AD369" s="131">
        <v>201506</v>
      </c>
      <c r="AE369" s="135">
        <v>121042</v>
      </c>
      <c r="AF369">
        <f t="shared" si="44"/>
        <v>15</v>
      </c>
      <c r="AG369">
        <f t="shared" si="43"/>
        <v>6</v>
      </c>
      <c r="AH369" t="str">
        <f t="shared" si="48"/>
        <v>困难</v>
      </c>
      <c r="AI369">
        <f t="shared" si="45"/>
        <v>2107</v>
      </c>
      <c r="AJ369">
        <f t="shared" si="46"/>
        <v>831</v>
      </c>
      <c r="AK369">
        <f t="shared" si="47"/>
        <v>831</v>
      </c>
    </row>
    <row r="370" spans="30:37">
      <c r="AD370" s="131">
        <v>201506</v>
      </c>
      <c r="AE370" s="135">
        <v>121042</v>
      </c>
      <c r="AF370">
        <f t="shared" si="44"/>
        <v>15</v>
      </c>
      <c r="AG370">
        <f t="shared" si="43"/>
        <v>6</v>
      </c>
      <c r="AH370" t="str">
        <f t="shared" si="48"/>
        <v>困难</v>
      </c>
      <c r="AI370">
        <f t="shared" si="45"/>
        <v>2107</v>
      </c>
      <c r="AJ370">
        <f t="shared" si="46"/>
        <v>831</v>
      </c>
      <c r="AK370">
        <f t="shared" si="47"/>
        <v>831</v>
      </c>
    </row>
    <row r="371" spans="30:37">
      <c r="AD371" s="131">
        <v>201601</v>
      </c>
      <c r="AE371" s="135">
        <v>1112011</v>
      </c>
      <c r="AF371">
        <f t="shared" si="44"/>
        <v>16</v>
      </c>
      <c r="AG371">
        <f t="shared" si="43"/>
        <v>1</v>
      </c>
      <c r="AH371" t="str">
        <f t="shared" si="48"/>
        <v>简单</v>
      </c>
      <c r="AI371">
        <f t="shared" si="45"/>
        <v>747</v>
      </c>
      <c r="AJ371">
        <f t="shared" si="46"/>
        <v>224</v>
      </c>
      <c r="AK371">
        <f t="shared" si="47"/>
        <v>4483</v>
      </c>
    </row>
    <row r="372" spans="30:37">
      <c r="AD372" s="131">
        <v>201601</v>
      </c>
      <c r="AE372" s="135">
        <v>1112012</v>
      </c>
      <c r="AF372">
        <f t="shared" si="44"/>
        <v>16</v>
      </c>
      <c r="AG372">
        <f t="shared" si="43"/>
        <v>1</v>
      </c>
      <c r="AH372" t="str">
        <f t="shared" si="48"/>
        <v>简单</v>
      </c>
      <c r="AI372">
        <f t="shared" si="45"/>
        <v>747</v>
      </c>
      <c r="AJ372">
        <f t="shared" si="46"/>
        <v>224</v>
      </c>
      <c r="AK372">
        <f t="shared" si="47"/>
        <v>4483</v>
      </c>
    </row>
    <row r="373" spans="30:37">
      <c r="AD373" s="131">
        <v>201601</v>
      </c>
      <c r="AE373" s="135">
        <v>121075</v>
      </c>
      <c r="AF373">
        <f t="shared" si="44"/>
        <v>16</v>
      </c>
      <c r="AG373">
        <f t="shared" si="43"/>
        <v>1</v>
      </c>
      <c r="AH373" t="str">
        <f t="shared" si="48"/>
        <v>简单</v>
      </c>
      <c r="AI373">
        <f t="shared" si="45"/>
        <v>560</v>
      </c>
      <c r="AJ373">
        <f t="shared" si="46"/>
        <v>224</v>
      </c>
      <c r="AK373">
        <f t="shared" si="47"/>
        <v>4483</v>
      </c>
    </row>
    <row r="374" spans="30:37">
      <c r="AD374" s="131">
        <v>201601</v>
      </c>
      <c r="AE374" s="135">
        <v>121078</v>
      </c>
      <c r="AF374">
        <f t="shared" si="44"/>
        <v>16</v>
      </c>
      <c r="AG374">
        <f t="shared" si="43"/>
        <v>1</v>
      </c>
      <c r="AH374" t="str">
        <f t="shared" si="48"/>
        <v>简单</v>
      </c>
      <c r="AI374">
        <f t="shared" si="45"/>
        <v>560</v>
      </c>
      <c r="AJ374">
        <f t="shared" si="46"/>
        <v>224</v>
      </c>
      <c r="AK374">
        <f t="shared" si="47"/>
        <v>4483</v>
      </c>
    </row>
    <row r="375" spans="30:37">
      <c r="AD375" s="131">
        <v>201601</v>
      </c>
      <c r="AE375" s="135">
        <v>121078</v>
      </c>
      <c r="AF375">
        <f t="shared" si="44"/>
        <v>16</v>
      </c>
      <c r="AG375">
        <f t="shared" si="43"/>
        <v>1</v>
      </c>
      <c r="AH375" t="str">
        <f t="shared" si="48"/>
        <v>简单</v>
      </c>
      <c r="AI375">
        <f t="shared" si="45"/>
        <v>560</v>
      </c>
      <c r="AJ375">
        <f t="shared" si="46"/>
        <v>224</v>
      </c>
      <c r="AK375">
        <f t="shared" si="47"/>
        <v>4483</v>
      </c>
    </row>
    <row r="376" spans="30:37">
      <c r="AD376" s="131">
        <v>201602</v>
      </c>
      <c r="AE376" s="135">
        <v>121034</v>
      </c>
      <c r="AF376">
        <f t="shared" si="44"/>
        <v>16</v>
      </c>
      <c r="AG376">
        <f t="shared" si="43"/>
        <v>2</v>
      </c>
      <c r="AH376" t="str">
        <f t="shared" si="48"/>
        <v>简单</v>
      </c>
      <c r="AI376">
        <f t="shared" si="45"/>
        <v>560</v>
      </c>
      <c r="AJ376">
        <f t="shared" si="46"/>
        <v>224</v>
      </c>
      <c r="AK376">
        <f t="shared" si="47"/>
        <v>4483</v>
      </c>
    </row>
    <row r="377" spans="30:37">
      <c r="AD377" s="131">
        <v>201602</v>
      </c>
      <c r="AE377" s="135">
        <v>121035</v>
      </c>
      <c r="AF377">
        <f t="shared" si="44"/>
        <v>16</v>
      </c>
      <c r="AG377">
        <f t="shared" si="43"/>
        <v>2</v>
      </c>
      <c r="AH377" t="str">
        <f t="shared" si="48"/>
        <v>简单</v>
      </c>
      <c r="AI377">
        <f t="shared" si="45"/>
        <v>560</v>
      </c>
      <c r="AJ377">
        <f t="shared" si="46"/>
        <v>224</v>
      </c>
      <c r="AK377">
        <f t="shared" si="47"/>
        <v>4483</v>
      </c>
    </row>
    <row r="378" spans="30:37">
      <c r="AD378" s="131">
        <v>201602</v>
      </c>
      <c r="AE378" s="135">
        <v>1113001</v>
      </c>
      <c r="AF378">
        <f t="shared" si="44"/>
        <v>16</v>
      </c>
      <c r="AG378">
        <f t="shared" si="43"/>
        <v>2</v>
      </c>
      <c r="AH378" t="str">
        <f t="shared" si="48"/>
        <v>简单</v>
      </c>
      <c r="AI378">
        <f t="shared" si="45"/>
        <v>747</v>
      </c>
      <c r="AJ378">
        <f t="shared" si="46"/>
        <v>224</v>
      </c>
      <c r="AK378">
        <f t="shared" si="47"/>
        <v>4483</v>
      </c>
    </row>
    <row r="379" spans="30:37">
      <c r="AD379" s="131">
        <v>201602</v>
      </c>
      <c r="AE379" s="135">
        <v>121019</v>
      </c>
      <c r="AF379">
        <f t="shared" si="44"/>
        <v>16</v>
      </c>
      <c r="AG379">
        <f t="shared" si="43"/>
        <v>2</v>
      </c>
      <c r="AH379" t="str">
        <f t="shared" si="48"/>
        <v>简单</v>
      </c>
      <c r="AI379">
        <f t="shared" si="45"/>
        <v>560</v>
      </c>
      <c r="AJ379">
        <f t="shared" si="46"/>
        <v>224</v>
      </c>
      <c r="AK379">
        <f t="shared" si="47"/>
        <v>4483</v>
      </c>
    </row>
    <row r="380" spans="30:37">
      <c r="AD380" s="131">
        <v>201602</v>
      </c>
      <c r="AE380" s="135">
        <v>121033</v>
      </c>
      <c r="AF380">
        <f t="shared" si="44"/>
        <v>16</v>
      </c>
      <c r="AG380">
        <f t="shared" si="43"/>
        <v>2</v>
      </c>
      <c r="AH380" t="str">
        <f t="shared" si="48"/>
        <v>简单</v>
      </c>
      <c r="AI380">
        <f t="shared" si="45"/>
        <v>560</v>
      </c>
      <c r="AJ380">
        <f t="shared" si="46"/>
        <v>224</v>
      </c>
      <c r="AK380">
        <f t="shared" si="47"/>
        <v>4483</v>
      </c>
    </row>
    <row r="381" spans="30:37">
      <c r="AD381" s="131">
        <v>201603</v>
      </c>
      <c r="AE381" s="135">
        <v>1112011</v>
      </c>
      <c r="AF381">
        <f t="shared" si="44"/>
        <v>16</v>
      </c>
      <c r="AG381">
        <f t="shared" si="43"/>
        <v>3</v>
      </c>
      <c r="AH381" t="str">
        <f t="shared" si="48"/>
        <v>困难</v>
      </c>
      <c r="AI381">
        <f t="shared" si="45"/>
        <v>2332</v>
      </c>
      <c r="AJ381">
        <f t="shared" si="46"/>
        <v>836</v>
      </c>
      <c r="AK381">
        <f t="shared" si="47"/>
        <v>836</v>
      </c>
    </row>
    <row r="382" spans="30:37">
      <c r="AD382" s="131">
        <v>201603</v>
      </c>
      <c r="AE382" s="135">
        <v>1112012</v>
      </c>
      <c r="AF382">
        <f t="shared" si="44"/>
        <v>16</v>
      </c>
      <c r="AG382">
        <f t="shared" si="43"/>
        <v>3</v>
      </c>
      <c r="AH382" t="str">
        <f t="shared" si="48"/>
        <v>困难</v>
      </c>
      <c r="AI382">
        <f t="shared" si="45"/>
        <v>2332</v>
      </c>
      <c r="AJ382">
        <f t="shared" si="46"/>
        <v>836</v>
      </c>
      <c r="AK382">
        <f t="shared" si="47"/>
        <v>836</v>
      </c>
    </row>
    <row r="383" spans="30:37">
      <c r="AD383" s="131">
        <v>201603</v>
      </c>
      <c r="AE383" s="135">
        <v>121075</v>
      </c>
      <c r="AF383">
        <f t="shared" si="44"/>
        <v>16</v>
      </c>
      <c r="AG383">
        <f t="shared" si="43"/>
        <v>3</v>
      </c>
      <c r="AH383" t="str">
        <f t="shared" si="48"/>
        <v>困难</v>
      </c>
      <c r="AI383">
        <f t="shared" si="45"/>
        <v>2120</v>
      </c>
      <c r="AJ383">
        <f t="shared" si="46"/>
        <v>836</v>
      </c>
      <c r="AK383">
        <f t="shared" si="47"/>
        <v>836</v>
      </c>
    </row>
    <row r="384" spans="30:37">
      <c r="AD384" s="131">
        <v>201603</v>
      </c>
      <c r="AE384" s="135">
        <v>121078</v>
      </c>
      <c r="AF384">
        <f t="shared" si="44"/>
        <v>16</v>
      </c>
      <c r="AG384">
        <f t="shared" si="43"/>
        <v>3</v>
      </c>
      <c r="AH384" t="str">
        <f t="shared" si="48"/>
        <v>困难</v>
      </c>
      <c r="AI384">
        <f t="shared" si="45"/>
        <v>2120</v>
      </c>
      <c r="AJ384">
        <f t="shared" si="46"/>
        <v>836</v>
      </c>
      <c r="AK384">
        <f t="shared" si="47"/>
        <v>836</v>
      </c>
    </row>
    <row r="385" spans="30:37">
      <c r="AD385" s="131">
        <v>201603</v>
      </c>
      <c r="AE385" s="135">
        <v>121078</v>
      </c>
      <c r="AF385">
        <f t="shared" si="44"/>
        <v>16</v>
      </c>
      <c r="AG385">
        <f t="shared" si="43"/>
        <v>3</v>
      </c>
      <c r="AH385" t="str">
        <f t="shared" si="48"/>
        <v>困难</v>
      </c>
      <c r="AI385">
        <f t="shared" si="45"/>
        <v>2120</v>
      </c>
      <c r="AJ385">
        <f t="shared" si="46"/>
        <v>836</v>
      </c>
      <c r="AK385">
        <f t="shared" si="47"/>
        <v>836</v>
      </c>
    </row>
    <row r="386" spans="30:37">
      <c r="AD386" s="131">
        <v>201604</v>
      </c>
      <c r="AE386" s="135">
        <v>121034</v>
      </c>
      <c r="AF386">
        <f t="shared" si="44"/>
        <v>16</v>
      </c>
      <c r="AG386">
        <f t="shared" si="43"/>
        <v>4</v>
      </c>
      <c r="AH386" t="str">
        <f t="shared" si="48"/>
        <v>困难</v>
      </c>
      <c r="AI386">
        <f t="shared" si="45"/>
        <v>2120</v>
      </c>
      <c r="AJ386">
        <f t="shared" si="46"/>
        <v>836</v>
      </c>
      <c r="AK386">
        <f t="shared" si="47"/>
        <v>836</v>
      </c>
    </row>
    <row r="387" spans="30:37">
      <c r="AD387" s="131">
        <v>201604</v>
      </c>
      <c r="AE387" s="135">
        <v>121035</v>
      </c>
      <c r="AF387">
        <f t="shared" si="44"/>
        <v>16</v>
      </c>
      <c r="AG387">
        <f t="shared" si="43"/>
        <v>4</v>
      </c>
      <c r="AH387" t="str">
        <f t="shared" si="48"/>
        <v>困难</v>
      </c>
      <c r="AI387">
        <f t="shared" si="45"/>
        <v>2120</v>
      </c>
      <c r="AJ387">
        <f t="shared" si="46"/>
        <v>836</v>
      </c>
      <c r="AK387">
        <f t="shared" si="47"/>
        <v>836</v>
      </c>
    </row>
    <row r="388" spans="30:37">
      <c r="AD388" s="131">
        <v>201604</v>
      </c>
      <c r="AE388" s="135">
        <v>1113001</v>
      </c>
      <c r="AF388">
        <f t="shared" si="44"/>
        <v>16</v>
      </c>
      <c r="AG388">
        <f t="shared" si="43"/>
        <v>4</v>
      </c>
      <c r="AH388" t="str">
        <f t="shared" si="48"/>
        <v>困难</v>
      </c>
      <c r="AI388">
        <f t="shared" si="45"/>
        <v>2332</v>
      </c>
      <c r="AJ388">
        <f t="shared" si="46"/>
        <v>836</v>
      </c>
      <c r="AK388">
        <f t="shared" si="47"/>
        <v>836</v>
      </c>
    </row>
    <row r="389" spans="30:37">
      <c r="AD389" s="131">
        <v>201604</v>
      </c>
      <c r="AE389" s="135">
        <v>121019</v>
      </c>
      <c r="AF389">
        <f t="shared" si="44"/>
        <v>16</v>
      </c>
      <c r="AG389">
        <f t="shared" si="43"/>
        <v>4</v>
      </c>
      <c r="AH389" t="str">
        <f t="shared" si="48"/>
        <v>困难</v>
      </c>
      <c r="AI389">
        <f t="shared" si="45"/>
        <v>2120</v>
      </c>
      <c r="AJ389">
        <f t="shared" si="46"/>
        <v>836</v>
      </c>
      <c r="AK389">
        <f t="shared" si="47"/>
        <v>836</v>
      </c>
    </row>
    <row r="390" spans="30:37">
      <c r="AD390" s="131">
        <v>201604</v>
      </c>
      <c r="AE390" s="135">
        <v>121033</v>
      </c>
      <c r="AF390">
        <f t="shared" si="44"/>
        <v>16</v>
      </c>
      <c r="AG390">
        <f t="shared" si="43"/>
        <v>4</v>
      </c>
      <c r="AH390" t="str">
        <f t="shared" si="48"/>
        <v>困难</v>
      </c>
      <c r="AI390">
        <f t="shared" si="45"/>
        <v>2120</v>
      </c>
      <c r="AJ390">
        <f t="shared" si="46"/>
        <v>836</v>
      </c>
      <c r="AK390">
        <f t="shared" si="47"/>
        <v>836</v>
      </c>
    </row>
    <row r="391" spans="30:37">
      <c r="AD391" s="131">
        <v>201701</v>
      </c>
      <c r="AE391" s="135">
        <v>1111014</v>
      </c>
      <c r="AF391">
        <f t="shared" si="44"/>
        <v>17</v>
      </c>
      <c r="AG391">
        <f t="shared" si="43"/>
        <v>1</v>
      </c>
      <c r="AH391" t="str">
        <f t="shared" si="48"/>
        <v>简单</v>
      </c>
      <c r="AI391">
        <f t="shared" si="45"/>
        <v>981</v>
      </c>
      <c r="AJ391">
        <f t="shared" si="46"/>
        <v>294</v>
      </c>
      <c r="AK391">
        <f t="shared" si="47"/>
        <v>5289</v>
      </c>
    </row>
    <row r="392" spans="30:37">
      <c r="AD392" s="131">
        <v>201701</v>
      </c>
      <c r="AE392" s="135">
        <v>121049</v>
      </c>
      <c r="AF392">
        <f t="shared" si="44"/>
        <v>17</v>
      </c>
      <c r="AG392">
        <f t="shared" si="43"/>
        <v>1</v>
      </c>
      <c r="AH392" t="str">
        <f t="shared" si="48"/>
        <v>简单</v>
      </c>
      <c r="AI392">
        <f t="shared" si="45"/>
        <v>736</v>
      </c>
      <c r="AJ392">
        <f t="shared" si="46"/>
        <v>294</v>
      </c>
      <c r="AK392">
        <f t="shared" si="47"/>
        <v>5289</v>
      </c>
    </row>
    <row r="393" spans="30:37">
      <c r="AD393" s="131">
        <v>201701</v>
      </c>
      <c r="AE393" s="135">
        <v>121034</v>
      </c>
      <c r="AF393">
        <f t="shared" si="44"/>
        <v>17</v>
      </c>
      <c r="AG393">
        <f t="shared" si="43"/>
        <v>1</v>
      </c>
      <c r="AH393" t="str">
        <f t="shared" si="48"/>
        <v>简单</v>
      </c>
      <c r="AI393">
        <f t="shared" si="45"/>
        <v>736</v>
      </c>
      <c r="AJ393">
        <f t="shared" si="46"/>
        <v>294</v>
      </c>
      <c r="AK393">
        <f t="shared" si="47"/>
        <v>5289</v>
      </c>
    </row>
    <row r="394" spans="30:37">
      <c r="AD394" s="131">
        <v>201701</v>
      </c>
      <c r="AE394" s="135">
        <v>121018</v>
      </c>
      <c r="AF394">
        <f t="shared" si="44"/>
        <v>17</v>
      </c>
      <c r="AG394">
        <f t="shared" si="43"/>
        <v>1</v>
      </c>
      <c r="AH394" t="str">
        <f t="shared" si="48"/>
        <v>简单</v>
      </c>
      <c r="AI394">
        <f t="shared" si="45"/>
        <v>736</v>
      </c>
      <c r="AJ394">
        <f t="shared" si="46"/>
        <v>294</v>
      </c>
      <c r="AK394">
        <f t="shared" si="47"/>
        <v>5289</v>
      </c>
    </row>
    <row r="395" spans="30:37">
      <c r="AD395" s="131">
        <v>201701</v>
      </c>
      <c r="AE395" s="135">
        <v>121020</v>
      </c>
      <c r="AF395">
        <f t="shared" si="44"/>
        <v>17</v>
      </c>
      <c r="AG395">
        <f t="shared" si="43"/>
        <v>1</v>
      </c>
      <c r="AH395" t="str">
        <f t="shared" si="48"/>
        <v>简单</v>
      </c>
      <c r="AI395">
        <f t="shared" si="45"/>
        <v>736</v>
      </c>
      <c r="AJ395">
        <f t="shared" si="46"/>
        <v>294</v>
      </c>
      <c r="AK395">
        <f t="shared" si="47"/>
        <v>5289</v>
      </c>
    </row>
    <row r="396" spans="30:37">
      <c r="AD396" s="131">
        <v>201702</v>
      </c>
      <c r="AE396" s="135">
        <v>1112014</v>
      </c>
      <c r="AF396">
        <f t="shared" si="44"/>
        <v>17</v>
      </c>
      <c r="AG396">
        <f t="shared" si="43"/>
        <v>2</v>
      </c>
      <c r="AH396" t="str">
        <f t="shared" si="48"/>
        <v>简单</v>
      </c>
      <c r="AI396">
        <f t="shared" si="45"/>
        <v>981</v>
      </c>
      <c r="AJ396">
        <f t="shared" si="46"/>
        <v>294</v>
      </c>
      <c r="AK396">
        <f t="shared" si="47"/>
        <v>5289</v>
      </c>
    </row>
    <row r="397" spans="30:37">
      <c r="AD397" s="131">
        <v>201702</v>
      </c>
      <c r="AE397" s="135">
        <v>121017</v>
      </c>
      <c r="AF397">
        <f t="shared" si="44"/>
        <v>17</v>
      </c>
      <c r="AG397">
        <f t="shared" si="43"/>
        <v>2</v>
      </c>
      <c r="AH397" t="str">
        <f t="shared" si="48"/>
        <v>简单</v>
      </c>
      <c r="AI397">
        <f t="shared" si="45"/>
        <v>736</v>
      </c>
      <c r="AJ397">
        <f t="shared" si="46"/>
        <v>294</v>
      </c>
      <c r="AK397">
        <f t="shared" si="47"/>
        <v>5289</v>
      </c>
    </row>
    <row r="398" spans="30:37">
      <c r="AD398" s="131">
        <v>201702</v>
      </c>
      <c r="AE398" s="135">
        <v>121035</v>
      </c>
      <c r="AF398">
        <f t="shared" si="44"/>
        <v>17</v>
      </c>
      <c r="AG398">
        <f t="shared" si="43"/>
        <v>2</v>
      </c>
      <c r="AH398" t="str">
        <f t="shared" si="48"/>
        <v>简单</v>
      </c>
      <c r="AI398">
        <f t="shared" si="45"/>
        <v>736</v>
      </c>
      <c r="AJ398">
        <f t="shared" si="46"/>
        <v>294</v>
      </c>
      <c r="AK398">
        <f t="shared" si="47"/>
        <v>5289</v>
      </c>
    </row>
    <row r="399" spans="30:37">
      <c r="AD399" s="131">
        <v>201702</v>
      </c>
      <c r="AE399" s="135">
        <v>121018</v>
      </c>
      <c r="AF399">
        <f t="shared" si="44"/>
        <v>17</v>
      </c>
      <c r="AG399">
        <f t="shared" si="43"/>
        <v>2</v>
      </c>
      <c r="AH399" t="str">
        <f t="shared" si="48"/>
        <v>简单</v>
      </c>
      <c r="AI399">
        <f t="shared" si="45"/>
        <v>736</v>
      </c>
      <c r="AJ399">
        <f t="shared" si="46"/>
        <v>294</v>
      </c>
      <c r="AK399">
        <f t="shared" si="47"/>
        <v>5289</v>
      </c>
    </row>
    <row r="400" spans="30:37">
      <c r="AD400" s="131">
        <v>201702</v>
      </c>
      <c r="AE400" s="135">
        <v>121018</v>
      </c>
      <c r="AF400">
        <f t="shared" si="44"/>
        <v>17</v>
      </c>
      <c r="AG400">
        <f t="shared" si="43"/>
        <v>2</v>
      </c>
      <c r="AH400" t="str">
        <f t="shared" si="48"/>
        <v>简单</v>
      </c>
      <c r="AI400">
        <f t="shared" si="45"/>
        <v>736</v>
      </c>
      <c r="AJ400">
        <f t="shared" si="46"/>
        <v>294</v>
      </c>
      <c r="AK400">
        <f t="shared" si="47"/>
        <v>5289</v>
      </c>
    </row>
    <row r="401" spans="30:37">
      <c r="AD401" s="131">
        <v>201703</v>
      </c>
      <c r="AE401" s="135">
        <v>1112013</v>
      </c>
      <c r="AF401">
        <f t="shared" si="44"/>
        <v>17</v>
      </c>
      <c r="AG401">
        <f t="shared" si="43"/>
        <v>3</v>
      </c>
      <c r="AH401" t="str">
        <f t="shared" si="48"/>
        <v>简单</v>
      </c>
      <c r="AI401">
        <f t="shared" si="45"/>
        <v>981</v>
      </c>
      <c r="AJ401">
        <f t="shared" si="46"/>
        <v>294</v>
      </c>
      <c r="AK401">
        <f t="shared" si="47"/>
        <v>5289</v>
      </c>
    </row>
    <row r="402" spans="30:37">
      <c r="AD402" s="131">
        <v>201703</v>
      </c>
      <c r="AE402" s="135">
        <v>1112016</v>
      </c>
      <c r="AF402">
        <f t="shared" si="44"/>
        <v>17</v>
      </c>
      <c r="AG402">
        <f t="shared" si="43"/>
        <v>3</v>
      </c>
      <c r="AH402" t="str">
        <f t="shared" si="48"/>
        <v>简单</v>
      </c>
      <c r="AI402">
        <f t="shared" si="45"/>
        <v>981</v>
      </c>
      <c r="AJ402">
        <f t="shared" si="46"/>
        <v>294</v>
      </c>
      <c r="AK402">
        <f t="shared" si="47"/>
        <v>5289</v>
      </c>
    </row>
    <row r="403" spans="30:37">
      <c r="AD403" s="131">
        <v>201703</v>
      </c>
      <c r="AE403" s="135">
        <v>121034</v>
      </c>
      <c r="AF403">
        <f t="shared" si="44"/>
        <v>17</v>
      </c>
      <c r="AG403">
        <f t="shared" si="43"/>
        <v>3</v>
      </c>
      <c r="AH403" t="str">
        <f t="shared" si="48"/>
        <v>简单</v>
      </c>
      <c r="AI403">
        <f t="shared" si="45"/>
        <v>736</v>
      </c>
      <c r="AJ403">
        <f t="shared" si="46"/>
        <v>294</v>
      </c>
      <c r="AK403">
        <f t="shared" si="47"/>
        <v>5289</v>
      </c>
    </row>
    <row r="404" spans="30:37">
      <c r="AD404" s="131">
        <v>201703</v>
      </c>
      <c r="AE404" s="135">
        <v>121035</v>
      </c>
      <c r="AF404">
        <f t="shared" si="44"/>
        <v>17</v>
      </c>
      <c r="AG404">
        <f t="shared" si="43"/>
        <v>3</v>
      </c>
      <c r="AH404" t="str">
        <f t="shared" si="48"/>
        <v>简单</v>
      </c>
      <c r="AI404">
        <f t="shared" si="45"/>
        <v>736</v>
      </c>
      <c r="AJ404">
        <f t="shared" si="46"/>
        <v>294</v>
      </c>
      <c r="AK404">
        <f t="shared" si="47"/>
        <v>5289</v>
      </c>
    </row>
    <row r="405" spans="30:37">
      <c r="AD405" s="131">
        <v>201703</v>
      </c>
      <c r="AE405" s="135">
        <v>121036</v>
      </c>
      <c r="AF405">
        <f t="shared" si="44"/>
        <v>17</v>
      </c>
      <c r="AG405">
        <f t="shared" si="43"/>
        <v>3</v>
      </c>
      <c r="AH405" t="str">
        <f t="shared" si="48"/>
        <v>简单</v>
      </c>
      <c r="AI405">
        <f t="shared" si="45"/>
        <v>736</v>
      </c>
      <c r="AJ405">
        <f t="shared" si="46"/>
        <v>294</v>
      </c>
      <c r="AK405">
        <f t="shared" si="47"/>
        <v>5289</v>
      </c>
    </row>
    <row r="406" spans="30:37">
      <c r="AD406" s="131">
        <v>201704</v>
      </c>
      <c r="AE406" s="135">
        <v>1111014</v>
      </c>
      <c r="AF406">
        <f t="shared" si="44"/>
        <v>17</v>
      </c>
      <c r="AG406">
        <f t="shared" ref="AG406:AG469" si="49">ROUNDDOWN(RIGHT(AD406,2),0)</f>
        <v>4</v>
      </c>
      <c r="AH406" t="str">
        <f t="shared" si="48"/>
        <v>困难</v>
      </c>
      <c r="AI406">
        <f t="shared" si="45"/>
        <v>2347</v>
      </c>
      <c r="AJ406">
        <f t="shared" si="46"/>
        <v>903</v>
      </c>
      <c r="AK406">
        <f t="shared" si="47"/>
        <v>903</v>
      </c>
    </row>
    <row r="407" spans="30:37">
      <c r="AD407" s="131">
        <v>201704</v>
      </c>
      <c r="AE407" s="135">
        <v>121049</v>
      </c>
      <c r="AF407">
        <f t="shared" si="44"/>
        <v>17</v>
      </c>
      <c r="AG407">
        <f t="shared" si="49"/>
        <v>4</v>
      </c>
      <c r="AH407" t="str">
        <f t="shared" si="48"/>
        <v>困难</v>
      </c>
      <c r="AI407">
        <f t="shared" si="45"/>
        <v>2134</v>
      </c>
      <c r="AJ407">
        <f t="shared" si="46"/>
        <v>903</v>
      </c>
      <c r="AK407">
        <f t="shared" si="47"/>
        <v>903</v>
      </c>
    </row>
    <row r="408" spans="30:37">
      <c r="AD408" s="131">
        <v>201704</v>
      </c>
      <c r="AE408" s="135">
        <v>121034</v>
      </c>
      <c r="AF408">
        <f t="shared" si="44"/>
        <v>17</v>
      </c>
      <c r="AG408">
        <f t="shared" si="49"/>
        <v>4</v>
      </c>
      <c r="AH408" t="str">
        <f t="shared" si="48"/>
        <v>困难</v>
      </c>
      <c r="AI408">
        <f t="shared" si="45"/>
        <v>2134</v>
      </c>
      <c r="AJ408">
        <f t="shared" si="46"/>
        <v>903</v>
      </c>
      <c r="AK408">
        <f t="shared" si="47"/>
        <v>903</v>
      </c>
    </row>
    <row r="409" spans="30:37">
      <c r="AD409" s="131">
        <v>201704</v>
      </c>
      <c r="AE409" s="135">
        <v>121018</v>
      </c>
      <c r="AF409">
        <f t="shared" si="44"/>
        <v>17</v>
      </c>
      <c r="AG409">
        <f t="shared" si="49"/>
        <v>4</v>
      </c>
      <c r="AH409" t="str">
        <f t="shared" si="48"/>
        <v>困难</v>
      </c>
      <c r="AI409">
        <f t="shared" si="45"/>
        <v>2134</v>
      </c>
      <c r="AJ409">
        <f t="shared" si="46"/>
        <v>903</v>
      </c>
      <c r="AK409">
        <f t="shared" si="47"/>
        <v>903</v>
      </c>
    </row>
    <row r="410" spans="30:37">
      <c r="AD410" s="131">
        <v>201704</v>
      </c>
      <c r="AE410" s="135">
        <v>121020</v>
      </c>
      <c r="AF410">
        <f t="shared" si="44"/>
        <v>17</v>
      </c>
      <c r="AG410">
        <f t="shared" si="49"/>
        <v>4</v>
      </c>
      <c r="AH410" t="str">
        <f t="shared" si="48"/>
        <v>困难</v>
      </c>
      <c r="AI410">
        <f t="shared" si="45"/>
        <v>2134</v>
      </c>
      <c r="AJ410">
        <f t="shared" si="46"/>
        <v>903</v>
      </c>
      <c r="AK410">
        <f t="shared" si="47"/>
        <v>903</v>
      </c>
    </row>
    <row r="411" spans="30:37">
      <c r="AD411" s="131">
        <v>201705</v>
      </c>
      <c r="AE411" s="135">
        <v>1112014</v>
      </c>
      <c r="AF411">
        <f t="shared" si="44"/>
        <v>17</v>
      </c>
      <c r="AG411">
        <f t="shared" si="49"/>
        <v>5</v>
      </c>
      <c r="AH411" t="str">
        <f t="shared" si="48"/>
        <v>困难</v>
      </c>
      <c r="AI411">
        <f t="shared" si="45"/>
        <v>2347</v>
      </c>
      <c r="AJ411">
        <f t="shared" si="46"/>
        <v>903</v>
      </c>
      <c r="AK411">
        <f t="shared" si="47"/>
        <v>903</v>
      </c>
    </row>
    <row r="412" spans="30:37">
      <c r="AD412" s="131">
        <v>201705</v>
      </c>
      <c r="AE412" s="135">
        <v>121017</v>
      </c>
      <c r="AF412">
        <f t="shared" si="44"/>
        <v>17</v>
      </c>
      <c r="AG412">
        <f t="shared" si="49"/>
        <v>5</v>
      </c>
      <c r="AH412" t="str">
        <f t="shared" si="48"/>
        <v>困难</v>
      </c>
      <c r="AI412">
        <f t="shared" si="45"/>
        <v>2134</v>
      </c>
      <c r="AJ412">
        <f t="shared" si="46"/>
        <v>903</v>
      </c>
      <c r="AK412">
        <f t="shared" si="47"/>
        <v>903</v>
      </c>
    </row>
    <row r="413" spans="30:37">
      <c r="AD413" s="131">
        <v>201705</v>
      </c>
      <c r="AE413" s="135">
        <v>121035</v>
      </c>
      <c r="AF413">
        <f t="shared" si="44"/>
        <v>17</v>
      </c>
      <c r="AG413">
        <f t="shared" si="49"/>
        <v>5</v>
      </c>
      <c r="AH413" t="str">
        <f t="shared" si="48"/>
        <v>困难</v>
      </c>
      <c r="AI413">
        <f t="shared" si="45"/>
        <v>2134</v>
      </c>
      <c r="AJ413">
        <f t="shared" si="46"/>
        <v>903</v>
      </c>
      <c r="AK413">
        <f t="shared" si="47"/>
        <v>903</v>
      </c>
    </row>
    <row r="414" spans="30:37">
      <c r="AD414" s="131">
        <v>201705</v>
      </c>
      <c r="AE414" s="135">
        <v>121018</v>
      </c>
      <c r="AF414">
        <f t="shared" ref="AF414:AF477" si="50">MOD(ROUNDDOWN(AD414/100,0),100)</f>
        <v>17</v>
      </c>
      <c r="AG414">
        <f t="shared" si="49"/>
        <v>5</v>
      </c>
      <c r="AH414" t="str">
        <f t="shared" si="48"/>
        <v>困难</v>
      </c>
      <c r="AI414">
        <f t="shared" si="45"/>
        <v>2134</v>
      </c>
      <c r="AJ414">
        <f t="shared" si="46"/>
        <v>903</v>
      </c>
      <c r="AK414">
        <f t="shared" si="47"/>
        <v>903</v>
      </c>
    </row>
    <row r="415" spans="30:37">
      <c r="AD415" s="131">
        <v>201705</v>
      </c>
      <c r="AE415" s="135">
        <v>121018</v>
      </c>
      <c r="AF415">
        <f t="shared" si="50"/>
        <v>17</v>
      </c>
      <c r="AG415">
        <f t="shared" si="49"/>
        <v>5</v>
      </c>
      <c r="AH415" t="str">
        <f t="shared" si="48"/>
        <v>困难</v>
      </c>
      <c r="AI415">
        <f t="shared" ref="AI415:AI478" si="51">IF($AH415="简单",IF(AE415&lt;122000,VLOOKUP($AF415,$N:$T,2,0),VLOOKUP($AF415,$N:$T,5,0)),IF(AE415&lt;122000,VLOOKUP($AF415,$V:$AB,2,0),VLOOKUP($AF415,$V:$AB,5,0)))</f>
        <v>2134</v>
      </c>
      <c r="AJ415">
        <f t="shared" ref="AJ415:AJ478" si="52">IF($AH415="简单",IF(AF415&lt;122000,VLOOKUP($AF415,$N:$T,3,0),VLOOKUP($AF415,$N:$T,6,0)),IF(AF415&lt;122000,VLOOKUP($AF415,$V:$AB,3,0),VLOOKUP($AF415,$V:$AB,6,0)))</f>
        <v>903</v>
      </c>
      <c r="AK415">
        <f t="shared" ref="AK415:AK478" si="53">IF($AH415="简单",IF(AG415&lt;122000,VLOOKUP($AF415,$N:$T,4,0),VLOOKUP($AF415,$N:$T,7,0)),IF(AG415&lt;122000,VLOOKUP($AF415,$V:$AB,3,0),VLOOKUP($AF415,$V:$AB,6,0)))</f>
        <v>903</v>
      </c>
    </row>
    <row r="416" spans="30:37">
      <c r="AD416" s="131">
        <v>201706</v>
      </c>
      <c r="AE416" s="135">
        <v>1112013</v>
      </c>
      <c r="AF416">
        <f t="shared" si="50"/>
        <v>17</v>
      </c>
      <c r="AG416">
        <f t="shared" si="49"/>
        <v>6</v>
      </c>
      <c r="AH416" t="str">
        <f t="shared" si="48"/>
        <v>困难</v>
      </c>
      <c r="AI416">
        <f t="shared" si="51"/>
        <v>2347</v>
      </c>
      <c r="AJ416">
        <f t="shared" si="52"/>
        <v>903</v>
      </c>
      <c r="AK416">
        <f t="shared" si="53"/>
        <v>903</v>
      </c>
    </row>
    <row r="417" spans="30:37">
      <c r="AD417" s="131">
        <v>201706</v>
      </c>
      <c r="AE417" s="135">
        <v>1112016</v>
      </c>
      <c r="AF417">
        <f t="shared" si="50"/>
        <v>17</v>
      </c>
      <c r="AG417">
        <f t="shared" si="49"/>
        <v>6</v>
      </c>
      <c r="AH417" t="str">
        <f t="shared" si="48"/>
        <v>困难</v>
      </c>
      <c r="AI417">
        <f t="shared" si="51"/>
        <v>2347</v>
      </c>
      <c r="AJ417">
        <f t="shared" si="52"/>
        <v>903</v>
      </c>
      <c r="AK417">
        <f t="shared" si="53"/>
        <v>903</v>
      </c>
    </row>
    <row r="418" spans="30:37">
      <c r="AD418" s="131">
        <v>201706</v>
      </c>
      <c r="AE418" s="135">
        <v>121034</v>
      </c>
      <c r="AF418">
        <f t="shared" si="50"/>
        <v>17</v>
      </c>
      <c r="AG418">
        <f t="shared" si="49"/>
        <v>6</v>
      </c>
      <c r="AH418" t="str">
        <f t="shared" si="48"/>
        <v>困难</v>
      </c>
      <c r="AI418">
        <f t="shared" si="51"/>
        <v>2134</v>
      </c>
      <c r="AJ418">
        <f t="shared" si="52"/>
        <v>903</v>
      </c>
      <c r="AK418">
        <f t="shared" si="53"/>
        <v>903</v>
      </c>
    </row>
    <row r="419" spans="30:37">
      <c r="AD419" s="131">
        <v>201706</v>
      </c>
      <c r="AE419" s="135">
        <v>121035</v>
      </c>
      <c r="AF419">
        <f t="shared" si="50"/>
        <v>17</v>
      </c>
      <c r="AG419">
        <f t="shared" si="49"/>
        <v>6</v>
      </c>
      <c r="AH419" t="str">
        <f t="shared" si="48"/>
        <v>困难</v>
      </c>
      <c r="AI419">
        <f t="shared" si="51"/>
        <v>2134</v>
      </c>
      <c r="AJ419">
        <f t="shared" si="52"/>
        <v>903</v>
      </c>
      <c r="AK419">
        <f t="shared" si="53"/>
        <v>903</v>
      </c>
    </row>
    <row r="420" spans="30:37">
      <c r="AD420" s="131">
        <v>201706</v>
      </c>
      <c r="AE420" s="135">
        <v>121036</v>
      </c>
      <c r="AF420">
        <f t="shared" si="50"/>
        <v>17</v>
      </c>
      <c r="AG420">
        <f t="shared" si="49"/>
        <v>6</v>
      </c>
      <c r="AH420" t="str">
        <f t="shared" si="48"/>
        <v>困难</v>
      </c>
      <c r="AI420">
        <f t="shared" si="51"/>
        <v>2134</v>
      </c>
      <c r="AJ420">
        <f t="shared" si="52"/>
        <v>903</v>
      </c>
      <c r="AK420">
        <f t="shared" si="53"/>
        <v>903</v>
      </c>
    </row>
    <row r="421" spans="30:37">
      <c r="AD421" s="131">
        <f>AD391+100</f>
        <v>201801</v>
      </c>
      <c r="AE421" s="135">
        <v>121050</v>
      </c>
      <c r="AF421">
        <f t="shared" si="50"/>
        <v>18</v>
      </c>
      <c r="AG421">
        <f t="shared" si="49"/>
        <v>1</v>
      </c>
      <c r="AH421" t="str">
        <f t="shared" si="48"/>
        <v>简单</v>
      </c>
      <c r="AI421">
        <f t="shared" si="51"/>
        <v>736</v>
      </c>
      <c r="AJ421">
        <f t="shared" si="52"/>
        <v>294</v>
      </c>
      <c r="AK421">
        <f t="shared" si="53"/>
        <v>5289</v>
      </c>
    </row>
    <row r="422" spans="30:37">
      <c r="AD422" s="131">
        <v>201801</v>
      </c>
      <c r="AE422" s="135">
        <v>121050</v>
      </c>
      <c r="AF422">
        <f t="shared" si="50"/>
        <v>18</v>
      </c>
      <c r="AG422">
        <f t="shared" si="49"/>
        <v>1</v>
      </c>
      <c r="AH422" t="str">
        <f t="shared" si="48"/>
        <v>简单</v>
      </c>
      <c r="AI422">
        <f t="shared" si="51"/>
        <v>736</v>
      </c>
      <c r="AJ422">
        <f t="shared" si="52"/>
        <v>294</v>
      </c>
      <c r="AK422">
        <f t="shared" si="53"/>
        <v>5289</v>
      </c>
    </row>
    <row r="423" spans="30:37">
      <c r="AD423" s="131">
        <v>201801</v>
      </c>
      <c r="AE423" s="135">
        <v>121051</v>
      </c>
      <c r="AF423">
        <f t="shared" si="50"/>
        <v>18</v>
      </c>
      <c r="AG423">
        <f t="shared" si="49"/>
        <v>1</v>
      </c>
      <c r="AH423" t="str">
        <f t="shared" si="48"/>
        <v>简单</v>
      </c>
      <c r="AI423">
        <f t="shared" si="51"/>
        <v>736</v>
      </c>
      <c r="AJ423">
        <f t="shared" si="52"/>
        <v>294</v>
      </c>
      <c r="AK423">
        <f t="shared" si="53"/>
        <v>5289</v>
      </c>
    </row>
    <row r="424" spans="30:37">
      <c r="AD424" s="131">
        <v>201801</v>
      </c>
      <c r="AE424" s="135">
        <v>121052</v>
      </c>
      <c r="AF424">
        <f t="shared" si="50"/>
        <v>18</v>
      </c>
      <c r="AG424">
        <f t="shared" si="49"/>
        <v>1</v>
      </c>
      <c r="AH424" t="str">
        <f t="shared" si="48"/>
        <v>简单</v>
      </c>
      <c r="AI424">
        <f t="shared" si="51"/>
        <v>736</v>
      </c>
      <c r="AJ424">
        <f t="shared" si="52"/>
        <v>294</v>
      </c>
      <c r="AK424">
        <f t="shared" si="53"/>
        <v>5289</v>
      </c>
    </row>
    <row r="425" spans="30:37">
      <c r="AD425" s="131">
        <v>201801</v>
      </c>
      <c r="AE425" s="135">
        <v>121052</v>
      </c>
      <c r="AF425">
        <f t="shared" si="50"/>
        <v>18</v>
      </c>
      <c r="AG425">
        <f t="shared" si="49"/>
        <v>1</v>
      </c>
      <c r="AH425" t="str">
        <f t="shared" si="48"/>
        <v>简单</v>
      </c>
      <c r="AI425">
        <f t="shared" si="51"/>
        <v>736</v>
      </c>
      <c r="AJ425">
        <f t="shared" si="52"/>
        <v>294</v>
      </c>
      <c r="AK425">
        <f t="shared" si="53"/>
        <v>5289</v>
      </c>
    </row>
    <row r="426" spans="30:37">
      <c r="AD426" s="131">
        <v>201802</v>
      </c>
      <c r="AE426" s="135">
        <v>1112012</v>
      </c>
      <c r="AF426">
        <f t="shared" si="50"/>
        <v>18</v>
      </c>
      <c r="AG426">
        <f t="shared" si="49"/>
        <v>2</v>
      </c>
      <c r="AH426" t="str">
        <f t="shared" si="48"/>
        <v>简单</v>
      </c>
      <c r="AI426">
        <f t="shared" si="51"/>
        <v>981</v>
      </c>
      <c r="AJ426">
        <f t="shared" si="52"/>
        <v>294</v>
      </c>
      <c r="AK426">
        <f t="shared" si="53"/>
        <v>5289</v>
      </c>
    </row>
    <row r="427" spans="30:37">
      <c r="AD427" s="131">
        <v>201802</v>
      </c>
      <c r="AE427" s="135">
        <v>121075</v>
      </c>
      <c r="AF427">
        <f t="shared" si="50"/>
        <v>18</v>
      </c>
      <c r="AG427">
        <f t="shared" si="49"/>
        <v>2</v>
      </c>
      <c r="AH427" t="str">
        <f t="shared" si="48"/>
        <v>简单</v>
      </c>
      <c r="AI427">
        <f t="shared" si="51"/>
        <v>736</v>
      </c>
      <c r="AJ427">
        <f t="shared" si="52"/>
        <v>294</v>
      </c>
      <c r="AK427">
        <f t="shared" si="53"/>
        <v>5289</v>
      </c>
    </row>
    <row r="428" spans="30:37">
      <c r="AD428" s="131">
        <v>201802</v>
      </c>
      <c r="AE428" s="135">
        <v>121078</v>
      </c>
      <c r="AF428">
        <f t="shared" si="50"/>
        <v>18</v>
      </c>
      <c r="AG428">
        <f t="shared" si="49"/>
        <v>2</v>
      </c>
      <c r="AH428" t="str">
        <f t="shared" ref="AH428:AH491" si="54">IF(VLOOKUP(AF428,AF:AG,2,1)=4,IF(AG428&lt;3,"简单","困难"),IF(AG428&lt;4,"简单","困难"))</f>
        <v>简单</v>
      </c>
      <c r="AI428">
        <f t="shared" si="51"/>
        <v>736</v>
      </c>
      <c r="AJ428">
        <f t="shared" si="52"/>
        <v>294</v>
      </c>
      <c r="AK428">
        <f t="shared" si="53"/>
        <v>5289</v>
      </c>
    </row>
    <row r="429" spans="30:37">
      <c r="AD429" s="131">
        <v>201802</v>
      </c>
      <c r="AE429" s="135">
        <v>121074</v>
      </c>
      <c r="AF429">
        <f t="shared" si="50"/>
        <v>18</v>
      </c>
      <c r="AG429">
        <f t="shared" si="49"/>
        <v>2</v>
      </c>
      <c r="AH429" t="str">
        <f t="shared" si="54"/>
        <v>简单</v>
      </c>
      <c r="AI429">
        <f t="shared" si="51"/>
        <v>736</v>
      </c>
      <c r="AJ429">
        <f t="shared" si="52"/>
        <v>294</v>
      </c>
      <c r="AK429">
        <f t="shared" si="53"/>
        <v>5289</v>
      </c>
    </row>
    <row r="430" spans="30:37">
      <c r="AD430" s="131">
        <v>201802</v>
      </c>
      <c r="AE430" s="135">
        <v>121074</v>
      </c>
      <c r="AF430">
        <f t="shared" si="50"/>
        <v>18</v>
      </c>
      <c r="AG430">
        <f t="shared" si="49"/>
        <v>2</v>
      </c>
      <c r="AH430" t="str">
        <f t="shared" si="54"/>
        <v>简单</v>
      </c>
      <c r="AI430">
        <f t="shared" si="51"/>
        <v>736</v>
      </c>
      <c r="AJ430">
        <f t="shared" si="52"/>
        <v>294</v>
      </c>
      <c r="AK430">
        <f t="shared" si="53"/>
        <v>5289</v>
      </c>
    </row>
    <row r="431" spans="30:37">
      <c r="AD431" s="131">
        <v>201803</v>
      </c>
      <c r="AE431" s="135">
        <v>1113001</v>
      </c>
      <c r="AF431">
        <f t="shared" si="50"/>
        <v>18</v>
      </c>
      <c r="AG431">
        <f t="shared" si="49"/>
        <v>3</v>
      </c>
      <c r="AH431" t="str">
        <f t="shared" si="54"/>
        <v>简单</v>
      </c>
      <c r="AI431">
        <f t="shared" si="51"/>
        <v>981</v>
      </c>
      <c r="AJ431">
        <f t="shared" si="52"/>
        <v>294</v>
      </c>
      <c r="AK431">
        <f t="shared" si="53"/>
        <v>5289</v>
      </c>
    </row>
    <row r="432" spans="30:37">
      <c r="AD432" s="131">
        <v>201803</v>
      </c>
      <c r="AE432" s="135">
        <v>121034</v>
      </c>
      <c r="AF432">
        <f t="shared" si="50"/>
        <v>18</v>
      </c>
      <c r="AG432">
        <f t="shared" si="49"/>
        <v>3</v>
      </c>
      <c r="AH432" t="str">
        <f t="shared" si="54"/>
        <v>简单</v>
      </c>
      <c r="AI432">
        <f t="shared" si="51"/>
        <v>736</v>
      </c>
      <c r="AJ432">
        <f t="shared" si="52"/>
        <v>294</v>
      </c>
      <c r="AK432">
        <f t="shared" si="53"/>
        <v>5289</v>
      </c>
    </row>
    <row r="433" spans="30:37">
      <c r="AD433" s="131">
        <v>201803</v>
      </c>
      <c r="AE433" s="135">
        <v>121035</v>
      </c>
      <c r="AF433">
        <f t="shared" si="50"/>
        <v>18</v>
      </c>
      <c r="AG433">
        <f t="shared" si="49"/>
        <v>3</v>
      </c>
      <c r="AH433" t="str">
        <f t="shared" si="54"/>
        <v>简单</v>
      </c>
      <c r="AI433">
        <f t="shared" si="51"/>
        <v>736</v>
      </c>
      <c r="AJ433">
        <f t="shared" si="52"/>
        <v>294</v>
      </c>
      <c r="AK433">
        <f t="shared" si="53"/>
        <v>5289</v>
      </c>
    </row>
    <row r="434" spans="30:37">
      <c r="AD434" s="131">
        <v>201803</v>
      </c>
      <c r="AE434" s="135">
        <v>121033</v>
      </c>
      <c r="AF434">
        <f t="shared" si="50"/>
        <v>18</v>
      </c>
      <c r="AG434">
        <f t="shared" si="49"/>
        <v>3</v>
      </c>
      <c r="AH434" t="str">
        <f t="shared" si="54"/>
        <v>简单</v>
      </c>
      <c r="AI434">
        <f t="shared" si="51"/>
        <v>736</v>
      </c>
      <c r="AJ434">
        <f t="shared" si="52"/>
        <v>294</v>
      </c>
      <c r="AK434">
        <f t="shared" si="53"/>
        <v>5289</v>
      </c>
    </row>
    <row r="435" spans="30:37">
      <c r="AD435" s="131">
        <v>201803</v>
      </c>
      <c r="AE435" s="135">
        <v>121020</v>
      </c>
      <c r="AF435">
        <f t="shared" si="50"/>
        <v>18</v>
      </c>
      <c r="AG435">
        <f t="shared" si="49"/>
        <v>3</v>
      </c>
      <c r="AH435" t="str">
        <f t="shared" si="54"/>
        <v>简单</v>
      </c>
      <c r="AI435">
        <f t="shared" si="51"/>
        <v>736</v>
      </c>
      <c r="AJ435">
        <f t="shared" si="52"/>
        <v>294</v>
      </c>
      <c r="AK435">
        <f t="shared" si="53"/>
        <v>5289</v>
      </c>
    </row>
    <row r="436" spans="30:37">
      <c r="AD436" s="131">
        <v>201804</v>
      </c>
      <c r="AE436" s="135">
        <v>121050</v>
      </c>
      <c r="AF436">
        <f t="shared" si="50"/>
        <v>18</v>
      </c>
      <c r="AG436">
        <f t="shared" si="49"/>
        <v>4</v>
      </c>
      <c r="AH436" t="str">
        <f t="shared" si="54"/>
        <v>困难</v>
      </c>
      <c r="AI436">
        <f t="shared" si="51"/>
        <v>1449</v>
      </c>
      <c r="AJ436">
        <f t="shared" si="52"/>
        <v>603</v>
      </c>
      <c r="AK436">
        <f t="shared" si="53"/>
        <v>603</v>
      </c>
    </row>
    <row r="437" spans="30:37">
      <c r="AD437" s="131">
        <v>201804</v>
      </c>
      <c r="AE437" s="135">
        <v>121050</v>
      </c>
      <c r="AF437">
        <f t="shared" si="50"/>
        <v>18</v>
      </c>
      <c r="AG437">
        <f t="shared" si="49"/>
        <v>4</v>
      </c>
      <c r="AH437" t="str">
        <f t="shared" si="54"/>
        <v>困难</v>
      </c>
      <c r="AI437">
        <f t="shared" si="51"/>
        <v>1449</v>
      </c>
      <c r="AJ437">
        <f t="shared" si="52"/>
        <v>603</v>
      </c>
      <c r="AK437">
        <f t="shared" si="53"/>
        <v>603</v>
      </c>
    </row>
    <row r="438" spans="30:37">
      <c r="AD438" s="131">
        <v>201804</v>
      </c>
      <c r="AE438" s="135">
        <v>121051</v>
      </c>
      <c r="AF438">
        <f t="shared" si="50"/>
        <v>18</v>
      </c>
      <c r="AG438">
        <f t="shared" si="49"/>
        <v>4</v>
      </c>
      <c r="AH438" t="str">
        <f t="shared" si="54"/>
        <v>困难</v>
      </c>
      <c r="AI438">
        <f t="shared" si="51"/>
        <v>1449</v>
      </c>
      <c r="AJ438">
        <f t="shared" si="52"/>
        <v>603</v>
      </c>
      <c r="AK438">
        <f t="shared" si="53"/>
        <v>603</v>
      </c>
    </row>
    <row r="439" spans="30:37">
      <c r="AD439" s="131">
        <v>201804</v>
      </c>
      <c r="AE439" s="135">
        <v>121052</v>
      </c>
      <c r="AF439">
        <f t="shared" si="50"/>
        <v>18</v>
      </c>
      <c r="AG439">
        <f t="shared" si="49"/>
        <v>4</v>
      </c>
      <c r="AH439" t="str">
        <f t="shared" si="54"/>
        <v>困难</v>
      </c>
      <c r="AI439">
        <f t="shared" si="51"/>
        <v>1449</v>
      </c>
      <c r="AJ439">
        <f t="shared" si="52"/>
        <v>603</v>
      </c>
      <c r="AK439">
        <f t="shared" si="53"/>
        <v>603</v>
      </c>
    </row>
    <row r="440" spans="30:37">
      <c r="AD440" s="131">
        <v>201804</v>
      </c>
      <c r="AE440" s="135">
        <v>121052</v>
      </c>
      <c r="AF440">
        <f t="shared" si="50"/>
        <v>18</v>
      </c>
      <c r="AG440">
        <f t="shared" si="49"/>
        <v>4</v>
      </c>
      <c r="AH440" t="str">
        <f t="shared" si="54"/>
        <v>困难</v>
      </c>
      <c r="AI440">
        <f t="shared" si="51"/>
        <v>1449</v>
      </c>
      <c r="AJ440">
        <f t="shared" si="52"/>
        <v>603</v>
      </c>
      <c r="AK440">
        <f t="shared" si="53"/>
        <v>603</v>
      </c>
    </row>
    <row r="441" spans="30:37">
      <c r="AD441" s="131">
        <v>201805</v>
      </c>
      <c r="AE441" s="135">
        <v>1112012</v>
      </c>
      <c r="AF441">
        <f t="shared" si="50"/>
        <v>18</v>
      </c>
      <c r="AG441">
        <f t="shared" si="49"/>
        <v>5</v>
      </c>
      <c r="AH441" t="str">
        <f t="shared" si="54"/>
        <v>困难</v>
      </c>
      <c r="AI441">
        <f t="shared" si="51"/>
        <v>1594</v>
      </c>
      <c r="AJ441">
        <f t="shared" si="52"/>
        <v>603</v>
      </c>
      <c r="AK441">
        <f t="shared" si="53"/>
        <v>603</v>
      </c>
    </row>
    <row r="442" spans="30:37">
      <c r="AD442" s="131">
        <v>201805</v>
      </c>
      <c r="AE442" s="135">
        <v>121075</v>
      </c>
      <c r="AF442">
        <f t="shared" si="50"/>
        <v>18</v>
      </c>
      <c r="AG442">
        <f t="shared" si="49"/>
        <v>5</v>
      </c>
      <c r="AH442" t="str">
        <f t="shared" si="54"/>
        <v>困难</v>
      </c>
      <c r="AI442">
        <f t="shared" si="51"/>
        <v>1449</v>
      </c>
      <c r="AJ442">
        <f t="shared" si="52"/>
        <v>603</v>
      </c>
      <c r="AK442">
        <f t="shared" si="53"/>
        <v>603</v>
      </c>
    </row>
    <row r="443" spans="30:37">
      <c r="AD443" s="131">
        <v>201805</v>
      </c>
      <c r="AE443" s="135">
        <v>121078</v>
      </c>
      <c r="AF443">
        <f t="shared" si="50"/>
        <v>18</v>
      </c>
      <c r="AG443">
        <f t="shared" si="49"/>
        <v>5</v>
      </c>
      <c r="AH443" t="str">
        <f t="shared" si="54"/>
        <v>困难</v>
      </c>
      <c r="AI443">
        <f t="shared" si="51"/>
        <v>1449</v>
      </c>
      <c r="AJ443">
        <f t="shared" si="52"/>
        <v>603</v>
      </c>
      <c r="AK443">
        <f t="shared" si="53"/>
        <v>603</v>
      </c>
    </row>
    <row r="444" spans="30:37">
      <c r="AD444" s="131">
        <v>201805</v>
      </c>
      <c r="AE444" s="135">
        <v>121074</v>
      </c>
      <c r="AF444">
        <f t="shared" si="50"/>
        <v>18</v>
      </c>
      <c r="AG444">
        <f t="shared" si="49"/>
        <v>5</v>
      </c>
      <c r="AH444" t="str">
        <f t="shared" si="54"/>
        <v>困难</v>
      </c>
      <c r="AI444">
        <f t="shared" si="51"/>
        <v>1449</v>
      </c>
      <c r="AJ444">
        <f t="shared" si="52"/>
        <v>603</v>
      </c>
      <c r="AK444">
        <f t="shared" si="53"/>
        <v>603</v>
      </c>
    </row>
    <row r="445" spans="30:37">
      <c r="AD445" s="131">
        <v>201805</v>
      </c>
      <c r="AE445" s="135">
        <v>121074</v>
      </c>
      <c r="AF445">
        <f t="shared" si="50"/>
        <v>18</v>
      </c>
      <c r="AG445">
        <f t="shared" si="49"/>
        <v>5</v>
      </c>
      <c r="AH445" t="str">
        <f t="shared" si="54"/>
        <v>困难</v>
      </c>
      <c r="AI445">
        <f t="shared" si="51"/>
        <v>1449</v>
      </c>
      <c r="AJ445">
        <f t="shared" si="52"/>
        <v>603</v>
      </c>
      <c r="AK445">
        <f t="shared" si="53"/>
        <v>603</v>
      </c>
    </row>
    <row r="446" spans="30:37">
      <c r="AD446" s="131">
        <v>201806</v>
      </c>
      <c r="AE446" s="135">
        <v>1113001</v>
      </c>
      <c r="AF446">
        <f t="shared" si="50"/>
        <v>18</v>
      </c>
      <c r="AG446">
        <f t="shared" si="49"/>
        <v>6</v>
      </c>
      <c r="AH446" t="str">
        <f t="shared" si="54"/>
        <v>困难</v>
      </c>
      <c r="AI446">
        <f t="shared" si="51"/>
        <v>1594</v>
      </c>
      <c r="AJ446">
        <f t="shared" si="52"/>
        <v>603</v>
      </c>
      <c r="AK446">
        <f t="shared" si="53"/>
        <v>603</v>
      </c>
    </row>
    <row r="447" spans="30:37">
      <c r="AD447" s="131">
        <v>201806</v>
      </c>
      <c r="AE447" s="135">
        <v>121034</v>
      </c>
      <c r="AF447">
        <f t="shared" si="50"/>
        <v>18</v>
      </c>
      <c r="AG447">
        <f t="shared" si="49"/>
        <v>6</v>
      </c>
      <c r="AH447" t="str">
        <f t="shared" si="54"/>
        <v>困难</v>
      </c>
      <c r="AI447">
        <f t="shared" si="51"/>
        <v>1449</v>
      </c>
      <c r="AJ447">
        <f t="shared" si="52"/>
        <v>603</v>
      </c>
      <c r="AK447">
        <f t="shared" si="53"/>
        <v>603</v>
      </c>
    </row>
    <row r="448" spans="30:37">
      <c r="AD448" s="131">
        <v>201806</v>
      </c>
      <c r="AE448" s="135">
        <v>121035</v>
      </c>
      <c r="AF448">
        <f t="shared" si="50"/>
        <v>18</v>
      </c>
      <c r="AG448">
        <f t="shared" si="49"/>
        <v>6</v>
      </c>
      <c r="AH448" t="str">
        <f t="shared" si="54"/>
        <v>困难</v>
      </c>
      <c r="AI448">
        <f t="shared" si="51"/>
        <v>1449</v>
      </c>
      <c r="AJ448">
        <f t="shared" si="52"/>
        <v>603</v>
      </c>
      <c r="AK448">
        <f t="shared" si="53"/>
        <v>603</v>
      </c>
    </row>
    <row r="449" spans="30:37">
      <c r="AD449" s="131">
        <v>201806</v>
      </c>
      <c r="AE449" s="135">
        <v>121033</v>
      </c>
      <c r="AF449">
        <f t="shared" si="50"/>
        <v>18</v>
      </c>
      <c r="AG449">
        <f t="shared" si="49"/>
        <v>6</v>
      </c>
      <c r="AH449" t="str">
        <f t="shared" si="54"/>
        <v>困难</v>
      </c>
      <c r="AI449">
        <f t="shared" si="51"/>
        <v>1449</v>
      </c>
      <c r="AJ449">
        <f t="shared" si="52"/>
        <v>603</v>
      </c>
      <c r="AK449">
        <f t="shared" si="53"/>
        <v>603</v>
      </c>
    </row>
    <row r="450" spans="30:37">
      <c r="AD450" s="131">
        <v>201806</v>
      </c>
      <c r="AE450" s="135">
        <v>121020</v>
      </c>
      <c r="AF450">
        <f t="shared" si="50"/>
        <v>18</v>
      </c>
      <c r="AG450">
        <f t="shared" si="49"/>
        <v>6</v>
      </c>
      <c r="AH450" t="str">
        <f t="shared" si="54"/>
        <v>困难</v>
      </c>
      <c r="AI450">
        <f t="shared" si="51"/>
        <v>1449</v>
      </c>
      <c r="AJ450">
        <f t="shared" si="52"/>
        <v>603</v>
      </c>
      <c r="AK450">
        <f t="shared" si="53"/>
        <v>603</v>
      </c>
    </row>
    <row r="451" spans="30:37">
      <c r="AD451" s="131">
        <v>201901</v>
      </c>
      <c r="AE451" s="135">
        <v>121056</v>
      </c>
      <c r="AF451">
        <f t="shared" si="50"/>
        <v>19</v>
      </c>
      <c r="AG451">
        <f t="shared" si="49"/>
        <v>1</v>
      </c>
      <c r="AH451" t="str">
        <f t="shared" si="54"/>
        <v>简单</v>
      </c>
      <c r="AI451">
        <f t="shared" si="51"/>
        <v>1252</v>
      </c>
      <c r="AJ451">
        <f t="shared" si="52"/>
        <v>487</v>
      </c>
      <c r="AK451">
        <f t="shared" si="53"/>
        <v>9411</v>
      </c>
    </row>
    <row r="452" spans="30:37">
      <c r="AD452" s="131">
        <v>201901</v>
      </c>
      <c r="AE452" s="135">
        <v>121055</v>
      </c>
      <c r="AF452">
        <f t="shared" si="50"/>
        <v>19</v>
      </c>
      <c r="AG452">
        <f t="shared" si="49"/>
        <v>1</v>
      </c>
      <c r="AH452" t="str">
        <f t="shared" si="54"/>
        <v>简单</v>
      </c>
      <c r="AI452">
        <f t="shared" si="51"/>
        <v>1252</v>
      </c>
      <c r="AJ452">
        <f t="shared" si="52"/>
        <v>487</v>
      </c>
      <c r="AK452">
        <f t="shared" si="53"/>
        <v>9411</v>
      </c>
    </row>
    <row r="453" spans="30:37">
      <c r="AD453" s="131">
        <v>201901</v>
      </c>
      <c r="AE453" s="135">
        <v>121019</v>
      </c>
      <c r="AF453">
        <f t="shared" si="50"/>
        <v>19</v>
      </c>
      <c r="AG453">
        <f t="shared" si="49"/>
        <v>1</v>
      </c>
      <c r="AH453" t="str">
        <f t="shared" si="54"/>
        <v>简单</v>
      </c>
      <c r="AI453">
        <f t="shared" si="51"/>
        <v>1252</v>
      </c>
      <c r="AJ453">
        <f t="shared" si="52"/>
        <v>487</v>
      </c>
      <c r="AK453">
        <f t="shared" si="53"/>
        <v>9411</v>
      </c>
    </row>
    <row r="454" spans="30:37">
      <c r="AD454" s="131">
        <v>201901</v>
      </c>
      <c r="AE454" s="135">
        <v>121033</v>
      </c>
      <c r="AF454">
        <f t="shared" si="50"/>
        <v>19</v>
      </c>
      <c r="AG454">
        <f t="shared" si="49"/>
        <v>1</v>
      </c>
      <c r="AH454" t="str">
        <f t="shared" si="54"/>
        <v>简单</v>
      </c>
      <c r="AI454">
        <f t="shared" si="51"/>
        <v>1252</v>
      </c>
      <c r="AJ454">
        <f t="shared" si="52"/>
        <v>487</v>
      </c>
      <c r="AK454">
        <f t="shared" si="53"/>
        <v>9411</v>
      </c>
    </row>
    <row r="455" spans="30:37">
      <c r="AD455" s="131">
        <v>201901</v>
      </c>
      <c r="AE455" s="135">
        <v>121020</v>
      </c>
      <c r="AF455">
        <f t="shared" si="50"/>
        <v>19</v>
      </c>
      <c r="AG455">
        <f t="shared" si="49"/>
        <v>1</v>
      </c>
      <c r="AH455" t="str">
        <f t="shared" si="54"/>
        <v>简单</v>
      </c>
      <c r="AI455">
        <f t="shared" si="51"/>
        <v>1252</v>
      </c>
      <c r="AJ455">
        <f t="shared" si="52"/>
        <v>487</v>
      </c>
      <c r="AK455">
        <f t="shared" si="53"/>
        <v>9411</v>
      </c>
    </row>
    <row r="456" spans="30:37">
      <c r="AD456" s="131">
        <v>201902</v>
      </c>
      <c r="AE456" s="135">
        <v>1112017</v>
      </c>
      <c r="AF456">
        <f t="shared" si="50"/>
        <v>19</v>
      </c>
      <c r="AG456">
        <f t="shared" si="49"/>
        <v>2</v>
      </c>
      <c r="AH456" t="str">
        <f t="shared" si="54"/>
        <v>简单</v>
      </c>
      <c r="AI456">
        <f t="shared" si="51"/>
        <v>1670</v>
      </c>
      <c r="AJ456">
        <f t="shared" si="52"/>
        <v>487</v>
      </c>
      <c r="AK456">
        <f t="shared" si="53"/>
        <v>9411</v>
      </c>
    </row>
    <row r="457" spans="30:37">
      <c r="AD457" s="131">
        <v>201902</v>
      </c>
      <c r="AE457" s="135">
        <v>121056</v>
      </c>
      <c r="AF457">
        <f t="shared" si="50"/>
        <v>19</v>
      </c>
      <c r="AG457">
        <f t="shared" si="49"/>
        <v>2</v>
      </c>
      <c r="AH457" t="str">
        <f t="shared" si="54"/>
        <v>简单</v>
      </c>
      <c r="AI457">
        <f t="shared" si="51"/>
        <v>1252</v>
      </c>
      <c r="AJ457">
        <f t="shared" si="52"/>
        <v>487</v>
      </c>
      <c r="AK457">
        <f t="shared" si="53"/>
        <v>9411</v>
      </c>
    </row>
    <row r="458" spans="30:37">
      <c r="AD458" s="131">
        <v>201902</v>
      </c>
      <c r="AE458" s="135">
        <v>121055</v>
      </c>
      <c r="AF458">
        <f t="shared" si="50"/>
        <v>19</v>
      </c>
      <c r="AG458">
        <f t="shared" si="49"/>
        <v>2</v>
      </c>
      <c r="AH458" t="str">
        <f t="shared" si="54"/>
        <v>简单</v>
      </c>
      <c r="AI458">
        <f t="shared" si="51"/>
        <v>1252</v>
      </c>
      <c r="AJ458">
        <f t="shared" si="52"/>
        <v>487</v>
      </c>
      <c r="AK458">
        <f t="shared" si="53"/>
        <v>9411</v>
      </c>
    </row>
    <row r="459" spans="30:37">
      <c r="AD459" s="131">
        <v>201902</v>
      </c>
      <c r="AE459" s="135">
        <v>121017</v>
      </c>
      <c r="AF459">
        <f t="shared" si="50"/>
        <v>19</v>
      </c>
      <c r="AG459">
        <f t="shared" si="49"/>
        <v>2</v>
      </c>
      <c r="AH459" t="str">
        <f t="shared" si="54"/>
        <v>简单</v>
      </c>
      <c r="AI459">
        <f t="shared" si="51"/>
        <v>1252</v>
      </c>
      <c r="AJ459">
        <f t="shared" si="52"/>
        <v>487</v>
      </c>
      <c r="AK459">
        <f t="shared" si="53"/>
        <v>9411</v>
      </c>
    </row>
    <row r="460" spans="30:37">
      <c r="AD460" s="131">
        <v>201902</v>
      </c>
      <c r="AE460" s="135">
        <v>121035</v>
      </c>
      <c r="AF460">
        <f t="shared" si="50"/>
        <v>19</v>
      </c>
      <c r="AG460">
        <f t="shared" si="49"/>
        <v>2</v>
      </c>
      <c r="AH460" t="str">
        <f t="shared" si="54"/>
        <v>简单</v>
      </c>
      <c r="AI460">
        <f t="shared" si="51"/>
        <v>1252</v>
      </c>
      <c r="AJ460">
        <f t="shared" si="52"/>
        <v>487</v>
      </c>
      <c r="AK460">
        <f t="shared" si="53"/>
        <v>9411</v>
      </c>
    </row>
    <row r="461" spans="30:37">
      <c r="AD461" s="131">
        <v>201903</v>
      </c>
      <c r="AE461" s="135">
        <v>121056</v>
      </c>
      <c r="AF461">
        <f t="shared" si="50"/>
        <v>19</v>
      </c>
      <c r="AG461">
        <f t="shared" si="49"/>
        <v>3</v>
      </c>
      <c r="AH461" t="str">
        <f t="shared" si="54"/>
        <v>困难</v>
      </c>
      <c r="AI461">
        <f t="shared" si="51"/>
        <v>2134</v>
      </c>
      <c r="AJ461">
        <f t="shared" si="52"/>
        <v>903</v>
      </c>
      <c r="AK461">
        <f t="shared" si="53"/>
        <v>903</v>
      </c>
    </row>
    <row r="462" spans="30:37">
      <c r="AD462" s="131">
        <v>201903</v>
      </c>
      <c r="AE462" s="135">
        <v>121055</v>
      </c>
      <c r="AF462">
        <f t="shared" si="50"/>
        <v>19</v>
      </c>
      <c r="AG462">
        <f t="shared" si="49"/>
        <v>3</v>
      </c>
      <c r="AH462" t="str">
        <f t="shared" si="54"/>
        <v>困难</v>
      </c>
      <c r="AI462">
        <f t="shared" si="51"/>
        <v>2134</v>
      </c>
      <c r="AJ462">
        <f t="shared" si="52"/>
        <v>903</v>
      </c>
      <c r="AK462">
        <f t="shared" si="53"/>
        <v>903</v>
      </c>
    </row>
    <row r="463" spans="30:37">
      <c r="AD463" s="131">
        <v>201903</v>
      </c>
      <c r="AE463" s="135">
        <v>121019</v>
      </c>
      <c r="AF463">
        <f t="shared" si="50"/>
        <v>19</v>
      </c>
      <c r="AG463">
        <f t="shared" si="49"/>
        <v>3</v>
      </c>
      <c r="AH463" t="str">
        <f t="shared" si="54"/>
        <v>困难</v>
      </c>
      <c r="AI463">
        <f t="shared" si="51"/>
        <v>2134</v>
      </c>
      <c r="AJ463">
        <f t="shared" si="52"/>
        <v>903</v>
      </c>
      <c r="AK463">
        <f t="shared" si="53"/>
        <v>903</v>
      </c>
    </row>
    <row r="464" spans="30:37">
      <c r="AD464" s="131">
        <v>201903</v>
      </c>
      <c r="AE464" s="135">
        <v>121033</v>
      </c>
      <c r="AF464">
        <f t="shared" si="50"/>
        <v>19</v>
      </c>
      <c r="AG464">
        <f t="shared" si="49"/>
        <v>3</v>
      </c>
      <c r="AH464" t="str">
        <f t="shared" si="54"/>
        <v>困难</v>
      </c>
      <c r="AI464">
        <f t="shared" si="51"/>
        <v>2134</v>
      </c>
      <c r="AJ464">
        <f t="shared" si="52"/>
        <v>903</v>
      </c>
      <c r="AK464">
        <f t="shared" si="53"/>
        <v>903</v>
      </c>
    </row>
    <row r="465" spans="30:37">
      <c r="AD465" s="131">
        <v>201903</v>
      </c>
      <c r="AE465" s="135">
        <v>121020</v>
      </c>
      <c r="AF465">
        <f t="shared" si="50"/>
        <v>19</v>
      </c>
      <c r="AG465">
        <f t="shared" si="49"/>
        <v>3</v>
      </c>
      <c r="AH465" t="str">
        <f t="shared" si="54"/>
        <v>困难</v>
      </c>
      <c r="AI465">
        <f t="shared" si="51"/>
        <v>2134</v>
      </c>
      <c r="AJ465">
        <f t="shared" si="52"/>
        <v>903</v>
      </c>
      <c r="AK465">
        <f t="shared" si="53"/>
        <v>903</v>
      </c>
    </row>
    <row r="466" spans="30:37">
      <c r="AD466" s="131">
        <v>201904</v>
      </c>
      <c r="AE466" s="135">
        <v>1112017</v>
      </c>
      <c r="AF466">
        <f t="shared" si="50"/>
        <v>19</v>
      </c>
      <c r="AG466">
        <f t="shared" si="49"/>
        <v>4</v>
      </c>
      <c r="AH466" t="str">
        <f t="shared" si="54"/>
        <v>困难</v>
      </c>
      <c r="AI466">
        <f t="shared" si="51"/>
        <v>2347</v>
      </c>
      <c r="AJ466">
        <f t="shared" si="52"/>
        <v>903</v>
      </c>
      <c r="AK466">
        <f t="shared" si="53"/>
        <v>903</v>
      </c>
    </row>
    <row r="467" spans="30:37">
      <c r="AD467" s="131">
        <v>201904</v>
      </c>
      <c r="AE467" s="135">
        <v>121056</v>
      </c>
      <c r="AF467">
        <f t="shared" si="50"/>
        <v>19</v>
      </c>
      <c r="AG467">
        <f t="shared" si="49"/>
        <v>4</v>
      </c>
      <c r="AH467" t="str">
        <f t="shared" si="54"/>
        <v>困难</v>
      </c>
      <c r="AI467">
        <f t="shared" si="51"/>
        <v>2134</v>
      </c>
      <c r="AJ467">
        <f t="shared" si="52"/>
        <v>903</v>
      </c>
      <c r="AK467">
        <f t="shared" si="53"/>
        <v>903</v>
      </c>
    </row>
    <row r="468" spans="30:37">
      <c r="AD468" s="131">
        <v>201904</v>
      </c>
      <c r="AE468" s="135">
        <v>121055</v>
      </c>
      <c r="AF468">
        <f t="shared" si="50"/>
        <v>19</v>
      </c>
      <c r="AG468">
        <f t="shared" si="49"/>
        <v>4</v>
      </c>
      <c r="AH468" t="str">
        <f t="shared" si="54"/>
        <v>困难</v>
      </c>
      <c r="AI468">
        <f t="shared" si="51"/>
        <v>2134</v>
      </c>
      <c r="AJ468">
        <f t="shared" si="52"/>
        <v>903</v>
      </c>
      <c r="AK468">
        <f t="shared" si="53"/>
        <v>903</v>
      </c>
    </row>
    <row r="469" spans="30:37">
      <c r="AD469" s="131">
        <v>201904</v>
      </c>
      <c r="AE469" s="135">
        <v>121017</v>
      </c>
      <c r="AF469">
        <f t="shared" si="50"/>
        <v>19</v>
      </c>
      <c r="AG469">
        <f t="shared" si="49"/>
        <v>4</v>
      </c>
      <c r="AH469" t="str">
        <f t="shared" si="54"/>
        <v>困难</v>
      </c>
      <c r="AI469">
        <f t="shared" si="51"/>
        <v>2134</v>
      </c>
      <c r="AJ469">
        <f t="shared" si="52"/>
        <v>903</v>
      </c>
      <c r="AK469">
        <f t="shared" si="53"/>
        <v>903</v>
      </c>
    </row>
    <row r="470" spans="30:37">
      <c r="AD470" s="131">
        <v>201904</v>
      </c>
      <c r="AE470" s="135">
        <v>121035</v>
      </c>
      <c r="AF470">
        <f t="shared" si="50"/>
        <v>19</v>
      </c>
      <c r="AG470">
        <f t="shared" ref="AG470:AG533" si="55">ROUNDDOWN(RIGHT(AD470,2),0)</f>
        <v>4</v>
      </c>
      <c r="AH470" t="str">
        <f t="shared" si="54"/>
        <v>困难</v>
      </c>
      <c r="AI470">
        <f t="shared" si="51"/>
        <v>2134</v>
      </c>
      <c r="AJ470">
        <f t="shared" si="52"/>
        <v>903</v>
      </c>
      <c r="AK470">
        <f t="shared" si="53"/>
        <v>903</v>
      </c>
    </row>
    <row r="471" spans="30:37">
      <c r="AD471" s="131">
        <v>202001</v>
      </c>
      <c r="AE471" s="135">
        <v>121065</v>
      </c>
      <c r="AF471">
        <f t="shared" si="50"/>
        <v>20</v>
      </c>
      <c r="AG471">
        <f t="shared" si="55"/>
        <v>1</v>
      </c>
      <c r="AH471" t="str">
        <f t="shared" si="54"/>
        <v>简单</v>
      </c>
      <c r="AI471">
        <f t="shared" si="51"/>
        <v>1267</v>
      </c>
      <c r="AJ471">
        <f t="shared" si="52"/>
        <v>534</v>
      </c>
      <c r="AK471">
        <f t="shared" si="53"/>
        <v>9526</v>
      </c>
    </row>
    <row r="472" spans="30:37">
      <c r="AD472" s="131">
        <v>202001</v>
      </c>
      <c r="AE472" s="135">
        <v>121065</v>
      </c>
      <c r="AF472">
        <f t="shared" si="50"/>
        <v>20</v>
      </c>
      <c r="AG472">
        <f t="shared" si="55"/>
        <v>1</v>
      </c>
      <c r="AH472" t="str">
        <f t="shared" si="54"/>
        <v>简单</v>
      </c>
      <c r="AI472">
        <f t="shared" si="51"/>
        <v>1267</v>
      </c>
      <c r="AJ472">
        <f t="shared" si="52"/>
        <v>534</v>
      </c>
      <c r="AK472">
        <f t="shared" si="53"/>
        <v>9526</v>
      </c>
    </row>
    <row r="473" spans="30:37">
      <c r="AD473" s="131">
        <v>202001</v>
      </c>
      <c r="AE473" s="135">
        <v>121066</v>
      </c>
      <c r="AF473">
        <f t="shared" si="50"/>
        <v>20</v>
      </c>
      <c r="AG473">
        <f t="shared" si="55"/>
        <v>1</v>
      </c>
      <c r="AH473" t="str">
        <f t="shared" si="54"/>
        <v>简单</v>
      </c>
      <c r="AI473">
        <f t="shared" si="51"/>
        <v>1267</v>
      </c>
      <c r="AJ473">
        <f t="shared" si="52"/>
        <v>534</v>
      </c>
      <c r="AK473">
        <f t="shared" si="53"/>
        <v>9526</v>
      </c>
    </row>
    <row r="474" spans="30:37">
      <c r="AD474" s="131">
        <v>202001</v>
      </c>
      <c r="AE474" s="135">
        <v>121066</v>
      </c>
      <c r="AF474">
        <f t="shared" si="50"/>
        <v>20</v>
      </c>
      <c r="AG474">
        <f t="shared" si="55"/>
        <v>1</v>
      </c>
      <c r="AH474" t="str">
        <f t="shared" si="54"/>
        <v>简单</v>
      </c>
      <c r="AI474">
        <f t="shared" si="51"/>
        <v>1267</v>
      </c>
      <c r="AJ474">
        <f t="shared" si="52"/>
        <v>534</v>
      </c>
      <c r="AK474">
        <f t="shared" si="53"/>
        <v>9526</v>
      </c>
    </row>
    <row r="475" spans="30:37">
      <c r="AD475" s="131">
        <v>202001</v>
      </c>
      <c r="AE475" s="135">
        <v>121066</v>
      </c>
      <c r="AF475">
        <f t="shared" si="50"/>
        <v>20</v>
      </c>
      <c r="AG475">
        <f t="shared" si="55"/>
        <v>1</v>
      </c>
      <c r="AH475" t="str">
        <f t="shared" si="54"/>
        <v>简单</v>
      </c>
      <c r="AI475">
        <f t="shared" si="51"/>
        <v>1267</v>
      </c>
      <c r="AJ475">
        <f t="shared" si="52"/>
        <v>534</v>
      </c>
      <c r="AK475">
        <f t="shared" si="53"/>
        <v>9526</v>
      </c>
    </row>
    <row r="476" spans="30:37">
      <c r="AD476" s="131">
        <v>202002</v>
      </c>
      <c r="AE476" s="135">
        <v>121065</v>
      </c>
      <c r="AF476">
        <f t="shared" si="50"/>
        <v>20</v>
      </c>
      <c r="AG476">
        <f t="shared" si="55"/>
        <v>2</v>
      </c>
      <c r="AH476" t="str">
        <f t="shared" si="54"/>
        <v>简单</v>
      </c>
      <c r="AI476">
        <f t="shared" si="51"/>
        <v>1267</v>
      </c>
      <c r="AJ476">
        <f t="shared" si="52"/>
        <v>534</v>
      </c>
      <c r="AK476">
        <f t="shared" si="53"/>
        <v>9526</v>
      </c>
    </row>
    <row r="477" spans="30:37">
      <c r="AD477" s="131">
        <v>202002</v>
      </c>
      <c r="AE477" s="135">
        <v>121065</v>
      </c>
      <c r="AF477">
        <f t="shared" si="50"/>
        <v>20</v>
      </c>
      <c r="AG477">
        <f t="shared" si="55"/>
        <v>2</v>
      </c>
      <c r="AH477" t="str">
        <f t="shared" si="54"/>
        <v>简单</v>
      </c>
      <c r="AI477">
        <f t="shared" si="51"/>
        <v>1267</v>
      </c>
      <c r="AJ477">
        <f t="shared" si="52"/>
        <v>534</v>
      </c>
      <c r="AK477">
        <f t="shared" si="53"/>
        <v>9526</v>
      </c>
    </row>
    <row r="478" spans="30:37">
      <c r="AD478" s="131">
        <v>202002</v>
      </c>
      <c r="AE478" s="135">
        <v>121066</v>
      </c>
      <c r="AF478">
        <f t="shared" ref="AF478:AF541" si="56">MOD(ROUNDDOWN(AD478/100,0),100)</f>
        <v>20</v>
      </c>
      <c r="AG478">
        <f t="shared" si="55"/>
        <v>2</v>
      </c>
      <c r="AH478" t="str">
        <f t="shared" si="54"/>
        <v>简单</v>
      </c>
      <c r="AI478">
        <f t="shared" si="51"/>
        <v>1267</v>
      </c>
      <c r="AJ478">
        <f t="shared" si="52"/>
        <v>534</v>
      </c>
      <c r="AK478">
        <f t="shared" si="53"/>
        <v>9526</v>
      </c>
    </row>
    <row r="479" spans="30:37">
      <c r="AD479" s="131">
        <v>202002</v>
      </c>
      <c r="AE479" s="135">
        <v>121066</v>
      </c>
      <c r="AF479">
        <f t="shared" si="56"/>
        <v>20</v>
      </c>
      <c r="AG479">
        <f t="shared" si="55"/>
        <v>2</v>
      </c>
      <c r="AH479" t="str">
        <f t="shared" si="54"/>
        <v>简单</v>
      </c>
      <c r="AI479">
        <f t="shared" ref="AI479:AI542" si="57">IF($AH479="简单",IF(AE479&lt;122000,VLOOKUP($AF479,$N:$T,2,0),VLOOKUP($AF479,$N:$T,5,0)),IF(AE479&lt;122000,VLOOKUP($AF479,$V:$AB,2,0),VLOOKUP($AF479,$V:$AB,5,0)))</f>
        <v>1267</v>
      </c>
      <c r="AJ479">
        <f t="shared" ref="AJ479:AJ542" si="58">IF($AH479="简单",IF(AF479&lt;122000,VLOOKUP($AF479,$N:$T,3,0),VLOOKUP($AF479,$N:$T,6,0)),IF(AF479&lt;122000,VLOOKUP($AF479,$V:$AB,3,0),VLOOKUP($AF479,$V:$AB,6,0)))</f>
        <v>534</v>
      </c>
      <c r="AK479">
        <f t="shared" ref="AK479:AK542" si="59">IF($AH479="简单",IF(AG479&lt;122000,VLOOKUP($AF479,$N:$T,4,0),VLOOKUP($AF479,$N:$T,7,0)),IF(AG479&lt;122000,VLOOKUP($AF479,$V:$AB,3,0),VLOOKUP($AF479,$V:$AB,6,0)))</f>
        <v>9526</v>
      </c>
    </row>
    <row r="480" spans="30:37">
      <c r="AD480" s="131">
        <v>202002</v>
      </c>
      <c r="AE480" s="135">
        <v>121066</v>
      </c>
      <c r="AF480">
        <f t="shared" si="56"/>
        <v>20</v>
      </c>
      <c r="AG480">
        <f t="shared" si="55"/>
        <v>2</v>
      </c>
      <c r="AH480" t="str">
        <f t="shared" si="54"/>
        <v>简单</v>
      </c>
      <c r="AI480">
        <f t="shared" si="57"/>
        <v>1267</v>
      </c>
      <c r="AJ480">
        <f t="shared" si="58"/>
        <v>534</v>
      </c>
      <c r="AK480">
        <f t="shared" si="59"/>
        <v>9526</v>
      </c>
    </row>
    <row r="481" spans="30:37">
      <c r="AD481" s="131">
        <v>202003</v>
      </c>
      <c r="AE481" s="135">
        <v>121065</v>
      </c>
      <c r="AF481">
        <f t="shared" si="56"/>
        <v>20</v>
      </c>
      <c r="AG481">
        <f t="shared" si="55"/>
        <v>3</v>
      </c>
      <c r="AH481" t="str">
        <f t="shared" si="54"/>
        <v>困难</v>
      </c>
      <c r="AI481">
        <f t="shared" si="57"/>
        <v>2147</v>
      </c>
      <c r="AJ481">
        <f t="shared" si="58"/>
        <v>909</v>
      </c>
      <c r="AK481">
        <f t="shared" si="59"/>
        <v>909</v>
      </c>
    </row>
    <row r="482" spans="30:37">
      <c r="AD482" s="131">
        <v>202003</v>
      </c>
      <c r="AE482" s="135">
        <v>121065</v>
      </c>
      <c r="AF482">
        <f t="shared" si="56"/>
        <v>20</v>
      </c>
      <c r="AG482">
        <f t="shared" si="55"/>
        <v>3</v>
      </c>
      <c r="AH482" t="str">
        <f t="shared" si="54"/>
        <v>困难</v>
      </c>
      <c r="AI482">
        <f t="shared" si="57"/>
        <v>2147</v>
      </c>
      <c r="AJ482">
        <f t="shared" si="58"/>
        <v>909</v>
      </c>
      <c r="AK482">
        <f t="shared" si="59"/>
        <v>909</v>
      </c>
    </row>
    <row r="483" spans="30:37">
      <c r="AD483" s="131">
        <v>202003</v>
      </c>
      <c r="AE483" s="135">
        <v>121066</v>
      </c>
      <c r="AF483">
        <f t="shared" si="56"/>
        <v>20</v>
      </c>
      <c r="AG483">
        <f t="shared" si="55"/>
        <v>3</v>
      </c>
      <c r="AH483" t="str">
        <f t="shared" si="54"/>
        <v>困难</v>
      </c>
      <c r="AI483">
        <f t="shared" si="57"/>
        <v>2147</v>
      </c>
      <c r="AJ483">
        <f t="shared" si="58"/>
        <v>909</v>
      </c>
      <c r="AK483">
        <f t="shared" si="59"/>
        <v>909</v>
      </c>
    </row>
    <row r="484" spans="30:37">
      <c r="AD484" s="131">
        <v>202003</v>
      </c>
      <c r="AE484" s="135">
        <v>121066</v>
      </c>
      <c r="AF484">
        <f t="shared" si="56"/>
        <v>20</v>
      </c>
      <c r="AG484">
        <f t="shared" si="55"/>
        <v>3</v>
      </c>
      <c r="AH484" t="str">
        <f t="shared" si="54"/>
        <v>困难</v>
      </c>
      <c r="AI484">
        <f t="shared" si="57"/>
        <v>2147</v>
      </c>
      <c r="AJ484">
        <f t="shared" si="58"/>
        <v>909</v>
      </c>
      <c r="AK484">
        <f t="shared" si="59"/>
        <v>909</v>
      </c>
    </row>
    <row r="485" spans="30:37">
      <c r="AD485" s="131">
        <v>202003</v>
      </c>
      <c r="AE485" s="135">
        <v>121066</v>
      </c>
      <c r="AF485">
        <f t="shared" si="56"/>
        <v>20</v>
      </c>
      <c r="AG485">
        <f t="shared" si="55"/>
        <v>3</v>
      </c>
      <c r="AH485" t="str">
        <f t="shared" si="54"/>
        <v>困难</v>
      </c>
      <c r="AI485">
        <f t="shared" si="57"/>
        <v>2147</v>
      </c>
      <c r="AJ485">
        <f t="shared" si="58"/>
        <v>909</v>
      </c>
      <c r="AK485">
        <f t="shared" si="59"/>
        <v>909</v>
      </c>
    </row>
    <row r="486" spans="30:37">
      <c r="AD486" s="131">
        <v>202004</v>
      </c>
      <c r="AE486" s="135">
        <v>121065</v>
      </c>
      <c r="AF486">
        <f t="shared" si="56"/>
        <v>20</v>
      </c>
      <c r="AG486">
        <f t="shared" si="55"/>
        <v>4</v>
      </c>
      <c r="AH486" t="str">
        <f t="shared" si="54"/>
        <v>困难</v>
      </c>
      <c r="AI486">
        <f t="shared" si="57"/>
        <v>2147</v>
      </c>
      <c r="AJ486">
        <f t="shared" si="58"/>
        <v>909</v>
      </c>
      <c r="AK486">
        <f t="shared" si="59"/>
        <v>909</v>
      </c>
    </row>
    <row r="487" spans="30:37">
      <c r="AD487" s="131">
        <v>202004</v>
      </c>
      <c r="AE487" s="135">
        <v>121065</v>
      </c>
      <c r="AF487">
        <f t="shared" si="56"/>
        <v>20</v>
      </c>
      <c r="AG487">
        <f t="shared" si="55"/>
        <v>4</v>
      </c>
      <c r="AH487" t="str">
        <f t="shared" si="54"/>
        <v>困难</v>
      </c>
      <c r="AI487">
        <f t="shared" si="57"/>
        <v>2147</v>
      </c>
      <c r="AJ487">
        <f t="shared" si="58"/>
        <v>909</v>
      </c>
      <c r="AK487">
        <f t="shared" si="59"/>
        <v>909</v>
      </c>
    </row>
    <row r="488" spans="30:37">
      <c r="AD488" s="131">
        <v>202004</v>
      </c>
      <c r="AE488" s="135">
        <v>121066</v>
      </c>
      <c r="AF488">
        <f t="shared" si="56"/>
        <v>20</v>
      </c>
      <c r="AG488">
        <f t="shared" si="55"/>
        <v>4</v>
      </c>
      <c r="AH488" t="str">
        <f t="shared" si="54"/>
        <v>困难</v>
      </c>
      <c r="AI488">
        <f t="shared" si="57"/>
        <v>2147</v>
      </c>
      <c r="AJ488">
        <f t="shared" si="58"/>
        <v>909</v>
      </c>
      <c r="AK488">
        <f t="shared" si="59"/>
        <v>909</v>
      </c>
    </row>
    <row r="489" spans="30:37">
      <c r="AD489" s="131">
        <v>202004</v>
      </c>
      <c r="AE489" s="135">
        <v>121066</v>
      </c>
      <c r="AF489">
        <f t="shared" si="56"/>
        <v>20</v>
      </c>
      <c r="AG489">
        <f t="shared" si="55"/>
        <v>4</v>
      </c>
      <c r="AH489" t="str">
        <f t="shared" si="54"/>
        <v>困难</v>
      </c>
      <c r="AI489">
        <f t="shared" si="57"/>
        <v>2147</v>
      </c>
      <c r="AJ489">
        <f t="shared" si="58"/>
        <v>909</v>
      </c>
      <c r="AK489">
        <f t="shared" si="59"/>
        <v>909</v>
      </c>
    </row>
    <row r="490" spans="30:37">
      <c r="AD490" s="131">
        <v>202004</v>
      </c>
      <c r="AE490" s="135">
        <v>121066</v>
      </c>
      <c r="AF490">
        <f t="shared" si="56"/>
        <v>20</v>
      </c>
      <c r="AG490">
        <f t="shared" si="55"/>
        <v>4</v>
      </c>
      <c r="AH490" t="str">
        <f t="shared" si="54"/>
        <v>困难</v>
      </c>
      <c r="AI490">
        <f t="shared" si="57"/>
        <v>2147</v>
      </c>
      <c r="AJ490">
        <f t="shared" si="58"/>
        <v>909</v>
      </c>
      <c r="AK490">
        <f t="shared" si="59"/>
        <v>909</v>
      </c>
    </row>
    <row r="491" spans="30:37">
      <c r="AD491" s="131">
        <v>202101</v>
      </c>
      <c r="AE491" s="135">
        <v>121067</v>
      </c>
      <c r="AF491">
        <f t="shared" si="56"/>
        <v>21</v>
      </c>
      <c r="AG491">
        <f t="shared" si="55"/>
        <v>1</v>
      </c>
      <c r="AH491" t="str">
        <f t="shared" si="54"/>
        <v>简单</v>
      </c>
      <c r="AI491">
        <f t="shared" si="57"/>
        <v>1274</v>
      </c>
      <c r="AJ491">
        <f t="shared" si="58"/>
        <v>537</v>
      </c>
      <c r="AK491">
        <f t="shared" si="59"/>
        <v>9584</v>
      </c>
    </row>
    <row r="492" spans="30:37">
      <c r="AD492" s="131">
        <v>202101</v>
      </c>
      <c r="AE492" s="135">
        <v>121067</v>
      </c>
      <c r="AF492">
        <f t="shared" si="56"/>
        <v>21</v>
      </c>
      <c r="AG492">
        <f t="shared" si="55"/>
        <v>1</v>
      </c>
      <c r="AH492" t="str">
        <f t="shared" ref="AH492:AH555" si="60">IF(VLOOKUP(AF492,AF:AG,2,1)=4,IF(AG492&lt;3,"简单","困难"),IF(AG492&lt;4,"简单","困难"))</f>
        <v>简单</v>
      </c>
      <c r="AI492">
        <f t="shared" si="57"/>
        <v>1274</v>
      </c>
      <c r="AJ492">
        <f t="shared" si="58"/>
        <v>537</v>
      </c>
      <c r="AK492">
        <f t="shared" si="59"/>
        <v>9584</v>
      </c>
    </row>
    <row r="493" spans="30:37">
      <c r="AD493" s="131">
        <v>202101</v>
      </c>
      <c r="AE493" s="135">
        <v>121069</v>
      </c>
      <c r="AF493">
        <f t="shared" si="56"/>
        <v>21</v>
      </c>
      <c r="AG493">
        <f t="shared" si="55"/>
        <v>1</v>
      </c>
      <c r="AH493" t="str">
        <f t="shared" si="60"/>
        <v>简单</v>
      </c>
      <c r="AI493">
        <f t="shared" si="57"/>
        <v>1274</v>
      </c>
      <c r="AJ493">
        <f t="shared" si="58"/>
        <v>537</v>
      </c>
      <c r="AK493">
        <f t="shared" si="59"/>
        <v>9584</v>
      </c>
    </row>
    <row r="494" spans="30:37">
      <c r="AD494" s="131">
        <v>202101</v>
      </c>
      <c r="AE494" s="135">
        <v>121068</v>
      </c>
      <c r="AF494">
        <f t="shared" si="56"/>
        <v>21</v>
      </c>
      <c r="AG494">
        <f t="shared" si="55"/>
        <v>1</v>
      </c>
      <c r="AH494" t="str">
        <f t="shared" si="60"/>
        <v>简单</v>
      </c>
      <c r="AI494">
        <f t="shared" si="57"/>
        <v>1274</v>
      </c>
      <c r="AJ494">
        <f t="shared" si="58"/>
        <v>537</v>
      </c>
      <c r="AK494">
        <f t="shared" si="59"/>
        <v>9584</v>
      </c>
    </row>
    <row r="495" spans="30:37">
      <c r="AD495" s="131">
        <v>202101</v>
      </c>
      <c r="AE495" s="135">
        <v>121070</v>
      </c>
      <c r="AF495">
        <f t="shared" si="56"/>
        <v>21</v>
      </c>
      <c r="AG495">
        <f t="shared" si="55"/>
        <v>1</v>
      </c>
      <c r="AH495" t="str">
        <f t="shared" si="60"/>
        <v>简单</v>
      </c>
      <c r="AI495">
        <f t="shared" si="57"/>
        <v>1274</v>
      </c>
      <c r="AJ495">
        <f t="shared" si="58"/>
        <v>537</v>
      </c>
      <c r="AK495">
        <f t="shared" si="59"/>
        <v>9584</v>
      </c>
    </row>
    <row r="496" spans="30:37">
      <c r="AD496" s="131">
        <v>202102</v>
      </c>
      <c r="AE496" s="135">
        <v>121083</v>
      </c>
      <c r="AF496">
        <f t="shared" si="56"/>
        <v>21</v>
      </c>
      <c r="AG496">
        <f t="shared" si="55"/>
        <v>2</v>
      </c>
      <c r="AH496" t="str">
        <f t="shared" si="60"/>
        <v>简单</v>
      </c>
      <c r="AI496">
        <f t="shared" si="57"/>
        <v>1274</v>
      </c>
      <c r="AJ496">
        <f t="shared" si="58"/>
        <v>537</v>
      </c>
      <c r="AK496">
        <f t="shared" si="59"/>
        <v>9584</v>
      </c>
    </row>
    <row r="497" spans="30:37">
      <c r="AD497" s="131">
        <v>202102</v>
      </c>
      <c r="AE497" s="135">
        <v>121083</v>
      </c>
      <c r="AF497">
        <f t="shared" si="56"/>
        <v>21</v>
      </c>
      <c r="AG497">
        <f t="shared" si="55"/>
        <v>2</v>
      </c>
      <c r="AH497" t="str">
        <f t="shared" si="60"/>
        <v>简单</v>
      </c>
      <c r="AI497">
        <f t="shared" si="57"/>
        <v>1274</v>
      </c>
      <c r="AJ497">
        <f t="shared" si="58"/>
        <v>537</v>
      </c>
      <c r="AK497">
        <f t="shared" si="59"/>
        <v>9584</v>
      </c>
    </row>
    <row r="498" spans="30:37">
      <c r="AD498" s="131">
        <v>202102</v>
      </c>
      <c r="AE498" s="135">
        <v>121084</v>
      </c>
      <c r="AF498">
        <f t="shared" si="56"/>
        <v>21</v>
      </c>
      <c r="AG498">
        <f t="shared" si="55"/>
        <v>2</v>
      </c>
      <c r="AH498" t="str">
        <f t="shared" si="60"/>
        <v>简单</v>
      </c>
      <c r="AI498">
        <f t="shared" si="57"/>
        <v>1274</v>
      </c>
      <c r="AJ498">
        <f t="shared" si="58"/>
        <v>537</v>
      </c>
      <c r="AK498">
        <f t="shared" si="59"/>
        <v>9584</v>
      </c>
    </row>
    <row r="499" spans="30:37">
      <c r="AD499" s="131">
        <v>202102</v>
      </c>
      <c r="AE499" s="135">
        <v>121084</v>
      </c>
      <c r="AF499">
        <f t="shared" si="56"/>
        <v>21</v>
      </c>
      <c r="AG499">
        <f t="shared" si="55"/>
        <v>2</v>
      </c>
      <c r="AH499" t="str">
        <f t="shared" si="60"/>
        <v>简单</v>
      </c>
      <c r="AI499">
        <f t="shared" si="57"/>
        <v>1274</v>
      </c>
      <c r="AJ499">
        <f t="shared" si="58"/>
        <v>537</v>
      </c>
      <c r="AK499">
        <f t="shared" si="59"/>
        <v>9584</v>
      </c>
    </row>
    <row r="500" spans="30:37">
      <c r="AD500" s="131">
        <v>202102</v>
      </c>
      <c r="AE500" s="135" t="s">
        <v>172</v>
      </c>
      <c r="AF500">
        <f t="shared" si="56"/>
        <v>21</v>
      </c>
      <c r="AG500">
        <f t="shared" si="55"/>
        <v>2</v>
      </c>
      <c r="AH500" t="str">
        <f t="shared" si="60"/>
        <v>简单</v>
      </c>
      <c r="AI500">
        <f t="shared" si="57"/>
        <v>1699</v>
      </c>
      <c r="AJ500">
        <f t="shared" si="58"/>
        <v>537</v>
      </c>
      <c r="AK500">
        <f t="shared" si="59"/>
        <v>9584</v>
      </c>
    </row>
    <row r="501" spans="30:37">
      <c r="AD501" s="131">
        <v>202103</v>
      </c>
      <c r="AE501" s="135">
        <v>121067</v>
      </c>
      <c r="AF501">
        <f t="shared" si="56"/>
        <v>21</v>
      </c>
      <c r="AG501">
        <f t="shared" si="55"/>
        <v>3</v>
      </c>
      <c r="AH501" t="str">
        <f t="shared" si="60"/>
        <v>困难</v>
      </c>
      <c r="AI501">
        <f t="shared" si="57"/>
        <v>2160</v>
      </c>
      <c r="AJ501">
        <f t="shared" si="58"/>
        <v>914</v>
      </c>
      <c r="AK501">
        <f t="shared" si="59"/>
        <v>914</v>
      </c>
    </row>
    <row r="502" spans="30:37">
      <c r="AD502" s="131">
        <v>202103</v>
      </c>
      <c r="AE502" s="135">
        <v>121067</v>
      </c>
      <c r="AF502">
        <f t="shared" si="56"/>
        <v>21</v>
      </c>
      <c r="AG502">
        <f t="shared" si="55"/>
        <v>3</v>
      </c>
      <c r="AH502" t="str">
        <f t="shared" si="60"/>
        <v>困难</v>
      </c>
      <c r="AI502">
        <f t="shared" si="57"/>
        <v>2160</v>
      </c>
      <c r="AJ502">
        <f t="shared" si="58"/>
        <v>914</v>
      </c>
      <c r="AK502">
        <f t="shared" si="59"/>
        <v>914</v>
      </c>
    </row>
    <row r="503" spans="30:37">
      <c r="AD503" s="131">
        <v>202103</v>
      </c>
      <c r="AE503" s="135">
        <v>121069</v>
      </c>
      <c r="AF503">
        <f t="shared" si="56"/>
        <v>21</v>
      </c>
      <c r="AG503">
        <f t="shared" si="55"/>
        <v>3</v>
      </c>
      <c r="AH503" t="str">
        <f t="shared" si="60"/>
        <v>困难</v>
      </c>
      <c r="AI503">
        <f t="shared" si="57"/>
        <v>2160</v>
      </c>
      <c r="AJ503">
        <f t="shared" si="58"/>
        <v>914</v>
      </c>
      <c r="AK503">
        <f t="shared" si="59"/>
        <v>914</v>
      </c>
    </row>
    <row r="504" spans="30:37">
      <c r="AD504" s="131">
        <v>202103</v>
      </c>
      <c r="AE504" s="135">
        <v>121068</v>
      </c>
      <c r="AF504">
        <f t="shared" si="56"/>
        <v>21</v>
      </c>
      <c r="AG504">
        <f t="shared" si="55"/>
        <v>3</v>
      </c>
      <c r="AH504" t="str">
        <f t="shared" si="60"/>
        <v>困难</v>
      </c>
      <c r="AI504">
        <f t="shared" si="57"/>
        <v>2160</v>
      </c>
      <c r="AJ504">
        <f t="shared" si="58"/>
        <v>914</v>
      </c>
      <c r="AK504">
        <f t="shared" si="59"/>
        <v>914</v>
      </c>
    </row>
    <row r="505" spans="30:37">
      <c r="AD505" s="131">
        <v>202103</v>
      </c>
      <c r="AE505" s="135">
        <v>121070</v>
      </c>
      <c r="AF505">
        <f t="shared" si="56"/>
        <v>21</v>
      </c>
      <c r="AG505">
        <f t="shared" si="55"/>
        <v>3</v>
      </c>
      <c r="AH505" t="str">
        <f t="shared" si="60"/>
        <v>困难</v>
      </c>
      <c r="AI505">
        <f t="shared" si="57"/>
        <v>2160</v>
      </c>
      <c r="AJ505">
        <f t="shared" si="58"/>
        <v>914</v>
      </c>
      <c r="AK505">
        <f t="shared" si="59"/>
        <v>914</v>
      </c>
    </row>
    <row r="506" spans="30:37">
      <c r="AD506" s="131">
        <v>202104</v>
      </c>
      <c r="AE506" s="135">
        <v>121083</v>
      </c>
      <c r="AF506">
        <f t="shared" si="56"/>
        <v>21</v>
      </c>
      <c r="AG506">
        <f t="shared" si="55"/>
        <v>4</v>
      </c>
      <c r="AH506" t="str">
        <f t="shared" si="60"/>
        <v>困难</v>
      </c>
      <c r="AI506">
        <f t="shared" si="57"/>
        <v>2160</v>
      </c>
      <c r="AJ506">
        <f t="shared" si="58"/>
        <v>914</v>
      </c>
      <c r="AK506">
        <f t="shared" si="59"/>
        <v>914</v>
      </c>
    </row>
    <row r="507" spans="30:37">
      <c r="AD507" s="131">
        <v>202104</v>
      </c>
      <c r="AE507" s="135">
        <v>121083</v>
      </c>
      <c r="AF507">
        <f t="shared" si="56"/>
        <v>21</v>
      </c>
      <c r="AG507">
        <f t="shared" si="55"/>
        <v>4</v>
      </c>
      <c r="AH507" t="str">
        <f t="shared" si="60"/>
        <v>困难</v>
      </c>
      <c r="AI507">
        <f t="shared" si="57"/>
        <v>2160</v>
      </c>
      <c r="AJ507">
        <f t="shared" si="58"/>
        <v>914</v>
      </c>
      <c r="AK507">
        <f t="shared" si="59"/>
        <v>914</v>
      </c>
    </row>
    <row r="508" spans="30:37">
      <c r="AD508" s="131">
        <v>202104</v>
      </c>
      <c r="AE508" s="135">
        <v>121084</v>
      </c>
      <c r="AF508">
        <f t="shared" si="56"/>
        <v>21</v>
      </c>
      <c r="AG508">
        <f t="shared" si="55"/>
        <v>4</v>
      </c>
      <c r="AH508" t="str">
        <f t="shared" si="60"/>
        <v>困难</v>
      </c>
      <c r="AI508">
        <f t="shared" si="57"/>
        <v>2160</v>
      </c>
      <c r="AJ508">
        <f t="shared" si="58"/>
        <v>914</v>
      </c>
      <c r="AK508">
        <f t="shared" si="59"/>
        <v>914</v>
      </c>
    </row>
    <row r="509" spans="30:37">
      <c r="AD509" s="131">
        <v>202104</v>
      </c>
      <c r="AE509" s="135">
        <v>121084</v>
      </c>
      <c r="AF509">
        <f t="shared" si="56"/>
        <v>21</v>
      </c>
      <c r="AG509">
        <f t="shared" si="55"/>
        <v>4</v>
      </c>
      <c r="AH509" t="str">
        <f t="shared" si="60"/>
        <v>困难</v>
      </c>
      <c r="AI509">
        <f t="shared" si="57"/>
        <v>2160</v>
      </c>
      <c r="AJ509">
        <f t="shared" si="58"/>
        <v>914</v>
      </c>
      <c r="AK509">
        <f t="shared" si="59"/>
        <v>914</v>
      </c>
    </row>
    <row r="510" spans="30:37">
      <c r="AD510" s="131">
        <v>202104</v>
      </c>
      <c r="AE510" s="135">
        <v>1112018</v>
      </c>
      <c r="AF510">
        <f t="shared" si="56"/>
        <v>21</v>
      </c>
      <c r="AG510">
        <f t="shared" si="55"/>
        <v>4</v>
      </c>
      <c r="AH510" t="str">
        <f t="shared" si="60"/>
        <v>困难</v>
      </c>
      <c r="AI510">
        <f t="shared" si="57"/>
        <v>2376</v>
      </c>
      <c r="AJ510">
        <f t="shared" si="58"/>
        <v>914</v>
      </c>
      <c r="AK510">
        <f t="shared" si="59"/>
        <v>914</v>
      </c>
    </row>
    <row r="511" spans="30:37">
      <c r="AD511" s="131">
        <v>202201</v>
      </c>
      <c r="AE511" s="135">
        <v>121067</v>
      </c>
      <c r="AF511">
        <f t="shared" si="56"/>
        <v>22</v>
      </c>
      <c r="AG511">
        <f t="shared" si="55"/>
        <v>1</v>
      </c>
      <c r="AH511" t="str">
        <f t="shared" si="60"/>
        <v>简单</v>
      </c>
      <c r="AI511">
        <f t="shared" si="57"/>
        <v>1274</v>
      </c>
      <c r="AJ511">
        <f t="shared" si="58"/>
        <v>537</v>
      </c>
      <c r="AK511">
        <f t="shared" si="59"/>
        <v>9584</v>
      </c>
    </row>
    <row r="512" spans="30:37">
      <c r="AD512" s="131">
        <v>202201</v>
      </c>
      <c r="AE512" s="135">
        <v>121067</v>
      </c>
      <c r="AF512">
        <f t="shared" si="56"/>
        <v>22</v>
      </c>
      <c r="AG512">
        <f t="shared" si="55"/>
        <v>1</v>
      </c>
      <c r="AH512" t="str">
        <f t="shared" si="60"/>
        <v>简单</v>
      </c>
      <c r="AI512">
        <f t="shared" si="57"/>
        <v>1274</v>
      </c>
      <c r="AJ512">
        <f t="shared" si="58"/>
        <v>537</v>
      </c>
      <c r="AK512">
        <f t="shared" si="59"/>
        <v>9584</v>
      </c>
    </row>
    <row r="513" spans="30:37">
      <c r="AD513" s="131">
        <v>202201</v>
      </c>
      <c r="AE513" s="135">
        <v>121068</v>
      </c>
      <c r="AF513">
        <f t="shared" si="56"/>
        <v>22</v>
      </c>
      <c r="AG513">
        <f t="shared" si="55"/>
        <v>1</v>
      </c>
      <c r="AH513" t="str">
        <f t="shared" si="60"/>
        <v>简单</v>
      </c>
      <c r="AI513">
        <f t="shared" si="57"/>
        <v>1274</v>
      </c>
      <c r="AJ513">
        <f t="shared" si="58"/>
        <v>537</v>
      </c>
      <c r="AK513">
        <f t="shared" si="59"/>
        <v>9584</v>
      </c>
    </row>
    <row r="514" spans="30:37">
      <c r="AD514" s="131">
        <v>202201</v>
      </c>
      <c r="AE514" s="135">
        <v>121068</v>
      </c>
      <c r="AF514">
        <f t="shared" si="56"/>
        <v>22</v>
      </c>
      <c r="AG514">
        <f t="shared" si="55"/>
        <v>1</v>
      </c>
      <c r="AH514" t="str">
        <f t="shared" si="60"/>
        <v>简单</v>
      </c>
      <c r="AI514">
        <f t="shared" si="57"/>
        <v>1274</v>
      </c>
      <c r="AJ514">
        <f t="shared" si="58"/>
        <v>537</v>
      </c>
      <c r="AK514">
        <f t="shared" si="59"/>
        <v>9584</v>
      </c>
    </row>
    <row r="515" spans="30:37">
      <c r="AD515" s="131">
        <v>202201</v>
      </c>
      <c r="AE515" s="135">
        <v>121071</v>
      </c>
      <c r="AF515">
        <f t="shared" si="56"/>
        <v>22</v>
      </c>
      <c r="AG515">
        <f t="shared" si="55"/>
        <v>1</v>
      </c>
      <c r="AH515" t="str">
        <f t="shared" si="60"/>
        <v>简单</v>
      </c>
      <c r="AI515">
        <f t="shared" si="57"/>
        <v>1274</v>
      </c>
      <c r="AJ515">
        <f t="shared" si="58"/>
        <v>537</v>
      </c>
      <c r="AK515">
        <f t="shared" si="59"/>
        <v>9584</v>
      </c>
    </row>
    <row r="516" spans="30:37">
      <c r="AD516" s="131">
        <v>202202</v>
      </c>
      <c r="AE516" s="135">
        <v>121084</v>
      </c>
      <c r="AF516">
        <f t="shared" si="56"/>
        <v>22</v>
      </c>
      <c r="AG516">
        <f t="shared" si="55"/>
        <v>2</v>
      </c>
      <c r="AH516" t="str">
        <f t="shared" si="60"/>
        <v>简单</v>
      </c>
      <c r="AI516">
        <f t="shared" si="57"/>
        <v>1274</v>
      </c>
      <c r="AJ516">
        <f t="shared" si="58"/>
        <v>537</v>
      </c>
      <c r="AK516">
        <f t="shared" si="59"/>
        <v>9584</v>
      </c>
    </row>
    <row r="517" spans="30:37">
      <c r="AD517" s="131">
        <v>202202</v>
      </c>
      <c r="AE517" s="135">
        <v>121084</v>
      </c>
      <c r="AF517">
        <f t="shared" si="56"/>
        <v>22</v>
      </c>
      <c r="AG517">
        <f t="shared" si="55"/>
        <v>2</v>
      </c>
      <c r="AH517" t="str">
        <f t="shared" si="60"/>
        <v>简单</v>
      </c>
      <c r="AI517">
        <f t="shared" si="57"/>
        <v>1274</v>
      </c>
      <c r="AJ517">
        <f t="shared" si="58"/>
        <v>537</v>
      </c>
      <c r="AK517">
        <f t="shared" si="59"/>
        <v>9584</v>
      </c>
    </row>
    <row r="518" spans="30:37">
      <c r="AD518" s="131">
        <v>202202</v>
      </c>
      <c r="AE518" s="135">
        <v>121083</v>
      </c>
      <c r="AF518">
        <f t="shared" si="56"/>
        <v>22</v>
      </c>
      <c r="AG518">
        <f t="shared" si="55"/>
        <v>2</v>
      </c>
      <c r="AH518" t="str">
        <f t="shared" si="60"/>
        <v>简单</v>
      </c>
      <c r="AI518">
        <f t="shared" si="57"/>
        <v>1274</v>
      </c>
      <c r="AJ518">
        <f t="shared" si="58"/>
        <v>537</v>
      </c>
      <c r="AK518">
        <f t="shared" si="59"/>
        <v>9584</v>
      </c>
    </row>
    <row r="519" spans="30:37">
      <c r="AD519" s="131">
        <v>202202</v>
      </c>
      <c r="AE519" s="135">
        <v>121083</v>
      </c>
      <c r="AF519">
        <f t="shared" si="56"/>
        <v>22</v>
      </c>
      <c r="AG519">
        <f t="shared" si="55"/>
        <v>2</v>
      </c>
      <c r="AH519" t="str">
        <f t="shared" si="60"/>
        <v>简单</v>
      </c>
      <c r="AI519">
        <f t="shared" si="57"/>
        <v>1274</v>
      </c>
      <c r="AJ519">
        <f t="shared" si="58"/>
        <v>537</v>
      </c>
      <c r="AK519">
        <f t="shared" si="59"/>
        <v>9584</v>
      </c>
    </row>
    <row r="520" spans="30:37">
      <c r="AD520" s="131">
        <v>202202</v>
      </c>
      <c r="AE520" s="135" t="s">
        <v>172</v>
      </c>
      <c r="AF520">
        <f t="shared" si="56"/>
        <v>22</v>
      </c>
      <c r="AG520">
        <f t="shared" si="55"/>
        <v>2</v>
      </c>
      <c r="AH520" t="str">
        <f t="shared" si="60"/>
        <v>简单</v>
      </c>
      <c r="AI520">
        <f t="shared" si="57"/>
        <v>1699</v>
      </c>
      <c r="AJ520">
        <f t="shared" si="58"/>
        <v>537</v>
      </c>
      <c r="AK520">
        <f t="shared" si="59"/>
        <v>9584</v>
      </c>
    </row>
    <row r="521" spans="30:37">
      <c r="AD521" s="131">
        <v>202203</v>
      </c>
      <c r="AE521" s="135">
        <v>121067</v>
      </c>
      <c r="AF521">
        <f t="shared" si="56"/>
        <v>22</v>
      </c>
      <c r="AG521">
        <f t="shared" si="55"/>
        <v>3</v>
      </c>
      <c r="AH521" t="str">
        <f t="shared" si="60"/>
        <v>简单</v>
      </c>
      <c r="AI521">
        <f t="shared" si="57"/>
        <v>1274</v>
      </c>
      <c r="AJ521">
        <f t="shared" si="58"/>
        <v>537</v>
      </c>
      <c r="AK521">
        <f t="shared" si="59"/>
        <v>9584</v>
      </c>
    </row>
    <row r="522" spans="30:37">
      <c r="AD522" s="131">
        <v>202203</v>
      </c>
      <c r="AE522" s="135">
        <v>121067</v>
      </c>
      <c r="AF522">
        <f t="shared" si="56"/>
        <v>22</v>
      </c>
      <c r="AG522">
        <f t="shared" si="55"/>
        <v>3</v>
      </c>
      <c r="AH522" t="str">
        <f t="shared" si="60"/>
        <v>简单</v>
      </c>
      <c r="AI522">
        <f t="shared" si="57"/>
        <v>1274</v>
      </c>
      <c r="AJ522">
        <f t="shared" si="58"/>
        <v>537</v>
      </c>
      <c r="AK522">
        <f t="shared" si="59"/>
        <v>9584</v>
      </c>
    </row>
    <row r="523" spans="30:37">
      <c r="AD523" s="131">
        <v>202203</v>
      </c>
      <c r="AE523" s="135">
        <v>121068</v>
      </c>
      <c r="AF523">
        <f t="shared" si="56"/>
        <v>22</v>
      </c>
      <c r="AG523">
        <f t="shared" si="55"/>
        <v>3</v>
      </c>
      <c r="AH523" t="str">
        <f t="shared" si="60"/>
        <v>简单</v>
      </c>
      <c r="AI523">
        <f t="shared" si="57"/>
        <v>1274</v>
      </c>
      <c r="AJ523">
        <f t="shared" si="58"/>
        <v>537</v>
      </c>
      <c r="AK523">
        <f t="shared" si="59"/>
        <v>9584</v>
      </c>
    </row>
    <row r="524" spans="30:37">
      <c r="AD524" s="131">
        <v>202203</v>
      </c>
      <c r="AE524" s="135">
        <v>121068</v>
      </c>
      <c r="AF524">
        <f t="shared" si="56"/>
        <v>22</v>
      </c>
      <c r="AG524">
        <f t="shared" si="55"/>
        <v>3</v>
      </c>
      <c r="AH524" t="str">
        <f t="shared" si="60"/>
        <v>简单</v>
      </c>
      <c r="AI524">
        <f t="shared" si="57"/>
        <v>1274</v>
      </c>
      <c r="AJ524">
        <f t="shared" si="58"/>
        <v>537</v>
      </c>
      <c r="AK524">
        <f t="shared" si="59"/>
        <v>9584</v>
      </c>
    </row>
    <row r="525" spans="30:37">
      <c r="AD525" s="131">
        <v>202203</v>
      </c>
      <c r="AE525" s="135">
        <v>121072</v>
      </c>
      <c r="AF525">
        <f t="shared" si="56"/>
        <v>22</v>
      </c>
      <c r="AG525">
        <f t="shared" si="55"/>
        <v>3</v>
      </c>
      <c r="AH525" t="str">
        <f t="shared" si="60"/>
        <v>简单</v>
      </c>
      <c r="AI525">
        <f t="shared" si="57"/>
        <v>1274</v>
      </c>
      <c r="AJ525">
        <f t="shared" si="58"/>
        <v>537</v>
      </c>
      <c r="AK525">
        <f t="shared" si="59"/>
        <v>9584</v>
      </c>
    </row>
    <row r="526" spans="30:37">
      <c r="AD526" s="131">
        <v>202204</v>
      </c>
      <c r="AE526" s="135">
        <v>121067</v>
      </c>
      <c r="AF526">
        <f t="shared" si="56"/>
        <v>22</v>
      </c>
      <c r="AG526">
        <f t="shared" si="55"/>
        <v>4</v>
      </c>
      <c r="AH526" t="str">
        <f t="shared" si="60"/>
        <v>困难</v>
      </c>
      <c r="AI526">
        <f t="shared" si="57"/>
        <v>2160</v>
      </c>
      <c r="AJ526">
        <f t="shared" si="58"/>
        <v>914</v>
      </c>
      <c r="AK526">
        <f t="shared" si="59"/>
        <v>914</v>
      </c>
    </row>
    <row r="527" spans="30:37">
      <c r="AD527" s="131">
        <v>202204</v>
      </c>
      <c r="AE527" s="135">
        <v>121067</v>
      </c>
      <c r="AF527">
        <f t="shared" si="56"/>
        <v>22</v>
      </c>
      <c r="AG527">
        <f t="shared" si="55"/>
        <v>4</v>
      </c>
      <c r="AH527" t="str">
        <f t="shared" si="60"/>
        <v>困难</v>
      </c>
      <c r="AI527">
        <f t="shared" si="57"/>
        <v>2160</v>
      </c>
      <c r="AJ527">
        <f t="shared" si="58"/>
        <v>914</v>
      </c>
      <c r="AK527">
        <f t="shared" si="59"/>
        <v>914</v>
      </c>
    </row>
    <row r="528" spans="30:37">
      <c r="AD528" s="131">
        <v>202204</v>
      </c>
      <c r="AE528" s="135">
        <v>121068</v>
      </c>
      <c r="AF528">
        <f t="shared" si="56"/>
        <v>22</v>
      </c>
      <c r="AG528">
        <f t="shared" si="55"/>
        <v>4</v>
      </c>
      <c r="AH528" t="str">
        <f t="shared" si="60"/>
        <v>困难</v>
      </c>
      <c r="AI528">
        <f t="shared" si="57"/>
        <v>2160</v>
      </c>
      <c r="AJ528">
        <f t="shared" si="58"/>
        <v>914</v>
      </c>
      <c r="AK528">
        <f t="shared" si="59"/>
        <v>914</v>
      </c>
    </row>
    <row r="529" spans="30:37">
      <c r="AD529" s="131">
        <v>202204</v>
      </c>
      <c r="AE529" s="135">
        <v>121068</v>
      </c>
      <c r="AF529">
        <f t="shared" si="56"/>
        <v>22</v>
      </c>
      <c r="AG529">
        <f t="shared" si="55"/>
        <v>4</v>
      </c>
      <c r="AH529" t="str">
        <f t="shared" si="60"/>
        <v>困难</v>
      </c>
      <c r="AI529">
        <f t="shared" si="57"/>
        <v>2160</v>
      </c>
      <c r="AJ529">
        <f t="shared" si="58"/>
        <v>914</v>
      </c>
      <c r="AK529">
        <f t="shared" si="59"/>
        <v>914</v>
      </c>
    </row>
    <row r="530" spans="30:37">
      <c r="AD530" s="131">
        <v>202204</v>
      </c>
      <c r="AE530" s="135">
        <v>121071</v>
      </c>
      <c r="AF530">
        <f t="shared" si="56"/>
        <v>22</v>
      </c>
      <c r="AG530">
        <f t="shared" si="55"/>
        <v>4</v>
      </c>
      <c r="AH530" t="str">
        <f t="shared" si="60"/>
        <v>困难</v>
      </c>
      <c r="AI530">
        <f t="shared" si="57"/>
        <v>2160</v>
      </c>
      <c r="AJ530">
        <f t="shared" si="58"/>
        <v>914</v>
      </c>
      <c r="AK530">
        <f t="shared" si="59"/>
        <v>914</v>
      </c>
    </row>
    <row r="531" spans="30:37">
      <c r="AD531" s="131">
        <v>202205</v>
      </c>
      <c r="AE531" s="135">
        <v>121084</v>
      </c>
      <c r="AF531">
        <f t="shared" si="56"/>
        <v>22</v>
      </c>
      <c r="AG531">
        <f t="shared" si="55"/>
        <v>5</v>
      </c>
      <c r="AH531" t="str">
        <f t="shared" si="60"/>
        <v>困难</v>
      </c>
      <c r="AI531">
        <f t="shared" si="57"/>
        <v>2160</v>
      </c>
      <c r="AJ531">
        <f t="shared" si="58"/>
        <v>914</v>
      </c>
      <c r="AK531">
        <f t="shared" si="59"/>
        <v>914</v>
      </c>
    </row>
    <row r="532" spans="30:37">
      <c r="AD532" s="131">
        <v>202205</v>
      </c>
      <c r="AE532" s="135">
        <v>121084</v>
      </c>
      <c r="AF532">
        <f t="shared" si="56"/>
        <v>22</v>
      </c>
      <c r="AG532">
        <f t="shared" si="55"/>
        <v>5</v>
      </c>
      <c r="AH532" t="str">
        <f t="shared" si="60"/>
        <v>困难</v>
      </c>
      <c r="AI532">
        <f t="shared" si="57"/>
        <v>2160</v>
      </c>
      <c r="AJ532">
        <f t="shared" si="58"/>
        <v>914</v>
      </c>
      <c r="AK532">
        <f t="shared" si="59"/>
        <v>914</v>
      </c>
    </row>
    <row r="533" spans="30:37">
      <c r="AD533" s="131">
        <v>202205</v>
      </c>
      <c r="AE533" s="135">
        <v>121083</v>
      </c>
      <c r="AF533">
        <f t="shared" si="56"/>
        <v>22</v>
      </c>
      <c r="AG533">
        <f t="shared" si="55"/>
        <v>5</v>
      </c>
      <c r="AH533" t="str">
        <f t="shared" si="60"/>
        <v>困难</v>
      </c>
      <c r="AI533">
        <f t="shared" si="57"/>
        <v>2160</v>
      </c>
      <c r="AJ533">
        <f t="shared" si="58"/>
        <v>914</v>
      </c>
      <c r="AK533">
        <f t="shared" si="59"/>
        <v>914</v>
      </c>
    </row>
    <row r="534" spans="30:37">
      <c r="AD534" s="131">
        <v>202205</v>
      </c>
      <c r="AE534" s="135">
        <v>121083</v>
      </c>
      <c r="AF534">
        <f t="shared" si="56"/>
        <v>22</v>
      </c>
      <c r="AG534">
        <f t="shared" ref="AG534:AG597" si="61">ROUNDDOWN(RIGHT(AD534,2),0)</f>
        <v>5</v>
      </c>
      <c r="AH534" t="str">
        <f t="shared" si="60"/>
        <v>困难</v>
      </c>
      <c r="AI534">
        <f t="shared" si="57"/>
        <v>2160</v>
      </c>
      <c r="AJ534">
        <f t="shared" si="58"/>
        <v>914</v>
      </c>
      <c r="AK534">
        <f t="shared" si="59"/>
        <v>914</v>
      </c>
    </row>
    <row r="535" spans="30:37">
      <c r="AD535" s="131">
        <v>202205</v>
      </c>
      <c r="AE535" s="135" t="s">
        <v>172</v>
      </c>
      <c r="AF535">
        <f t="shared" si="56"/>
        <v>22</v>
      </c>
      <c r="AG535">
        <f t="shared" si="61"/>
        <v>5</v>
      </c>
      <c r="AH535" t="str">
        <f t="shared" si="60"/>
        <v>困难</v>
      </c>
      <c r="AI535">
        <f t="shared" si="57"/>
        <v>2376</v>
      </c>
      <c r="AJ535">
        <f t="shared" si="58"/>
        <v>914</v>
      </c>
      <c r="AK535">
        <f t="shared" si="59"/>
        <v>914</v>
      </c>
    </row>
    <row r="536" spans="30:37">
      <c r="AD536" s="131">
        <v>202206</v>
      </c>
      <c r="AE536" s="135">
        <v>121067</v>
      </c>
      <c r="AF536">
        <f t="shared" si="56"/>
        <v>22</v>
      </c>
      <c r="AG536">
        <f t="shared" si="61"/>
        <v>6</v>
      </c>
      <c r="AH536" t="str">
        <f t="shared" si="60"/>
        <v>困难</v>
      </c>
      <c r="AI536">
        <f t="shared" si="57"/>
        <v>2160</v>
      </c>
      <c r="AJ536">
        <f t="shared" si="58"/>
        <v>914</v>
      </c>
      <c r="AK536">
        <f t="shared" si="59"/>
        <v>914</v>
      </c>
    </row>
    <row r="537" spans="30:37">
      <c r="AD537" s="131">
        <v>202206</v>
      </c>
      <c r="AE537" s="135">
        <v>121067</v>
      </c>
      <c r="AF537">
        <f t="shared" si="56"/>
        <v>22</v>
      </c>
      <c r="AG537">
        <f t="shared" si="61"/>
        <v>6</v>
      </c>
      <c r="AH537" t="str">
        <f t="shared" si="60"/>
        <v>困难</v>
      </c>
      <c r="AI537">
        <f t="shared" si="57"/>
        <v>2160</v>
      </c>
      <c r="AJ537">
        <f t="shared" si="58"/>
        <v>914</v>
      </c>
      <c r="AK537">
        <f t="shared" si="59"/>
        <v>914</v>
      </c>
    </row>
    <row r="538" spans="30:37">
      <c r="AD538" s="131">
        <v>202206</v>
      </c>
      <c r="AE538" s="135">
        <v>121068</v>
      </c>
      <c r="AF538">
        <f t="shared" si="56"/>
        <v>22</v>
      </c>
      <c r="AG538">
        <f t="shared" si="61"/>
        <v>6</v>
      </c>
      <c r="AH538" t="str">
        <f t="shared" si="60"/>
        <v>困难</v>
      </c>
      <c r="AI538">
        <f t="shared" si="57"/>
        <v>2160</v>
      </c>
      <c r="AJ538">
        <f t="shared" si="58"/>
        <v>914</v>
      </c>
      <c r="AK538">
        <f t="shared" si="59"/>
        <v>914</v>
      </c>
    </row>
    <row r="539" spans="30:37">
      <c r="AD539" s="131">
        <v>202206</v>
      </c>
      <c r="AE539" s="135">
        <v>121068</v>
      </c>
      <c r="AF539">
        <f t="shared" si="56"/>
        <v>22</v>
      </c>
      <c r="AG539">
        <f t="shared" si="61"/>
        <v>6</v>
      </c>
      <c r="AH539" t="str">
        <f t="shared" si="60"/>
        <v>困难</v>
      </c>
      <c r="AI539">
        <f t="shared" si="57"/>
        <v>2160</v>
      </c>
      <c r="AJ539">
        <f t="shared" si="58"/>
        <v>914</v>
      </c>
      <c r="AK539">
        <f t="shared" si="59"/>
        <v>914</v>
      </c>
    </row>
    <row r="540" spans="30:37">
      <c r="AD540" s="131">
        <v>202206</v>
      </c>
      <c r="AE540" s="135">
        <v>121072</v>
      </c>
      <c r="AF540">
        <f t="shared" si="56"/>
        <v>22</v>
      </c>
      <c r="AG540">
        <f t="shared" si="61"/>
        <v>6</v>
      </c>
      <c r="AH540" t="str">
        <f t="shared" si="60"/>
        <v>困难</v>
      </c>
      <c r="AI540">
        <f t="shared" si="57"/>
        <v>2160</v>
      </c>
      <c r="AJ540">
        <f t="shared" si="58"/>
        <v>914</v>
      </c>
      <c r="AK540">
        <f t="shared" si="59"/>
        <v>914</v>
      </c>
    </row>
    <row r="541" spans="30:37">
      <c r="AD541" s="131">
        <v>202301</v>
      </c>
      <c r="AE541" s="135">
        <v>121067</v>
      </c>
      <c r="AF541">
        <f t="shared" si="56"/>
        <v>23</v>
      </c>
      <c r="AG541">
        <f t="shared" si="61"/>
        <v>1</v>
      </c>
      <c r="AH541" t="str">
        <f t="shared" si="60"/>
        <v>简单</v>
      </c>
      <c r="AI541">
        <f t="shared" si="57"/>
        <v>1422</v>
      </c>
      <c r="AJ541">
        <f t="shared" si="58"/>
        <v>618</v>
      </c>
      <c r="AK541">
        <f t="shared" si="59"/>
        <v>11718</v>
      </c>
    </row>
    <row r="542" spans="30:37">
      <c r="AD542" s="131">
        <v>202301</v>
      </c>
      <c r="AE542" s="135">
        <v>121067</v>
      </c>
      <c r="AF542">
        <f t="shared" ref="AF542:AF605" si="62">MOD(ROUNDDOWN(AD542/100,0),100)</f>
        <v>23</v>
      </c>
      <c r="AG542">
        <f t="shared" si="61"/>
        <v>1</v>
      </c>
      <c r="AH542" t="str">
        <f t="shared" si="60"/>
        <v>简单</v>
      </c>
      <c r="AI542">
        <f t="shared" si="57"/>
        <v>1422</v>
      </c>
      <c r="AJ542">
        <f t="shared" si="58"/>
        <v>618</v>
      </c>
      <c r="AK542">
        <f t="shared" si="59"/>
        <v>11718</v>
      </c>
    </row>
    <row r="543" spans="30:37">
      <c r="AD543" s="131">
        <v>202301</v>
      </c>
      <c r="AE543" s="135">
        <v>121068</v>
      </c>
      <c r="AF543">
        <f t="shared" si="62"/>
        <v>23</v>
      </c>
      <c r="AG543">
        <f t="shared" si="61"/>
        <v>1</v>
      </c>
      <c r="AH543" t="str">
        <f t="shared" si="60"/>
        <v>简单</v>
      </c>
      <c r="AI543">
        <f t="shared" ref="AI543:AI606" si="63">IF($AH543="简单",IF(AE543&lt;122000,VLOOKUP($AF543,$N:$T,2,0),VLOOKUP($AF543,$N:$T,5,0)),IF(AE543&lt;122000,VLOOKUP($AF543,$V:$AB,2,0),VLOOKUP($AF543,$V:$AB,5,0)))</f>
        <v>1422</v>
      </c>
      <c r="AJ543">
        <f t="shared" ref="AJ543:AJ606" si="64">IF($AH543="简单",IF(AF543&lt;122000,VLOOKUP($AF543,$N:$T,3,0),VLOOKUP($AF543,$N:$T,6,0)),IF(AF543&lt;122000,VLOOKUP($AF543,$V:$AB,3,0),VLOOKUP($AF543,$V:$AB,6,0)))</f>
        <v>618</v>
      </c>
      <c r="AK543">
        <f t="shared" ref="AK543:AK606" si="65">IF($AH543="简单",IF(AG543&lt;122000,VLOOKUP($AF543,$N:$T,4,0),VLOOKUP($AF543,$N:$T,7,0)),IF(AG543&lt;122000,VLOOKUP($AF543,$V:$AB,3,0),VLOOKUP($AF543,$V:$AB,6,0)))</f>
        <v>11718</v>
      </c>
    </row>
    <row r="544" spans="30:37">
      <c r="AD544" s="131">
        <v>202301</v>
      </c>
      <c r="AE544" s="135">
        <v>121068</v>
      </c>
      <c r="AF544">
        <f t="shared" si="62"/>
        <v>23</v>
      </c>
      <c r="AG544">
        <f t="shared" si="61"/>
        <v>1</v>
      </c>
      <c r="AH544" t="str">
        <f t="shared" si="60"/>
        <v>简单</v>
      </c>
      <c r="AI544">
        <f t="shared" si="63"/>
        <v>1422</v>
      </c>
      <c r="AJ544">
        <f t="shared" si="64"/>
        <v>618</v>
      </c>
      <c r="AK544">
        <f t="shared" si="65"/>
        <v>11718</v>
      </c>
    </row>
    <row r="545" spans="30:37">
      <c r="AD545" s="131">
        <v>202301</v>
      </c>
      <c r="AE545" s="135">
        <v>1113002</v>
      </c>
      <c r="AF545">
        <f t="shared" si="62"/>
        <v>23</v>
      </c>
      <c r="AG545">
        <f t="shared" si="61"/>
        <v>1</v>
      </c>
      <c r="AH545" t="str">
        <f t="shared" si="60"/>
        <v>简单</v>
      </c>
      <c r="AI545">
        <f t="shared" si="63"/>
        <v>1896</v>
      </c>
      <c r="AJ545">
        <f t="shared" si="64"/>
        <v>618</v>
      </c>
      <c r="AK545">
        <f t="shared" si="65"/>
        <v>11718</v>
      </c>
    </row>
    <row r="546" spans="30:37">
      <c r="AD546" s="131">
        <v>202302</v>
      </c>
      <c r="AE546" s="135">
        <v>1113002</v>
      </c>
      <c r="AF546">
        <f t="shared" si="62"/>
        <v>23</v>
      </c>
      <c r="AG546">
        <f t="shared" si="61"/>
        <v>2</v>
      </c>
      <c r="AH546" t="str">
        <f t="shared" si="60"/>
        <v>简单</v>
      </c>
      <c r="AI546">
        <f t="shared" si="63"/>
        <v>1896</v>
      </c>
      <c r="AJ546">
        <f t="shared" si="64"/>
        <v>618</v>
      </c>
      <c r="AK546">
        <f t="shared" si="65"/>
        <v>11718</v>
      </c>
    </row>
    <row r="547" spans="30:37">
      <c r="AD547" s="131">
        <v>202303</v>
      </c>
      <c r="AE547" s="135">
        <v>121067</v>
      </c>
      <c r="AF547">
        <f t="shared" si="62"/>
        <v>23</v>
      </c>
      <c r="AG547">
        <f t="shared" si="61"/>
        <v>3</v>
      </c>
      <c r="AH547" t="str">
        <f t="shared" si="60"/>
        <v>困难</v>
      </c>
      <c r="AI547">
        <f t="shared" si="63"/>
        <v>2409</v>
      </c>
      <c r="AJ547">
        <f t="shared" si="64"/>
        <v>1053</v>
      </c>
      <c r="AK547">
        <f t="shared" si="65"/>
        <v>1053</v>
      </c>
    </row>
    <row r="548" spans="30:37">
      <c r="AD548" s="131">
        <v>202303</v>
      </c>
      <c r="AE548" s="135">
        <v>121067</v>
      </c>
      <c r="AF548">
        <f t="shared" si="62"/>
        <v>23</v>
      </c>
      <c r="AG548">
        <f t="shared" si="61"/>
        <v>3</v>
      </c>
      <c r="AH548" t="str">
        <f t="shared" si="60"/>
        <v>困难</v>
      </c>
      <c r="AI548">
        <f t="shared" si="63"/>
        <v>2409</v>
      </c>
      <c r="AJ548">
        <f t="shared" si="64"/>
        <v>1053</v>
      </c>
      <c r="AK548">
        <f t="shared" si="65"/>
        <v>1053</v>
      </c>
    </row>
    <row r="549" spans="30:37">
      <c r="AD549" s="131">
        <v>202303</v>
      </c>
      <c r="AE549" s="135">
        <v>121068</v>
      </c>
      <c r="AF549">
        <f t="shared" si="62"/>
        <v>23</v>
      </c>
      <c r="AG549">
        <f t="shared" si="61"/>
        <v>3</v>
      </c>
      <c r="AH549" t="str">
        <f t="shared" si="60"/>
        <v>困难</v>
      </c>
      <c r="AI549">
        <f t="shared" si="63"/>
        <v>2409</v>
      </c>
      <c r="AJ549">
        <f t="shared" si="64"/>
        <v>1053</v>
      </c>
      <c r="AK549">
        <f t="shared" si="65"/>
        <v>1053</v>
      </c>
    </row>
    <row r="550" spans="30:37">
      <c r="AD550" s="131">
        <v>202303</v>
      </c>
      <c r="AE550" s="135">
        <v>121068</v>
      </c>
      <c r="AF550">
        <f t="shared" si="62"/>
        <v>23</v>
      </c>
      <c r="AG550">
        <f t="shared" si="61"/>
        <v>3</v>
      </c>
      <c r="AH550" t="str">
        <f t="shared" si="60"/>
        <v>困难</v>
      </c>
      <c r="AI550">
        <f t="shared" si="63"/>
        <v>2409</v>
      </c>
      <c r="AJ550">
        <f t="shared" si="64"/>
        <v>1053</v>
      </c>
      <c r="AK550">
        <f t="shared" si="65"/>
        <v>1053</v>
      </c>
    </row>
    <row r="551" spans="30:37">
      <c r="AD551" s="131">
        <v>202303</v>
      </c>
      <c r="AE551" s="135">
        <v>1113002</v>
      </c>
      <c r="AF551">
        <f t="shared" si="62"/>
        <v>23</v>
      </c>
      <c r="AG551">
        <f t="shared" si="61"/>
        <v>3</v>
      </c>
      <c r="AH551" t="str">
        <f t="shared" si="60"/>
        <v>困难</v>
      </c>
      <c r="AI551">
        <f t="shared" si="63"/>
        <v>2649</v>
      </c>
      <c r="AJ551">
        <f t="shared" si="64"/>
        <v>1053</v>
      </c>
      <c r="AK551">
        <f t="shared" si="65"/>
        <v>1053</v>
      </c>
    </row>
    <row r="552" spans="30:37">
      <c r="AD552" s="131">
        <v>202304</v>
      </c>
      <c r="AE552" s="135">
        <v>1113002</v>
      </c>
      <c r="AF552">
        <f t="shared" si="62"/>
        <v>23</v>
      </c>
      <c r="AG552">
        <f t="shared" si="61"/>
        <v>4</v>
      </c>
      <c r="AH552" t="str">
        <f t="shared" si="60"/>
        <v>困难</v>
      </c>
      <c r="AI552">
        <f t="shared" si="63"/>
        <v>2649</v>
      </c>
      <c r="AJ552">
        <f t="shared" si="64"/>
        <v>1053</v>
      </c>
      <c r="AK552">
        <f t="shared" si="65"/>
        <v>1053</v>
      </c>
    </row>
    <row r="553" spans="30:37">
      <c r="AD553" s="131">
        <v>202401</v>
      </c>
      <c r="AE553" s="135">
        <v>121113</v>
      </c>
      <c r="AF553">
        <f t="shared" si="62"/>
        <v>24</v>
      </c>
      <c r="AG553">
        <f t="shared" si="61"/>
        <v>1</v>
      </c>
      <c r="AH553" t="str">
        <f t="shared" si="60"/>
        <v>简单</v>
      </c>
      <c r="AI553">
        <f t="shared" si="63"/>
        <v>1658</v>
      </c>
      <c r="AJ553">
        <f t="shared" si="64"/>
        <v>658</v>
      </c>
      <c r="AK553">
        <f t="shared" si="65"/>
        <v>12524</v>
      </c>
    </row>
    <row r="554" spans="30:37">
      <c r="AD554" s="131">
        <v>202401</v>
      </c>
      <c r="AE554" s="135">
        <v>121017</v>
      </c>
      <c r="AF554">
        <f t="shared" si="62"/>
        <v>24</v>
      </c>
      <c r="AG554">
        <f t="shared" si="61"/>
        <v>1</v>
      </c>
      <c r="AH554" t="str">
        <f t="shared" si="60"/>
        <v>简单</v>
      </c>
      <c r="AI554">
        <f t="shared" si="63"/>
        <v>1658</v>
      </c>
      <c r="AJ554">
        <f t="shared" si="64"/>
        <v>658</v>
      </c>
      <c r="AK554">
        <f t="shared" si="65"/>
        <v>12524</v>
      </c>
    </row>
    <row r="555" spans="30:37">
      <c r="AD555" s="131">
        <v>202401</v>
      </c>
      <c r="AE555" s="135">
        <v>121017</v>
      </c>
      <c r="AF555">
        <f t="shared" si="62"/>
        <v>24</v>
      </c>
      <c r="AG555">
        <f t="shared" si="61"/>
        <v>1</v>
      </c>
      <c r="AH555" t="str">
        <f t="shared" si="60"/>
        <v>简单</v>
      </c>
      <c r="AI555">
        <f t="shared" si="63"/>
        <v>1658</v>
      </c>
      <c r="AJ555">
        <f t="shared" si="64"/>
        <v>658</v>
      </c>
      <c r="AK555">
        <f t="shared" si="65"/>
        <v>12524</v>
      </c>
    </row>
    <row r="556" spans="30:37">
      <c r="AD556" s="131">
        <v>202401</v>
      </c>
      <c r="AE556" s="135">
        <v>121033</v>
      </c>
      <c r="AF556">
        <f t="shared" si="62"/>
        <v>24</v>
      </c>
      <c r="AG556">
        <f t="shared" si="61"/>
        <v>1</v>
      </c>
      <c r="AH556" t="str">
        <f t="shared" ref="AH556:AH619" si="66">IF(VLOOKUP(AF556,AF:AG,2,1)=4,IF(AG556&lt;3,"简单","困难"),IF(AG556&lt;4,"简单","困难"))</f>
        <v>简单</v>
      </c>
      <c r="AI556">
        <f t="shared" si="63"/>
        <v>1658</v>
      </c>
      <c r="AJ556">
        <f t="shared" si="64"/>
        <v>658</v>
      </c>
      <c r="AK556">
        <f t="shared" si="65"/>
        <v>12524</v>
      </c>
    </row>
    <row r="557" spans="30:37">
      <c r="AD557" s="131">
        <v>202401</v>
      </c>
      <c r="AE557" s="135">
        <v>121112</v>
      </c>
      <c r="AF557">
        <f t="shared" si="62"/>
        <v>24</v>
      </c>
      <c r="AG557">
        <f t="shared" si="61"/>
        <v>1</v>
      </c>
      <c r="AH557" t="str">
        <f t="shared" si="66"/>
        <v>简单</v>
      </c>
      <c r="AI557">
        <f t="shared" si="63"/>
        <v>1658</v>
      </c>
      <c r="AJ557">
        <f t="shared" si="64"/>
        <v>658</v>
      </c>
      <c r="AK557">
        <f t="shared" si="65"/>
        <v>12524</v>
      </c>
    </row>
    <row r="558" spans="30:37">
      <c r="AD558" s="131">
        <v>202402</v>
      </c>
      <c r="AE558" s="135">
        <v>121114</v>
      </c>
      <c r="AF558">
        <f t="shared" si="62"/>
        <v>24</v>
      </c>
      <c r="AG558">
        <f t="shared" si="61"/>
        <v>2</v>
      </c>
      <c r="AH558" t="str">
        <f t="shared" si="66"/>
        <v>简单</v>
      </c>
      <c r="AI558">
        <f t="shared" si="63"/>
        <v>1658</v>
      </c>
      <c r="AJ558">
        <f t="shared" si="64"/>
        <v>658</v>
      </c>
      <c r="AK558">
        <f t="shared" si="65"/>
        <v>12524</v>
      </c>
    </row>
    <row r="559" spans="30:37">
      <c r="AD559" s="131">
        <v>202402</v>
      </c>
      <c r="AE559" s="135">
        <v>121018</v>
      </c>
      <c r="AF559">
        <f t="shared" si="62"/>
        <v>24</v>
      </c>
      <c r="AG559">
        <f t="shared" si="61"/>
        <v>2</v>
      </c>
      <c r="AH559" t="str">
        <f t="shared" si="66"/>
        <v>简单</v>
      </c>
      <c r="AI559">
        <f t="shared" si="63"/>
        <v>1658</v>
      </c>
      <c r="AJ559">
        <f t="shared" si="64"/>
        <v>658</v>
      </c>
      <c r="AK559">
        <f t="shared" si="65"/>
        <v>12524</v>
      </c>
    </row>
    <row r="560" spans="30:37">
      <c r="AD560" s="131">
        <v>202402</v>
      </c>
      <c r="AE560" s="135">
        <v>121111</v>
      </c>
      <c r="AF560">
        <f t="shared" si="62"/>
        <v>24</v>
      </c>
      <c r="AG560">
        <f t="shared" si="61"/>
        <v>2</v>
      </c>
      <c r="AH560" t="str">
        <f t="shared" si="66"/>
        <v>简单</v>
      </c>
      <c r="AI560">
        <f t="shared" si="63"/>
        <v>1658</v>
      </c>
      <c r="AJ560">
        <f t="shared" si="64"/>
        <v>658</v>
      </c>
      <c r="AK560">
        <f t="shared" si="65"/>
        <v>12524</v>
      </c>
    </row>
    <row r="561" spans="30:37">
      <c r="AD561" s="131">
        <v>202402</v>
      </c>
      <c r="AE561" s="135">
        <v>121036</v>
      </c>
      <c r="AF561">
        <f t="shared" si="62"/>
        <v>24</v>
      </c>
      <c r="AG561">
        <f t="shared" si="61"/>
        <v>2</v>
      </c>
      <c r="AH561" t="str">
        <f t="shared" si="66"/>
        <v>简单</v>
      </c>
      <c r="AI561">
        <f t="shared" si="63"/>
        <v>1658</v>
      </c>
      <c r="AJ561">
        <f t="shared" si="64"/>
        <v>658</v>
      </c>
      <c r="AK561">
        <f t="shared" si="65"/>
        <v>12524</v>
      </c>
    </row>
    <row r="562" spans="30:37">
      <c r="AD562" s="131">
        <v>202402</v>
      </c>
      <c r="AE562" s="135">
        <v>121036</v>
      </c>
      <c r="AF562">
        <f t="shared" si="62"/>
        <v>24</v>
      </c>
      <c r="AG562">
        <f t="shared" si="61"/>
        <v>2</v>
      </c>
      <c r="AH562" t="str">
        <f t="shared" si="66"/>
        <v>简单</v>
      </c>
      <c r="AI562">
        <f t="shared" si="63"/>
        <v>1658</v>
      </c>
      <c r="AJ562">
        <f t="shared" si="64"/>
        <v>658</v>
      </c>
      <c r="AK562">
        <f t="shared" si="65"/>
        <v>12524</v>
      </c>
    </row>
    <row r="563" spans="30:37">
      <c r="AD563" s="131">
        <v>202403</v>
      </c>
      <c r="AE563" s="135">
        <v>121113</v>
      </c>
      <c r="AF563">
        <f t="shared" si="62"/>
        <v>24</v>
      </c>
      <c r="AG563">
        <f t="shared" si="61"/>
        <v>3</v>
      </c>
      <c r="AH563" t="str">
        <f t="shared" si="66"/>
        <v>困难</v>
      </c>
      <c r="AI563">
        <f t="shared" si="63"/>
        <v>2721</v>
      </c>
      <c r="AJ563">
        <f t="shared" si="64"/>
        <v>1099</v>
      </c>
      <c r="AK563">
        <f t="shared" si="65"/>
        <v>1099</v>
      </c>
    </row>
    <row r="564" spans="30:37">
      <c r="AD564" s="131">
        <v>202403</v>
      </c>
      <c r="AE564" s="135">
        <v>121017</v>
      </c>
      <c r="AF564">
        <f t="shared" si="62"/>
        <v>24</v>
      </c>
      <c r="AG564">
        <f t="shared" si="61"/>
        <v>3</v>
      </c>
      <c r="AH564" t="str">
        <f t="shared" si="66"/>
        <v>困难</v>
      </c>
      <c r="AI564">
        <f t="shared" si="63"/>
        <v>2721</v>
      </c>
      <c r="AJ564">
        <f t="shared" si="64"/>
        <v>1099</v>
      </c>
      <c r="AK564">
        <f t="shared" si="65"/>
        <v>1099</v>
      </c>
    </row>
    <row r="565" spans="30:37">
      <c r="AD565" s="131">
        <v>202403</v>
      </c>
      <c r="AE565" s="135">
        <v>121017</v>
      </c>
      <c r="AF565">
        <f t="shared" si="62"/>
        <v>24</v>
      </c>
      <c r="AG565">
        <f t="shared" si="61"/>
        <v>3</v>
      </c>
      <c r="AH565" t="str">
        <f t="shared" si="66"/>
        <v>困难</v>
      </c>
      <c r="AI565">
        <f t="shared" si="63"/>
        <v>2721</v>
      </c>
      <c r="AJ565">
        <f t="shared" si="64"/>
        <v>1099</v>
      </c>
      <c r="AK565">
        <f t="shared" si="65"/>
        <v>1099</v>
      </c>
    </row>
    <row r="566" spans="30:37">
      <c r="AD566" s="131">
        <v>202403</v>
      </c>
      <c r="AE566" s="135">
        <v>121033</v>
      </c>
      <c r="AF566">
        <f t="shared" si="62"/>
        <v>24</v>
      </c>
      <c r="AG566">
        <f t="shared" si="61"/>
        <v>3</v>
      </c>
      <c r="AH566" t="str">
        <f t="shared" si="66"/>
        <v>困难</v>
      </c>
      <c r="AI566">
        <f t="shared" si="63"/>
        <v>2721</v>
      </c>
      <c r="AJ566">
        <f t="shared" si="64"/>
        <v>1099</v>
      </c>
      <c r="AK566">
        <f t="shared" si="65"/>
        <v>1099</v>
      </c>
    </row>
    <row r="567" spans="30:37">
      <c r="AD567" s="131">
        <v>202403</v>
      </c>
      <c r="AE567" s="135">
        <v>121112</v>
      </c>
      <c r="AF567">
        <f t="shared" si="62"/>
        <v>24</v>
      </c>
      <c r="AG567">
        <f t="shared" si="61"/>
        <v>3</v>
      </c>
      <c r="AH567" t="str">
        <f t="shared" si="66"/>
        <v>困难</v>
      </c>
      <c r="AI567">
        <f t="shared" si="63"/>
        <v>2721</v>
      </c>
      <c r="AJ567">
        <f t="shared" si="64"/>
        <v>1099</v>
      </c>
      <c r="AK567">
        <f t="shared" si="65"/>
        <v>1099</v>
      </c>
    </row>
    <row r="568" spans="30:37">
      <c r="AD568" s="131">
        <v>202404</v>
      </c>
      <c r="AE568" s="135">
        <v>121114</v>
      </c>
      <c r="AF568">
        <f t="shared" si="62"/>
        <v>24</v>
      </c>
      <c r="AG568">
        <f t="shared" si="61"/>
        <v>4</v>
      </c>
      <c r="AH568" t="str">
        <f t="shared" si="66"/>
        <v>困难</v>
      </c>
      <c r="AI568">
        <f t="shared" si="63"/>
        <v>2721</v>
      </c>
      <c r="AJ568">
        <f t="shared" si="64"/>
        <v>1099</v>
      </c>
      <c r="AK568">
        <f t="shared" si="65"/>
        <v>1099</v>
      </c>
    </row>
    <row r="569" spans="30:37">
      <c r="AD569" s="131">
        <v>202404</v>
      </c>
      <c r="AE569" s="135">
        <v>121018</v>
      </c>
      <c r="AF569">
        <f t="shared" si="62"/>
        <v>24</v>
      </c>
      <c r="AG569">
        <f t="shared" si="61"/>
        <v>4</v>
      </c>
      <c r="AH569" t="str">
        <f t="shared" si="66"/>
        <v>困难</v>
      </c>
      <c r="AI569">
        <f t="shared" si="63"/>
        <v>2721</v>
      </c>
      <c r="AJ569">
        <f t="shared" si="64"/>
        <v>1099</v>
      </c>
      <c r="AK569">
        <f t="shared" si="65"/>
        <v>1099</v>
      </c>
    </row>
    <row r="570" spans="30:37">
      <c r="AD570" s="131">
        <v>202404</v>
      </c>
      <c r="AE570" s="135">
        <v>121111</v>
      </c>
      <c r="AF570">
        <f t="shared" si="62"/>
        <v>24</v>
      </c>
      <c r="AG570">
        <f t="shared" si="61"/>
        <v>4</v>
      </c>
      <c r="AH570" t="str">
        <f t="shared" si="66"/>
        <v>困难</v>
      </c>
      <c r="AI570">
        <f t="shared" si="63"/>
        <v>2721</v>
      </c>
      <c r="AJ570">
        <f t="shared" si="64"/>
        <v>1099</v>
      </c>
      <c r="AK570">
        <f t="shared" si="65"/>
        <v>1099</v>
      </c>
    </row>
    <row r="571" spans="30:37">
      <c r="AD571" s="131">
        <v>202404</v>
      </c>
      <c r="AE571" s="135">
        <v>121036</v>
      </c>
      <c r="AF571">
        <f t="shared" si="62"/>
        <v>24</v>
      </c>
      <c r="AG571">
        <f t="shared" si="61"/>
        <v>4</v>
      </c>
      <c r="AH571" t="str">
        <f t="shared" si="66"/>
        <v>困难</v>
      </c>
      <c r="AI571">
        <f t="shared" si="63"/>
        <v>2721</v>
      </c>
      <c r="AJ571">
        <f t="shared" si="64"/>
        <v>1099</v>
      </c>
      <c r="AK571">
        <f t="shared" si="65"/>
        <v>1099</v>
      </c>
    </row>
    <row r="572" spans="30:37">
      <c r="AD572" s="131">
        <v>202404</v>
      </c>
      <c r="AE572" s="135">
        <v>121036</v>
      </c>
      <c r="AF572">
        <f t="shared" si="62"/>
        <v>24</v>
      </c>
      <c r="AG572">
        <f t="shared" si="61"/>
        <v>4</v>
      </c>
      <c r="AH572" t="str">
        <f t="shared" si="66"/>
        <v>困难</v>
      </c>
      <c r="AI572">
        <f t="shared" si="63"/>
        <v>2721</v>
      </c>
      <c r="AJ572">
        <f t="shared" si="64"/>
        <v>1099</v>
      </c>
      <c r="AK572">
        <f t="shared" si="65"/>
        <v>1099</v>
      </c>
    </row>
    <row r="573" spans="30:37">
      <c r="AD573" s="131">
        <v>202501</v>
      </c>
      <c r="AE573" s="135">
        <v>121009</v>
      </c>
      <c r="AF573">
        <f t="shared" si="62"/>
        <v>25</v>
      </c>
      <c r="AG573">
        <f t="shared" si="61"/>
        <v>1</v>
      </c>
      <c r="AH573" t="str">
        <f t="shared" si="66"/>
        <v>简单</v>
      </c>
      <c r="AI573">
        <f t="shared" si="63"/>
        <v>1658</v>
      </c>
      <c r="AJ573">
        <f t="shared" si="64"/>
        <v>658</v>
      </c>
      <c r="AK573">
        <f t="shared" si="65"/>
        <v>12524</v>
      </c>
    </row>
    <row r="574" spans="30:37">
      <c r="AD574" s="131">
        <v>202501</v>
      </c>
      <c r="AE574" s="135">
        <v>121009</v>
      </c>
      <c r="AF574">
        <f t="shared" si="62"/>
        <v>25</v>
      </c>
      <c r="AG574">
        <f t="shared" si="61"/>
        <v>1</v>
      </c>
      <c r="AH574" t="str">
        <f t="shared" si="66"/>
        <v>简单</v>
      </c>
      <c r="AI574">
        <f t="shared" si="63"/>
        <v>1658</v>
      </c>
      <c r="AJ574">
        <f t="shared" si="64"/>
        <v>658</v>
      </c>
      <c r="AK574">
        <f t="shared" si="65"/>
        <v>12524</v>
      </c>
    </row>
    <row r="575" spans="30:37">
      <c r="AD575" s="131">
        <v>202501</v>
      </c>
      <c r="AE575" s="135">
        <v>121013</v>
      </c>
      <c r="AF575">
        <f t="shared" si="62"/>
        <v>25</v>
      </c>
      <c r="AG575">
        <f t="shared" si="61"/>
        <v>1</v>
      </c>
      <c r="AH575" t="str">
        <f t="shared" si="66"/>
        <v>简单</v>
      </c>
      <c r="AI575">
        <f t="shared" si="63"/>
        <v>1658</v>
      </c>
      <c r="AJ575">
        <f t="shared" si="64"/>
        <v>658</v>
      </c>
      <c r="AK575">
        <f t="shared" si="65"/>
        <v>12524</v>
      </c>
    </row>
    <row r="576" spans="30:37">
      <c r="AD576" s="131">
        <v>202501</v>
      </c>
      <c r="AE576" s="135">
        <v>121109</v>
      </c>
      <c r="AF576">
        <f t="shared" si="62"/>
        <v>25</v>
      </c>
      <c r="AG576">
        <f t="shared" si="61"/>
        <v>1</v>
      </c>
      <c r="AH576" t="str">
        <f t="shared" si="66"/>
        <v>简单</v>
      </c>
      <c r="AI576">
        <f t="shared" si="63"/>
        <v>1658</v>
      </c>
      <c r="AJ576">
        <f t="shared" si="64"/>
        <v>658</v>
      </c>
      <c r="AK576">
        <f t="shared" si="65"/>
        <v>12524</v>
      </c>
    </row>
    <row r="577" spans="30:37">
      <c r="AD577" s="131">
        <v>202501</v>
      </c>
      <c r="AE577" s="135">
        <v>121013</v>
      </c>
      <c r="AF577">
        <f t="shared" si="62"/>
        <v>25</v>
      </c>
      <c r="AG577">
        <f t="shared" si="61"/>
        <v>1</v>
      </c>
      <c r="AH577" t="str">
        <f t="shared" si="66"/>
        <v>简单</v>
      </c>
      <c r="AI577">
        <f t="shared" si="63"/>
        <v>1658</v>
      </c>
      <c r="AJ577">
        <f t="shared" si="64"/>
        <v>658</v>
      </c>
      <c r="AK577">
        <f t="shared" si="65"/>
        <v>12524</v>
      </c>
    </row>
    <row r="578" spans="30:37">
      <c r="AD578" s="131">
        <v>202502</v>
      </c>
      <c r="AE578" s="135">
        <v>1113003</v>
      </c>
      <c r="AF578">
        <f t="shared" si="62"/>
        <v>25</v>
      </c>
      <c r="AG578">
        <f t="shared" si="61"/>
        <v>2</v>
      </c>
      <c r="AH578" t="str">
        <f t="shared" si="66"/>
        <v>简单</v>
      </c>
      <c r="AI578">
        <f t="shared" si="63"/>
        <v>2211</v>
      </c>
      <c r="AJ578">
        <f t="shared" si="64"/>
        <v>658</v>
      </c>
      <c r="AK578">
        <f t="shared" si="65"/>
        <v>12524</v>
      </c>
    </row>
    <row r="579" spans="30:37">
      <c r="AD579" s="131">
        <v>202502</v>
      </c>
      <c r="AE579" s="135">
        <v>121009</v>
      </c>
      <c r="AF579">
        <f t="shared" si="62"/>
        <v>25</v>
      </c>
      <c r="AG579">
        <f t="shared" si="61"/>
        <v>2</v>
      </c>
      <c r="AH579" t="str">
        <f t="shared" si="66"/>
        <v>简单</v>
      </c>
      <c r="AI579">
        <f t="shared" si="63"/>
        <v>1658</v>
      </c>
      <c r="AJ579">
        <f t="shared" si="64"/>
        <v>658</v>
      </c>
      <c r="AK579">
        <f t="shared" si="65"/>
        <v>12524</v>
      </c>
    </row>
    <row r="580" spans="30:37">
      <c r="AD580" s="131">
        <v>202502</v>
      </c>
      <c r="AE580" s="135">
        <v>121013</v>
      </c>
      <c r="AF580">
        <f t="shared" si="62"/>
        <v>25</v>
      </c>
      <c r="AG580">
        <f t="shared" si="61"/>
        <v>2</v>
      </c>
      <c r="AH580" t="str">
        <f t="shared" si="66"/>
        <v>简单</v>
      </c>
      <c r="AI580">
        <f t="shared" si="63"/>
        <v>1658</v>
      </c>
      <c r="AJ580">
        <f t="shared" si="64"/>
        <v>658</v>
      </c>
      <c r="AK580">
        <f t="shared" si="65"/>
        <v>12524</v>
      </c>
    </row>
    <row r="581" spans="30:37">
      <c r="AD581" s="131">
        <v>202502</v>
      </c>
      <c r="AE581" s="135">
        <v>121013</v>
      </c>
      <c r="AF581">
        <f t="shared" si="62"/>
        <v>25</v>
      </c>
      <c r="AG581">
        <f t="shared" si="61"/>
        <v>2</v>
      </c>
      <c r="AH581" t="str">
        <f t="shared" si="66"/>
        <v>简单</v>
      </c>
      <c r="AI581">
        <f t="shared" si="63"/>
        <v>1658</v>
      </c>
      <c r="AJ581">
        <f t="shared" si="64"/>
        <v>658</v>
      </c>
      <c r="AK581">
        <f t="shared" si="65"/>
        <v>12524</v>
      </c>
    </row>
    <row r="582" spans="30:37">
      <c r="AD582" s="131">
        <v>202502</v>
      </c>
      <c r="AE582" s="135">
        <v>121013</v>
      </c>
      <c r="AF582">
        <f t="shared" si="62"/>
        <v>25</v>
      </c>
      <c r="AG582">
        <f t="shared" si="61"/>
        <v>2</v>
      </c>
      <c r="AH582" t="str">
        <f t="shared" si="66"/>
        <v>简单</v>
      </c>
      <c r="AI582">
        <f t="shared" si="63"/>
        <v>1658</v>
      </c>
      <c r="AJ582">
        <f t="shared" si="64"/>
        <v>658</v>
      </c>
      <c r="AK582">
        <f t="shared" si="65"/>
        <v>12524</v>
      </c>
    </row>
    <row r="583" spans="30:37">
      <c r="AD583" s="131">
        <v>202503</v>
      </c>
      <c r="AE583" s="135">
        <v>121009</v>
      </c>
      <c r="AF583">
        <f t="shared" si="62"/>
        <v>25</v>
      </c>
      <c r="AG583">
        <f t="shared" si="61"/>
        <v>3</v>
      </c>
      <c r="AH583" t="str">
        <f t="shared" si="66"/>
        <v>困难</v>
      </c>
      <c r="AI583">
        <f t="shared" si="63"/>
        <v>2721</v>
      </c>
      <c r="AJ583">
        <f t="shared" si="64"/>
        <v>1099</v>
      </c>
      <c r="AK583">
        <f t="shared" si="65"/>
        <v>1099</v>
      </c>
    </row>
    <row r="584" spans="30:37">
      <c r="AD584" s="131">
        <v>202503</v>
      </c>
      <c r="AE584" s="135">
        <v>121009</v>
      </c>
      <c r="AF584">
        <f t="shared" si="62"/>
        <v>25</v>
      </c>
      <c r="AG584">
        <f t="shared" si="61"/>
        <v>3</v>
      </c>
      <c r="AH584" t="str">
        <f t="shared" si="66"/>
        <v>困难</v>
      </c>
      <c r="AI584">
        <f t="shared" si="63"/>
        <v>2721</v>
      </c>
      <c r="AJ584">
        <f t="shared" si="64"/>
        <v>1099</v>
      </c>
      <c r="AK584">
        <f t="shared" si="65"/>
        <v>1099</v>
      </c>
    </row>
    <row r="585" spans="30:37">
      <c r="AD585" s="131">
        <v>202503</v>
      </c>
      <c r="AE585" s="135">
        <v>121013</v>
      </c>
      <c r="AF585">
        <f t="shared" si="62"/>
        <v>25</v>
      </c>
      <c r="AG585">
        <f t="shared" si="61"/>
        <v>3</v>
      </c>
      <c r="AH585" t="str">
        <f t="shared" si="66"/>
        <v>困难</v>
      </c>
      <c r="AI585">
        <f t="shared" si="63"/>
        <v>2721</v>
      </c>
      <c r="AJ585">
        <f t="shared" si="64"/>
        <v>1099</v>
      </c>
      <c r="AK585">
        <f t="shared" si="65"/>
        <v>1099</v>
      </c>
    </row>
    <row r="586" spans="30:37">
      <c r="AD586" s="131">
        <v>202503</v>
      </c>
      <c r="AE586" s="135">
        <v>121109</v>
      </c>
      <c r="AF586">
        <f t="shared" si="62"/>
        <v>25</v>
      </c>
      <c r="AG586">
        <f t="shared" si="61"/>
        <v>3</v>
      </c>
      <c r="AH586" t="str">
        <f t="shared" si="66"/>
        <v>困难</v>
      </c>
      <c r="AI586">
        <f t="shared" si="63"/>
        <v>2721</v>
      </c>
      <c r="AJ586">
        <f t="shared" si="64"/>
        <v>1099</v>
      </c>
      <c r="AK586">
        <f t="shared" si="65"/>
        <v>1099</v>
      </c>
    </row>
    <row r="587" spans="30:37">
      <c r="AD587" s="131">
        <v>202503</v>
      </c>
      <c r="AE587" s="135">
        <v>121013</v>
      </c>
      <c r="AF587">
        <f t="shared" si="62"/>
        <v>25</v>
      </c>
      <c r="AG587">
        <f t="shared" si="61"/>
        <v>3</v>
      </c>
      <c r="AH587" t="str">
        <f t="shared" si="66"/>
        <v>困难</v>
      </c>
      <c r="AI587">
        <f t="shared" si="63"/>
        <v>2721</v>
      </c>
      <c r="AJ587">
        <f t="shared" si="64"/>
        <v>1099</v>
      </c>
      <c r="AK587">
        <f t="shared" si="65"/>
        <v>1099</v>
      </c>
    </row>
    <row r="588" spans="30:37">
      <c r="AD588" s="131">
        <v>202504</v>
      </c>
      <c r="AE588" s="135">
        <v>1113003</v>
      </c>
      <c r="AF588">
        <f t="shared" si="62"/>
        <v>25</v>
      </c>
      <c r="AG588">
        <f t="shared" si="61"/>
        <v>4</v>
      </c>
      <c r="AH588" t="str">
        <f t="shared" si="66"/>
        <v>困难</v>
      </c>
      <c r="AI588">
        <f t="shared" si="63"/>
        <v>2993</v>
      </c>
      <c r="AJ588">
        <f t="shared" si="64"/>
        <v>1099</v>
      </c>
      <c r="AK588">
        <f t="shared" si="65"/>
        <v>1099</v>
      </c>
    </row>
    <row r="589" spans="30:37">
      <c r="AD589" s="131">
        <v>202504</v>
      </c>
      <c r="AE589" s="135">
        <v>121009</v>
      </c>
      <c r="AF589">
        <f t="shared" si="62"/>
        <v>25</v>
      </c>
      <c r="AG589">
        <f t="shared" si="61"/>
        <v>4</v>
      </c>
      <c r="AH589" t="str">
        <f t="shared" si="66"/>
        <v>困难</v>
      </c>
      <c r="AI589">
        <f t="shared" si="63"/>
        <v>2721</v>
      </c>
      <c r="AJ589">
        <f t="shared" si="64"/>
        <v>1099</v>
      </c>
      <c r="AK589">
        <f t="shared" si="65"/>
        <v>1099</v>
      </c>
    </row>
    <row r="590" spans="30:37">
      <c r="AD590" s="131">
        <v>202504</v>
      </c>
      <c r="AE590" s="135">
        <v>121013</v>
      </c>
      <c r="AF590">
        <f t="shared" si="62"/>
        <v>25</v>
      </c>
      <c r="AG590">
        <f t="shared" si="61"/>
        <v>4</v>
      </c>
      <c r="AH590" t="str">
        <f t="shared" si="66"/>
        <v>困难</v>
      </c>
      <c r="AI590">
        <f t="shared" si="63"/>
        <v>2721</v>
      </c>
      <c r="AJ590">
        <f t="shared" si="64"/>
        <v>1099</v>
      </c>
      <c r="AK590">
        <f t="shared" si="65"/>
        <v>1099</v>
      </c>
    </row>
    <row r="591" spans="30:37">
      <c r="AD591" s="131">
        <v>202504</v>
      </c>
      <c r="AE591" s="135">
        <v>121013</v>
      </c>
      <c r="AF591">
        <f t="shared" si="62"/>
        <v>25</v>
      </c>
      <c r="AG591">
        <f t="shared" si="61"/>
        <v>4</v>
      </c>
      <c r="AH591" t="str">
        <f t="shared" si="66"/>
        <v>困难</v>
      </c>
      <c r="AI591">
        <f t="shared" si="63"/>
        <v>2721</v>
      </c>
      <c r="AJ591">
        <f t="shared" si="64"/>
        <v>1099</v>
      </c>
      <c r="AK591">
        <f t="shared" si="65"/>
        <v>1099</v>
      </c>
    </row>
    <row r="592" spans="30:37">
      <c r="AD592" s="131">
        <v>202504</v>
      </c>
      <c r="AE592" s="135">
        <v>121013</v>
      </c>
      <c r="AF592">
        <f t="shared" si="62"/>
        <v>25</v>
      </c>
      <c r="AG592">
        <f t="shared" si="61"/>
        <v>4</v>
      </c>
      <c r="AH592" t="str">
        <f t="shared" si="66"/>
        <v>困难</v>
      </c>
      <c r="AI592">
        <f t="shared" si="63"/>
        <v>2721</v>
      </c>
      <c r="AJ592">
        <f t="shared" si="64"/>
        <v>1099</v>
      </c>
      <c r="AK592">
        <f t="shared" si="65"/>
        <v>1099</v>
      </c>
    </row>
    <row r="593" spans="30:37">
      <c r="AD593" s="131">
        <v>202601</v>
      </c>
      <c r="AE593" s="135">
        <v>121102</v>
      </c>
      <c r="AF593">
        <f t="shared" si="62"/>
        <v>26</v>
      </c>
      <c r="AG593">
        <f t="shared" si="61"/>
        <v>1</v>
      </c>
      <c r="AH593" t="str">
        <f t="shared" si="66"/>
        <v>简单</v>
      </c>
      <c r="AI593">
        <f t="shared" si="63"/>
        <v>1658</v>
      </c>
      <c r="AJ593">
        <f t="shared" si="64"/>
        <v>658</v>
      </c>
      <c r="AK593">
        <f t="shared" si="65"/>
        <v>12524</v>
      </c>
    </row>
    <row r="594" spans="30:37">
      <c r="AD594" s="131">
        <v>202601</v>
      </c>
      <c r="AE594" s="135">
        <v>121103</v>
      </c>
      <c r="AF594">
        <f t="shared" si="62"/>
        <v>26</v>
      </c>
      <c r="AG594">
        <f t="shared" si="61"/>
        <v>1</v>
      </c>
      <c r="AH594" t="str">
        <f t="shared" si="66"/>
        <v>简单</v>
      </c>
      <c r="AI594">
        <f t="shared" si="63"/>
        <v>1658</v>
      </c>
      <c r="AJ594">
        <f t="shared" si="64"/>
        <v>658</v>
      </c>
      <c r="AK594">
        <f t="shared" si="65"/>
        <v>12524</v>
      </c>
    </row>
    <row r="595" spans="30:37">
      <c r="AD595" s="131">
        <v>202601</v>
      </c>
      <c r="AE595" s="135">
        <v>121104</v>
      </c>
      <c r="AF595">
        <f t="shared" si="62"/>
        <v>26</v>
      </c>
      <c r="AG595">
        <f t="shared" si="61"/>
        <v>1</v>
      </c>
      <c r="AH595" t="str">
        <f t="shared" si="66"/>
        <v>简单</v>
      </c>
      <c r="AI595">
        <f t="shared" si="63"/>
        <v>1658</v>
      </c>
      <c r="AJ595">
        <f t="shared" si="64"/>
        <v>658</v>
      </c>
      <c r="AK595">
        <f t="shared" si="65"/>
        <v>12524</v>
      </c>
    </row>
    <row r="596" spans="30:37">
      <c r="AD596" s="131">
        <v>202601</v>
      </c>
      <c r="AE596" s="135">
        <v>121089</v>
      </c>
      <c r="AF596">
        <f t="shared" si="62"/>
        <v>26</v>
      </c>
      <c r="AG596">
        <f t="shared" si="61"/>
        <v>1</v>
      </c>
      <c r="AH596" t="str">
        <f t="shared" si="66"/>
        <v>简单</v>
      </c>
      <c r="AI596">
        <f t="shared" si="63"/>
        <v>1658</v>
      </c>
      <c r="AJ596">
        <f t="shared" si="64"/>
        <v>658</v>
      </c>
      <c r="AK596">
        <f t="shared" si="65"/>
        <v>12524</v>
      </c>
    </row>
    <row r="597" spans="30:37">
      <c r="AD597" s="131">
        <v>202601</v>
      </c>
      <c r="AE597" s="135">
        <v>121103</v>
      </c>
      <c r="AF597">
        <f t="shared" si="62"/>
        <v>26</v>
      </c>
      <c r="AG597">
        <f t="shared" si="61"/>
        <v>1</v>
      </c>
      <c r="AH597" t="str">
        <f t="shared" si="66"/>
        <v>简单</v>
      </c>
      <c r="AI597">
        <f t="shared" si="63"/>
        <v>1658</v>
      </c>
      <c r="AJ597">
        <f t="shared" si="64"/>
        <v>658</v>
      </c>
      <c r="AK597">
        <f t="shared" si="65"/>
        <v>12524</v>
      </c>
    </row>
    <row r="598" spans="30:37">
      <c r="AD598" s="131">
        <v>202602</v>
      </c>
      <c r="AE598" s="135">
        <v>1112004</v>
      </c>
      <c r="AF598">
        <f t="shared" si="62"/>
        <v>26</v>
      </c>
      <c r="AG598">
        <f t="shared" ref="AG598:AG661" si="67">ROUNDDOWN(RIGHT(AD598,2),0)</f>
        <v>2</v>
      </c>
      <c r="AH598" t="str">
        <f t="shared" si="66"/>
        <v>简单</v>
      </c>
      <c r="AI598">
        <f t="shared" si="63"/>
        <v>2211</v>
      </c>
      <c r="AJ598">
        <f t="shared" si="64"/>
        <v>658</v>
      </c>
      <c r="AK598">
        <f t="shared" si="65"/>
        <v>12524</v>
      </c>
    </row>
    <row r="599" spans="30:37">
      <c r="AD599" s="131">
        <v>202603</v>
      </c>
      <c r="AE599" s="135">
        <v>121102</v>
      </c>
      <c r="AF599">
        <f t="shared" si="62"/>
        <v>26</v>
      </c>
      <c r="AG599">
        <f t="shared" si="67"/>
        <v>3</v>
      </c>
      <c r="AH599" t="str">
        <f t="shared" si="66"/>
        <v>困难</v>
      </c>
      <c r="AI599">
        <f t="shared" si="63"/>
        <v>2773</v>
      </c>
      <c r="AJ599">
        <f t="shared" si="64"/>
        <v>1142</v>
      </c>
      <c r="AK599">
        <f t="shared" si="65"/>
        <v>1142</v>
      </c>
    </row>
    <row r="600" spans="30:37">
      <c r="AD600" s="131">
        <v>202603</v>
      </c>
      <c r="AE600" s="135">
        <v>121103</v>
      </c>
      <c r="AF600">
        <f t="shared" si="62"/>
        <v>26</v>
      </c>
      <c r="AG600">
        <f t="shared" si="67"/>
        <v>3</v>
      </c>
      <c r="AH600" t="str">
        <f t="shared" si="66"/>
        <v>困难</v>
      </c>
      <c r="AI600">
        <f t="shared" si="63"/>
        <v>2773</v>
      </c>
      <c r="AJ600">
        <f t="shared" si="64"/>
        <v>1142</v>
      </c>
      <c r="AK600">
        <f t="shared" si="65"/>
        <v>1142</v>
      </c>
    </row>
    <row r="601" spans="30:37">
      <c r="AD601" s="131">
        <v>202603</v>
      </c>
      <c r="AE601" s="135">
        <v>121104</v>
      </c>
      <c r="AF601">
        <f t="shared" si="62"/>
        <v>26</v>
      </c>
      <c r="AG601">
        <f t="shared" si="67"/>
        <v>3</v>
      </c>
      <c r="AH601" t="str">
        <f t="shared" si="66"/>
        <v>困难</v>
      </c>
      <c r="AI601">
        <f t="shared" si="63"/>
        <v>2773</v>
      </c>
      <c r="AJ601">
        <f t="shared" si="64"/>
        <v>1142</v>
      </c>
      <c r="AK601">
        <f t="shared" si="65"/>
        <v>1142</v>
      </c>
    </row>
    <row r="602" spans="30:37">
      <c r="AD602" s="131">
        <v>202603</v>
      </c>
      <c r="AE602" s="135">
        <v>121089</v>
      </c>
      <c r="AF602">
        <f t="shared" si="62"/>
        <v>26</v>
      </c>
      <c r="AG602">
        <f t="shared" si="67"/>
        <v>3</v>
      </c>
      <c r="AH602" t="str">
        <f t="shared" si="66"/>
        <v>困难</v>
      </c>
      <c r="AI602">
        <f t="shared" si="63"/>
        <v>2773</v>
      </c>
      <c r="AJ602">
        <f t="shared" si="64"/>
        <v>1142</v>
      </c>
      <c r="AK602">
        <f t="shared" si="65"/>
        <v>1142</v>
      </c>
    </row>
    <row r="603" spans="30:37">
      <c r="AD603" s="131">
        <v>202603</v>
      </c>
      <c r="AE603" s="135">
        <v>121103</v>
      </c>
      <c r="AF603">
        <f t="shared" si="62"/>
        <v>26</v>
      </c>
      <c r="AG603">
        <f t="shared" si="67"/>
        <v>3</v>
      </c>
      <c r="AH603" t="str">
        <f t="shared" si="66"/>
        <v>困难</v>
      </c>
      <c r="AI603">
        <f t="shared" si="63"/>
        <v>2773</v>
      </c>
      <c r="AJ603">
        <f t="shared" si="64"/>
        <v>1142</v>
      </c>
      <c r="AK603">
        <f t="shared" si="65"/>
        <v>1142</v>
      </c>
    </row>
    <row r="604" spans="30:37">
      <c r="AD604" s="131">
        <v>202604</v>
      </c>
      <c r="AE604" s="135">
        <v>1112004</v>
      </c>
      <c r="AF604">
        <f t="shared" si="62"/>
        <v>26</v>
      </c>
      <c r="AG604">
        <f t="shared" si="67"/>
        <v>4</v>
      </c>
      <c r="AH604" t="str">
        <f t="shared" si="66"/>
        <v>困难</v>
      </c>
      <c r="AI604">
        <f t="shared" si="63"/>
        <v>3050</v>
      </c>
      <c r="AJ604">
        <f t="shared" si="64"/>
        <v>1142</v>
      </c>
      <c r="AK604">
        <f t="shared" si="65"/>
        <v>1142</v>
      </c>
    </row>
    <row r="605" spans="30:37">
      <c r="AD605" s="131">
        <v>202701</v>
      </c>
      <c r="AE605" s="135">
        <v>1112008</v>
      </c>
      <c r="AF605">
        <f t="shared" si="62"/>
        <v>27</v>
      </c>
      <c r="AG605">
        <f t="shared" si="67"/>
        <v>1</v>
      </c>
      <c r="AH605" t="str">
        <f t="shared" si="66"/>
        <v>简单</v>
      </c>
      <c r="AI605">
        <f t="shared" si="63"/>
        <v>2372</v>
      </c>
      <c r="AJ605">
        <f t="shared" si="64"/>
        <v>773</v>
      </c>
      <c r="AK605">
        <f t="shared" si="65"/>
        <v>13591</v>
      </c>
    </row>
    <row r="606" spans="30:37">
      <c r="AD606" s="131">
        <v>202701</v>
      </c>
      <c r="AE606" s="135">
        <v>121103</v>
      </c>
      <c r="AF606">
        <f t="shared" ref="AF606:AF669" si="68">MOD(ROUNDDOWN(AD606/100,0),100)</f>
        <v>27</v>
      </c>
      <c r="AG606">
        <f t="shared" si="67"/>
        <v>1</v>
      </c>
      <c r="AH606" t="str">
        <f t="shared" si="66"/>
        <v>简单</v>
      </c>
      <c r="AI606">
        <f t="shared" si="63"/>
        <v>1779</v>
      </c>
      <c r="AJ606">
        <f t="shared" si="64"/>
        <v>773</v>
      </c>
      <c r="AK606">
        <f t="shared" si="65"/>
        <v>13591</v>
      </c>
    </row>
    <row r="607" spans="30:37">
      <c r="AD607" s="131">
        <v>202701</v>
      </c>
      <c r="AE607" s="135">
        <v>121104</v>
      </c>
      <c r="AF607">
        <f t="shared" si="68"/>
        <v>27</v>
      </c>
      <c r="AG607">
        <f t="shared" si="67"/>
        <v>1</v>
      </c>
      <c r="AH607" t="str">
        <f t="shared" si="66"/>
        <v>简单</v>
      </c>
      <c r="AI607">
        <f t="shared" ref="AI607:AI670" si="69">IF($AH607="简单",IF(AE607&lt;122000,VLOOKUP($AF607,$N:$T,2,0),VLOOKUP($AF607,$N:$T,5,0)),IF(AE607&lt;122000,VLOOKUP($AF607,$V:$AB,2,0),VLOOKUP($AF607,$V:$AB,5,0)))</f>
        <v>1779</v>
      </c>
      <c r="AJ607">
        <f t="shared" ref="AJ607:AJ670" si="70">IF($AH607="简单",IF(AF607&lt;122000,VLOOKUP($AF607,$N:$T,3,0),VLOOKUP($AF607,$N:$T,6,0)),IF(AF607&lt;122000,VLOOKUP($AF607,$V:$AB,3,0),VLOOKUP($AF607,$V:$AB,6,0)))</f>
        <v>773</v>
      </c>
      <c r="AK607">
        <f t="shared" ref="AK607:AK670" si="71">IF($AH607="简单",IF(AG607&lt;122000,VLOOKUP($AF607,$N:$T,4,0),VLOOKUP($AF607,$N:$T,7,0)),IF(AG607&lt;122000,VLOOKUP($AF607,$V:$AB,3,0),VLOOKUP($AF607,$V:$AB,6,0)))</f>
        <v>13591</v>
      </c>
    </row>
    <row r="608" spans="30:37">
      <c r="AD608" s="131">
        <v>202701</v>
      </c>
      <c r="AE608" s="135">
        <v>121096</v>
      </c>
      <c r="AF608">
        <f t="shared" si="68"/>
        <v>27</v>
      </c>
      <c r="AG608">
        <f t="shared" si="67"/>
        <v>1</v>
      </c>
      <c r="AH608" t="str">
        <f t="shared" si="66"/>
        <v>简单</v>
      </c>
      <c r="AI608">
        <f t="shared" si="69"/>
        <v>1779</v>
      </c>
      <c r="AJ608">
        <f t="shared" si="70"/>
        <v>773</v>
      </c>
      <c r="AK608">
        <f t="shared" si="71"/>
        <v>13591</v>
      </c>
    </row>
    <row r="609" spans="30:37">
      <c r="AD609" s="131">
        <v>202701</v>
      </c>
      <c r="AE609" s="135">
        <v>121097</v>
      </c>
      <c r="AF609">
        <f t="shared" si="68"/>
        <v>27</v>
      </c>
      <c r="AG609">
        <f t="shared" si="67"/>
        <v>1</v>
      </c>
      <c r="AH609" t="str">
        <f t="shared" si="66"/>
        <v>简单</v>
      </c>
      <c r="AI609">
        <f t="shared" si="69"/>
        <v>1779</v>
      </c>
      <c r="AJ609">
        <f t="shared" si="70"/>
        <v>773</v>
      </c>
      <c r="AK609">
        <f t="shared" si="71"/>
        <v>13591</v>
      </c>
    </row>
    <row r="610" spans="30:37">
      <c r="AD610" s="131">
        <v>202702</v>
      </c>
      <c r="AE610" s="135">
        <v>121087</v>
      </c>
      <c r="AF610">
        <f t="shared" si="68"/>
        <v>27</v>
      </c>
      <c r="AG610">
        <f t="shared" si="67"/>
        <v>2</v>
      </c>
      <c r="AH610" t="str">
        <f t="shared" si="66"/>
        <v>简单</v>
      </c>
      <c r="AI610">
        <f t="shared" si="69"/>
        <v>1779</v>
      </c>
      <c r="AJ610">
        <f t="shared" si="70"/>
        <v>773</v>
      </c>
      <c r="AK610">
        <f t="shared" si="71"/>
        <v>13591</v>
      </c>
    </row>
    <row r="611" spans="30:37">
      <c r="AD611" s="131">
        <v>202702</v>
      </c>
      <c r="AE611" s="135">
        <v>121088</v>
      </c>
      <c r="AF611">
        <f t="shared" si="68"/>
        <v>27</v>
      </c>
      <c r="AG611">
        <f t="shared" si="67"/>
        <v>2</v>
      </c>
      <c r="AH611" t="str">
        <f t="shared" si="66"/>
        <v>简单</v>
      </c>
      <c r="AI611">
        <f t="shared" si="69"/>
        <v>1779</v>
      </c>
      <c r="AJ611">
        <f t="shared" si="70"/>
        <v>773</v>
      </c>
      <c r="AK611">
        <f t="shared" si="71"/>
        <v>13591</v>
      </c>
    </row>
    <row r="612" spans="30:37">
      <c r="AD612" s="131">
        <v>202702</v>
      </c>
      <c r="AE612" s="135">
        <v>121101</v>
      </c>
      <c r="AF612">
        <f t="shared" si="68"/>
        <v>27</v>
      </c>
      <c r="AG612">
        <f t="shared" si="67"/>
        <v>2</v>
      </c>
      <c r="AH612" t="str">
        <f t="shared" si="66"/>
        <v>简单</v>
      </c>
      <c r="AI612">
        <f t="shared" si="69"/>
        <v>1779</v>
      </c>
      <c r="AJ612">
        <f t="shared" si="70"/>
        <v>773</v>
      </c>
      <c r="AK612">
        <f t="shared" si="71"/>
        <v>13591</v>
      </c>
    </row>
    <row r="613" spans="30:37">
      <c r="AD613" s="131">
        <v>202702</v>
      </c>
      <c r="AE613" s="135">
        <v>121101</v>
      </c>
      <c r="AF613">
        <f t="shared" si="68"/>
        <v>27</v>
      </c>
      <c r="AG613">
        <f t="shared" si="67"/>
        <v>2</v>
      </c>
      <c r="AH613" t="str">
        <f t="shared" si="66"/>
        <v>简单</v>
      </c>
      <c r="AI613">
        <f t="shared" si="69"/>
        <v>1779</v>
      </c>
      <c r="AJ613">
        <f t="shared" si="70"/>
        <v>773</v>
      </c>
      <c r="AK613">
        <f t="shared" si="71"/>
        <v>13591</v>
      </c>
    </row>
    <row r="614" spans="30:37">
      <c r="AD614" s="131">
        <v>202702</v>
      </c>
      <c r="AE614" s="135">
        <v>121101</v>
      </c>
      <c r="AF614">
        <f t="shared" si="68"/>
        <v>27</v>
      </c>
      <c r="AG614">
        <f t="shared" si="67"/>
        <v>2</v>
      </c>
      <c r="AH614" t="str">
        <f t="shared" si="66"/>
        <v>简单</v>
      </c>
      <c r="AI614">
        <f t="shared" si="69"/>
        <v>1779</v>
      </c>
      <c r="AJ614">
        <f t="shared" si="70"/>
        <v>773</v>
      </c>
      <c r="AK614">
        <f t="shared" si="71"/>
        <v>13591</v>
      </c>
    </row>
    <row r="615" spans="30:37">
      <c r="AD615" s="131">
        <v>202703</v>
      </c>
      <c r="AE615" s="135">
        <v>121092</v>
      </c>
      <c r="AF615">
        <f t="shared" si="68"/>
        <v>27</v>
      </c>
      <c r="AG615">
        <f t="shared" si="67"/>
        <v>3</v>
      </c>
      <c r="AH615" t="str">
        <f t="shared" si="66"/>
        <v>简单</v>
      </c>
      <c r="AI615">
        <f t="shared" si="69"/>
        <v>1779</v>
      </c>
      <c r="AJ615">
        <f t="shared" si="70"/>
        <v>773</v>
      </c>
      <c r="AK615">
        <f t="shared" si="71"/>
        <v>13591</v>
      </c>
    </row>
    <row r="616" spans="30:37">
      <c r="AD616" s="131">
        <v>202703</v>
      </c>
      <c r="AE616" s="135">
        <v>1112021</v>
      </c>
      <c r="AF616">
        <f t="shared" si="68"/>
        <v>27</v>
      </c>
      <c r="AG616">
        <f t="shared" si="67"/>
        <v>3</v>
      </c>
      <c r="AH616" t="str">
        <f t="shared" si="66"/>
        <v>简单</v>
      </c>
      <c r="AI616">
        <f t="shared" si="69"/>
        <v>2372</v>
      </c>
      <c r="AJ616">
        <f t="shared" si="70"/>
        <v>773</v>
      </c>
      <c r="AK616">
        <f t="shared" si="71"/>
        <v>13591</v>
      </c>
    </row>
    <row r="617" spans="30:37">
      <c r="AD617" s="131">
        <v>202703</v>
      </c>
      <c r="AE617" s="135">
        <v>121107</v>
      </c>
      <c r="AF617">
        <f t="shared" si="68"/>
        <v>27</v>
      </c>
      <c r="AG617">
        <f t="shared" si="67"/>
        <v>3</v>
      </c>
      <c r="AH617" t="str">
        <f t="shared" si="66"/>
        <v>简单</v>
      </c>
      <c r="AI617">
        <f t="shared" si="69"/>
        <v>1779</v>
      </c>
      <c r="AJ617">
        <f t="shared" si="70"/>
        <v>773</v>
      </c>
      <c r="AK617">
        <f t="shared" si="71"/>
        <v>13591</v>
      </c>
    </row>
    <row r="618" spans="30:37">
      <c r="AD618" s="131">
        <v>202703</v>
      </c>
      <c r="AE618" s="135">
        <v>1113011</v>
      </c>
      <c r="AF618">
        <f t="shared" si="68"/>
        <v>27</v>
      </c>
      <c r="AG618">
        <f t="shared" si="67"/>
        <v>3</v>
      </c>
      <c r="AH618" t="str">
        <f t="shared" si="66"/>
        <v>简单</v>
      </c>
      <c r="AI618">
        <f t="shared" si="69"/>
        <v>2372</v>
      </c>
      <c r="AJ618">
        <f t="shared" si="70"/>
        <v>773</v>
      </c>
      <c r="AK618">
        <f t="shared" si="71"/>
        <v>13591</v>
      </c>
    </row>
    <row r="619" spans="30:37">
      <c r="AD619" s="131">
        <v>202703</v>
      </c>
      <c r="AE619" s="135">
        <v>121107</v>
      </c>
      <c r="AF619">
        <f t="shared" si="68"/>
        <v>27</v>
      </c>
      <c r="AG619">
        <f t="shared" si="67"/>
        <v>3</v>
      </c>
      <c r="AH619" t="str">
        <f t="shared" si="66"/>
        <v>简单</v>
      </c>
      <c r="AI619">
        <f t="shared" si="69"/>
        <v>1779</v>
      </c>
      <c r="AJ619">
        <f t="shared" si="70"/>
        <v>773</v>
      </c>
      <c r="AK619">
        <f t="shared" si="71"/>
        <v>13591</v>
      </c>
    </row>
    <row r="620" spans="30:37">
      <c r="AD620" s="131">
        <v>202704</v>
      </c>
      <c r="AE620" s="135">
        <v>1112008</v>
      </c>
      <c r="AF620">
        <f t="shared" si="68"/>
        <v>27</v>
      </c>
      <c r="AG620">
        <f t="shared" si="67"/>
        <v>4</v>
      </c>
      <c r="AH620" t="str">
        <f t="shared" ref="AH620:AH683" si="72">IF(VLOOKUP(AF620,AF:AG,2,1)=4,IF(AG620&lt;3,"简单","困难"),IF(AG620&lt;4,"简单","困难"))</f>
        <v>困难</v>
      </c>
      <c r="AI620">
        <f t="shared" si="69"/>
        <v>3200</v>
      </c>
      <c r="AJ620">
        <f t="shared" si="70"/>
        <v>1276</v>
      </c>
      <c r="AK620">
        <f t="shared" si="71"/>
        <v>1276</v>
      </c>
    </row>
    <row r="621" spans="30:37">
      <c r="AD621" s="131">
        <v>202704</v>
      </c>
      <c r="AE621" s="135">
        <v>121103</v>
      </c>
      <c r="AF621">
        <f t="shared" si="68"/>
        <v>27</v>
      </c>
      <c r="AG621">
        <f t="shared" si="67"/>
        <v>4</v>
      </c>
      <c r="AH621" t="str">
        <f t="shared" si="72"/>
        <v>困难</v>
      </c>
      <c r="AI621">
        <f t="shared" si="69"/>
        <v>2909</v>
      </c>
      <c r="AJ621">
        <f t="shared" si="70"/>
        <v>1276</v>
      </c>
      <c r="AK621">
        <f t="shared" si="71"/>
        <v>1276</v>
      </c>
    </row>
    <row r="622" spans="30:37">
      <c r="AD622" s="131">
        <v>202704</v>
      </c>
      <c r="AE622" s="135">
        <v>121104</v>
      </c>
      <c r="AF622">
        <f t="shared" si="68"/>
        <v>27</v>
      </c>
      <c r="AG622">
        <f t="shared" si="67"/>
        <v>4</v>
      </c>
      <c r="AH622" t="str">
        <f t="shared" si="72"/>
        <v>困难</v>
      </c>
      <c r="AI622">
        <f t="shared" si="69"/>
        <v>2909</v>
      </c>
      <c r="AJ622">
        <f t="shared" si="70"/>
        <v>1276</v>
      </c>
      <c r="AK622">
        <f t="shared" si="71"/>
        <v>1276</v>
      </c>
    </row>
    <row r="623" spans="30:37">
      <c r="AD623" s="131">
        <v>202704</v>
      </c>
      <c r="AE623" s="135">
        <v>121096</v>
      </c>
      <c r="AF623">
        <f t="shared" si="68"/>
        <v>27</v>
      </c>
      <c r="AG623">
        <f t="shared" si="67"/>
        <v>4</v>
      </c>
      <c r="AH623" t="str">
        <f t="shared" si="72"/>
        <v>困难</v>
      </c>
      <c r="AI623">
        <f t="shared" si="69"/>
        <v>2909</v>
      </c>
      <c r="AJ623">
        <f t="shared" si="70"/>
        <v>1276</v>
      </c>
      <c r="AK623">
        <f t="shared" si="71"/>
        <v>1276</v>
      </c>
    </row>
    <row r="624" spans="30:37">
      <c r="AD624" s="131">
        <v>202704</v>
      </c>
      <c r="AE624" s="135">
        <v>121097</v>
      </c>
      <c r="AF624">
        <f t="shared" si="68"/>
        <v>27</v>
      </c>
      <c r="AG624">
        <f t="shared" si="67"/>
        <v>4</v>
      </c>
      <c r="AH624" t="str">
        <f t="shared" si="72"/>
        <v>困难</v>
      </c>
      <c r="AI624">
        <f t="shared" si="69"/>
        <v>2909</v>
      </c>
      <c r="AJ624">
        <f t="shared" si="70"/>
        <v>1276</v>
      </c>
      <c r="AK624">
        <f t="shared" si="71"/>
        <v>1276</v>
      </c>
    </row>
    <row r="625" spans="30:37">
      <c r="AD625" s="131">
        <v>202705</v>
      </c>
      <c r="AE625" s="135">
        <v>121087</v>
      </c>
      <c r="AF625">
        <f t="shared" si="68"/>
        <v>27</v>
      </c>
      <c r="AG625">
        <f t="shared" si="67"/>
        <v>5</v>
      </c>
      <c r="AH625" t="str">
        <f t="shared" si="72"/>
        <v>困难</v>
      </c>
      <c r="AI625">
        <f t="shared" si="69"/>
        <v>2909</v>
      </c>
      <c r="AJ625">
        <f t="shared" si="70"/>
        <v>1276</v>
      </c>
      <c r="AK625">
        <f t="shared" si="71"/>
        <v>1276</v>
      </c>
    </row>
    <row r="626" spans="30:37">
      <c r="AD626" s="131">
        <v>202705</v>
      </c>
      <c r="AE626" s="135">
        <v>121088</v>
      </c>
      <c r="AF626">
        <f t="shared" si="68"/>
        <v>27</v>
      </c>
      <c r="AG626">
        <f t="shared" si="67"/>
        <v>5</v>
      </c>
      <c r="AH626" t="str">
        <f t="shared" si="72"/>
        <v>困难</v>
      </c>
      <c r="AI626">
        <f t="shared" si="69"/>
        <v>2909</v>
      </c>
      <c r="AJ626">
        <f t="shared" si="70"/>
        <v>1276</v>
      </c>
      <c r="AK626">
        <f t="shared" si="71"/>
        <v>1276</v>
      </c>
    </row>
    <row r="627" spans="30:37">
      <c r="AD627" s="131">
        <v>202705</v>
      </c>
      <c r="AE627" s="135">
        <v>121101</v>
      </c>
      <c r="AF627">
        <f t="shared" si="68"/>
        <v>27</v>
      </c>
      <c r="AG627">
        <f t="shared" si="67"/>
        <v>5</v>
      </c>
      <c r="AH627" t="str">
        <f t="shared" si="72"/>
        <v>困难</v>
      </c>
      <c r="AI627">
        <f t="shared" si="69"/>
        <v>2909</v>
      </c>
      <c r="AJ627">
        <f t="shared" si="70"/>
        <v>1276</v>
      </c>
      <c r="AK627">
        <f t="shared" si="71"/>
        <v>1276</v>
      </c>
    </row>
    <row r="628" spans="30:37">
      <c r="AD628" s="131">
        <v>202705</v>
      </c>
      <c r="AE628" s="135">
        <v>121101</v>
      </c>
      <c r="AF628">
        <f t="shared" si="68"/>
        <v>27</v>
      </c>
      <c r="AG628">
        <f t="shared" si="67"/>
        <v>5</v>
      </c>
      <c r="AH628" t="str">
        <f t="shared" si="72"/>
        <v>困难</v>
      </c>
      <c r="AI628">
        <f t="shared" si="69"/>
        <v>2909</v>
      </c>
      <c r="AJ628">
        <f t="shared" si="70"/>
        <v>1276</v>
      </c>
      <c r="AK628">
        <f t="shared" si="71"/>
        <v>1276</v>
      </c>
    </row>
    <row r="629" spans="30:37">
      <c r="AD629" s="131">
        <v>202705</v>
      </c>
      <c r="AE629" s="135">
        <v>121101</v>
      </c>
      <c r="AF629">
        <f t="shared" si="68"/>
        <v>27</v>
      </c>
      <c r="AG629">
        <f t="shared" si="67"/>
        <v>5</v>
      </c>
      <c r="AH629" t="str">
        <f t="shared" si="72"/>
        <v>困难</v>
      </c>
      <c r="AI629">
        <f t="shared" si="69"/>
        <v>2909</v>
      </c>
      <c r="AJ629">
        <f t="shared" si="70"/>
        <v>1276</v>
      </c>
      <c r="AK629">
        <f t="shared" si="71"/>
        <v>1276</v>
      </c>
    </row>
    <row r="630" spans="30:37">
      <c r="AD630" s="131">
        <v>202706</v>
      </c>
      <c r="AE630" s="135">
        <v>121092</v>
      </c>
      <c r="AF630">
        <f t="shared" si="68"/>
        <v>27</v>
      </c>
      <c r="AG630">
        <f t="shared" si="67"/>
        <v>6</v>
      </c>
      <c r="AH630" t="str">
        <f t="shared" si="72"/>
        <v>困难</v>
      </c>
      <c r="AI630">
        <f t="shared" si="69"/>
        <v>2909</v>
      </c>
      <c r="AJ630">
        <f t="shared" si="70"/>
        <v>1276</v>
      </c>
      <c r="AK630">
        <f t="shared" si="71"/>
        <v>1276</v>
      </c>
    </row>
    <row r="631" spans="30:37">
      <c r="AD631" s="131">
        <v>202706</v>
      </c>
      <c r="AE631" s="135">
        <v>1112021</v>
      </c>
      <c r="AF631">
        <f t="shared" si="68"/>
        <v>27</v>
      </c>
      <c r="AG631">
        <f t="shared" si="67"/>
        <v>6</v>
      </c>
      <c r="AH631" t="str">
        <f t="shared" si="72"/>
        <v>困难</v>
      </c>
      <c r="AI631">
        <f t="shared" si="69"/>
        <v>3200</v>
      </c>
      <c r="AJ631">
        <f t="shared" si="70"/>
        <v>1276</v>
      </c>
      <c r="AK631">
        <f t="shared" si="71"/>
        <v>1276</v>
      </c>
    </row>
    <row r="632" spans="30:37">
      <c r="AD632" s="131">
        <v>202706</v>
      </c>
      <c r="AE632" s="135">
        <v>121107</v>
      </c>
      <c r="AF632">
        <f t="shared" si="68"/>
        <v>27</v>
      </c>
      <c r="AG632">
        <f t="shared" si="67"/>
        <v>6</v>
      </c>
      <c r="AH632" t="str">
        <f t="shared" si="72"/>
        <v>困难</v>
      </c>
      <c r="AI632">
        <f t="shared" si="69"/>
        <v>2909</v>
      </c>
      <c r="AJ632">
        <f t="shared" si="70"/>
        <v>1276</v>
      </c>
      <c r="AK632">
        <f t="shared" si="71"/>
        <v>1276</v>
      </c>
    </row>
    <row r="633" spans="30:37">
      <c r="AD633" s="131">
        <v>202706</v>
      </c>
      <c r="AE633" s="135">
        <v>1113011</v>
      </c>
      <c r="AF633">
        <f t="shared" si="68"/>
        <v>27</v>
      </c>
      <c r="AG633">
        <f t="shared" si="67"/>
        <v>6</v>
      </c>
      <c r="AH633" t="str">
        <f t="shared" si="72"/>
        <v>困难</v>
      </c>
      <c r="AI633">
        <f t="shared" si="69"/>
        <v>3200</v>
      </c>
      <c r="AJ633">
        <f t="shared" si="70"/>
        <v>1276</v>
      </c>
      <c r="AK633">
        <f t="shared" si="71"/>
        <v>1276</v>
      </c>
    </row>
    <row r="634" spans="30:37">
      <c r="AD634" s="131">
        <v>202706</v>
      </c>
      <c r="AE634" s="135">
        <v>121107</v>
      </c>
      <c r="AF634">
        <f t="shared" si="68"/>
        <v>27</v>
      </c>
      <c r="AG634">
        <f t="shared" si="67"/>
        <v>6</v>
      </c>
      <c r="AH634" t="str">
        <f t="shared" si="72"/>
        <v>困难</v>
      </c>
      <c r="AI634">
        <f t="shared" si="69"/>
        <v>2909</v>
      </c>
      <c r="AJ634">
        <f t="shared" si="70"/>
        <v>1276</v>
      </c>
      <c r="AK634">
        <f t="shared" si="71"/>
        <v>1276</v>
      </c>
    </row>
    <row r="635" spans="30:37">
      <c r="AD635" s="131">
        <v>202801</v>
      </c>
      <c r="AE635" s="135">
        <v>121090</v>
      </c>
      <c r="AF635">
        <f t="shared" si="68"/>
        <v>28</v>
      </c>
      <c r="AG635">
        <f t="shared" si="67"/>
        <v>1</v>
      </c>
      <c r="AH635" t="str">
        <f t="shared" si="72"/>
        <v>简单</v>
      </c>
      <c r="AI635">
        <f t="shared" si="69"/>
        <v>1779</v>
      </c>
      <c r="AJ635">
        <f t="shared" si="70"/>
        <v>773</v>
      </c>
      <c r="AK635">
        <f t="shared" si="71"/>
        <v>13591</v>
      </c>
    </row>
    <row r="636" spans="30:37">
      <c r="AD636" s="131">
        <v>202801</v>
      </c>
      <c r="AE636" s="135">
        <v>121009</v>
      </c>
      <c r="AF636">
        <f t="shared" si="68"/>
        <v>28</v>
      </c>
      <c r="AG636">
        <f t="shared" si="67"/>
        <v>1</v>
      </c>
      <c r="AH636" t="str">
        <f t="shared" si="72"/>
        <v>简单</v>
      </c>
      <c r="AI636">
        <f t="shared" si="69"/>
        <v>1779</v>
      </c>
      <c r="AJ636">
        <f t="shared" si="70"/>
        <v>773</v>
      </c>
      <c r="AK636">
        <f t="shared" si="71"/>
        <v>13591</v>
      </c>
    </row>
    <row r="637" spans="30:37">
      <c r="AD637" s="131">
        <v>202801</v>
      </c>
      <c r="AE637" s="135">
        <v>121009</v>
      </c>
      <c r="AF637">
        <f t="shared" si="68"/>
        <v>28</v>
      </c>
      <c r="AG637">
        <f t="shared" si="67"/>
        <v>1</v>
      </c>
      <c r="AH637" t="str">
        <f t="shared" si="72"/>
        <v>简单</v>
      </c>
      <c r="AI637">
        <f t="shared" si="69"/>
        <v>1779</v>
      </c>
      <c r="AJ637">
        <f t="shared" si="70"/>
        <v>773</v>
      </c>
      <c r="AK637">
        <f t="shared" si="71"/>
        <v>13591</v>
      </c>
    </row>
    <row r="638" spans="30:37">
      <c r="AD638" s="131">
        <v>202801</v>
      </c>
      <c r="AE638" s="135">
        <v>121108</v>
      </c>
      <c r="AF638">
        <f t="shared" si="68"/>
        <v>28</v>
      </c>
      <c r="AG638">
        <f t="shared" si="67"/>
        <v>1</v>
      </c>
      <c r="AH638" t="str">
        <f t="shared" si="72"/>
        <v>简单</v>
      </c>
      <c r="AI638">
        <f t="shared" si="69"/>
        <v>1779</v>
      </c>
      <c r="AJ638">
        <f t="shared" si="70"/>
        <v>773</v>
      </c>
      <c r="AK638">
        <f t="shared" si="71"/>
        <v>13591</v>
      </c>
    </row>
    <row r="639" spans="30:37">
      <c r="AD639" s="131">
        <v>202801</v>
      </c>
      <c r="AE639" s="135">
        <v>121107</v>
      </c>
      <c r="AF639">
        <f t="shared" si="68"/>
        <v>28</v>
      </c>
      <c r="AG639">
        <f t="shared" si="67"/>
        <v>1</v>
      </c>
      <c r="AH639" t="str">
        <f t="shared" si="72"/>
        <v>简单</v>
      </c>
      <c r="AI639">
        <f t="shared" si="69"/>
        <v>1779</v>
      </c>
      <c r="AJ639">
        <f t="shared" si="70"/>
        <v>773</v>
      </c>
      <c r="AK639">
        <f t="shared" si="71"/>
        <v>13591</v>
      </c>
    </row>
    <row r="640" spans="30:37">
      <c r="AD640" s="131">
        <v>202802</v>
      </c>
      <c r="AE640" s="135">
        <v>121092</v>
      </c>
      <c r="AF640">
        <f t="shared" si="68"/>
        <v>28</v>
      </c>
      <c r="AG640">
        <f t="shared" si="67"/>
        <v>2</v>
      </c>
      <c r="AH640" t="str">
        <f t="shared" si="72"/>
        <v>简单</v>
      </c>
      <c r="AI640">
        <f t="shared" si="69"/>
        <v>1779</v>
      </c>
      <c r="AJ640">
        <f t="shared" si="70"/>
        <v>773</v>
      </c>
      <c r="AK640">
        <f t="shared" si="71"/>
        <v>13591</v>
      </c>
    </row>
    <row r="641" spans="30:37">
      <c r="AD641" s="131">
        <v>202802</v>
      </c>
      <c r="AE641" s="135">
        <v>121013</v>
      </c>
      <c r="AF641">
        <f t="shared" si="68"/>
        <v>28</v>
      </c>
      <c r="AG641">
        <f t="shared" si="67"/>
        <v>2</v>
      </c>
      <c r="AH641" t="str">
        <f t="shared" si="72"/>
        <v>简单</v>
      </c>
      <c r="AI641">
        <f t="shared" si="69"/>
        <v>1779</v>
      </c>
      <c r="AJ641">
        <f t="shared" si="70"/>
        <v>773</v>
      </c>
      <c r="AK641">
        <f t="shared" si="71"/>
        <v>13591</v>
      </c>
    </row>
    <row r="642" spans="30:37">
      <c r="AD642" s="131">
        <v>202802</v>
      </c>
      <c r="AE642" s="135">
        <v>121107</v>
      </c>
      <c r="AF642">
        <f t="shared" si="68"/>
        <v>28</v>
      </c>
      <c r="AG642">
        <f t="shared" si="67"/>
        <v>2</v>
      </c>
      <c r="AH642" t="str">
        <f t="shared" si="72"/>
        <v>简单</v>
      </c>
      <c r="AI642">
        <f t="shared" si="69"/>
        <v>1779</v>
      </c>
      <c r="AJ642">
        <f t="shared" si="70"/>
        <v>773</v>
      </c>
      <c r="AK642">
        <f t="shared" si="71"/>
        <v>13591</v>
      </c>
    </row>
    <row r="643" spans="30:37">
      <c r="AD643" s="131">
        <v>202802</v>
      </c>
      <c r="AE643" s="135">
        <v>121076</v>
      </c>
      <c r="AF643">
        <f t="shared" si="68"/>
        <v>28</v>
      </c>
      <c r="AG643">
        <f t="shared" si="67"/>
        <v>2</v>
      </c>
      <c r="AH643" t="str">
        <f t="shared" si="72"/>
        <v>简单</v>
      </c>
      <c r="AI643">
        <f t="shared" si="69"/>
        <v>1779</v>
      </c>
      <c r="AJ643">
        <f t="shared" si="70"/>
        <v>773</v>
      </c>
      <c r="AK643">
        <f t="shared" si="71"/>
        <v>13591</v>
      </c>
    </row>
    <row r="644" spans="30:37">
      <c r="AD644" s="131">
        <v>202802</v>
      </c>
      <c r="AE644" s="135">
        <v>121107</v>
      </c>
      <c r="AF644">
        <f t="shared" si="68"/>
        <v>28</v>
      </c>
      <c r="AG644">
        <f t="shared" si="67"/>
        <v>2</v>
      </c>
      <c r="AH644" t="str">
        <f t="shared" si="72"/>
        <v>简单</v>
      </c>
      <c r="AI644">
        <f t="shared" si="69"/>
        <v>1779</v>
      </c>
      <c r="AJ644">
        <f t="shared" si="70"/>
        <v>773</v>
      </c>
      <c r="AK644">
        <f t="shared" si="71"/>
        <v>13591</v>
      </c>
    </row>
    <row r="645" spans="30:37">
      <c r="AD645" s="131">
        <v>202803</v>
      </c>
      <c r="AE645" s="135">
        <v>121090</v>
      </c>
      <c r="AF645">
        <f t="shared" si="68"/>
        <v>28</v>
      </c>
      <c r="AG645">
        <f t="shared" si="67"/>
        <v>3</v>
      </c>
      <c r="AH645" t="str">
        <f t="shared" si="72"/>
        <v>困难</v>
      </c>
      <c r="AI645">
        <f t="shared" si="69"/>
        <v>2909</v>
      </c>
      <c r="AJ645">
        <f t="shared" si="70"/>
        <v>1276</v>
      </c>
      <c r="AK645">
        <f t="shared" si="71"/>
        <v>1276</v>
      </c>
    </row>
    <row r="646" spans="30:37">
      <c r="AD646" s="131">
        <v>202803</v>
      </c>
      <c r="AE646" s="135">
        <v>121009</v>
      </c>
      <c r="AF646">
        <f t="shared" si="68"/>
        <v>28</v>
      </c>
      <c r="AG646">
        <f t="shared" si="67"/>
        <v>3</v>
      </c>
      <c r="AH646" t="str">
        <f t="shared" si="72"/>
        <v>困难</v>
      </c>
      <c r="AI646">
        <f t="shared" si="69"/>
        <v>2909</v>
      </c>
      <c r="AJ646">
        <f t="shared" si="70"/>
        <v>1276</v>
      </c>
      <c r="AK646">
        <f t="shared" si="71"/>
        <v>1276</v>
      </c>
    </row>
    <row r="647" spans="30:37">
      <c r="AD647" s="131">
        <v>202803</v>
      </c>
      <c r="AE647" s="135">
        <v>121009</v>
      </c>
      <c r="AF647">
        <f t="shared" si="68"/>
        <v>28</v>
      </c>
      <c r="AG647">
        <f t="shared" si="67"/>
        <v>3</v>
      </c>
      <c r="AH647" t="str">
        <f t="shared" si="72"/>
        <v>困难</v>
      </c>
      <c r="AI647">
        <f t="shared" si="69"/>
        <v>2909</v>
      </c>
      <c r="AJ647">
        <f t="shared" si="70"/>
        <v>1276</v>
      </c>
      <c r="AK647">
        <f t="shared" si="71"/>
        <v>1276</v>
      </c>
    </row>
    <row r="648" spans="30:37">
      <c r="AD648" s="131">
        <v>202803</v>
      </c>
      <c r="AE648" s="135">
        <v>121108</v>
      </c>
      <c r="AF648">
        <f t="shared" si="68"/>
        <v>28</v>
      </c>
      <c r="AG648">
        <f t="shared" si="67"/>
        <v>3</v>
      </c>
      <c r="AH648" t="str">
        <f t="shared" si="72"/>
        <v>困难</v>
      </c>
      <c r="AI648">
        <f t="shared" si="69"/>
        <v>2909</v>
      </c>
      <c r="AJ648">
        <f t="shared" si="70"/>
        <v>1276</v>
      </c>
      <c r="AK648">
        <f t="shared" si="71"/>
        <v>1276</v>
      </c>
    </row>
    <row r="649" spans="30:37">
      <c r="AD649" s="131">
        <v>202803</v>
      </c>
      <c r="AE649" s="135">
        <v>121107</v>
      </c>
      <c r="AF649">
        <f t="shared" si="68"/>
        <v>28</v>
      </c>
      <c r="AG649">
        <f t="shared" si="67"/>
        <v>3</v>
      </c>
      <c r="AH649" t="str">
        <f t="shared" si="72"/>
        <v>困难</v>
      </c>
      <c r="AI649">
        <f t="shared" si="69"/>
        <v>2909</v>
      </c>
      <c r="AJ649">
        <f t="shared" si="70"/>
        <v>1276</v>
      </c>
      <c r="AK649">
        <f t="shared" si="71"/>
        <v>1276</v>
      </c>
    </row>
    <row r="650" spans="30:37">
      <c r="AD650" s="131">
        <v>202804</v>
      </c>
      <c r="AE650" s="135">
        <v>121092</v>
      </c>
      <c r="AF650">
        <f t="shared" si="68"/>
        <v>28</v>
      </c>
      <c r="AG650">
        <f t="shared" si="67"/>
        <v>4</v>
      </c>
      <c r="AH650" t="str">
        <f t="shared" si="72"/>
        <v>困难</v>
      </c>
      <c r="AI650">
        <f t="shared" si="69"/>
        <v>2909</v>
      </c>
      <c r="AJ650">
        <f t="shared" si="70"/>
        <v>1276</v>
      </c>
      <c r="AK650">
        <f t="shared" si="71"/>
        <v>1276</v>
      </c>
    </row>
    <row r="651" spans="30:37">
      <c r="AD651" s="131">
        <v>202804</v>
      </c>
      <c r="AE651" s="135">
        <v>121013</v>
      </c>
      <c r="AF651">
        <f t="shared" si="68"/>
        <v>28</v>
      </c>
      <c r="AG651">
        <f t="shared" si="67"/>
        <v>4</v>
      </c>
      <c r="AH651" t="str">
        <f t="shared" si="72"/>
        <v>困难</v>
      </c>
      <c r="AI651">
        <f t="shared" si="69"/>
        <v>2909</v>
      </c>
      <c r="AJ651">
        <f t="shared" si="70"/>
        <v>1276</v>
      </c>
      <c r="AK651">
        <f t="shared" si="71"/>
        <v>1276</v>
      </c>
    </row>
    <row r="652" spans="30:37">
      <c r="AD652" s="131">
        <v>202804</v>
      </c>
      <c r="AE652" s="135">
        <v>121107</v>
      </c>
      <c r="AF652">
        <f t="shared" si="68"/>
        <v>28</v>
      </c>
      <c r="AG652">
        <f t="shared" si="67"/>
        <v>4</v>
      </c>
      <c r="AH652" t="str">
        <f t="shared" si="72"/>
        <v>困难</v>
      </c>
      <c r="AI652">
        <f t="shared" si="69"/>
        <v>2909</v>
      </c>
      <c r="AJ652">
        <f t="shared" si="70"/>
        <v>1276</v>
      </c>
      <c r="AK652">
        <f t="shared" si="71"/>
        <v>1276</v>
      </c>
    </row>
    <row r="653" spans="30:37">
      <c r="AD653" s="131">
        <v>202804</v>
      </c>
      <c r="AE653" s="135">
        <v>121076</v>
      </c>
      <c r="AF653">
        <f t="shared" si="68"/>
        <v>28</v>
      </c>
      <c r="AG653">
        <f t="shared" si="67"/>
        <v>4</v>
      </c>
      <c r="AH653" t="str">
        <f t="shared" si="72"/>
        <v>困难</v>
      </c>
      <c r="AI653">
        <f t="shared" si="69"/>
        <v>2909</v>
      </c>
      <c r="AJ653">
        <f t="shared" si="70"/>
        <v>1276</v>
      </c>
      <c r="AK653">
        <f t="shared" si="71"/>
        <v>1276</v>
      </c>
    </row>
    <row r="654" spans="30:37">
      <c r="AD654" s="131">
        <v>202804</v>
      </c>
      <c r="AE654" s="135">
        <v>121107</v>
      </c>
      <c r="AF654">
        <f t="shared" si="68"/>
        <v>28</v>
      </c>
      <c r="AG654">
        <f t="shared" si="67"/>
        <v>4</v>
      </c>
      <c r="AH654" t="str">
        <f t="shared" si="72"/>
        <v>困难</v>
      </c>
      <c r="AI654">
        <f t="shared" si="69"/>
        <v>2909</v>
      </c>
      <c r="AJ654">
        <f t="shared" si="70"/>
        <v>1276</v>
      </c>
      <c r="AK654">
        <f t="shared" si="71"/>
        <v>1276</v>
      </c>
    </row>
    <row r="655" spans="30:37">
      <c r="AD655" s="131">
        <v>202901</v>
      </c>
      <c r="AE655" s="135">
        <v>121092</v>
      </c>
      <c r="AF655">
        <f t="shared" si="68"/>
        <v>29</v>
      </c>
      <c r="AG655">
        <f t="shared" si="67"/>
        <v>1</v>
      </c>
      <c r="AH655" t="str">
        <f t="shared" si="72"/>
        <v>简单</v>
      </c>
      <c r="AI655">
        <f t="shared" si="69"/>
        <v>1779</v>
      </c>
      <c r="AJ655">
        <f t="shared" si="70"/>
        <v>773</v>
      </c>
      <c r="AK655">
        <f t="shared" si="71"/>
        <v>13591</v>
      </c>
    </row>
    <row r="656" spans="30:37">
      <c r="AD656" s="131">
        <v>202901</v>
      </c>
      <c r="AE656" s="135">
        <v>121098</v>
      </c>
      <c r="AF656">
        <f t="shared" si="68"/>
        <v>29</v>
      </c>
      <c r="AG656">
        <f t="shared" si="67"/>
        <v>1</v>
      </c>
      <c r="AH656" t="str">
        <f t="shared" si="72"/>
        <v>简单</v>
      </c>
      <c r="AI656">
        <f t="shared" si="69"/>
        <v>1779</v>
      </c>
      <c r="AJ656">
        <f t="shared" si="70"/>
        <v>773</v>
      </c>
      <c r="AK656">
        <f t="shared" si="71"/>
        <v>13591</v>
      </c>
    </row>
    <row r="657" spans="30:37">
      <c r="AD657" s="131">
        <v>202901</v>
      </c>
      <c r="AE657" s="135">
        <v>1111016</v>
      </c>
      <c r="AF657">
        <f t="shared" si="68"/>
        <v>29</v>
      </c>
      <c r="AG657">
        <f t="shared" si="67"/>
        <v>1</v>
      </c>
      <c r="AH657" t="str">
        <f t="shared" si="72"/>
        <v>简单</v>
      </c>
      <c r="AI657">
        <f t="shared" si="69"/>
        <v>2372</v>
      </c>
      <c r="AJ657">
        <f t="shared" si="70"/>
        <v>773</v>
      </c>
      <c r="AK657">
        <f t="shared" si="71"/>
        <v>13591</v>
      </c>
    </row>
    <row r="658" spans="30:37">
      <c r="AD658" s="131">
        <v>202901</v>
      </c>
      <c r="AE658" s="135">
        <v>121076</v>
      </c>
      <c r="AF658">
        <f t="shared" si="68"/>
        <v>29</v>
      </c>
      <c r="AG658">
        <f t="shared" si="67"/>
        <v>1</v>
      </c>
      <c r="AH658" t="str">
        <f t="shared" si="72"/>
        <v>简单</v>
      </c>
      <c r="AI658">
        <f t="shared" si="69"/>
        <v>1779</v>
      </c>
      <c r="AJ658">
        <f t="shared" si="70"/>
        <v>773</v>
      </c>
      <c r="AK658">
        <f t="shared" si="71"/>
        <v>13591</v>
      </c>
    </row>
    <row r="659" spans="30:37">
      <c r="AD659" s="131">
        <v>202901</v>
      </c>
      <c r="AE659" s="135">
        <v>121076</v>
      </c>
      <c r="AF659">
        <f t="shared" si="68"/>
        <v>29</v>
      </c>
      <c r="AG659">
        <f t="shared" si="67"/>
        <v>1</v>
      </c>
      <c r="AH659" t="str">
        <f t="shared" si="72"/>
        <v>简单</v>
      </c>
      <c r="AI659">
        <f t="shared" si="69"/>
        <v>1779</v>
      </c>
      <c r="AJ659">
        <f t="shared" si="70"/>
        <v>773</v>
      </c>
      <c r="AK659">
        <f t="shared" si="71"/>
        <v>13591</v>
      </c>
    </row>
    <row r="660" spans="30:37">
      <c r="AD660" s="131">
        <v>202902</v>
      </c>
      <c r="AE660" s="135">
        <v>121106</v>
      </c>
      <c r="AF660">
        <f t="shared" si="68"/>
        <v>29</v>
      </c>
      <c r="AG660">
        <f t="shared" si="67"/>
        <v>2</v>
      </c>
      <c r="AH660" t="str">
        <f t="shared" si="72"/>
        <v>简单</v>
      </c>
      <c r="AI660">
        <f t="shared" si="69"/>
        <v>1779</v>
      </c>
      <c r="AJ660">
        <f t="shared" si="70"/>
        <v>773</v>
      </c>
      <c r="AK660">
        <f t="shared" si="71"/>
        <v>13591</v>
      </c>
    </row>
    <row r="661" spans="30:37">
      <c r="AD661" s="131">
        <v>202902</v>
      </c>
      <c r="AE661" s="135">
        <v>121099</v>
      </c>
      <c r="AF661">
        <f t="shared" si="68"/>
        <v>29</v>
      </c>
      <c r="AG661">
        <f t="shared" si="67"/>
        <v>2</v>
      </c>
      <c r="AH661" t="str">
        <f t="shared" si="72"/>
        <v>简单</v>
      </c>
      <c r="AI661">
        <f t="shared" si="69"/>
        <v>1779</v>
      </c>
      <c r="AJ661">
        <f t="shared" si="70"/>
        <v>773</v>
      </c>
      <c r="AK661">
        <f t="shared" si="71"/>
        <v>13591</v>
      </c>
    </row>
    <row r="662" spans="30:37">
      <c r="AD662" s="131">
        <v>202902</v>
      </c>
      <c r="AE662" s="135">
        <v>121093</v>
      </c>
      <c r="AF662">
        <f t="shared" si="68"/>
        <v>29</v>
      </c>
      <c r="AG662">
        <f t="shared" ref="AG662:AG725" si="73">ROUNDDOWN(RIGHT(AD662,2),0)</f>
        <v>2</v>
      </c>
      <c r="AH662" t="str">
        <f t="shared" si="72"/>
        <v>简单</v>
      </c>
      <c r="AI662">
        <f t="shared" si="69"/>
        <v>1779</v>
      </c>
      <c r="AJ662">
        <f t="shared" si="70"/>
        <v>773</v>
      </c>
      <c r="AK662">
        <f t="shared" si="71"/>
        <v>13591</v>
      </c>
    </row>
    <row r="663" spans="30:37">
      <c r="AD663" s="131">
        <v>202902</v>
      </c>
      <c r="AE663" s="135">
        <v>121105</v>
      </c>
      <c r="AF663">
        <f t="shared" si="68"/>
        <v>29</v>
      </c>
      <c r="AG663">
        <f t="shared" si="73"/>
        <v>2</v>
      </c>
      <c r="AH663" t="str">
        <f t="shared" si="72"/>
        <v>简单</v>
      </c>
      <c r="AI663">
        <f t="shared" si="69"/>
        <v>1779</v>
      </c>
      <c r="AJ663">
        <f t="shared" si="70"/>
        <v>773</v>
      </c>
      <c r="AK663">
        <f t="shared" si="71"/>
        <v>13591</v>
      </c>
    </row>
    <row r="664" spans="30:37">
      <c r="AD664" s="131">
        <v>202902</v>
      </c>
      <c r="AE664" s="135">
        <v>121105</v>
      </c>
      <c r="AF664">
        <f t="shared" si="68"/>
        <v>29</v>
      </c>
      <c r="AG664">
        <f t="shared" si="73"/>
        <v>2</v>
      </c>
      <c r="AH664" t="str">
        <f t="shared" si="72"/>
        <v>简单</v>
      </c>
      <c r="AI664">
        <f t="shared" si="69"/>
        <v>1779</v>
      </c>
      <c r="AJ664">
        <f t="shared" si="70"/>
        <v>773</v>
      </c>
      <c r="AK664">
        <f t="shared" si="71"/>
        <v>13591</v>
      </c>
    </row>
    <row r="665" spans="30:37">
      <c r="AD665" s="131">
        <v>202903</v>
      </c>
      <c r="AE665" s="135">
        <v>1112021</v>
      </c>
      <c r="AF665">
        <f t="shared" si="68"/>
        <v>29</v>
      </c>
      <c r="AG665">
        <f t="shared" si="73"/>
        <v>3</v>
      </c>
      <c r="AH665" t="str">
        <f t="shared" si="72"/>
        <v>简单</v>
      </c>
      <c r="AI665">
        <f t="shared" si="69"/>
        <v>2372</v>
      </c>
      <c r="AJ665">
        <f t="shared" si="70"/>
        <v>773</v>
      </c>
      <c r="AK665">
        <f t="shared" si="71"/>
        <v>13591</v>
      </c>
    </row>
    <row r="666" spans="30:37">
      <c r="AD666" s="131">
        <v>202903</v>
      </c>
      <c r="AE666" s="135">
        <v>121099</v>
      </c>
      <c r="AF666">
        <f t="shared" si="68"/>
        <v>29</v>
      </c>
      <c r="AG666">
        <f t="shared" si="73"/>
        <v>3</v>
      </c>
      <c r="AH666" t="str">
        <f t="shared" si="72"/>
        <v>简单</v>
      </c>
      <c r="AI666">
        <f t="shared" si="69"/>
        <v>1779</v>
      </c>
      <c r="AJ666">
        <f t="shared" si="70"/>
        <v>773</v>
      </c>
      <c r="AK666">
        <f t="shared" si="71"/>
        <v>13591</v>
      </c>
    </row>
    <row r="667" spans="30:37">
      <c r="AD667" s="131">
        <v>202903</v>
      </c>
      <c r="AE667" s="135">
        <v>121100</v>
      </c>
      <c r="AF667">
        <f t="shared" si="68"/>
        <v>29</v>
      </c>
      <c r="AG667">
        <f t="shared" si="73"/>
        <v>3</v>
      </c>
      <c r="AH667" t="str">
        <f t="shared" si="72"/>
        <v>简单</v>
      </c>
      <c r="AI667">
        <f t="shared" si="69"/>
        <v>1779</v>
      </c>
      <c r="AJ667">
        <f t="shared" si="70"/>
        <v>773</v>
      </c>
      <c r="AK667">
        <f t="shared" si="71"/>
        <v>13591</v>
      </c>
    </row>
    <row r="668" spans="30:37">
      <c r="AD668" s="131">
        <v>202903</v>
      </c>
      <c r="AE668" s="135">
        <v>1112020</v>
      </c>
      <c r="AF668">
        <f t="shared" si="68"/>
        <v>29</v>
      </c>
      <c r="AG668">
        <f t="shared" si="73"/>
        <v>3</v>
      </c>
      <c r="AH668" t="str">
        <f t="shared" si="72"/>
        <v>简单</v>
      </c>
      <c r="AI668">
        <f t="shared" si="69"/>
        <v>2372</v>
      </c>
      <c r="AJ668">
        <f t="shared" si="70"/>
        <v>773</v>
      </c>
      <c r="AK668">
        <f t="shared" si="71"/>
        <v>13591</v>
      </c>
    </row>
    <row r="669" spans="30:37">
      <c r="AD669" s="131">
        <v>202903</v>
      </c>
      <c r="AE669" s="135">
        <v>1113011</v>
      </c>
      <c r="AF669">
        <f t="shared" si="68"/>
        <v>29</v>
      </c>
      <c r="AG669">
        <f t="shared" si="73"/>
        <v>3</v>
      </c>
      <c r="AH669" t="str">
        <f t="shared" si="72"/>
        <v>简单</v>
      </c>
      <c r="AI669">
        <f t="shared" si="69"/>
        <v>2372</v>
      </c>
      <c r="AJ669">
        <f t="shared" si="70"/>
        <v>773</v>
      </c>
      <c r="AK669">
        <f t="shared" si="71"/>
        <v>13591</v>
      </c>
    </row>
    <row r="670" spans="30:37">
      <c r="AD670">
        <v>202904</v>
      </c>
      <c r="AE670" s="135">
        <v>121092</v>
      </c>
      <c r="AF670">
        <f t="shared" ref="AF670:AF733" si="74">MOD(ROUNDDOWN(AD670/100,0),100)</f>
        <v>29</v>
      </c>
      <c r="AG670">
        <f t="shared" si="73"/>
        <v>4</v>
      </c>
      <c r="AH670" t="str">
        <f t="shared" si="72"/>
        <v>困难</v>
      </c>
      <c r="AI670">
        <f t="shared" si="69"/>
        <v>2922</v>
      </c>
      <c r="AJ670">
        <f t="shared" si="70"/>
        <v>1281</v>
      </c>
      <c r="AK670">
        <f t="shared" si="71"/>
        <v>1281</v>
      </c>
    </row>
    <row r="671" spans="30:37">
      <c r="AD671">
        <v>202904</v>
      </c>
      <c r="AE671" s="135">
        <v>121098</v>
      </c>
      <c r="AF671">
        <f t="shared" si="74"/>
        <v>29</v>
      </c>
      <c r="AG671">
        <f t="shared" si="73"/>
        <v>4</v>
      </c>
      <c r="AH671" t="str">
        <f t="shared" si="72"/>
        <v>困难</v>
      </c>
      <c r="AI671">
        <f t="shared" ref="AI671:AI734" si="75">IF($AH671="简单",IF(AE671&lt;122000,VLOOKUP($AF671,$N:$T,2,0),VLOOKUP($AF671,$N:$T,5,0)),IF(AE671&lt;122000,VLOOKUP($AF671,$V:$AB,2,0),VLOOKUP($AF671,$V:$AB,5,0)))</f>
        <v>2922</v>
      </c>
      <c r="AJ671">
        <f t="shared" ref="AJ671:AJ734" si="76">IF($AH671="简单",IF(AF671&lt;122000,VLOOKUP($AF671,$N:$T,3,0),VLOOKUP($AF671,$N:$T,6,0)),IF(AF671&lt;122000,VLOOKUP($AF671,$V:$AB,3,0),VLOOKUP($AF671,$V:$AB,6,0)))</f>
        <v>1281</v>
      </c>
      <c r="AK671">
        <f t="shared" ref="AK671:AK734" si="77">IF($AH671="简单",IF(AG671&lt;122000,VLOOKUP($AF671,$N:$T,4,0),VLOOKUP($AF671,$N:$T,7,0)),IF(AG671&lt;122000,VLOOKUP($AF671,$V:$AB,3,0),VLOOKUP($AF671,$V:$AB,6,0)))</f>
        <v>1281</v>
      </c>
    </row>
    <row r="672" spans="30:37">
      <c r="AD672">
        <v>202904</v>
      </c>
      <c r="AE672" s="135">
        <v>1111016</v>
      </c>
      <c r="AF672">
        <f t="shared" si="74"/>
        <v>29</v>
      </c>
      <c r="AG672">
        <f t="shared" si="73"/>
        <v>4</v>
      </c>
      <c r="AH672" t="str">
        <f t="shared" si="72"/>
        <v>困难</v>
      </c>
      <c r="AI672">
        <f t="shared" si="75"/>
        <v>3214</v>
      </c>
      <c r="AJ672">
        <f t="shared" si="76"/>
        <v>1281</v>
      </c>
      <c r="AK672">
        <f t="shared" si="77"/>
        <v>1281</v>
      </c>
    </row>
    <row r="673" spans="30:37">
      <c r="AD673">
        <v>202904</v>
      </c>
      <c r="AE673" s="135">
        <v>121076</v>
      </c>
      <c r="AF673">
        <f t="shared" si="74"/>
        <v>29</v>
      </c>
      <c r="AG673">
        <f t="shared" si="73"/>
        <v>4</v>
      </c>
      <c r="AH673" t="str">
        <f t="shared" si="72"/>
        <v>困难</v>
      </c>
      <c r="AI673">
        <f t="shared" si="75"/>
        <v>2922</v>
      </c>
      <c r="AJ673">
        <f t="shared" si="76"/>
        <v>1281</v>
      </c>
      <c r="AK673">
        <f t="shared" si="77"/>
        <v>1281</v>
      </c>
    </row>
    <row r="674" spans="30:37">
      <c r="AD674">
        <v>202904</v>
      </c>
      <c r="AE674" s="135">
        <v>121076</v>
      </c>
      <c r="AF674">
        <f t="shared" si="74"/>
        <v>29</v>
      </c>
      <c r="AG674">
        <f t="shared" si="73"/>
        <v>4</v>
      </c>
      <c r="AH674" t="str">
        <f t="shared" si="72"/>
        <v>困难</v>
      </c>
      <c r="AI674">
        <f t="shared" si="75"/>
        <v>2922</v>
      </c>
      <c r="AJ674">
        <f t="shared" si="76"/>
        <v>1281</v>
      </c>
      <c r="AK674">
        <f t="shared" si="77"/>
        <v>1281</v>
      </c>
    </row>
    <row r="675" spans="30:37">
      <c r="AD675">
        <v>202905</v>
      </c>
      <c r="AE675" s="135">
        <v>121106</v>
      </c>
      <c r="AF675">
        <f t="shared" si="74"/>
        <v>29</v>
      </c>
      <c r="AG675">
        <f t="shared" si="73"/>
        <v>5</v>
      </c>
      <c r="AH675" t="str">
        <f t="shared" si="72"/>
        <v>困难</v>
      </c>
      <c r="AI675">
        <f t="shared" si="75"/>
        <v>2922</v>
      </c>
      <c r="AJ675">
        <f t="shared" si="76"/>
        <v>1281</v>
      </c>
      <c r="AK675">
        <f t="shared" si="77"/>
        <v>1281</v>
      </c>
    </row>
    <row r="676" spans="30:37">
      <c r="AD676">
        <v>202905</v>
      </c>
      <c r="AE676" s="135">
        <v>121099</v>
      </c>
      <c r="AF676">
        <f t="shared" si="74"/>
        <v>29</v>
      </c>
      <c r="AG676">
        <f t="shared" si="73"/>
        <v>5</v>
      </c>
      <c r="AH676" t="str">
        <f t="shared" si="72"/>
        <v>困难</v>
      </c>
      <c r="AI676">
        <f t="shared" si="75"/>
        <v>2922</v>
      </c>
      <c r="AJ676">
        <f t="shared" si="76"/>
        <v>1281</v>
      </c>
      <c r="AK676">
        <f t="shared" si="77"/>
        <v>1281</v>
      </c>
    </row>
    <row r="677" spans="30:37">
      <c r="AD677">
        <v>202905</v>
      </c>
      <c r="AE677" s="135">
        <v>121093</v>
      </c>
      <c r="AF677">
        <f t="shared" si="74"/>
        <v>29</v>
      </c>
      <c r="AG677">
        <f t="shared" si="73"/>
        <v>5</v>
      </c>
      <c r="AH677" t="str">
        <f t="shared" si="72"/>
        <v>困难</v>
      </c>
      <c r="AI677">
        <f t="shared" si="75"/>
        <v>2922</v>
      </c>
      <c r="AJ677">
        <f t="shared" si="76"/>
        <v>1281</v>
      </c>
      <c r="AK677">
        <f t="shared" si="77"/>
        <v>1281</v>
      </c>
    </row>
    <row r="678" spans="30:37">
      <c r="AD678">
        <v>202905</v>
      </c>
      <c r="AE678" s="135">
        <v>121105</v>
      </c>
      <c r="AF678">
        <f t="shared" si="74"/>
        <v>29</v>
      </c>
      <c r="AG678">
        <f t="shared" si="73"/>
        <v>5</v>
      </c>
      <c r="AH678" t="str">
        <f t="shared" si="72"/>
        <v>困难</v>
      </c>
      <c r="AI678">
        <f t="shared" si="75"/>
        <v>2922</v>
      </c>
      <c r="AJ678">
        <f t="shared" si="76"/>
        <v>1281</v>
      </c>
      <c r="AK678">
        <f t="shared" si="77"/>
        <v>1281</v>
      </c>
    </row>
    <row r="679" spans="30:37">
      <c r="AD679">
        <v>202905</v>
      </c>
      <c r="AE679" s="135">
        <v>121105</v>
      </c>
      <c r="AF679">
        <f t="shared" si="74"/>
        <v>29</v>
      </c>
      <c r="AG679">
        <f t="shared" si="73"/>
        <v>5</v>
      </c>
      <c r="AH679" t="str">
        <f t="shared" si="72"/>
        <v>困难</v>
      </c>
      <c r="AI679">
        <f t="shared" si="75"/>
        <v>2922</v>
      </c>
      <c r="AJ679">
        <f t="shared" si="76"/>
        <v>1281</v>
      </c>
      <c r="AK679">
        <f t="shared" si="77"/>
        <v>1281</v>
      </c>
    </row>
    <row r="680" spans="30:37">
      <c r="AD680">
        <v>202906</v>
      </c>
      <c r="AE680" s="135">
        <v>121130</v>
      </c>
      <c r="AF680">
        <f t="shared" si="74"/>
        <v>29</v>
      </c>
      <c r="AG680">
        <f t="shared" si="73"/>
        <v>6</v>
      </c>
      <c r="AH680" t="str">
        <f t="shared" si="72"/>
        <v>困难</v>
      </c>
      <c r="AI680">
        <f t="shared" si="75"/>
        <v>2922</v>
      </c>
      <c r="AJ680">
        <f t="shared" si="76"/>
        <v>1281</v>
      </c>
      <c r="AK680">
        <f t="shared" si="77"/>
        <v>1281</v>
      </c>
    </row>
    <row r="681" spans="30:37">
      <c r="AD681">
        <v>202906</v>
      </c>
      <c r="AE681" s="135">
        <v>121099</v>
      </c>
      <c r="AF681">
        <f t="shared" si="74"/>
        <v>29</v>
      </c>
      <c r="AG681">
        <f t="shared" si="73"/>
        <v>6</v>
      </c>
      <c r="AH681" t="str">
        <f t="shared" si="72"/>
        <v>困难</v>
      </c>
      <c r="AI681">
        <f t="shared" si="75"/>
        <v>2922</v>
      </c>
      <c r="AJ681">
        <f t="shared" si="76"/>
        <v>1281</v>
      </c>
      <c r="AK681">
        <f t="shared" si="77"/>
        <v>1281</v>
      </c>
    </row>
    <row r="682" spans="30:37">
      <c r="AD682">
        <v>202906</v>
      </c>
      <c r="AE682" s="135">
        <v>121100</v>
      </c>
      <c r="AF682">
        <f t="shared" si="74"/>
        <v>29</v>
      </c>
      <c r="AG682">
        <f t="shared" si="73"/>
        <v>6</v>
      </c>
      <c r="AH682" t="str">
        <f t="shared" si="72"/>
        <v>困难</v>
      </c>
      <c r="AI682">
        <f t="shared" si="75"/>
        <v>2922</v>
      </c>
      <c r="AJ682">
        <f t="shared" si="76"/>
        <v>1281</v>
      </c>
      <c r="AK682">
        <f t="shared" si="77"/>
        <v>1281</v>
      </c>
    </row>
    <row r="683" spans="30:37">
      <c r="AD683">
        <v>202906</v>
      </c>
      <c r="AE683" s="135">
        <v>1112020</v>
      </c>
      <c r="AF683">
        <f t="shared" si="74"/>
        <v>29</v>
      </c>
      <c r="AG683">
        <f t="shared" si="73"/>
        <v>6</v>
      </c>
      <c r="AH683" t="str">
        <f t="shared" si="72"/>
        <v>困难</v>
      </c>
      <c r="AI683">
        <f t="shared" si="75"/>
        <v>3214</v>
      </c>
      <c r="AJ683">
        <f t="shared" si="76"/>
        <v>1281</v>
      </c>
      <c r="AK683">
        <f t="shared" si="77"/>
        <v>1281</v>
      </c>
    </row>
    <row r="684" spans="30:37">
      <c r="AD684">
        <v>202906</v>
      </c>
      <c r="AE684" s="135">
        <v>1114001</v>
      </c>
      <c r="AF684">
        <f t="shared" si="74"/>
        <v>29</v>
      </c>
      <c r="AG684">
        <f t="shared" si="73"/>
        <v>6</v>
      </c>
      <c r="AH684" t="str">
        <f t="shared" ref="AH684:AH747" si="78">IF(VLOOKUP(AF684,AF:AG,2,1)=4,IF(AG684&lt;3,"简单","困难"),IF(AG684&lt;4,"简单","困难"))</f>
        <v>困难</v>
      </c>
      <c r="AI684">
        <f t="shared" si="75"/>
        <v>3214</v>
      </c>
      <c r="AJ684">
        <f t="shared" si="76"/>
        <v>1281</v>
      </c>
      <c r="AK684">
        <f t="shared" si="77"/>
        <v>1281</v>
      </c>
    </row>
    <row r="685" spans="30:37">
      <c r="AD685" s="131">
        <v>203001</v>
      </c>
      <c r="AE685" s="135">
        <v>121099</v>
      </c>
      <c r="AF685">
        <f t="shared" si="74"/>
        <v>30</v>
      </c>
      <c r="AG685">
        <f t="shared" si="73"/>
        <v>1</v>
      </c>
      <c r="AH685" t="str">
        <f t="shared" si="78"/>
        <v>简单</v>
      </c>
      <c r="AI685">
        <f t="shared" si="75"/>
        <v>2053</v>
      </c>
      <c r="AJ685">
        <f t="shared" si="76"/>
        <v>902</v>
      </c>
      <c r="AK685">
        <f t="shared" si="77"/>
        <v>16984</v>
      </c>
    </row>
    <row r="686" spans="30:37">
      <c r="AD686" s="131">
        <v>203001</v>
      </c>
      <c r="AE686" s="135">
        <v>121095</v>
      </c>
      <c r="AF686">
        <f t="shared" si="74"/>
        <v>30</v>
      </c>
      <c r="AG686">
        <f t="shared" si="73"/>
        <v>1</v>
      </c>
      <c r="AH686" t="str">
        <f t="shared" si="78"/>
        <v>简单</v>
      </c>
      <c r="AI686">
        <f t="shared" si="75"/>
        <v>2053</v>
      </c>
      <c r="AJ686">
        <f t="shared" si="76"/>
        <v>902</v>
      </c>
      <c r="AK686">
        <f t="shared" si="77"/>
        <v>16984</v>
      </c>
    </row>
    <row r="687" spans="30:37">
      <c r="AD687" s="131">
        <v>203001</v>
      </c>
      <c r="AE687" s="135">
        <v>121094</v>
      </c>
      <c r="AF687">
        <f t="shared" si="74"/>
        <v>30</v>
      </c>
      <c r="AG687">
        <f t="shared" si="73"/>
        <v>1</v>
      </c>
      <c r="AH687" t="str">
        <f t="shared" si="78"/>
        <v>简单</v>
      </c>
      <c r="AI687">
        <f t="shared" si="75"/>
        <v>2053</v>
      </c>
      <c r="AJ687">
        <f t="shared" si="76"/>
        <v>902</v>
      </c>
      <c r="AK687">
        <f t="shared" si="77"/>
        <v>16984</v>
      </c>
    </row>
    <row r="688" spans="30:37">
      <c r="AD688" s="131">
        <v>203001</v>
      </c>
      <c r="AE688" s="135">
        <v>121013</v>
      </c>
      <c r="AF688">
        <f t="shared" si="74"/>
        <v>30</v>
      </c>
      <c r="AG688">
        <f t="shared" si="73"/>
        <v>1</v>
      </c>
      <c r="AH688" t="str">
        <f t="shared" si="78"/>
        <v>简单</v>
      </c>
      <c r="AI688">
        <f t="shared" si="75"/>
        <v>2053</v>
      </c>
      <c r="AJ688">
        <f t="shared" si="76"/>
        <v>902</v>
      </c>
      <c r="AK688">
        <f t="shared" si="77"/>
        <v>16984</v>
      </c>
    </row>
    <row r="689" spans="30:37">
      <c r="AD689" s="131">
        <v>203001</v>
      </c>
      <c r="AE689" s="135">
        <v>121013</v>
      </c>
      <c r="AF689">
        <f t="shared" si="74"/>
        <v>30</v>
      </c>
      <c r="AG689">
        <f t="shared" si="73"/>
        <v>1</v>
      </c>
      <c r="AH689" t="str">
        <f t="shared" si="78"/>
        <v>简单</v>
      </c>
      <c r="AI689">
        <f t="shared" si="75"/>
        <v>2053</v>
      </c>
      <c r="AJ689">
        <f t="shared" si="76"/>
        <v>902</v>
      </c>
      <c r="AK689">
        <f t="shared" si="77"/>
        <v>16984</v>
      </c>
    </row>
    <row r="690" spans="30:37">
      <c r="AD690" s="131">
        <v>203002</v>
      </c>
      <c r="AE690" s="135">
        <v>1113004</v>
      </c>
      <c r="AF690">
        <f t="shared" si="74"/>
        <v>30</v>
      </c>
      <c r="AG690">
        <f t="shared" si="73"/>
        <v>2</v>
      </c>
      <c r="AH690" t="str">
        <f t="shared" si="78"/>
        <v>简单</v>
      </c>
      <c r="AI690">
        <f t="shared" si="75"/>
        <v>2737</v>
      </c>
      <c r="AJ690">
        <f t="shared" si="76"/>
        <v>902</v>
      </c>
      <c r="AK690">
        <f t="shared" si="77"/>
        <v>16984</v>
      </c>
    </row>
    <row r="691" spans="30:37">
      <c r="AD691" s="131">
        <v>203002</v>
      </c>
      <c r="AE691" s="135">
        <v>121100</v>
      </c>
      <c r="AF691">
        <f t="shared" si="74"/>
        <v>30</v>
      </c>
      <c r="AG691">
        <f t="shared" si="73"/>
        <v>2</v>
      </c>
      <c r="AH691" t="str">
        <f t="shared" si="78"/>
        <v>简单</v>
      </c>
      <c r="AI691">
        <f t="shared" si="75"/>
        <v>2053</v>
      </c>
      <c r="AJ691">
        <f t="shared" si="76"/>
        <v>902</v>
      </c>
      <c r="AK691">
        <f t="shared" si="77"/>
        <v>16984</v>
      </c>
    </row>
    <row r="692" spans="30:37">
      <c r="AD692" s="131">
        <v>203002</v>
      </c>
      <c r="AE692" s="135">
        <v>121009</v>
      </c>
      <c r="AF692">
        <f t="shared" si="74"/>
        <v>30</v>
      </c>
      <c r="AG692">
        <f t="shared" si="73"/>
        <v>2</v>
      </c>
      <c r="AH692" t="str">
        <f t="shared" si="78"/>
        <v>简单</v>
      </c>
      <c r="AI692">
        <f t="shared" si="75"/>
        <v>2053</v>
      </c>
      <c r="AJ692">
        <f t="shared" si="76"/>
        <v>902</v>
      </c>
      <c r="AK692">
        <f t="shared" si="77"/>
        <v>16984</v>
      </c>
    </row>
    <row r="693" spans="30:37">
      <c r="AD693" s="131">
        <v>203002</v>
      </c>
      <c r="AE693" s="135">
        <v>121013</v>
      </c>
      <c r="AF693">
        <f t="shared" si="74"/>
        <v>30</v>
      </c>
      <c r="AG693">
        <f t="shared" si="73"/>
        <v>2</v>
      </c>
      <c r="AH693" t="str">
        <f t="shared" si="78"/>
        <v>简单</v>
      </c>
      <c r="AI693">
        <f t="shared" si="75"/>
        <v>2053</v>
      </c>
      <c r="AJ693">
        <f t="shared" si="76"/>
        <v>902</v>
      </c>
      <c r="AK693">
        <f t="shared" si="77"/>
        <v>16984</v>
      </c>
    </row>
    <row r="694" spans="30:37">
      <c r="AD694" s="131">
        <v>203002</v>
      </c>
      <c r="AE694" s="135">
        <v>121013</v>
      </c>
      <c r="AF694">
        <f t="shared" si="74"/>
        <v>30</v>
      </c>
      <c r="AG694">
        <f t="shared" si="73"/>
        <v>2</v>
      </c>
      <c r="AH694" t="str">
        <f t="shared" si="78"/>
        <v>简单</v>
      </c>
      <c r="AI694">
        <f t="shared" si="75"/>
        <v>2053</v>
      </c>
      <c r="AJ694">
        <f t="shared" si="76"/>
        <v>902</v>
      </c>
      <c r="AK694">
        <f t="shared" si="77"/>
        <v>16984</v>
      </c>
    </row>
    <row r="695" spans="30:37">
      <c r="AD695" s="131">
        <v>203003</v>
      </c>
      <c r="AE695" s="135">
        <v>121099</v>
      </c>
      <c r="AF695">
        <f t="shared" si="74"/>
        <v>30</v>
      </c>
      <c r="AG695">
        <f t="shared" si="73"/>
        <v>3</v>
      </c>
      <c r="AH695" t="str">
        <f t="shared" si="78"/>
        <v>困难</v>
      </c>
      <c r="AI695">
        <f t="shared" si="75"/>
        <v>3390</v>
      </c>
      <c r="AJ695">
        <f t="shared" si="76"/>
        <v>1505</v>
      </c>
      <c r="AK695">
        <f t="shared" si="77"/>
        <v>1505</v>
      </c>
    </row>
    <row r="696" spans="30:37">
      <c r="AD696" s="131">
        <v>203003</v>
      </c>
      <c r="AE696" s="135">
        <v>121095</v>
      </c>
      <c r="AF696">
        <f t="shared" si="74"/>
        <v>30</v>
      </c>
      <c r="AG696">
        <f t="shared" si="73"/>
        <v>3</v>
      </c>
      <c r="AH696" t="str">
        <f t="shared" si="78"/>
        <v>困难</v>
      </c>
      <c r="AI696">
        <f t="shared" si="75"/>
        <v>3390</v>
      </c>
      <c r="AJ696">
        <f t="shared" si="76"/>
        <v>1505</v>
      </c>
      <c r="AK696">
        <f t="shared" si="77"/>
        <v>1505</v>
      </c>
    </row>
    <row r="697" spans="30:37">
      <c r="AD697" s="131">
        <v>203003</v>
      </c>
      <c r="AE697" s="135">
        <v>121094</v>
      </c>
      <c r="AF697">
        <f t="shared" si="74"/>
        <v>30</v>
      </c>
      <c r="AG697">
        <f t="shared" si="73"/>
        <v>3</v>
      </c>
      <c r="AH697" t="str">
        <f t="shared" si="78"/>
        <v>困难</v>
      </c>
      <c r="AI697">
        <f t="shared" si="75"/>
        <v>3390</v>
      </c>
      <c r="AJ697">
        <f t="shared" si="76"/>
        <v>1505</v>
      </c>
      <c r="AK697">
        <f t="shared" si="77"/>
        <v>1505</v>
      </c>
    </row>
    <row r="698" spans="30:37">
      <c r="AD698" s="131">
        <v>203003</v>
      </c>
      <c r="AE698" s="135">
        <v>121013</v>
      </c>
      <c r="AF698">
        <f t="shared" si="74"/>
        <v>30</v>
      </c>
      <c r="AG698">
        <f t="shared" si="73"/>
        <v>3</v>
      </c>
      <c r="AH698" t="str">
        <f t="shared" si="78"/>
        <v>困难</v>
      </c>
      <c r="AI698">
        <f t="shared" si="75"/>
        <v>3390</v>
      </c>
      <c r="AJ698">
        <f t="shared" si="76"/>
        <v>1505</v>
      </c>
      <c r="AK698">
        <f t="shared" si="77"/>
        <v>1505</v>
      </c>
    </row>
    <row r="699" spans="30:37">
      <c r="AD699" s="131">
        <v>203003</v>
      </c>
      <c r="AE699" s="135">
        <v>121013</v>
      </c>
      <c r="AF699">
        <f t="shared" si="74"/>
        <v>30</v>
      </c>
      <c r="AG699">
        <f t="shared" si="73"/>
        <v>3</v>
      </c>
      <c r="AH699" t="str">
        <f t="shared" si="78"/>
        <v>困难</v>
      </c>
      <c r="AI699">
        <f t="shared" si="75"/>
        <v>3390</v>
      </c>
      <c r="AJ699">
        <f t="shared" si="76"/>
        <v>1505</v>
      </c>
      <c r="AK699">
        <f t="shared" si="77"/>
        <v>1505</v>
      </c>
    </row>
    <row r="700" spans="30:37">
      <c r="AD700" s="131">
        <v>203004</v>
      </c>
      <c r="AE700" s="135">
        <v>1113004</v>
      </c>
      <c r="AF700">
        <f t="shared" si="74"/>
        <v>30</v>
      </c>
      <c r="AG700">
        <f t="shared" si="73"/>
        <v>4</v>
      </c>
      <c r="AH700" t="str">
        <f t="shared" si="78"/>
        <v>困难</v>
      </c>
      <c r="AI700">
        <f t="shared" si="75"/>
        <v>3729</v>
      </c>
      <c r="AJ700">
        <f t="shared" si="76"/>
        <v>1505</v>
      </c>
      <c r="AK700">
        <f t="shared" si="77"/>
        <v>1505</v>
      </c>
    </row>
    <row r="701" spans="30:37">
      <c r="AD701" s="131">
        <v>203004</v>
      </c>
      <c r="AE701" s="135">
        <v>121100</v>
      </c>
      <c r="AF701">
        <f t="shared" si="74"/>
        <v>30</v>
      </c>
      <c r="AG701">
        <f t="shared" si="73"/>
        <v>4</v>
      </c>
      <c r="AH701" t="str">
        <f t="shared" si="78"/>
        <v>困难</v>
      </c>
      <c r="AI701">
        <f t="shared" si="75"/>
        <v>3390</v>
      </c>
      <c r="AJ701">
        <f t="shared" si="76"/>
        <v>1505</v>
      </c>
      <c r="AK701">
        <f t="shared" si="77"/>
        <v>1505</v>
      </c>
    </row>
    <row r="702" spans="30:37">
      <c r="AD702" s="131">
        <v>203004</v>
      </c>
      <c r="AE702" s="135">
        <v>121009</v>
      </c>
      <c r="AF702">
        <f t="shared" si="74"/>
        <v>30</v>
      </c>
      <c r="AG702">
        <f t="shared" si="73"/>
        <v>4</v>
      </c>
      <c r="AH702" t="str">
        <f t="shared" si="78"/>
        <v>困难</v>
      </c>
      <c r="AI702">
        <f t="shared" si="75"/>
        <v>3390</v>
      </c>
      <c r="AJ702">
        <f t="shared" si="76"/>
        <v>1505</v>
      </c>
      <c r="AK702">
        <f t="shared" si="77"/>
        <v>1505</v>
      </c>
    </row>
    <row r="703" spans="30:37">
      <c r="AD703" s="131">
        <v>203004</v>
      </c>
      <c r="AE703" s="135">
        <v>121013</v>
      </c>
      <c r="AF703">
        <f t="shared" si="74"/>
        <v>30</v>
      </c>
      <c r="AG703">
        <f t="shared" si="73"/>
        <v>4</v>
      </c>
      <c r="AH703" t="str">
        <f t="shared" si="78"/>
        <v>困难</v>
      </c>
      <c r="AI703">
        <f t="shared" si="75"/>
        <v>3390</v>
      </c>
      <c r="AJ703">
        <f t="shared" si="76"/>
        <v>1505</v>
      </c>
      <c r="AK703">
        <f t="shared" si="77"/>
        <v>1505</v>
      </c>
    </row>
    <row r="704" spans="30:37">
      <c r="AD704" s="131">
        <v>203004</v>
      </c>
      <c r="AE704" s="135">
        <v>121013</v>
      </c>
      <c r="AF704">
        <f t="shared" si="74"/>
        <v>30</v>
      </c>
      <c r="AG704">
        <f t="shared" si="73"/>
        <v>4</v>
      </c>
      <c r="AH704" t="str">
        <f t="shared" si="78"/>
        <v>困难</v>
      </c>
      <c r="AI704">
        <f t="shared" si="75"/>
        <v>3390</v>
      </c>
      <c r="AJ704">
        <f t="shared" si="76"/>
        <v>1505</v>
      </c>
      <c r="AK704">
        <f t="shared" si="77"/>
        <v>1505</v>
      </c>
    </row>
    <row r="705" spans="30:37">
      <c r="AD705" s="131">
        <v>203101</v>
      </c>
      <c r="AE705" s="135">
        <v>1112008</v>
      </c>
      <c r="AF705">
        <f t="shared" si="74"/>
        <v>31</v>
      </c>
      <c r="AG705">
        <f t="shared" si="73"/>
        <v>1</v>
      </c>
      <c r="AH705" t="str">
        <f t="shared" si="78"/>
        <v>简单</v>
      </c>
      <c r="AI705">
        <f t="shared" si="75"/>
        <v>2737</v>
      </c>
      <c r="AJ705">
        <f t="shared" si="76"/>
        <v>902</v>
      </c>
      <c r="AK705">
        <f t="shared" si="77"/>
        <v>16984</v>
      </c>
    </row>
    <row r="706" spans="30:37">
      <c r="AD706" s="131">
        <v>203101</v>
      </c>
      <c r="AE706" s="135">
        <v>121102</v>
      </c>
      <c r="AF706">
        <f t="shared" si="74"/>
        <v>31</v>
      </c>
      <c r="AG706">
        <f t="shared" si="73"/>
        <v>1</v>
      </c>
      <c r="AH706" t="str">
        <f t="shared" si="78"/>
        <v>简单</v>
      </c>
      <c r="AI706">
        <f t="shared" si="75"/>
        <v>2053</v>
      </c>
      <c r="AJ706">
        <f t="shared" si="76"/>
        <v>902</v>
      </c>
      <c r="AK706">
        <f t="shared" si="77"/>
        <v>16984</v>
      </c>
    </row>
    <row r="707" spans="30:37">
      <c r="AD707" s="131">
        <v>203101</v>
      </c>
      <c r="AE707" s="135">
        <v>121103</v>
      </c>
      <c r="AF707">
        <f t="shared" si="74"/>
        <v>31</v>
      </c>
      <c r="AG707">
        <f t="shared" si="73"/>
        <v>1</v>
      </c>
      <c r="AH707" t="str">
        <f t="shared" si="78"/>
        <v>简单</v>
      </c>
      <c r="AI707">
        <f t="shared" si="75"/>
        <v>2053</v>
      </c>
      <c r="AJ707">
        <f t="shared" si="76"/>
        <v>902</v>
      </c>
      <c r="AK707">
        <f t="shared" si="77"/>
        <v>16984</v>
      </c>
    </row>
    <row r="708" spans="30:37">
      <c r="AD708" s="131">
        <v>203101</v>
      </c>
      <c r="AE708" s="135">
        <v>121104</v>
      </c>
      <c r="AF708">
        <f t="shared" si="74"/>
        <v>31</v>
      </c>
      <c r="AG708">
        <f t="shared" si="73"/>
        <v>1</v>
      </c>
      <c r="AH708" t="str">
        <f t="shared" si="78"/>
        <v>简单</v>
      </c>
      <c r="AI708">
        <f t="shared" si="75"/>
        <v>2053</v>
      </c>
      <c r="AJ708">
        <f t="shared" si="76"/>
        <v>902</v>
      </c>
      <c r="AK708">
        <f t="shared" si="77"/>
        <v>16984</v>
      </c>
    </row>
    <row r="709" spans="30:37">
      <c r="AD709" s="131">
        <v>203101</v>
      </c>
      <c r="AE709" s="135">
        <v>121102</v>
      </c>
      <c r="AF709">
        <f t="shared" si="74"/>
        <v>31</v>
      </c>
      <c r="AG709">
        <f t="shared" si="73"/>
        <v>1</v>
      </c>
      <c r="AH709" t="str">
        <f t="shared" si="78"/>
        <v>简单</v>
      </c>
      <c r="AI709">
        <f t="shared" si="75"/>
        <v>2053</v>
      </c>
      <c r="AJ709">
        <f t="shared" si="76"/>
        <v>902</v>
      </c>
      <c r="AK709">
        <f t="shared" si="77"/>
        <v>16984</v>
      </c>
    </row>
    <row r="710" spans="30:37">
      <c r="AD710" s="131">
        <v>203102</v>
      </c>
      <c r="AE710" s="135">
        <v>1113004</v>
      </c>
      <c r="AF710">
        <f t="shared" si="74"/>
        <v>31</v>
      </c>
      <c r="AG710">
        <f t="shared" si="73"/>
        <v>2</v>
      </c>
      <c r="AH710" t="str">
        <f t="shared" si="78"/>
        <v>简单</v>
      </c>
      <c r="AI710">
        <f t="shared" si="75"/>
        <v>2737</v>
      </c>
      <c r="AJ710">
        <f t="shared" si="76"/>
        <v>902</v>
      </c>
      <c r="AK710">
        <f t="shared" si="77"/>
        <v>16984</v>
      </c>
    </row>
    <row r="711" spans="30:37">
      <c r="AD711" s="131">
        <v>203102</v>
      </c>
      <c r="AE711" s="135">
        <v>121009</v>
      </c>
      <c r="AF711">
        <f t="shared" si="74"/>
        <v>31</v>
      </c>
      <c r="AG711">
        <f t="shared" si="73"/>
        <v>2</v>
      </c>
      <c r="AH711" t="str">
        <f t="shared" si="78"/>
        <v>简单</v>
      </c>
      <c r="AI711">
        <f t="shared" si="75"/>
        <v>2053</v>
      </c>
      <c r="AJ711">
        <f t="shared" si="76"/>
        <v>902</v>
      </c>
      <c r="AK711">
        <f t="shared" si="77"/>
        <v>16984</v>
      </c>
    </row>
    <row r="712" spans="30:37">
      <c r="AD712" s="131">
        <v>203102</v>
      </c>
      <c r="AE712" s="135">
        <v>121013</v>
      </c>
      <c r="AF712">
        <f t="shared" si="74"/>
        <v>31</v>
      </c>
      <c r="AG712">
        <f t="shared" si="73"/>
        <v>2</v>
      </c>
      <c r="AH712" t="str">
        <f t="shared" si="78"/>
        <v>简单</v>
      </c>
      <c r="AI712">
        <f t="shared" si="75"/>
        <v>2053</v>
      </c>
      <c r="AJ712">
        <f t="shared" si="76"/>
        <v>902</v>
      </c>
      <c r="AK712">
        <f t="shared" si="77"/>
        <v>16984</v>
      </c>
    </row>
    <row r="713" spans="30:37">
      <c r="AD713" s="131">
        <v>203102</v>
      </c>
      <c r="AE713" s="135">
        <v>121013</v>
      </c>
      <c r="AF713">
        <f t="shared" si="74"/>
        <v>31</v>
      </c>
      <c r="AG713">
        <f t="shared" si="73"/>
        <v>2</v>
      </c>
      <c r="AH713" t="str">
        <f t="shared" si="78"/>
        <v>简单</v>
      </c>
      <c r="AI713">
        <f t="shared" si="75"/>
        <v>2053</v>
      </c>
      <c r="AJ713">
        <f t="shared" si="76"/>
        <v>902</v>
      </c>
      <c r="AK713">
        <f t="shared" si="77"/>
        <v>16984</v>
      </c>
    </row>
    <row r="714" spans="30:37">
      <c r="AD714" s="131">
        <v>203102</v>
      </c>
      <c r="AE714" s="135">
        <v>121013</v>
      </c>
      <c r="AF714">
        <f t="shared" si="74"/>
        <v>31</v>
      </c>
      <c r="AG714">
        <f t="shared" si="73"/>
        <v>2</v>
      </c>
      <c r="AH714" t="str">
        <f t="shared" si="78"/>
        <v>简单</v>
      </c>
      <c r="AI714">
        <f t="shared" si="75"/>
        <v>2053</v>
      </c>
      <c r="AJ714">
        <f t="shared" si="76"/>
        <v>902</v>
      </c>
      <c r="AK714">
        <f t="shared" si="77"/>
        <v>16984</v>
      </c>
    </row>
    <row r="715" spans="30:37">
      <c r="AD715" s="131">
        <v>203103</v>
      </c>
      <c r="AE715" s="135">
        <v>1112008</v>
      </c>
      <c r="AF715">
        <f t="shared" si="74"/>
        <v>31</v>
      </c>
      <c r="AG715">
        <f t="shared" si="73"/>
        <v>3</v>
      </c>
      <c r="AH715" t="str">
        <f t="shared" si="78"/>
        <v>困难</v>
      </c>
      <c r="AI715">
        <f t="shared" si="75"/>
        <v>3913</v>
      </c>
      <c r="AJ715">
        <f t="shared" si="76"/>
        <v>1572</v>
      </c>
      <c r="AK715">
        <f t="shared" si="77"/>
        <v>1572</v>
      </c>
    </row>
    <row r="716" spans="30:37">
      <c r="AD716" s="131">
        <v>203103</v>
      </c>
      <c r="AE716" s="135">
        <v>121102</v>
      </c>
      <c r="AF716">
        <f t="shared" si="74"/>
        <v>31</v>
      </c>
      <c r="AG716">
        <f t="shared" si="73"/>
        <v>3</v>
      </c>
      <c r="AH716" t="str">
        <f t="shared" si="78"/>
        <v>困难</v>
      </c>
      <c r="AI716">
        <f t="shared" si="75"/>
        <v>3557</v>
      </c>
      <c r="AJ716">
        <f t="shared" si="76"/>
        <v>1572</v>
      </c>
      <c r="AK716">
        <f t="shared" si="77"/>
        <v>1572</v>
      </c>
    </row>
    <row r="717" spans="30:37">
      <c r="AD717" s="131">
        <v>203103</v>
      </c>
      <c r="AE717" s="135">
        <v>121103</v>
      </c>
      <c r="AF717">
        <f t="shared" si="74"/>
        <v>31</v>
      </c>
      <c r="AG717">
        <f t="shared" si="73"/>
        <v>3</v>
      </c>
      <c r="AH717" t="str">
        <f t="shared" si="78"/>
        <v>困难</v>
      </c>
      <c r="AI717">
        <f t="shared" si="75"/>
        <v>3557</v>
      </c>
      <c r="AJ717">
        <f t="shared" si="76"/>
        <v>1572</v>
      </c>
      <c r="AK717">
        <f t="shared" si="77"/>
        <v>1572</v>
      </c>
    </row>
    <row r="718" spans="30:37">
      <c r="AD718" s="131">
        <v>203103</v>
      </c>
      <c r="AE718" s="135">
        <v>121104</v>
      </c>
      <c r="AF718">
        <f t="shared" si="74"/>
        <v>31</v>
      </c>
      <c r="AG718">
        <f t="shared" si="73"/>
        <v>3</v>
      </c>
      <c r="AH718" t="str">
        <f t="shared" si="78"/>
        <v>困难</v>
      </c>
      <c r="AI718">
        <f t="shared" si="75"/>
        <v>3557</v>
      </c>
      <c r="AJ718">
        <f t="shared" si="76"/>
        <v>1572</v>
      </c>
      <c r="AK718">
        <f t="shared" si="77"/>
        <v>1572</v>
      </c>
    </row>
    <row r="719" spans="30:37">
      <c r="AD719" s="131">
        <v>203103</v>
      </c>
      <c r="AE719" s="135">
        <v>121102</v>
      </c>
      <c r="AF719">
        <f t="shared" si="74"/>
        <v>31</v>
      </c>
      <c r="AG719">
        <f t="shared" si="73"/>
        <v>3</v>
      </c>
      <c r="AH719" t="str">
        <f t="shared" si="78"/>
        <v>困难</v>
      </c>
      <c r="AI719">
        <f t="shared" si="75"/>
        <v>3557</v>
      </c>
      <c r="AJ719">
        <f t="shared" si="76"/>
        <v>1572</v>
      </c>
      <c r="AK719">
        <f t="shared" si="77"/>
        <v>1572</v>
      </c>
    </row>
    <row r="720" spans="30:37">
      <c r="AD720" s="131">
        <v>203104</v>
      </c>
      <c r="AE720" s="135">
        <v>1113004</v>
      </c>
      <c r="AF720">
        <f t="shared" si="74"/>
        <v>31</v>
      </c>
      <c r="AG720">
        <f t="shared" si="73"/>
        <v>4</v>
      </c>
      <c r="AH720" t="str">
        <f t="shared" si="78"/>
        <v>困难</v>
      </c>
      <c r="AI720">
        <f t="shared" si="75"/>
        <v>3913</v>
      </c>
      <c r="AJ720">
        <f t="shared" si="76"/>
        <v>1572</v>
      </c>
      <c r="AK720">
        <f t="shared" si="77"/>
        <v>1572</v>
      </c>
    </row>
    <row r="721" spans="30:37">
      <c r="AD721" s="131">
        <v>203104</v>
      </c>
      <c r="AE721" s="135">
        <v>121009</v>
      </c>
      <c r="AF721">
        <f t="shared" si="74"/>
        <v>31</v>
      </c>
      <c r="AG721">
        <f t="shared" si="73"/>
        <v>4</v>
      </c>
      <c r="AH721" t="str">
        <f t="shared" si="78"/>
        <v>困难</v>
      </c>
      <c r="AI721">
        <f t="shared" si="75"/>
        <v>3557</v>
      </c>
      <c r="AJ721">
        <f t="shared" si="76"/>
        <v>1572</v>
      </c>
      <c r="AK721">
        <f t="shared" si="77"/>
        <v>1572</v>
      </c>
    </row>
    <row r="722" spans="30:37">
      <c r="AD722" s="131">
        <v>203104</v>
      </c>
      <c r="AE722" s="135">
        <v>121013</v>
      </c>
      <c r="AF722">
        <f t="shared" si="74"/>
        <v>31</v>
      </c>
      <c r="AG722">
        <f t="shared" si="73"/>
        <v>4</v>
      </c>
      <c r="AH722" t="str">
        <f t="shared" si="78"/>
        <v>困难</v>
      </c>
      <c r="AI722">
        <f t="shared" si="75"/>
        <v>3557</v>
      </c>
      <c r="AJ722">
        <f t="shared" si="76"/>
        <v>1572</v>
      </c>
      <c r="AK722">
        <f t="shared" si="77"/>
        <v>1572</v>
      </c>
    </row>
    <row r="723" spans="30:37">
      <c r="AD723" s="131">
        <v>203104</v>
      </c>
      <c r="AE723" s="135">
        <v>121013</v>
      </c>
      <c r="AF723">
        <f t="shared" si="74"/>
        <v>31</v>
      </c>
      <c r="AG723">
        <f t="shared" si="73"/>
        <v>4</v>
      </c>
      <c r="AH723" t="str">
        <f t="shared" si="78"/>
        <v>困难</v>
      </c>
      <c r="AI723">
        <f t="shared" si="75"/>
        <v>3557</v>
      </c>
      <c r="AJ723">
        <f t="shared" si="76"/>
        <v>1572</v>
      </c>
      <c r="AK723">
        <f t="shared" si="77"/>
        <v>1572</v>
      </c>
    </row>
    <row r="724" spans="30:37">
      <c r="AD724" s="131">
        <v>203104</v>
      </c>
      <c r="AE724" s="135">
        <v>121013</v>
      </c>
      <c r="AF724">
        <f t="shared" si="74"/>
        <v>31</v>
      </c>
      <c r="AG724">
        <f t="shared" si="73"/>
        <v>4</v>
      </c>
      <c r="AH724" t="str">
        <f t="shared" si="78"/>
        <v>困难</v>
      </c>
      <c r="AI724">
        <f t="shared" si="75"/>
        <v>3557</v>
      </c>
      <c r="AJ724">
        <f t="shared" si="76"/>
        <v>1572</v>
      </c>
      <c r="AK724">
        <f t="shared" si="77"/>
        <v>1572</v>
      </c>
    </row>
    <row r="725" spans="30:37">
      <c r="AD725" s="131">
        <v>203201</v>
      </c>
      <c r="AE725" s="135">
        <v>121132</v>
      </c>
      <c r="AF725">
        <f t="shared" si="74"/>
        <v>32</v>
      </c>
      <c r="AG725">
        <f t="shared" si="73"/>
        <v>1</v>
      </c>
      <c r="AH725" t="str">
        <f t="shared" si="78"/>
        <v>简单</v>
      </c>
      <c r="AI725">
        <f t="shared" si="75"/>
        <v>2157</v>
      </c>
      <c r="AJ725">
        <f t="shared" si="76"/>
        <v>944</v>
      </c>
      <c r="AK725">
        <f t="shared" si="77"/>
        <v>17820</v>
      </c>
    </row>
    <row r="726" spans="30:37">
      <c r="AD726" s="131">
        <v>203201</v>
      </c>
      <c r="AE726" s="135">
        <v>121132</v>
      </c>
      <c r="AF726">
        <f t="shared" si="74"/>
        <v>32</v>
      </c>
      <c r="AG726">
        <f t="shared" ref="AG726:AG789" si="79">ROUNDDOWN(RIGHT(AD726,2),0)</f>
        <v>1</v>
      </c>
      <c r="AH726" t="str">
        <f t="shared" si="78"/>
        <v>简单</v>
      </c>
      <c r="AI726">
        <f t="shared" si="75"/>
        <v>2157</v>
      </c>
      <c r="AJ726">
        <f t="shared" si="76"/>
        <v>944</v>
      </c>
      <c r="AK726">
        <f t="shared" si="77"/>
        <v>17820</v>
      </c>
    </row>
    <row r="727" spans="30:37">
      <c r="AD727" s="131">
        <v>203201</v>
      </c>
      <c r="AE727" s="135">
        <v>121127</v>
      </c>
      <c r="AF727">
        <f t="shared" si="74"/>
        <v>32</v>
      </c>
      <c r="AG727">
        <f t="shared" si="79"/>
        <v>1</v>
      </c>
      <c r="AH727" t="str">
        <f t="shared" si="78"/>
        <v>简单</v>
      </c>
      <c r="AI727">
        <f t="shared" si="75"/>
        <v>2157</v>
      </c>
      <c r="AJ727">
        <f t="shared" si="76"/>
        <v>944</v>
      </c>
      <c r="AK727">
        <f t="shared" si="77"/>
        <v>17820</v>
      </c>
    </row>
    <row r="728" spans="30:37">
      <c r="AD728" s="131">
        <v>203201</v>
      </c>
      <c r="AE728" s="135">
        <v>121116</v>
      </c>
      <c r="AF728">
        <f t="shared" si="74"/>
        <v>32</v>
      </c>
      <c r="AG728">
        <f t="shared" si="79"/>
        <v>1</v>
      </c>
      <c r="AH728" t="str">
        <f t="shared" si="78"/>
        <v>简单</v>
      </c>
      <c r="AI728">
        <f t="shared" si="75"/>
        <v>2157</v>
      </c>
      <c r="AJ728">
        <f t="shared" si="76"/>
        <v>944</v>
      </c>
      <c r="AK728">
        <f t="shared" si="77"/>
        <v>17820</v>
      </c>
    </row>
    <row r="729" spans="30:37">
      <c r="AD729" s="131">
        <v>203202</v>
      </c>
      <c r="AE729" s="135">
        <v>121122</v>
      </c>
      <c r="AF729">
        <f t="shared" si="74"/>
        <v>32</v>
      </c>
      <c r="AG729">
        <f t="shared" si="79"/>
        <v>2</v>
      </c>
      <c r="AH729" t="str">
        <f t="shared" si="78"/>
        <v>简单</v>
      </c>
      <c r="AI729">
        <f t="shared" si="75"/>
        <v>2157</v>
      </c>
      <c r="AJ729">
        <f t="shared" si="76"/>
        <v>944</v>
      </c>
      <c r="AK729">
        <f t="shared" si="77"/>
        <v>17820</v>
      </c>
    </row>
    <row r="730" spans="30:37">
      <c r="AD730" s="131">
        <v>203202</v>
      </c>
      <c r="AE730" s="135">
        <v>121122</v>
      </c>
      <c r="AF730">
        <f t="shared" si="74"/>
        <v>32</v>
      </c>
      <c r="AG730">
        <f t="shared" si="79"/>
        <v>2</v>
      </c>
      <c r="AH730" t="str">
        <f t="shared" si="78"/>
        <v>简单</v>
      </c>
      <c r="AI730">
        <f t="shared" si="75"/>
        <v>2157</v>
      </c>
      <c r="AJ730">
        <f t="shared" si="76"/>
        <v>944</v>
      </c>
      <c r="AK730">
        <f t="shared" si="77"/>
        <v>17820</v>
      </c>
    </row>
    <row r="731" spans="30:37">
      <c r="AD731" s="131">
        <v>203202</v>
      </c>
      <c r="AE731" s="135">
        <v>121132</v>
      </c>
      <c r="AF731">
        <f t="shared" si="74"/>
        <v>32</v>
      </c>
      <c r="AG731">
        <f t="shared" si="79"/>
        <v>2</v>
      </c>
      <c r="AH731" t="str">
        <f t="shared" si="78"/>
        <v>简单</v>
      </c>
      <c r="AI731">
        <f t="shared" si="75"/>
        <v>2157</v>
      </c>
      <c r="AJ731">
        <f t="shared" si="76"/>
        <v>944</v>
      </c>
      <c r="AK731">
        <f t="shared" si="77"/>
        <v>17820</v>
      </c>
    </row>
    <row r="732" spans="30:37">
      <c r="AD732" s="131">
        <v>203202</v>
      </c>
      <c r="AE732" s="135">
        <v>121132</v>
      </c>
      <c r="AF732">
        <f t="shared" si="74"/>
        <v>32</v>
      </c>
      <c r="AG732">
        <f t="shared" si="79"/>
        <v>2</v>
      </c>
      <c r="AH732" t="str">
        <f t="shared" si="78"/>
        <v>简单</v>
      </c>
      <c r="AI732">
        <f t="shared" si="75"/>
        <v>2157</v>
      </c>
      <c r="AJ732">
        <f t="shared" si="76"/>
        <v>944</v>
      </c>
      <c r="AK732">
        <f t="shared" si="77"/>
        <v>17820</v>
      </c>
    </row>
    <row r="733" spans="30:37">
      <c r="AD733" s="131">
        <v>203202</v>
      </c>
      <c r="AE733" s="135">
        <v>121117</v>
      </c>
      <c r="AF733">
        <f t="shared" si="74"/>
        <v>32</v>
      </c>
      <c r="AG733">
        <f t="shared" si="79"/>
        <v>2</v>
      </c>
      <c r="AH733" t="str">
        <f t="shared" si="78"/>
        <v>简单</v>
      </c>
      <c r="AI733">
        <f t="shared" si="75"/>
        <v>2157</v>
      </c>
      <c r="AJ733">
        <f t="shared" si="76"/>
        <v>944</v>
      </c>
      <c r="AK733">
        <f t="shared" si="77"/>
        <v>17820</v>
      </c>
    </row>
    <row r="734" spans="30:37">
      <c r="AD734" s="131">
        <v>203203</v>
      </c>
      <c r="AE734" s="135">
        <v>121132</v>
      </c>
      <c r="AF734">
        <f t="shared" ref="AF734:AF797" si="80">MOD(ROUNDDOWN(AD734/100,0),100)</f>
        <v>32</v>
      </c>
      <c r="AG734">
        <f t="shared" si="79"/>
        <v>3</v>
      </c>
      <c r="AH734" t="str">
        <f t="shared" si="78"/>
        <v>困难</v>
      </c>
      <c r="AI734">
        <f t="shared" si="75"/>
        <v>3570</v>
      </c>
      <c r="AJ734">
        <f t="shared" si="76"/>
        <v>1577</v>
      </c>
      <c r="AK734">
        <f t="shared" si="77"/>
        <v>1577</v>
      </c>
    </row>
    <row r="735" spans="30:37">
      <c r="AD735" s="131">
        <v>203203</v>
      </c>
      <c r="AE735" s="135">
        <v>121132</v>
      </c>
      <c r="AF735">
        <f t="shared" si="80"/>
        <v>32</v>
      </c>
      <c r="AG735">
        <f t="shared" si="79"/>
        <v>3</v>
      </c>
      <c r="AH735" t="str">
        <f t="shared" si="78"/>
        <v>困难</v>
      </c>
      <c r="AI735">
        <f t="shared" ref="AI735:AI798" si="81">IF($AH735="简单",IF(AE735&lt;122000,VLOOKUP($AF735,$N:$T,2,0),VLOOKUP($AF735,$N:$T,5,0)),IF(AE735&lt;122000,VLOOKUP($AF735,$V:$AB,2,0),VLOOKUP($AF735,$V:$AB,5,0)))</f>
        <v>3570</v>
      </c>
      <c r="AJ735">
        <f t="shared" ref="AJ735:AJ798" si="82">IF($AH735="简单",IF(AF735&lt;122000,VLOOKUP($AF735,$N:$T,3,0),VLOOKUP($AF735,$N:$T,6,0)),IF(AF735&lt;122000,VLOOKUP($AF735,$V:$AB,3,0),VLOOKUP($AF735,$V:$AB,6,0)))</f>
        <v>1577</v>
      </c>
      <c r="AK735">
        <f t="shared" ref="AK735:AK798" si="83">IF($AH735="简单",IF(AG735&lt;122000,VLOOKUP($AF735,$N:$T,4,0),VLOOKUP($AF735,$N:$T,7,0)),IF(AG735&lt;122000,VLOOKUP($AF735,$V:$AB,3,0),VLOOKUP($AF735,$V:$AB,6,0)))</f>
        <v>1577</v>
      </c>
    </row>
    <row r="736" spans="30:37">
      <c r="AD736" s="131">
        <v>203203</v>
      </c>
      <c r="AE736" s="135">
        <v>121127</v>
      </c>
      <c r="AF736">
        <f t="shared" si="80"/>
        <v>32</v>
      </c>
      <c r="AG736">
        <f t="shared" si="79"/>
        <v>3</v>
      </c>
      <c r="AH736" t="str">
        <f t="shared" si="78"/>
        <v>困难</v>
      </c>
      <c r="AI736">
        <f t="shared" si="81"/>
        <v>3570</v>
      </c>
      <c r="AJ736">
        <f t="shared" si="82"/>
        <v>1577</v>
      </c>
      <c r="AK736">
        <f t="shared" si="83"/>
        <v>1577</v>
      </c>
    </row>
    <row r="737" spans="30:37">
      <c r="AD737" s="131">
        <v>203203</v>
      </c>
      <c r="AE737" s="135">
        <v>121116</v>
      </c>
      <c r="AF737">
        <f t="shared" si="80"/>
        <v>32</v>
      </c>
      <c r="AG737">
        <f t="shared" si="79"/>
        <v>3</v>
      </c>
      <c r="AH737" t="str">
        <f t="shared" si="78"/>
        <v>困难</v>
      </c>
      <c r="AI737">
        <f t="shared" si="81"/>
        <v>3570</v>
      </c>
      <c r="AJ737">
        <f t="shared" si="82"/>
        <v>1577</v>
      </c>
      <c r="AK737">
        <f t="shared" si="83"/>
        <v>1577</v>
      </c>
    </row>
    <row r="738" spans="30:37">
      <c r="AD738" s="131">
        <v>203204</v>
      </c>
      <c r="AE738" s="135">
        <v>121122</v>
      </c>
      <c r="AF738">
        <f t="shared" si="80"/>
        <v>32</v>
      </c>
      <c r="AG738">
        <f t="shared" si="79"/>
        <v>4</v>
      </c>
      <c r="AH738" t="str">
        <f t="shared" si="78"/>
        <v>困难</v>
      </c>
      <c r="AI738">
        <f t="shared" si="81"/>
        <v>3570</v>
      </c>
      <c r="AJ738">
        <f t="shared" si="82"/>
        <v>1577</v>
      </c>
      <c r="AK738">
        <f t="shared" si="83"/>
        <v>1577</v>
      </c>
    </row>
    <row r="739" spans="30:37">
      <c r="AD739" s="131">
        <v>203204</v>
      </c>
      <c r="AE739" s="135">
        <v>121122</v>
      </c>
      <c r="AF739">
        <f t="shared" si="80"/>
        <v>32</v>
      </c>
      <c r="AG739">
        <f t="shared" si="79"/>
        <v>4</v>
      </c>
      <c r="AH739" t="str">
        <f t="shared" si="78"/>
        <v>困难</v>
      </c>
      <c r="AI739">
        <f t="shared" si="81"/>
        <v>3570</v>
      </c>
      <c r="AJ739">
        <f t="shared" si="82"/>
        <v>1577</v>
      </c>
      <c r="AK739">
        <f t="shared" si="83"/>
        <v>1577</v>
      </c>
    </row>
    <row r="740" spans="30:37">
      <c r="AD740" s="131">
        <v>203204</v>
      </c>
      <c r="AE740" s="135">
        <v>121132</v>
      </c>
      <c r="AF740">
        <f t="shared" si="80"/>
        <v>32</v>
      </c>
      <c r="AG740">
        <f t="shared" si="79"/>
        <v>4</v>
      </c>
      <c r="AH740" t="str">
        <f t="shared" si="78"/>
        <v>困难</v>
      </c>
      <c r="AI740">
        <f t="shared" si="81"/>
        <v>3570</v>
      </c>
      <c r="AJ740">
        <f t="shared" si="82"/>
        <v>1577</v>
      </c>
      <c r="AK740">
        <f t="shared" si="83"/>
        <v>1577</v>
      </c>
    </row>
    <row r="741" spans="30:37">
      <c r="AD741" s="131">
        <v>203204</v>
      </c>
      <c r="AE741" s="135">
        <v>121132</v>
      </c>
      <c r="AF741">
        <f t="shared" si="80"/>
        <v>32</v>
      </c>
      <c r="AG741">
        <f t="shared" si="79"/>
        <v>4</v>
      </c>
      <c r="AH741" t="str">
        <f t="shared" si="78"/>
        <v>困难</v>
      </c>
      <c r="AI741">
        <f t="shared" si="81"/>
        <v>3570</v>
      </c>
      <c r="AJ741">
        <f t="shared" si="82"/>
        <v>1577</v>
      </c>
      <c r="AK741">
        <f t="shared" si="83"/>
        <v>1577</v>
      </c>
    </row>
    <row r="742" spans="30:37">
      <c r="AD742" s="131">
        <v>203204</v>
      </c>
      <c r="AE742" s="135">
        <v>121117</v>
      </c>
      <c r="AF742">
        <f t="shared" si="80"/>
        <v>32</v>
      </c>
      <c r="AG742">
        <f t="shared" si="79"/>
        <v>4</v>
      </c>
      <c r="AH742" t="str">
        <f t="shared" si="78"/>
        <v>困难</v>
      </c>
      <c r="AI742">
        <f t="shared" si="81"/>
        <v>3570</v>
      </c>
      <c r="AJ742">
        <f t="shared" si="82"/>
        <v>1577</v>
      </c>
      <c r="AK742">
        <f t="shared" si="83"/>
        <v>1577</v>
      </c>
    </row>
    <row r="743" spans="30:37">
      <c r="AD743" s="131">
        <v>203301</v>
      </c>
      <c r="AE743" s="135">
        <v>121132</v>
      </c>
      <c r="AF743">
        <f t="shared" si="80"/>
        <v>33</v>
      </c>
      <c r="AG743">
        <f t="shared" si="79"/>
        <v>1</v>
      </c>
      <c r="AH743" t="str">
        <f t="shared" si="78"/>
        <v>简单</v>
      </c>
      <c r="AI743">
        <f t="shared" si="81"/>
        <v>2157</v>
      </c>
      <c r="AJ743">
        <f t="shared" si="82"/>
        <v>944</v>
      </c>
      <c r="AK743">
        <f t="shared" si="83"/>
        <v>17820</v>
      </c>
    </row>
    <row r="744" spans="30:37">
      <c r="AD744" s="131">
        <v>203301</v>
      </c>
      <c r="AE744" s="135">
        <v>121132</v>
      </c>
      <c r="AF744">
        <f t="shared" si="80"/>
        <v>33</v>
      </c>
      <c r="AG744">
        <f t="shared" si="79"/>
        <v>1</v>
      </c>
      <c r="AH744" t="str">
        <f t="shared" si="78"/>
        <v>简单</v>
      </c>
      <c r="AI744">
        <f t="shared" si="81"/>
        <v>2157</v>
      </c>
      <c r="AJ744">
        <f t="shared" si="82"/>
        <v>944</v>
      </c>
      <c r="AK744">
        <f t="shared" si="83"/>
        <v>17820</v>
      </c>
    </row>
    <row r="745" spans="30:37">
      <c r="AD745" s="131">
        <v>203301</v>
      </c>
      <c r="AE745" s="135">
        <v>121128</v>
      </c>
      <c r="AF745">
        <f t="shared" si="80"/>
        <v>33</v>
      </c>
      <c r="AG745">
        <f t="shared" si="79"/>
        <v>1</v>
      </c>
      <c r="AH745" t="str">
        <f t="shared" si="78"/>
        <v>简单</v>
      </c>
      <c r="AI745">
        <f t="shared" si="81"/>
        <v>2157</v>
      </c>
      <c r="AJ745">
        <f t="shared" si="82"/>
        <v>944</v>
      </c>
      <c r="AK745">
        <f t="shared" si="83"/>
        <v>17820</v>
      </c>
    </row>
    <row r="746" spans="30:37">
      <c r="AD746" s="131">
        <v>203301</v>
      </c>
      <c r="AE746" s="135">
        <v>121119</v>
      </c>
      <c r="AF746">
        <f t="shared" si="80"/>
        <v>33</v>
      </c>
      <c r="AG746">
        <f t="shared" si="79"/>
        <v>1</v>
      </c>
      <c r="AH746" t="str">
        <f t="shared" si="78"/>
        <v>简单</v>
      </c>
      <c r="AI746">
        <f t="shared" si="81"/>
        <v>2157</v>
      </c>
      <c r="AJ746">
        <f t="shared" si="82"/>
        <v>944</v>
      </c>
      <c r="AK746">
        <f t="shared" si="83"/>
        <v>17820</v>
      </c>
    </row>
    <row r="747" spans="30:37">
      <c r="AD747" s="131">
        <v>203301</v>
      </c>
      <c r="AE747" s="135">
        <v>121131</v>
      </c>
      <c r="AF747">
        <f t="shared" si="80"/>
        <v>33</v>
      </c>
      <c r="AG747">
        <f t="shared" si="79"/>
        <v>1</v>
      </c>
      <c r="AH747" t="str">
        <f t="shared" si="78"/>
        <v>简单</v>
      </c>
      <c r="AI747">
        <f t="shared" si="81"/>
        <v>2157</v>
      </c>
      <c r="AJ747">
        <f t="shared" si="82"/>
        <v>944</v>
      </c>
      <c r="AK747">
        <f t="shared" si="83"/>
        <v>17820</v>
      </c>
    </row>
    <row r="748" spans="30:37">
      <c r="AD748" s="131">
        <v>203302</v>
      </c>
      <c r="AE748" s="135">
        <v>121121</v>
      </c>
      <c r="AF748">
        <f t="shared" si="80"/>
        <v>33</v>
      </c>
      <c r="AG748">
        <f t="shared" si="79"/>
        <v>2</v>
      </c>
      <c r="AH748" t="str">
        <f t="shared" ref="AH748:AH811" si="84">IF(VLOOKUP(AF748,AF:AG,2,1)=4,IF(AG748&lt;3,"简单","困难"),IF(AG748&lt;4,"简单","困难"))</f>
        <v>简单</v>
      </c>
      <c r="AI748">
        <f t="shared" si="81"/>
        <v>2157</v>
      </c>
      <c r="AJ748">
        <f t="shared" si="82"/>
        <v>944</v>
      </c>
      <c r="AK748">
        <f t="shared" si="83"/>
        <v>17820</v>
      </c>
    </row>
    <row r="749" spans="30:37">
      <c r="AD749" s="131">
        <v>203302</v>
      </c>
      <c r="AE749" s="135">
        <v>121120</v>
      </c>
      <c r="AF749">
        <f t="shared" si="80"/>
        <v>33</v>
      </c>
      <c r="AG749">
        <f t="shared" si="79"/>
        <v>2</v>
      </c>
      <c r="AH749" t="str">
        <f t="shared" si="84"/>
        <v>简单</v>
      </c>
      <c r="AI749">
        <f t="shared" si="81"/>
        <v>2157</v>
      </c>
      <c r="AJ749">
        <f t="shared" si="82"/>
        <v>944</v>
      </c>
      <c r="AK749">
        <f t="shared" si="83"/>
        <v>17820</v>
      </c>
    </row>
    <row r="750" spans="30:37">
      <c r="AD750" s="131">
        <v>203302</v>
      </c>
      <c r="AE750" s="135">
        <v>1112026</v>
      </c>
      <c r="AF750">
        <f t="shared" si="80"/>
        <v>33</v>
      </c>
      <c r="AG750">
        <f t="shared" si="79"/>
        <v>2</v>
      </c>
      <c r="AH750" t="str">
        <f t="shared" si="84"/>
        <v>简单</v>
      </c>
      <c r="AI750">
        <f t="shared" si="81"/>
        <v>2876</v>
      </c>
      <c r="AJ750">
        <f t="shared" si="82"/>
        <v>944</v>
      </c>
      <c r="AK750">
        <f t="shared" si="83"/>
        <v>17820</v>
      </c>
    </row>
    <row r="751" spans="30:37">
      <c r="AD751" s="131">
        <v>203302</v>
      </c>
      <c r="AE751" s="135">
        <v>121119</v>
      </c>
      <c r="AF751">
        <f t="shared" si="80"/>
        <v>33</v>
      </c>
      <c r="AG751">
        <f t="shared" si="79"/>
        <v>2</v>
      </c>
      <c r="AH751" t="str">
        <f t="shared" si="84"/>
        <v>简单</v>
      </c>
      <c r="AI751">
        <f t="shared" si="81"/>
        <v>2157</v>
      </c>
      <c r="AJ751">
        <f t="shared" si="82"/>
        <v>944</v>
      </c>
      <c r="AK751">
        <f t="shared" si="83"/>
        <v>17820</v>
      </c>
    </row>
    <row r="752" spans="30:37">
      <c r="AD752" s="131">
        <v>203302</v>
      </c>
      <c r="AE752" s="135">
        <v>121119</v>
      </c>
      <c r="AF752">
        <f t="shared" si="80"/>
        <v>33</v>
      </c>
      <c r="AG752">
        <f t="shared" si="79"/>
        <v>2</v>
      </c>
      <c r="AH752" t="str">
        <f t="shared" si="84"/>
        <v>简单</v>
      </c>
      <c r="AI752">
        <f t="shared" si="81"/>
        <v>2157</v>
      </c>
      <c r="AJ752">
        <f t="shared" si="82"/>
        <v>944</v>
      </c>
      <c r="AK752">
        <f t="shared" si="83"/>
        <v>17820</v>
      </c>
    </row>
    <row r="753" spans="30:37">
      <c r="AD753" s="131">
        <v>203303</v>
      </c>
      <c r="AE753" s="135">
        <v>121132</v>
      </c>
      <c r="AF753">
        <f t="shared" si="80"/>
        <v>33</v>
      </c>
      <c r="AG753">
        <f t="shared" si="79"/>
        <v>3</v>
      </c>
      <c r="AH753" t="str">
        <f t="shared" si="84"/>
        <v>困难</v>
      </c>
      <c r="AI753">
        <f t="shared" si="81"/>
        <v>3583</v>
      </c>
      <c r="AJ753">
        <f t="shared" si="82"/>
        <v>1582</v>
      </c>
      <c r="AK753">
        <f t="shared" si="83"/>
        <v>1582</v>
      </c>
    </row>
    <row r="754" spans="30:37">
      <c r="AD754" s="131">
        <v>203303</v>
      </c>
      <c r="AE754" s="135">
        <v>121132</v>
      </c>
      <c r="AF754">
        <f t="shared" si="80"/>
        <v>33</v>
      </c>
      <c r="AG754">
        <f t="shared" si="79"/>
        <v>3</v>
      </c>
      <c r="AH754" t="str">
        <f t="shared" si="84"/>
        <v>困难</v>
      </c>
      <c r="AI754">
        <f t="shared" si="81"/>
        <v>3583</v>
      </c>
      <c r="AJ754">
        <f t="shared" si="82"/>
        <v>1582</v>
      </c>
      <c r="AK754">
        <f t="shared" si="83"/>
        <v>1582</v>
      </c>
    </row>
    <row r="755" spans="30:37">
      <c r="AD755" s="131">
        <v>203303</v>
      </c>
      <c r="AE755" s="135">
        <v>121128</v>
      </c>
      <c r="AF755">
        <f t="shared" si="80"/>
        <v>33</v>
      </c>
      <c r="AG755">
        <f t="shared" si="79"/>
        <v>3</v>
      </c>
      <c r="AH755" t="str">
        <f t="shared" si="84"/>
        <v>困难</v>
      </c>
      <c r="AI755">
        <f t="shared" si="81"/>
        <v>3583</v>
      </c>
      <c r="AJ755">
        <f t="shared" si="82"/>
        <v>1582</v>
      </c>
      <c r="AK755">
        <f t="shared" si="83"/>
        <v>1582</v>
      </c>
    </row>
    <row r="756" spans="30:37">
      <c r="AD756" s="131">
        <v>203303</v>
      </c>
      <c r="AE756" s="135">
        <v>121119</v>
      </c>
      <c r="AF756">
        <f t="shared" si="80"/>
        <v>33</v>
      </c>
      <c r="AG756">
        <f t="shared" si="79"/>
        <v>3</v>
      </c>
      <c r="AH756" t="str">
        <f t="shared" si="84"/>
        <v>困难</v>
      </c>
      <c r="AI756">
        <f t="shared" si="81"/>
        <v>3583</v>
      </c>
      <c r="AJ756">
        <f t="shared" si="82"/>
        <v>1582</v>
      </c>
      <c r="AK756">
        <f t="shared" si="83"/>
        <v>1582</v>
      </c>
    </row>
    <row r="757" spans="30:37">
      <c r="AD757" s="131">
        <v>203303</v>
      </c>
      <c r="AE757" s="135">
        <v>121131</v>
      </c>
      <c r="AF757">
        <f t="shared" si="80"/>
        <v>33</v>
      </c>
      <c r="AG757">
        <f t="shared" si="79"/>
        <v>3</v>
      </c>
      <c r="AH757" t="str">
        <f t="shared" si="84"/>
        <v>困难</v>
      </c>
      <c r="AI757">
        <f t="shared" si="81"/>
        <v>3583</v>
      </c>
      <c r="AJ757">
        <f t="shared" si="82"/>
        <v>1582</v>
      </c>
      <c r="AK757">
        <f t="shared" si="83"/>
        <v>1582</v>
      </c>
    </row>
    <row r="758" spans="30:37">
      <c r="AD758" s="131">
        <v>203304</v>
      </c>
      <c r="AE758" s="135">
        <v>121121</v>
      </c>
      <c r="AF758">
        <f t="shared" si="80"/>
        <v>33</v>
      </c>
      <c r="AG758">
        <f t="shared" si="79"/>
        <v>4</v>
      </c>
      <c r="AH758" t="str">
        <f t="shared" si="84"/>
        <v>困难</v>
      </c>
      <c r="AI758">
        <f t="shared" si="81"/>
        <v>3583</v>
      </c>
      <c r="AJ758">
        <f t="shared" si="82"/>
        <v>1582</v>
      </c>
      <c r="AK758">
        <f t="shared" si="83"/>
        <v>1582</v>
      </c>
    </row>
    <row r="759" spans="30:37">
      <c r="AD759" s="131">
        <v>203304</v>
      </c>
      <c r="AE759" s="135">
        <v>121120</v>
      </c>
      <c r="AF759">
        <f t="shared" si="80"/>
        <v>33</v>
      </c>
      <c r="AG759">
        <f t="shared" si="79"/>
        <v>4</v>
      </c>
      <c r="AH759" t="str">
        <f t="shared" si="84"/>
        <v>困难</v>
      </c>
      <c r="AI759">
        <f t="shared" si="81"/>
        <v>3583</v>
      </c>
      <c r="AJ759">
        <f t="shared" si="82"/>
        <v>1582</v>
      </c>
      <c r="AK759">
        <f t="shared" si="83"/>
        <v>1582</v>
      </c>
    </row>
    <row r="760" spans="30:37">
      <c r="AD760" s="131">
        <v>203304</v>
      </c>
      <c r="AE760" s="135">
        <v>1112026</v>
      </c>
      <c r="AF760">
        <f t="shared" si="80"/>
        <v>33</v>
      </c>
      <c r="AG760">
        <f t="shared" si="79"/>
        <v>4</v>
      </c>
      <c r="AH760" t="str">
        <f t="shared" si="84"/>
        <v>困难</v>
      </c>
      <c r="AI760">
        <f t="shared" si="81"/>
        <v>3942</v>
      </c>
      <c r="AJ760">
        <f t="shared" si="82"/>
        <v>1582</v>
      </c>
      <c r="AK760">
        <f t="shared" si="83"/>
        <v>1582</v>
      </c>
    </row>
    <row r="761" spans="30:37">
      <c r="AD761" s="131">
        <v>203304</v>
      </c>
      <c r="AE761" s="135">
        <v>121119</v>
      </c>
      <c r="AF761">
        <f t="shared" si="80"/>
        <v>33</v>
      </c>
      <c r="AG761">
        <f t="shared" si="79"/>
        <v>4</v>
      </c>
      <c r="AH761" t="str">
        <f t="shared" si="84"/>
        <v>困难</v>
      </c>
      <c r="AI761">
        <f t="shared" si="81"/>
        <v>3583</v>
      </c>
      <c r="AJ761">
        <f t="shared" si="82"/>
        <v>1582</v>
      </c>
      <c r="AK761">
        <f t="shared" si="83"/>
        <v>1582</v>
      </c>
    </row>
    <row r="762" spans="30:37">
      <c r="AD762" s="131">
        <v>203304</v>
      </c>
      <c r="AE762" s="135">
        <v>121119</v>
      </c>
      <c r="AF762">
        <f t="shared" si="80"/>
        <v>33</v>
      </c>
      <c r="AG762">
        <f t="shared" si="79"/>
        <v>4</v>
      </c>
      <c r="AH762" t="str">
        <f t="shared" si="84"/>
        <v>困难</v>
      </c>
      <c r="AI762">
        <f t="shared" si="81"/>
        <v>3583</v>
      </c>
      <c r="AJ762">
        <f t="shared" si="82"/>
        <v>1582</v>
      </c>
      <c r="AK762">
        <f t="shared" si="83"/>
        <v>1582</v>
      </c>
    </row>
    <row r="763" spans="30:37">
      <c r="AD763" s="131">
        <v>203401</v>
      </c>
      <c r="AE763" s="135">
        <v>121123</v>
      </c>
      <c r="AF763">
        <f t="shared" si="80"/>
        <v>34</v>
      </c>
      <c r="AG763">
        <f t="shared" si="79"/>
        <v>1</v>
      </c>
      <c r="AH763" t="str">
        <f t="shared" si="84"/>
        <v>简单</v>
      </c>
      <c r="AI763">
        <f t="shared" si="81"/>
        <v>2467</v>
      </c>
      <c r="AJ763">
        <f t="shared" si="82"/>
        <v>1012</v>
      </c>
      <c r="AK763">
        <f t="shared" si="83"/>
        <v>19030</v>
      </c>
    </row>
    <row r="764" spans="30:37">
      <c r="AD764" s="131">
        <v>203401</v>
      </c>
      <c r="AE764" s="135">
        <v>121132</v>
      </c>
      <c r="AF764">
        <f t="shared" si="80"/>
        <v>34</v>
      </c>
      <c r="AG764">
        <f t="shared" si="79"/>
        <v>1</v>
      </c>
      <c r="AH764" t="str">
        <f t="shared" si="84"/>
        <v>简单</v>
      </c>
      <c r="AI764">
        <f t="shared" si="81"/>
        <v>2467</v>
      </c>
      <c r="AJ764">
        <f t="shared" si="82"/>
        <v>1012</v>
      </c>
      <c r="AK764">
        <f t="shared" si="83"/>
        <v>19030</v>
      </c>
    </row>
    <row r="765" spans="30:37">
      <c r="AD765" s="131">
        <v>203401</v>
      </c>
      <c r="AE765" s="135">
        <v>121132</v>
      </c>
      <c r="AF765">
        <f t="shared" si="80"/>
        <v>34</v>
      </c>
      <c r="AG765">
        <f t="shared" si="79"/>
        <v>1</v>
      </c>
      <c r="AH765" t="str">
        <f t="shared" si="84"/>
        <v>简单</v>
      </c>
      <c r="AI765">
        <f t="shared" si="81"/>
        <v>2467</v>
      </c>
      <c r="AJ765">
        <f t="shared" si="82"/>
        <v>1012</v>
      </c>
      <c r="AK765">
        <f t="shared" si="83"/>
        <v>19030</v>
      </c>
    </row>
    <row r="766" spans="30:37">
      <c r="AD766" s="131">
        <v>203401</v>
      </c>
      <c r="AE766" s="135">
        <v>121118</v>
      </c>
      <c r="AF766">
        <f t="shared" si="80"/>
        <v>34</v>
      </c>
      <c r="AG766">
        <f t="shared" si="79"/>
        <v>1</v>
      </c>
      <c r="AH766" t="str">
        <f t="shared" si="84"/>
        <v>简单</v>
      </c>
      <c r="AI766">
        <f t="shared" si="81"/>
        <v>2467</v>
      </c>
      <c r="AJ766">
        <f t="shared" si="82"/>
        <v>1012</v>
      </c>
      <c r="AK766">
        <f t="shared" si="83"/>
        <v>19030</v>
      </c>
    </row>
    <row r="767" spans="30:37">
      <c r="AD767" s="131">
        <v>203401</v>
      </c>
      <c r="AE767" s="135">
        <v>121118</v>
      </c>
      <c r="AF767">
        <f t="shared" si="80"/>
        <v>34</v>
      </c>
      <c r="AG767">
        <f t="shared" si="79"/>
        <v>1</v>
      </c>
      <c r="AH767" t="str">
        <f t="shared" si="84"/>
        <v>简单</v>
      </c>
      <c r="AI767">
        <f t="shared" si="81"/>
        <v>2467</v>
      </c>
      <c r="AJ767">
        <f t="shared" si="82"/>
        <v>1012</v>
      </c>
      <c r="AK767">
        <f t="shared" si="83"/>
        <v>19030</v>
      </c>
    </row>
    <row r="768" spans="30:37">
      <c r="AD768" s="131">
        <v>203402</v>
      </c>
      <c r="AE768" s="135">
        <v>121121</v>
      </c>
      <c r="AF768">
        <f t="shared" si="80"/>
        <v>34</v>
      </c>
      <c r="AG768">
        <f t="shared" si="79"/>
        <v>2</v>
      </c>
      <c r="AH768" t="str">
        <f t="shared" si="84"/>
        <v>简单</v>
      </c>
      <c r="AI768">
        <f t="shared" si="81"/>
        <v>2467</v>
      </c>
      <c r="AJ768">
        <f t="shared" si="82"/>
        <v>1012</v>
      </c>
      <c r="AK768">
        <f t="shared" si="83"/>
        <v>19030</v>
      </c>
    </row>
    <row r="769" spans="30:37">
      <c r="AD769" s="131">
        <v>203402</v>
      </c>
      <c r="AE769" s="135">
        <v>121120</v>
      </c>
      <c r="AF769">
        <f t="shared" si="80"/>
        <v>34</v>
      </c>
      <c r="AG769">
        <f t="shared" si="79"/>
        <v>2</v>
      </c>
      <c r="AH769" t="str">
        <f t="shared" si="84"/>
        <v>简单</v>
      </c>
      <c r="AI769">
        <f t="shared" si="81"/>
        <v>2467</v>
      </c>
      <c r="AJ769">
        <f t="shared" si="82"/>
        <v>1012</v>
      </c>
      <c r="AK769">
        <f t="shared" si="83"/>
        <v>19030</v>
      </c>
    </row>
    <row r="770" spans="30:37">
      <c r="AD770" s="131">
        <v>203402</v>
      </c>
      <c r="AE770" s="135">
        <v>121118</v>
      </c>
      <c r="AF770">
        <f t="shared" si="80"/>
        <v>34</v>
      </c>
      <c r="AG770">
        <f t="shared" si="79"/>
        <v>2</v>
      </c>
      <c r="AH770" t="str">
        <f t="shared" si="84"/>
        <v>简单</v>
      </c>
      <c r="AI770">
        <f t="shared" si="81"/>
        <v>2467</v>
      </c>
      <c r="AJ770">
        <f t="shared" si="82"/>
        <v>1012</v>
      </c>
      <c r="AK770">
        <f t="shared" si="83"/>
        <v>19030</v>
      </c>
    </row>
    <row r="771" spans="30:37">
      <c r="AD771" s="131">
        <v>203402</v>
      </c>
      <c r="AE771" s="135">
        <v>121135</v>
      </c>
      <c r="AF771">
        <f t="shared" si="80"/>
        <v>34</v>
      </c>
      <c r="AG771">
        <f t="shared" si="79"/>
        <v>2</v>
      </c>
      <c r="AH771" t="str">
        <f t="shared" si="84"/>
        <v>简单</v>
      </c>
      <c r="AI771">
        <f t="shared" si="81"/>
        <v>2467</v>
      </c>
      <c r="AJ771">
        <f t="shared" si="82"/>
        <v>1012</v>
      </c>
      <c r="AK771">
        <f t="shared" si="83"/>
        <v>19030</v>
      </c>
    </row>
    <row r="772" spans="30:37">
      <c r="AD772" s="131">
        <v>203402</v>
      </c>
      <c r="AE772" s="135">
        <v>121120</v>
      </c>
      <c r="AF772">
        <f t="shared" si="80"/>
        <v>34</v>
      </c>
      <c r="AG772">
        <f t="shared" si="79"/>
        <v>2</v>
      </c>
      <c r="AH772" t="str">
        <f t="shared" si="84"/>
        <v>简单</v>
      </c>
      <c r="AI772">
        <f t="shared" si="81"/>
        <v>2467</v>
      </c>
      <c r="AJ772">
        <f t="shared" si="82"/>
        <v>1012</v>
      </c>
      <c r="AK772">
        <f t="shared" si="83"/>
        <v>19030</v>
      </c>
    </row>
    <row r="773" spans="30:37">
      <c r="AD773" s="131">
        <v>203403</v>
      </c>
      <c r="AE773" s="135">
        <v>121123</v>
      </c>
      <c r="AF773">
        <f t="shared" si="80"/>
        <v>34</v>
      </c>
      <c r="AG773">
        <f t="shared" si="79"/>
        <v>3</v>
      </c>
      <c r="AH773" t="str">
        <f t="shared" si="84"/>
        <v>困难</v>
      </c>
      <c r="AI773">
        <f t="shared" si="81"/>
        <v>4066</v>
      </c>
      <c r="AJ773">
        <f t="shared" si="82"/>
        <v>1702</v>
      </c>
      <c r="AK773">
        <f t="shared" si="83"/>
        <v>1702</v>
      </c>
    </row>
    <row r="774" spans="30:37">
      <c r="AD774" s="131">
        <v>203403</v>
      </c>
      <c r="AE774" s="135">
        <v>121132</v>
      </c>
      <c r="AF774">
        <f t="shared" si="80"/>
        <v>34</v>
      </c>
      <c r="AG774">
        <f t="shared" si="79"/>
        <v>3</v>
      </c>
      <c r="AH774" t="str">
        <f t="shared" si="84"/>
        <v>困难</v>
      </c>
      <c r="AI774">
        <f t="shared" si="81"/>
        <v>4066</v>
      </c>
      <c r="AJ774">
        <f t="shared" si="82"/>
        <v>1702</v>
      </c>
      <c r="AK774">
        <f t="shared" si="83"/>
        <v>1702</v>
      </c>
    </row>
    <row r="775" spans="30:37">
      <c r="AD775" s="131">
        <v>203403</v>
      </c>
      <c r="AE775" s="135">
        <v>121132</v>
      </c>
      <c r="AF775">
        <f t="shared" si="80"/>
        <v>34</v>
      </c>
      <c r="AG775">
        <f t="shared" si="79"/>
        <v>3</v>
      </c>
      <c r="AH775" t="str">
        <f t="shared" si="84"/>
        <v>困难</v>
      </c>
      <c r="AI775">
        <f t="shared" si="81"/>
        <v>4066</v>
      </c>
      <c r="AJ775">
        <f t="shared" si="82"/>
        <v>1702</v>
      </c>
      <c r="AK775">
        <f t="shared" si="83"/>
        <v>1702</v>
      </c>
    </row>
    <row r="776" spans="30:37">
      <c r="AD776" s="131">
        <v>203403</v>
      </c>
      <c r="AE776" s="135">
        <v>121118</v>
      </c>
      <c r="AF776">
        <f t="shared" si="80"/>
        <v>34</v>
      </c>
      <c r="AG776">
        <f t="shared" si="79"/>
        <v>3</v>
      </c>
      <c r="AH776" t="str">
        <f t="shared" si="84"/>
        <v>困难</v>
      </c>
      <c r="AI776">
        <f t="shared" si="81"/>
        <v>4066</v>
      </c>
      <c r="AJ776">
        <f t="shared" si="82"/>
        <v>1702</v>
      </c>
      <c r="AK776">
        <f t="shared" si="83"/>
        <v>1702</v>
      </c>
    </row>
    <row r="777" spans="30:37">
      <c r="AD777" s="131">
        <v>203403</v>
      </c>
      <c r="AE777" s="135">
        <v>121118</v>
      </c>
      <c r="AF777">
        <f t="shared" si="80"/>
        <v>34</v>
      </c>
      <c r="AG777">
        <f t="shared" si="79"/>
        <v>3</v>
      </c>
      <c r="AH777" t="str">
        <f t="shared" si="84"/>
        <v>困难</v>
      </c>
      <c r="AI777">
        <f t="shared" si="81"/>
        <v>4066</v>
      </c>
      <c r="AJ777">
        <f t="shared" si="82"/>
        <v>1702</v>
      </c>
      <c r="AK777">
        <f t="shared" si="83"/>
        <v>1702</v>
      </c>
    </row>
    <row r="778" spans="30:37">
      <c r="AD778" s="131">
        <v>203404</v>
      </c>
      <c r="AE778" s="135">
        <v>121121</v>
      </c>
      <c r="AF778">
        <f t="shared" si="80"/>
        <v>34</v>
      </c>
      <c r="AG778">
        <f t="shared" si="79"/>
        <v>4</v>
      </c>
      <c r="AH778" t="str">
        <f t="shared" si="84"/>
        <v>困难</v>
      </c>
      <c r="AI778">
        <f t="shared" si="81"/>
        <v>4066</v>
      </c>
      <c r="AJ778">
        <f t="shared" si="82"/>
        <v>1702</v>
      </c>
      <c r="AK778">
        <f t="shared" si="83"/>
        <v>1702</v>
      </c>
    </row>
    <row r="779" spans="30:37">
      <c r="AD779" s="131">
        <v>203404</v>
      </c>
      <c r="AE779" s="135">
        <v>121120</v>
      </c>
      <c r="AF779">
        <f t="shared" si="80"/>
        <v>34</v>
      </c>
      <c r="AG779">
        <f t="shared" si="79"/>
        <v>4</v>
      </c>
      <c r="AH779" t="str">
        <f t="shared" si="84"/>
        <v>困难</v>
      </c>
      <c r="AI779">
        <f t="shared" si="81"/>
        <v>4066</v>
      </c>
      <c r="AJ779">
        <f t="shared" si="82"/>
        <v>1702</v>
      </c>
      <c r="AK779">
        <f t="shared" si="83"/>
        <v>1702</v>
      </c>
    </row>
    <row r="780" spans="30:37">
      <c r="AD780" s="131">
        <v>203404</v>
      </c>
      <c r="AE780" s="135">
        <v>121118</v>
      </c>
      <c r="AF780">
        <f t="shared" si="80"/>
        <v>34</v>
      </c>
      <c r="AG780">
        <f t="shared" si="79"/>
        <v>4</v>
      </c>
      <c r="AH780" t="str">
        <f t="shared" si="84"/>
        <v>困难</v>
      </c>
      <c r="AI780">
        <f t="shared" si="81"/>
        <v>4066</v>
      </c>
      <c r="AJ780">
        <f t="shared" si="82"/>
        <v>1702</v>
      </c>
      <c r="AK780">
        <f t="shared" si="83"/>
        <v>1702</v>
      </c>
    </row>
    <row r="781" spans="30:37">
      <c r="AD781" s="131">
        <v>203404</v>
      </c>
      <c r="AE781" s="135">
        <v>121135</v>
      </c>
      <c r="AF781">
        <f t="shared" si="80"/>
        <v>34</v>
      </c>
      <c r="AG781">
        <f t="shared" si="79"/>
        <v>4</v>
      </c>
      <c r="AH781" t="str">
        <f t="shared" si="84"/>
        <v>困难</v>
      </c>
      <c r="AI781">
        <f t="shared" si="81"/>
        <v>4066</v>
      </c>
      <c r="AJ781">
        <f t="shared" si="82"/>
        <v>1702</v>
      </c>
      <c r="AK781">
        <f t="shared" si="83"/>
        <v>1702</v>
      </c>
    </row>
    <row r="782" spans="30:37">
      <c r="AD782" s="131">
        <v>203404</v>
      </c>
      <c r="AE782" s="135">
        <v>121120</v>
      </c>
      <c r="AF782">
        <f t="shared" si="80"/>
        <v>34</v>
      </c>
      <c r="AG782">
        <f t="shared" si="79"/>
        <v>4</v>
      </c>
      <c r="AH782" t="str">
        <f t="shared" si="84"/>
        <v>困难</v>
      </c>
      <c r="AI782">
        <f t="shared" si="81"/>
        <v>4066</v>
      </c>
      <c r="AJ782">
        <f t="shared" si="82"/>
        <v>1702</v>
      </c>
      <c r="AK782">
        <f t="shared" si="83"/>
        <v>1702</v>
      </c>
    </row>
    <row r="783" spans="30:37">
      <c r="AD783" s="131">
        <v>203501</v>
      </c>
      <c r="AE783" s="135">
        <v>121120</v>
      </c>
      <c r="AF783">
        <f t="shared" si="80"/>
        <v>35</v>
      </c>
      <c r="AG783">
        <f t="shared" si="79"/>
        <v>1</v>
      </c>
      <c r="AH783" t="str">
        <f t="shared" si="84"/>
        <v>简单</v>
      </c>
      <c r="AI783">
        <f t="shared" si="81"/>
        <v>2467</v>
      </c>
      <c r="AJ783">
        <f t="shared" si="82"/>
        <v>1012</v>
      </c>
      <c r="AK783">
        <f t="shared" si="83"/>
        <v>19030</v>
      </c>
    </row>
    <row r="784" spans="30:37">
      <c r="AD784" s="131">
        <v>203501</v>
      </c>
      <c r="AE784" s="135">
        <v>121126</v>
      </c>
      <c r="AF784">
        <f t="shared" si="80"/>
        <v>35</v>
      </c>
      <c r="AG784">
        <f t="shared" si="79"/>
        <v>1</v>
      </c>
      <c r="AH784" t="str">
        <f t="shared" si="84"/>
        <v>简单</v>
      </c>
      <c r="AI784">
        <f t="shared" si="81"/>
        <v>2467</v>
      </c>
      <c r="AJ784">
        <f t="shared" si="82"/>
        <v>1012</v>
      </c>
      <c r="AK784">
        <f t="shared" si="83"/>
        <v>19030</v>
      </c>
    </row>
    <row r="785" spans="30:37">
      <c r="AD785" s="131">
        <v>203501</v>
      </c>
      <c r="AE785" s="135">
        <v>121125</v>
      </c>
      <c r="AF785">
        <f t="shared" si="80"/>
        <v>35</v>
      </c>
      <c r="AG785">
        <f t="shared" si="79"/>
        <v>1</v>
      </c>
      <c r="AH785" t="str">
        <f t="shared" si="84"/>
        <v>简单</v>
      </c>
      <c r="AI785">
        <f t="shared" si="81"/>
        <v>2467</v>
      </c>
      <c r="AJ785">
        <f t="shared" si="82"/>
        <v>1012</v>
      </c>
      <c r="AK785">
        <f t="shared" si="83"/>
        <v>19030</v>
      </c>
    </row>
    <row r="786" spans="30:37">
      <c r="AD786" s="131">
        <v>203501</v>
      </c>
      <c r="AE786" s="135">
        <v>121118</v>
      </c>
      <c r="AF786">
        <f t="shared" si="80"/>
        <v>35</v>
      </c>
      <c r="AG786">
        <f t="shared" si="79"/>
        <v>1</v>
      </c>
      <c r="AH786" t="str">
        <f t="shared" si="84"/>
        <v>简单</v>
      </c>
      <c r="AI786">
        <f t="shared" si="81"/>
        <v>2467</v>
      </c>
      <c r="AJ786">
        <f t="shared" si="82"/>
        <v>1012</v>
      </c>
      <c r="AK786">
        <f t="shared" si="83"/>
        <v>19030</v>
      </c>
    </row>
    <row r="787" spans="30:37">
      <c r="AD787" s="131">
        <v>203501</v>
      </c>
      <c r="AE787" s="135">
        <v>121119</v>
      </c>
      <c r="AF787">
        <f t="shared" si="80"/>
        <v>35</v>
      </c>
      <c r="AG787">
        <f t="shared" si="79"/>
        <v>1</v>
      </c>
      <c r="AH787" t="str">
        <f t="shared" si="84"/>
        <v>简单</v>
      </c>
      <c r="AI787">
        <f t="shared" si="81"/>
        <v>2467</v>
      </c>
      <c r="AJ787">
        <f t="shared" si="82"/>
        <v>1012</v>
      </c>
      <c r="AK787">
        <f t="shared" si="83"/>
        <v>19030</v>
      </c>
    </row>
    <row r="788" spans="30:37">
      <c r="AD788" s="131">
        <v>203502</v>
      </c>
      <c r="AE788" s="135">
        <v>121126</v>
      </c>
      <c r="AF788">
        <f t="shared" si="80"/>
        <v>35</v>
      </c>
      <c r="AG788">
        <f t="shared" si="79"/>
        <v>2</v>
      </c>
      <c r="AH788" t="str">
        <f t="shared" si="84"/>
        <v>简单</v>
      </c>
      <c r="AI788">
        <f t="shared" si="81"/>
        <v>2467</v>
      </c>
      <c r="AJ788">
        <f t="shared" si="82"/>
        <v>1012</v>
      </c>
      <c r="AK788">
        <f t="shared" si="83"/>
        <v>19030</v>
      </c>
    </row>
    <row r="789" spans="30:37">
      <c r="AD789" s="131">
        <v>203502</v>
      </c>
      <c r="AE789" s="135">
        <v>1112023</v>
      </c>
      <c r="AF789">
        <f t="shared" si="80"/>
        <v>35</v>
      </c>
      <c r="AG789">
        <f t="shared" si="79"/>
        <v>2</v>
      </c>
      <c r="AH789" t="str">
        <f t="shared" si="84"/>
        <v>简单</v>
      </c>
      <c r="AI789">
        <f t="shared" si="81"/>
        <v>3289</v>
      </c>
      <c r="AJ789">
        <f t="shared" si="82"/>
        <v>1012</v>
      </c>
      <c r="AK789">
        <f t="shared" si="83"/>
        <v>19030</v>
      </c>
    </row>
    <row r="790" spans="30:37">
      <c r="AD790" s="131">
        <v>203502</v>
      </c>
      <c r="AE790" s="135">
        <v>1112025</v>
      </c>
      <c r="AF790">
        <f t="shared" si="80"/>
        <v>35</v>
      </c>
      <c r="AG790">
        <f t="shared" ref="AG790:AG853" si="85">ROUNDDOWN(RIGHT(AD790,2),0)</f>
        <v>2</v>
      </c>
      <c r="AH790" t="str">
        <f t="shared" si="84"/>
        <v>简单</v>
      </c>
      <c r="AI790">
        <f t="shared" si="81"/>
        <v>3289</v>
      </c>
      <c r="AJ790">
        <f t="shared" si="82"/>
        <v>1012</v>
      </c>
      <c r="AK790">
        <f t="shared" si="83"/>
        <v>19030</v>
      </c>
    </row>
    <row r="791" spans="30:37">
      <c r="AD791" s="131">
        <v>203502</v>
      </c>
      <c r="AE791" s="135">
        <v>1112024</v>
      </c>
      <c r="AF791">
        <f t="shared" si="80"/>
        <v>35</v>
      </c>
      <c r="AG791">
        <f t="shared" si="85"/>
        <v>2</v>
      </c>
      <c r="AH791" t="str">
        <f t="shared" si="84"/>
        <v>简单</v>
      </c>
      <c r="AI791">
        <f t="shared" si="81"/>
        <v>3289</v>
      </c>
      <c r="AJ791">
        <f t="shared" si="82"/>
        <v>1012</v>
      </c>
      <c r="AK791">
        <f t="shared" si="83"/>
        <v>19030</v>
      </c>
    </row>
    <row r="792" spans="30:37">
      <c r="AD792" s="131">
        <v>203503</v>
      </c>
      <c r="AE792" s="135">
        <v>121120</v>
      </c>
      <c r="AF792">
        <f t="shared" si="80"/>
        <v>35</v>
      </c>
      <c r="AG792">
        <f t="shared" si="85"/>
        <v>3</v>
      </c>
      <c r="AH792" t="str">
        <f t="shared" si="84"/>
        <v>困难</v>
      </c>
      <c r="AI792">
        <f t="shared" si="81"/>
        <v>4066</v>
      </c>
      <c r="AJ792">
        <f t="shared" si="82"/>
        <v>1702</v>
      </c>
      <c r="AK792">
        <f t="shared" si="83"/>
        <v>1702</v>
      </c>
    </row>
    <row r="793" spans="30:37">
      <c r="AD793" s="131">
        <v>203503</v>
      </c>
      <c r="AE793" s="135">
        <v>121126</v>
      </c>
      <c r="AF793">
        <f t="shared" si="80"/>
        <v>35</v>
      </c>
      <c r="AG793">
        <f t="shared" si="85"/>
        <v>3</v>
      </c>
      <c r="AH793" t="str">
        <f t="shared" si="84"/>
        <v>困难</v>
      </c>
      <c r="AI793">
        <f t="shared" si="81"/>
        <v>4066</v>
      </c>
      <c r="AJ793">
        <f t="shared" si="82"/>
        <v>1702</v>
      </c>
      <c r="AK793">
        <f t="shared" si="83"/>
        <v>1702</v>
      </c>
    </row>
    <row r="794" spans="30:37">
      <c r="AD794" s="131">
        <v>203503</v>
      </c>
      <c r="AE794" s="135">
        <v>121125</v>
      </c>
      <c r="AF794">
        <f t="shared" si="80"/>
        <v>35</v>
      </c>
      <c r="AG794">
        <f t="shared" si="85"/>
        <v>3</v>
      </c>
      <c r="AH794" t="str">
        <f t="shared" si="84"/>
        <v>困难</v>
      </c>
      <c r="AI794">
        <f t="shared" si="81"/>
        <v>4066</v>
      </c>
      <c r="AJ794">
        <f t="shared" si="82"/>
        <v>1702</v>
      </c>
      <c r="AK794">
        <f t="shared" si="83"/>
        <v>1702</v>
      </c>
    </row>
    <row r="795" spans="30:37">
      <c r="AD795" s="131">
        <v>203503</v>
      </c>
      <c r="AE795" s="135">
        <v>121118</v>
      </c>
      <c r="AF795">
        <f t="shared" si="80"/>
        <v>35</v>
      </c>
      <c r="AG795">
        <f t="shared" si="85"/>
        <v>3</v>
      </c>
      <c r="AH795" t="str">
        <f t="shared" si="84"/>
        <v>困难</v>
      </c>
      <c r="AI795">
        <f t="shared" si="81"/>
        <v>4066</v>
      </c>
      <c r="AJ795">
        <f t="shared" si="82"/>
        <v>1702</v>
      </c>
      <c r="AK795">
        <f t="shared" si="83"/>
        <v>1702</v>
      </c>
    </row>
    <row r="796" spans="30:37">
      <c r="AD796" s="131">
        <v>203503</v>
      </c>
      <c r="AE796" s="135">
        <v>121119</v>
      </c>
      <c r="AF796">
        <f t="shared" si="80"/>
        <v>35</v>
      </c>
      <c r="AG796">
        <f t="shared" si="85"/>
        <v>3</v>
      </c>
      <c r="AH796" t="str">
        <f t="shared" si="84"/>
        <v>困难</v>
      </c>
      <c r="AI796">
        <f t="shared" si="81"/>
        <v>4066</v>
      </c>
      <c r="AJ796">
        <f t="shared" si="82"/>
        <v>1702</v>
      </c>
      <c r="AK796">
        <f t="shared" si="83"/>
        <v>1702</v>
      </c>
    </row>
    <row r="797" spans="30:37">
      <c r="AD797" s="131">
        <v>203504</v>
      </c>
      <c r="AE797" s="135">
        <v>121126</v>
      </c>
      <c r="AF797">
        <f t="shared" si="80"/>
        <v>35</v>
      </c>
      <c r="AG797">
        <f t="shared" si="85"/>
        <v>4</v>
      </c>
      <c r="AH797" t="str">
        <f t="shared" si="84"/>
        <v>困难</v>
      </c>
      <c r="AI797">
        <f t="shared" si="81"/>
        <v>4066</v>
      </c>
      <c r="AJ797">
        <f t="shared" si="82"/>
        <v>1702</v>
      </c>
      <c r="AK797">
        <f t="shared" si="83"/>
        <v>1702</v>
      </c>
    </row>
    <row r="798" spans="30:37">
      <c r="AD798" s="131">
        <v>203504</v>
      </c>
      <c r="AE798" s="135">
        <v>1112023</v>
      </c>
      <c r="AF798">
        <f t="shared" ref="AF798:AF861" si="86">MOD(ROUNDDOWN(AD798/100,0),100)</f>
        <v>35</v>
      </c>
      <c r="AG798">
        <f t="shared" si="85"/>
        <v>4</v>
      </c>
      <c r="AH798" t="str">
        <f t="shared" si="84"/>
        <v>困难</v>
      </c>
      <c r="AI798">
        <f t="shared" si="81"/>
        <v>4473</v>
      </c>
      <c r="AJ798">
        <f t="shared" si="82"/>
        <v>1702</v>
      </c>
      <c r="AK798">
        <f t="shared" si="83"/>
        <v>1702</v>
      </c>
    </row>
    <row r="799" spans="30:37">
      <c r="AD799" s="131">
        <v>203504</v>
      </c>
      <c r="AE799" s="135">
        <v>1112025</v>
      </c>
      <c r="AF799">
        <f t="shared" si="86"/>
        <v>35</v>
      </c>
      <c r="AG799">
        <f t="shared" si="85"/>
        <v>4</v>
      </c>
      <c r="AH799" t="str">
        <f t="shared" si="84"/>
        <v>困难</v>
      </c>
      <c r="AI799">
        <f t="shared" ref="AI799:AI862" si="87">IF($AH799="简单",IF(AE799&lt;122000,VLOOKUP($AF799,$N:$T,2,0),VLOOKUP($AF799,$N:$T,5,0)),IF(AE799&lt;122000,VLOOKUP($AF799,$V:$AB,2,0),VLOOKUP($AF799,$V:$AB,5,0)))</f>
        <v>4473</v>
      </c>
      <c r="AJ799">
        <f t="shared" ref="AJ799:AJ862" si="88">IF($AH799="简单",IF(AF799&lt;122000,VLOOKUP($AF799,$N:$T,3,0),VLOOKUP($AF799,$N:$T,6,0)),IF(AF799&lt;122000,VLOOKUP($AF799,$V:$AB,3,0),VLOOKUP($AF799,$V:$AB,6,0)))</f>
        <v>1702</v>
      </c>
      <c r="AK799">
        <f t="shared" ref="AK799:AK862" si="89">IF($AH799="简单",IF(AG799&lt;122000,VLOOKUP($AF799,$N:$T,4,0),VLOOKUP($AF799,$N:$T,7,0)),IF(AG799&lt;122000,VLOOKUP($AF799,$V:$AB,3,0),VLOOKUP($AF799,$V:$AB,6,0)))</f>
        <v>1702</v>
      </c>
    </row>
    <row r="800" spans="30:37">
      <c r="AD800" s="131">
        <v>203504</v>
      </c>
      <c r="AE800" s="135">
        <v>1112024</v>
      </c>
      <c r="AF800">
        <f t="shared" si="86"/>
        <v>35</v>
      </c>
      <c r="AG800">
        <f t="shared" si="85"/>
        <v>4</v>
      </c>
      <c r="AH800" t="str">
        <f t="shared" si="84"/>
        <v>困难</v>
      </c>
      <c r="AI800">
        <f t="shared" si="87"/>
        <v>4473</v>
      </c>
      <c r="AJ800">
        <f t="shared" si="88"/>
        <v>1702</v>
      </c>
      <c r="AK800">
        <f t="shared" si="89"/>
        <v>1702</v>
      </c>
    </row>
    <row r="801" spans="30:37">
      <c r="AD801" s="131">
        <v>203601</v>
      </c>
      <c r="AE801" s="135">
        <v>121123</v>
      </c>
      <c r="AF801">
        <f t="shared" si="86"/>
        <v>36</v>
      </c>
      <c r="AG801">
        <f t="shared" si="85"/>
        <v>1</v>
      </c>
      <c r="AH801" t="str">
        <f t="shared" si="84"/>
        <v>简单</v>
      </c>
      <c r="AI801">
        <f t="shared" si="87"/>
        <v>2467</v>
      </c>
      <c r="AJ801">
        <f t="shared" si="88"/>
        <v>1012</v>
      </c>
      <c r="AK801">
        <f t="shared" si="89"/>
        <v>19030</v>
      </c>
    </row>
    <row r="802" spans="30:37">
      <c r="AD802" s="131">
        <v>203601</v>
      </c>
      <c r="AE802" s="135">
        <v>121118</v>
      </c>
      <c r="AF802">
        <f t="shared" si="86"/>
        <v>36</v>
      </c>
      <c r="AG802">
        <f t="shared" si="85"/>
        <v>1</v>
      </c>
      <c r="AH802" t="str">
        <f t="shared" si="84"/>
        <v>简单</v>
      </c>
      <c r="AI802">
        <f t="shared" si="87"/>
        <v>2467</v>
      </c>
      <c r="AJ802">
        <f t="shared" si="88"/>
        <v>1012</v>
      </c>
      <c r="AK802">
        <f t="shared" si="89"/>
        <v>19030</v>
      </c>
    </row>
    <row r="803" spans="30:37">
      <c r="AD803" s="131">
        <v>203601</v>
      </c>
      <c r="AE803" s="135">
        <v>121118</v>
      </c>
      <c r="AF803">
        <f t="shared" si="86"/>
        <v>36</v>
      </c>
      <c r="AG803">
        <f t="shared" si="85"/>
        <v>1</v>
      </c>
      <c r="AH803" t="str">
        <f t="shared" si="84"/>
        <v>简单</v>
      </c>
      <c r="AI803">
        <f t="shared" si="87"/>
        <v>2467</v>
      </c>
      <c r="AJ803">
        <f t="shared" si="88"/>
        <v>1012</v>
      </c>
      <c r="AK803">
        <f t="shared" si="89"/>
        <v>19030</v>
      </c>
    </row>
    <row r="804" spans="30:37">
      <c r="AD804" s="131">
        <v>203601</v>
      </c>
      <c r="AE804" s="135">
        <v>121125</v>
      </c>
      <c r="AF804">
        <f t="shared" si="86"/>
        <v>36</v>
      </c>
      <c r="AG804">
        <f t="shared" si="85"/>
        <v>1</v>
      </c>
      <c r="AH804" t="str">
        <f t="shared" si="84"/>
        <v>简单</v>
      </c>
      <c r="AI804">
        <f t="shared" si="87"/>
        <v>2467</v>
      </c>
      <c r="AJ804">
        <f t="shared" si="88"/>
        <v>1012</v>
      </c>
      <c r="AK804">
        <f t="shared" si="89"/>
        <v>19030</v>
      </c>
    </row>
    <row r="805" spans="30:37">
      <c r="AD805" s="131">
        <v>203601</v>
      </c>
      <c r="AE805" s="135">
        <v>121134</v>
      </c>
      <c r="AF805">
        <f t="shared" si="86"/>
        <v>36</v>
      </c>
      <c r="AG805">
        <f t="shared" si="85"/>
        <v>1</v>
      </c>
      <c r="AH805" t="str">
        <f t="shared" si="84"/>
        <v>简单</v>
      </c>
      <c r="AI805">
        <f t="shared" si="87"/>
        <v>2467</v>
      </c>
      <c r="AJ805">
        <f t="shared" si="88"/>
        <v>1012</v>
      </c>
      <c r="AK805">
        <f t="shared" si="89"/>
        <v>19030</v>
      </c>
    </row>
    <row r="806" spans="30:37">
      <c r="AD806" s="131">
        <v>203602</v>
      </c>
      <c r="AE806" s="135">
        <v>121121</v>
      </c>
      <c r="AF806">
        <f t="shared" si="86"/>
        <v>36</v>
      </c>
      <c r="AG806">
        <f t="shared" si="85"/>
        <v>2</v>
      </c>
      <c r="AH806" t="str">
        <f t="shared" si="84"/>
        <v>简单</v>
      </c>
      <c r="AI806">
        <f t="shared" si="87"/>
        <v>2467</v>
      </c>
      <c r="AJ806">
        <f t="shared" si="88"/>
        <v>1012</v>
      </c>
      <c r="AK806">
        <f t="shared" si="89"/>
        <v>19030</v>
      </c>
    </row>
    <row r="807" spans="30:37">
      <c r="AD807" s="131">
        <v>203602</v>
      </c>
      <c r="AE807" s="135">
        <v>121120</v>
      </c>
      <c r="AF807">
        <f t="shared" si="86"/>
        <v>36</v>
      </c>
      <c r="AG807">
        <f t="shared" si="85"/>
        <v>2</v>
      </c>
      <c r="AH807" t="str">
        <f t="shared" si="84"/>
        <v>简单</v>
      </c>
      <c r="AI807">
        <f t="shared" si="87"/>
        <v>2467</v>
      </c>
      <c r="AJ807">
        <f t="shared" si="88"/>
        <v>1012</v>
      </c>
      <c r="AK807">
        <f t="shared" si="89"/>
        <v>19030</v>
      </c>
    </row>
    <row r="808" spans="30:37">
      <c r="AD808" s="131">
        <v>203602</v>
      </c>
      <c r="AE808" s="135">
        <v>121124</v>
      </c>
      <c r="AF808">
        <f t="shared" si="86"/>
        <v>36</v>
      </c>
      <c r="AG808">
        <f t="shared" si="85"/>
        <v>2</v>
      </c>
      <c r="AH808" t="str">
        <f t="shared" si="84"/>
        <v>简单</v>
      </c>
      <c r="AI808">
        <f t="shared" si="87"/>
        <v>2467</v>
      </c>
      <c r="AJ808">
        <f t="shared" si="88"/>
        <v>1012</v>
      </c>
      <c r="AK808">
        <f t="shared" si="89"/>
        <v>19030</v>
      </c>
    </row>
    <row r="809" spans="30:37">
      <c r="AD809" s="131">
        <v>203602</v>
      </c>
      <c r="AE809" s="135">
        <v>1112023</v>
      </c>
      <c r="AF809">
        <f t="shared" si="86"/>
        <v>36</v>
      </c>
      <c r="AG809">
        <f t="shared" si="85"/>
        <v>2</v>
      </c>
      <c r="AH809" t="str">
        <f t="shared" si="84"/>
        <v>简单</v>
      </c>
      <c r="AI809">
        <f t="shared" si="87"/>
        <v>3289</v>
      </c>
      <c r="AJ809">
        <f t="shared" si="88"/>
        <v>1012</v>
      </c>
      <c r="AK809">
        <f t="shared" si="89"/>
        <v>19030</v>
      </c>
    </row>
    <row r="810" spans="30:37">
      <c r="AD810" s="131">
        <v>203602</v>
      </c>
      <c r="AE810" s="135">
        <v>121120</v>
      </c>
      <c r="AF810">
        <f t="shared" si="86"/>
        <v>36</v>
      </c>
      <c r="AG810">
        <f t="shared" si="85"/>
        <v>2</v>
      </c>
      <c r="AH810" t="str">
        <f t="shared" si="84"/>
        <v>简单</v>
      </c>
      <c r="AI810">
        <f t="shared" si="87"/>
        <v>2467</v>
      </c>
      <c r="AJ810">
        <f t="shared" si="88"/>
        <v>1012</v>
      </c>
      <c r="AK810">
        <f t="shared" si="89"/>
        <v>19030</v>
      </c>
    </row>
    <row r="811" spans="30:37">
      <c r="AD811" s="131">
        <v>203603</v>
      </c>
      <c r="AE811" s="135">
        <v>121123</v>
      </c>
      <c r="AF811">
        <f t="shared" si="86"/>
        <v>36</v>
      </c>
      <c r="AG811">
        <f t="shared" si="85"/>
        <v>3</v>
      </c>
      <c r="AH811" t="str">
        <f t="shared" si="84"/>
        <v>困难</v>
      </c>
      <c r="AI811">
        <f t="shared" si="87"/>
        <v>4079</v>
      </c>
      <c r="AJ811">
        <f t="shared" si="88"/>
        <v>1707</v>
      </c>
      <c r="AK811">
        <f t="shared" si="89"/>
        <v>1707</v>
      </c>
    </row>
    <row r="812" spans="30:37">
      <c r="AD812" s="131">
        <v>203603</v>
      </c>
      <c r="AE812" s="135">
        <v>121118</v>
      </c>
      <c r="AF812">
        <f t="shared" si="86"/>
        <v>36</v>
      </c>
      <c r="AG812">
        <f t="shared" si="85"/>
        <v>3</v>
      </c>
      <c r="AH812" t="str">
        <f t="shared" ref="AH812:AH875" si="90">IF(VLOOKUP(AF812,AF:AG,2,1)=4,IF(AG812&lt;3,"简单","困难"),IF(AG812&lt;4,"简单","困难"))</f>
        <v>困难</v>
      </c>
      <c r="AI812">
        <f t="shared" si="87"/>
        <v>4079</v>
      </c>
      <c r="AJ812">
        <f t="shared" si="88"/>
        <v>1707</v>
      </c>
      <c r="AK812">
        <f t="shared" si="89"/>
        <v>1707</v>
      </c>
    </row>
    <row r="813" spans="30:37">
      <c r="AD813" s="131">
        <v>203603</v>
      </c>
      <c r="AE813" s="135">
        <v>121118</v>
      </c>
      <c r="AF813">
        <f t="shared" si="86"/>
        <v>36</v>
      </c>
      <c r="AG813">
        <f t="shared" si="85"/>
        <v>3</v>
      </c>
      <c r="AH813" t="str">
        <f t="shared" si="90"/>
        <v>困难</v>
      </c>
      <c r="AI813">
        <f t="shared" si="87"/>
        <v>4079</v>
      </c>
      <c r="AJ813">
        <f t="shared" si="88"/>
        <v>1707</v>
      </c>
      <c r="AK813">
        <f t="shared" si="89"/>
        <v>1707</v>
      </c>
    </row>
    <row r="814" spans="30:37">
      <c r="AD814" s="131">
        <v>203603</v>
      </c>
      <c r="AE814" s="135">
        <v>121125</v>
      </c>
      <c r="AF814">
        <f t="shared" si="86"/>
        <v>36</v>
      </c>
      <c r="AG814">
        <f t="shared" si="85"/>
        <v>3</v>
      </c>
      <c r="AH814" t="str">
        <f t="shared" si="90"/>
        <v>困难</v>
      </c>
      <c r="AI814">
        <f t="shared" si="87"/>
        <v>4079</v>
      </c>
      <c r="AJ814">
        <f t="shared" si="88"/>
        <v>1707</v>
      </c>
      <c r="AK814">
        <f t="shared" si="89"/>
        <v>1707</v>
      </c>
    </row>
    <row r="815" spans="30:37">
      <c r="AD815" s="131">
        <v>203603</v>
      </c>
      <c r="AE815" s="135">
        <v>121134</v>
      </c>
      <c r="AF815">
        <f t="shared" si="86"/>
        <v>36</v>
      </c>
      <c r="AG815">
        <f t="shared" si="85"/>
        <v>3</v>
      </c>
      <c r="AH815" t="str">
        <f t="shared" si="90"/>
        <v>困难</v>
      </c>
      <c r="AI815">
        <f t="shared" si="87"/>
        <v>4079</v>
      </c>
      <c r="AJ815">
        <f t="shared" si="88"/>
        <v>1707</v>
      </c>
      <c r="AK815">
        <f t="shared" si="89"/>
        <v>1707</v>
      </c>
    </row>
    <row r="816" spans="30:37">
      <c r="AD816" s="131">
        <v>203604</v>
      </c>
      <c r="AE816" s="135">
        <v>121121</v>
      </c>
      <c r="AF816">
        <f t="shared" si="86"/>
        <v>36</v>
      </c>
      <c r="AG816">
        <f t="shared" si="85"/>
        <v>4</v>
      </c>
      <c r="AH816" t="str">
        <f t="shared" si="90"/>
        <v>困难</v>
      </c>
      <c r="AI816">
        <f t="shared" si="87"/>
        <v>4079</v>
      </c>
      <c r="AJ816">
        <f t="shared" si="88"/>
        <v>1707</v>
      </c>
      <c r="AK816">
        <f t="shared" si="89"/>
        <v>1707</v>
      </c>
    </row>
    <row r="817" spans="30:37">
      <c r="AD817" s="131">
        <v>203604</v>
      </c>
      <c r="AE817" s="135">
        <v>121120</v>
      </c>
      <c r="AF817">
        <f t="shared" si="86"/>
        <v>36</v>
      </c>
      <c r="AG817">
        <f t="shared" si="85"/>
        <v>4</v>
      </c>
      <c r="AH817" t="str">
        <f t="shared" si="90"/>
        <v>困难</v>
      </c>
      <c r="AI817">
        <f t="shared" si="87"/>
        <v>4079</v>
      </c>
      <c r="AJ817">
        <f t="shared" si="88"/>
        <v>1707</v>
      </c>
      <c r="AK817">
        <f t="shared" si="89"/>
        <v>1707</v>
      </c>
    </row>
    <row r="818" spans="30:37">
      <c r="AD818" s="131">
        <v>203604</v>
      </c>
      <c r="AE818" s="135">
        <v>121124</v>
      </c>
      <c r="AF818">
        <f t="shared" si="86"/>
        <v>36</v>
      </c>
      <c r="AG818">
        <f t="shared" si="85"/>
        <v>4</v>
      </c>
      <c r="AH818" t="str">
        <f t="shared" si="90"/>
        <v>困难</v>
      </c>
      <c r="AI818">
        <f t="shared" si="87"/>
        <v>4079</v>
      </c>
      <c r="AJ818">
        <f t="shared" si="88"/>
        <v>1707</v>
      </c>
      <c r="AK818">
        <f t="shared" si="89"/>
        <v>1707</v>
      </c>
    </row>
    <row r="819" spans="30:37">
      <c r="AD819" s="131">
        <v>203604</v>
      </c>
      <c r="AE819" s="135">
        <v>1112023</v>
      </c>
      <c r="AF819">
        <f t="shared" si="86"/>
        <v>36</v>
      </c>
      <c r="AG819">
        <f t="shared" si="85"/>
        <v>4</v>
      </c>
      <c r="AH819" t="str">
        <f t="shared" si="90"/>
        <v>困难</v>
      </c>
      <c r="AI819">
        <f t="shared" si="87"/>
        <v>4487</v>
      </c>
      <c r="AJ819">
        <f t="shared" si="88"/>
        <v>1707</v>
      </c>
      <c r="AK819">
        <f t="shared" si="89"/>
        <v>1707</v>
      </c>
    </row>
    <row r="820" spans="30:37">
      <c r="AD820" s="131">
        <v>203604</v>
      </c>
      <c r="AE820" s="135">
        <v>121120</v>
      </c>
      <c r="AF820">
        <f t="shared" si="86"/>
        <v>36</v>
      </c>
      <c r="AG820">
        <f t="shared" si="85"/>
        <v>4</v>
      </c>
      <c r="AH820" t="str">
        <f t="shared" si="90"/>
        <v>困难</v>
      </c>
      <c r="AI820">
        <f t="shared" si="87"/>
        <v>4079</v>
      </c>
      <c r="AJ820">
        <f t="shared" si="88"/>
        <v>1707</v>
      </c>
      <c r="AK820">
        <f t="shared" si="89"/>
        <v>1707</v>
      </c>
    </row>
    <row r="821" spans="30:37">
      <c r="AD821" s="131">
        <v>203701</v>
      </c>
      <c r="AE821" s="135">
        <v>121135</v>
      </c>
      <c r="AF821">
        <f t="shared" si="86"/>
        <v>37</v>
      </c>
      <c r="AG821">
        <f t="shared" si="85"/>
        <v>1</v>
      </c>
      <c r="AH821" t="str">
        <f t="shared" si="90"/>
        <v>简单</v>
      </c>
      <c r="AI821">
        <f t="shared" si="87"/>
        <v>2596</v>
      </c>
      <c r="AJ821">
        <f t="shared" si="88"/>
        <v>1132</v>
      </c>
      <c r="AK821">
        <f t="shared" si="89"/>
        <v>20067</v>
      </c>
    </row>
    <row r="822" spans="30:37">
      <c r="AD822" s="131">
        <v>203701</v>
      </c>
      <c r="AE822" s="135">
        <v>121136</v>
      </c>
      <c r="AF822">
        <f t="shared" si="86"/>
        <v>37</v>
      </c>
      <c r="AG822">
        <f t="shared" si="85"/>
        <v>1</v>
      </c>
      <c r="AH822" t="str">
        <f t="shared" si="90"/>
        <v>简单</v>
      </c>
      <c r="AI822">
        <f t="shared" si="87"/>
        <v>2596</v>
      </c>
      <c r="AJ822">
        <f t="shared" si="88"/>
        <v>1132</v>
      </c>
      <c r="AK822">
        <f t="shared" si="89"/>
        <v>20067</v>
      </c>
    </row>
    <row r="823" spans="30:37">
      <c r="AD823" s="131">
        <v>203701</v>
      </c>
      <c r="AE823" s="135">
        <v>121132</v>
      </c>
      <c r="AF823">
        <f t="shared" si="86"/>
        <v>37</v>
      </c>
      <c r="AG823">
        <f t="shared" si="85"/>
        <v>1</v>
      </c>
      <c r="AH823" t="str">
        <f t="shared" si="90"/>
        <v>简单</v>
      </c>
      <c r="AI823">
        <f t="shared" si="87"/>
        <v>2596</v>
      </c>
      <c r="AJ823">
        <f t="shared" si="88"/>
        <v>1132</v>
      </c>
      <c r="AK823">
        <f t="shared" si="89"/>
        <v>20067</v>
      </c>
    </row>
    <row r="824" spans="30:37">
      <c r="AD824" s="131">
        <v>203701</v>
      </c>
      <c r="AE824" s="135">
        <v>121131</v>
      </c>
      <c r="AF824">
        <f t="shared" si="86"/>
        <v>37</v>
      </c>
      <c r="AG824">
        <f t="shared" si="85"/>
        <v>1</v>
      </c>
      <c r="AH824" t="str">
        <f t="shared" si="90"/>
        <v>简单</v>
      </c>
      <c r="AI824">
        <f t="shared" si="87"/>
        <v>2596</v>
      </c>
      <c r="AJ824">
        <f t="shared" si="88"/>
        <v>1132</v>
      </c>
      <c r="AK824">
        <f t="shared" si="89"/>
        <v>20067</v>
      </c>
    </row>
    <row r="825" spans="30:37">
      <c r="AD825" s="131">
        <v>203701</v>
      </c>
      <c r="AE825" s="135">
        <v>121132</v>
      </c>
      <c r="AF825">
        <f t="shared" si="86"/>
        <v>37</v>
      </c>
      <c r="AG825">
        <f t="shared" si="85"/>
        <v>1</v>
      </c>
      <c r="AH825" t="str">
        <f t="shared" si="90"/>
        <v>简单</v>
      </c>
      <c r="AI825">
        <f t="shared" si="87"/>
        <v>2596</v>
      </c>
      <c r="AJ825">
        <f t="shared" si="88"/>
        <v>1132</v>
      </c>
      <c r="AK825">
        <f t="shared" si="89"/>
        <v>20067</v>
      </c>
    </row>
    <row r="826" spans="30:37">
      <c r="AD826" s="131">
        <v>203702</v>
      </c>
      <c r="AE826" s="135">
        <v>121121</v>
      </c>
      <c r="AF826">
        <f t="shared" si="86"/>
        <v>37</v>
      </c>
      <c r="AG826">
        <f t="shared" si="85"/>
        <v>2</v>
      </c>
      <c r="AH826" t="str">
        <f t="shared" si="90"/>
        <v>简单</v>
      </c>
      <c r="AI826">
        <f t="shared" si="87"/>
        <v>2596</v>
      </c>
      <c r="AJ826">
        <f t="shared" si="88"/>
        <v>1132</v>
      </c>
      <c r="AK826">
        <f t="shared" si="89"/>
        <v>20067</v>
      </c>
    </row>
    <row r="827" spans="30:37">
      <c r="AD827" s="131">
        <v>203702</v>
      </c>
      <c r="AE827" s="135">
        <v>121135</v>
      </c>
      <c r="AF827">
        <f t="shared" si="86"/>
        <v>37</v>
      </c>
      <c r="AG827">
        <f t="shared" si="85"/>
        <v>2</v>
      </c>
      <c r="AH827" t="str">
        <f t="shared" si="90"/>
        <v>简单</v>
      </c>
      <c r="AI827">
        <f t="shared" si="87"/>
        <v>2596</v>
      </c>
      <c r="AJ827">
        <f t="shared" si="88"/>
        <v>1132</v>
      </c>
      <c r="AK827">
        <f t="shared" si="89"/>
        <v>20067</v>
      </c>
    </row>
    <row r="828" spans="30:37">
      <c r="AD828" s="131">
        <v>203702</v>
      </c>
      <c r="AE828" s="135">
        <v>121136</v>
      </c>
      <c r="AF828">
        <f t="shared" si="86"/>
        <v>37</v>
      </c>
      <c r="AG828">
        <f t="shared" si="85"/>
        <v>2</v>
      </c>
      <c r="AH828" t="str">
        <f t="shared" si="90"/>
        <v>简单</v>
      </c>
      <c r="AI828">
        <f t="shared" si="87"/>
        <v>2596</v>
      </c>
      <c r="AJ828">
        <f t="shared" si="88"/>
        <v>1132</v>
      </c>
      <c r="AK828">
        <f t="shared" si="89"/>
        <v>20067</v>
      </c>
    </row>
    <row r="829" spans="30:37">
      <c r="AD829" s="131">
        <v>203702</v>
      </c>
      <c r="AE829" s="135">
        <v>1112024</v>
      </c>
      <c r="AF829">
        <f t="shared" si="86"/>
        <v>37</v>
      </c>
      <c r="AG829">
        <f t="shared" si="85"/>
        <v>2</v>
      </c>
      <c r="AH829" t="str">
        <f t="shared" si="90"/>
        <v>简单</v>
      </c>
      <c r="AI829">
        <f t="shared" si="87"/>
        <v>3462</v>
      </c>
      <c r="AJ829">
        <f t="shared" si="88"/>
        <v>1132</v>
      </c>
      <c r="AK829">
        <f t="shared" si="89"/>
        <v>20067</v>
      </c>
    </row>
    <row r="830" spans="30:37">
      <c r="AD830" s="131">
        <v>203702</v>
      </c>
      <c r="AE830" s="135">
        <v>121118</v>
      </c>
      <c r="AF830">
        <f t="shared" si="86"/>
        <v>37</v>
      </c>
      <c r="AG830">
        <f t="shared" si="85"/>
        <v>2</v>
      </c>
      <c r="AH830" t="str">
        <f t="shared" si="90"/>
        <v>简单</v>
      </c>
      <c r="AI830">
        <f t="shared" si="87"/>
        <v>2596</v>
      </c>
      <c r="AJ830">
        <f t="shared" si="88"/>
        <v>1132</v>
      </c>
      <c r="AK830">
        <f t="shared" si="89"/>
        <v>20067</v>
      </c>
    </row>
    <row r="831" spans="30:37">
      <c r="AD831" s="131">
        <v>203703</v>
      </c>
      <c r="AE831" s="135">
        <v>121135</v>
      </c>
      <c r="AF831">
        <f t="shared" si="86"/>
        <v>37</v>
      </c>
      <c r="AG831">
        <f t="shared" si="85"/>
        <v>3</v>
      </c>
      <c r="AH831" t="str">
        <f t="shared" si="90"/>
        <v>困难</v>
      </c>
      <c r="AI831">
        <f t="shared" si="87"/>
        <v>4106</v>
      </c>
      <c r="AJ831">
        <f t="shared" si="88"/>
        <v>1814</v>
      </c>
      <c r="AK831">
        <f t="shared" si="89"/>
        <v>1814</v>
      </c>
    </row>
    <row r="832" spans="30:37">
      <c r="AD832" s="131">
        <v>203703</v>
      </c>
      <c r="AE832" s="135">
        <v>121136</v>
      </c>
      <c r="AF832">
        <f t="shared" si="86"/>
        <v>37</v>
      </c>
      <c r="AG832">
        <f t="shared" si="85"/>
        <v>3</v>
      </c>
      <c r="AH832" t="str">
        <f t="shared" si="90"/>
        <v>困难</v>
      </c>
      <c r="AI832">
        <f t="shared" si="87"/>
        <v>4106</v>
      </c>
      <c r="AJ832">
        <f t="shared" si="88"/>
        <v>1814</v>
      </c>
      <c r="AK832">
        <f t="shared" si="89"/>
        <v>1814</v>
      </c>
    </row>
    <row r="833" spans="30:37">
      <c r="AD833" s="131">
        <v>203703</v>
      </c>
      <c r="AE833" s="135">
        <v>121132</v>
      </c>
      <c r="AF833">
        <f t="shared" si="86"/>
        <v>37</v>
      </c>
      <c r="AG833">
        <f t="shared" si="85"/>
        <v>3</v>
      </c>
      <c r="AH833" t="str">
        <f t="shared" si="90"/>
        <v>困难</v>
      </c>
      <c r="AI833">
        <f t="shared" si="87"/>
        <v>4106</v>
      </c>
      <c r="AJ833">
        <f t="shared" si="88"/>
        <v>1814</v>
      </c>
      <c r="AK833">
        <f t="shared" si="89"/>
        <v>1814</v>
      </c>
    </row>
    <row r="834" spans="30:37">
      <c r="AD834" s="131">
        <v>203703</v>
      </c>
      <c r="AE834" s="135">
        <v>121131</v>
      </c>
      <c r="AF834">
        <f t="shared" si="86"/>
        <v>37</v>
      </c>
      <c r="AG834">
        <f t="shared" si="85"/>
        <v>3</v>
      </c>
      <c r="AH834" t="str">
        <f t="shared" si="90"/>
        <v>困难</v>
      </c>
      <c r="AI834">
        <f t="shared" si="87"/>
        <v>4106</v>
      </c>
      <c r="AJ834">
        <f t="shared" si="88"/>
        <v>1814</v>
      </c>
      <c r="AK834">
        <f t="shared" si="89"/>
        <v>1814</v>
      </c>
    </row>
    <row r="835" spans="30:37">
      <c r="AD835" s="131">
        <v>203703</v>
      </c>
      <c r="AE835" s="135">
        <v>121132</v>
      </c>
      <c r="AF835">
        <f t="shared" si="86"/>
        <v>37</v>
      </c>
      <c r="AG835">
        <f t="shared" si="85"/>
        <v>3</v>
      </c>
      <c r="AH835" t="str">
        <f t="shared" si="90"/>
        <v>困难</v>
      </c>
      <c r="AI835">
        <f t="shared" si="87"/>
        <v>4106</v>
      </c>
      <c r="AJ835">
        <f t="shared" si="88"/>
        <v>1814</v>
      </c>
      <c r="AK835">
        <f t="shared" si="89"/>
        <v>1814</v>
      </c>
    </row>
    <row r="836" spans="30:37">
      <c r="AD836" s="131">
        <v>203704</v>
      </c>
      <c r="AE836" s="135">
        <v>121121</v>
      </c>
      <c r="AF836">
        <f t="shared" si="86"/>
        <v>37</v>
      </c>
      <c r="AG836">
        <f t="shared" si="85"/>
        <v>4</v>
      </c>
      <c r="AH836" t="str">
        <f t="shared" si="90"/>
        <v>困难</v>
      </c>
      <c r="AI836">
        <f t="shared" si="87"/>
        <v>4106</v>
      </c>
      <c r="AJ836">
        <f t="shared" si="88"/>
        <v>1814</v>
      </c>
      <c r="AK836">
        <f t="shared" si="89"/>
        <v>1814</v>
      </c>
    </row>
    <row r="837" spans="30:37">
      <c r="AD837" s="131">
        <v>203704</v>
      </c>
      <c r="AE837" s="135">
        <v>121135</v>
      </c>
      <c r="AF837">
        <f t="shared" si="86"/>
        <v>37</v>
      </c>
      <c r="AG837">
        <f t="shared" si="85"/>
        <v>4</v>
      </c>
      <c r="AH837" t="str">
        <f t="shared" si="90"/>
        <v>困难</v>
      </c>
      <c r="AI837">
        <f t="shared" si="87"/>
        <v>4106</v>
      </c>
      <c r="AJ837">
        <f t="shared" si="88"/>
        <v>1814</v>
      </c>
      <c r="AK837">
        <f t="shared" si="89"/>
        <v>1814</v>
      </c>
    </row>
    <row r="838" spans="30:37">
      <c r="AD838" s="131">
        <v>203704</v>
      </c>
      <c r="AE838" s="135">
        <v>121136</v>
      </c>
      <c r="AF838">
        <f t="shared" si="86"/>
        <v>37</v>
      </c>
      <c r="AG838">
        <f t="shared" si="85"/>
        <v>4</v>
      </c>
      <c r="AH838" t="str">
        <f t="shared" si="90"/>
        <v>困难</v>
      </c>
      <c r="AI838">
        <f t="shared" si="87"/>
        <v>4106</v>
      </c>
      <c r="AJ838">
        <f t="shared" si="88"/>
        <v>1814</v>
      </c>
      <c r="AK838">
        <f t="shared" si="89"/>
        <v>1814</v>
      </c>
    </row>
    <row r="839" spans="30:37">
      <c r="AD839" s="131">
        <v>203704</v>
      </c>
      <c r="AE839" s="135">
        <v>1112024</v>
      </c>
      <c r="AF839">
        <f t="shared" si="86"/>
        <v>37</v>
      </c>
      <c r="AG839">
        <f t="shared" si="85"/>
        <v>4</v>
      </c>
      <c r="AH839" t="str">
        <f t="shared" si="90"/>
        <v>困难</v>
      </c>
      <c r="AI839">
        <f t="shared" si="87"/>
        <v>4516</v>
      </c>
      <c r="AJ839">
        <f t="shared" si="88"/>
        <v>1814</v>
      </c>
      <c r="AK839">
        <f t="shared" si="89"/>
        <v>1814</v>
      </c>
    </row>
    <row r="840" spans="30:37">
      <c r="AD840" s="131">
        <v>203704</v>
      </c>
      <c r="AE840" s="135">
        <v>121118</v>
      </c>
      <c r="AF840">
        <f t="shared" si="86"/>
        <v>37</v>
      </c>
      <c r="AG840">
        <f t="shared" si="85"/>
        <v>4</v>
      </c>
      <c r="AH840" t="str">
        <f t="shared" si="90"/>
        <v>困难</v>
      </c>
      <c r="AI840">
        <f t="shared" si="87"/>
        <v>4106</v>
      </c>
      <c r="AJ840">
        <f t="shared" si="88"/>
        <v>1814</v>
      </c>
      <c r="AK840">
        <f t="shared" si="89"/>
        <v>1814</v>
      </c>
    </row>
    <row r="841" spans="30:37">
      <c r="AD841" s="131">
        <v>203801</v>
      </c>
      <c r="AE841" s="135">
        <v>121123</v>
      </c>
      <c r="AF841">
        <f t="shared" si="86"/>
        <v>38</v>
      </c>
      <c r="AG841">
        <f t="shared" si="85"/>
        <v>1</v>
      </c>
      <c r="AH841" t="str">
        <f t="shared" si="90"/>
        <v>简单</v>
      </c>
      <c r="AI841">
        <f t="shared" si="87"/>
        <v>2596</v>
      </c>
      <c r="AJ841">
        <f t="shared" si="88"/>
        <v>1132</v>
      </c>
      <c r="AK841">
        <f t="shared" si="89"/>
        <v>20067</v>
      </c>
    </row>
    <row r="842" spans="30:37">
      <c r="AD842" s="131">
        <v>203801</v>
      </c>
      <c r="AE842" s="135">
        <v>1113005</v>
      </c>
      <c r="AF842">
        <f t="shared" si="86"/>
        <v>38</v>
      </c>
      <c r="AG842">
        <f t="shared" si="85"/>
        <v>1</v>
      </c>
      <c r="AH842" t="str">
        <f t="shared" si="90"/>
        <v>简单</v>
      </c>
      <c r="AI842">
        <f t="shared" si="87"/>
        <v>3462</v>
      </c>
      <c r="AJ842">
        <f t="shared" si="88"/>
        <v>1132</v>
      </c>
      <c r="AK842">
        <f t="shared" si="89"/>
        <v>20067</v>
      </c>
    </row>
    <row r="843" spans="30:37">
      <c r="AD843" s="131">
        <v>203801</v>
      </c>
      <c r="AE843" s="135">
        <v>121118</v>
      </c>
      <c r="AF843">
        <f t="shared" si="86"/>
        <v>38</v>
      </c>
      <c r="AG843">
        <f t="shared" si="85"/>
        <v>1</v>
      </c>
      <c r="AH843" t="str">
        <f t="shared" si="90"/>
        <v>简单</v>
      </c>
      <c r="AI843">
        <f t="shared" si="87"/>
        <v>2596</v>
      </c>
      <c r="AJ843">
        <f t="shared" si="88"/>
        <v>1132</v>
      </c>
      <c r="AK843">
        <f t="shared" si="89"/>
        <v>20067</v>
      </c>
    </row>
    <row r="844" spans="30:37">
      <c r="AD844" s="131">
        <v>203801</v>
      </c>
      <c r="AE844" s="135">
        <v>1112026</v>
      </c>
      <c r="AF844">
        <f t="shared" si="86"/>
        <v>38</v>
      </c>
      <c r="AG844">
        <f t="shared" si="85"/>
        <v>1</v>
      </c>
      <c r="AH844" t="str">
        <f t="shared" si="90"/>
        <v>简单</v>
      </c>
      <c r="AI844">
        <f t="shared" si="87"/>
        <v>3462</v>
      </c>
      <c r="AJ844">
        <f t="shared" si="88"/>
        <v>1132</v>
      </c>
      <c r="AK844">
        <f t="shared" si="89"/>
        <v>20067</v>
      </c>
    </row>
    <row r="845" spans="30:37">
      <c r="AD845" s="131">
        <v>203801</v>
      </c>
      <c r="AE845" s="135">
        <v>121124</v>
      </c>
      <c r="AF845">
        <f t="shared" si="86"/>
        <v>38</v>
      </c>
      <c r="AG845">
        <f t="shared" si="85"/>
        <v>1</v>
      </c>
      <c r="AH845" t="str">
        <f t="shared" si="90"/>
        <v>简单</v>
      </c>
      <c r="AI845">
        <f t="shared" si="87"/>
        <v>2596</v>
      </c>
      <c r="AJ845">
        <f t="shared" si="88"/>
        <v>1132</v>
      </c>
      <c r="AK845">
        <f t="shared" si="89"/>
        <v>20067</v>
      </c>
    </row>
    <row r="846" spans="30:37">
      <c r="AD846" s="131">
        <v>203802</v>
      </c>
      <c r="AE846" s="135">
        <v>1113006</v>
      </c>
      <c r="AF846">
        <f t="shared" si="86"/>
        <v>38</v>
      </c>
      <c r="AG846">
        <f t="shared" si="85"/>
        <v>2</v>
      </c>
      <c r="AH846" t="str">
        <f t="shared" si="90"/>
        <v>简单</v>
      </c>
      <c r="AI846">
        <f t="shared" si="87"/>
        <v>3462</v>
      </c>
      <c r="AJ846">
        <f t="shared" si="88"/>
        <v>1132</v>
      </c>
      <c r="AK846">
        <f t="shared" si="89"/>
        <v>20067</v>
      </c>
    </row>
    <row r="847" spans="30:37">
      <c r="AD847" s="131">
        <v>203803</v>
      </c>
      <c r="AE847" s="135">
        <v>121123</v>
      </c>
      <c r="AF847">
        <f t="shared" si="86"/>
        <v>38</v>
      </c>
      <c r="AG847">
        <f t="shared" si="85"/>
        <v>3</v>
      </c>
      <c r="AH847" t="str">
        <f t="shared" si="90"/>
        <v>困难</v>
      </c>
      <c r="AI847">
        <f t="shared" si="87"/>
        <v>4106</v>
      </c>
      <c r="AJ847">
        <f t="shared" si="88"/>
        <v>1814</v>
      </c>
      <c r="AK847">
        <f t="shared" si="89"/>
        <v>1814</v>
      </c>
    </row>
    <row r="848" spans="30:37">
      <c r="AD848" s="131">
        <v>203803</v>
      </c>
      <c r="AE848" s="135">
        <v>1113005</v>
      </c>
      <c r="AF848">
        <f t="shared" si="86"/>
        <v>38</v>
      </c>
      <c r="AG848">
        <f t="shared" si="85"/>
        <v>3</v>
      </c>
      <c r="AH848" t="str">
        <f t="shared" si="90"/>
        <v>困难</v>
      </c>
      <c r="AI848">
        <f t="shared" si="87"/>
        <v>4516</v>
      </c>
      <c r="AJ848">
        <f t="shared" si="88"/>
        <v>1814</v>
      </c>
      <c r="AK848">
        <f t="shared" si="89"/>
        <v>1814</v>
      </c>
    </row>
    <row r="849" spans="30:37">
      <c r="AD849" s="131">
        <v>203803</v>
      </c>
      <c r="AE849" s="135">
        <v>121118</v>
      </c>
      <c r="AF849">
        <f t="shared" si="86"/>
        <v>38</v>
      </c>
      <c r="AG849">
        <f t="shared" si="85"/>
        <v>3</v>
      </c>
      <c r="AH849" t="str">
        <f t="shared" si="90"/>
        <v>困难</v>
      </c>
      <c r="AI849">
        <f t="shared" si="87"/>
        <v>4106</v>
      </c>
      <c r="AJ849">
        <f t="shared" si="88"/>
        <v>1814</v>
      </c>
      <c r="AK849">
        <f t="shared" si="89"/>
        <v>1814</v>
      </c>
    </row>
    <row r="850" spans="30:37">
      <c r="AD850" s="131">
        <v>203803</v>
      </c>
      <c r="AE850" s="135">
        <v>1112026</v>
      </c>
      <c r="AF850">
        <f t="shared" si="86"/>
        <v>38</v>
      </c>
      <c r="AG850">
        <f t="shared" si="85"/>
        <v>3</v>
      </c>
      <c r="AH850" t="str">
        <f t="shared" si="90"/>
        <v>困难</v>
      </c>
      <c r="AI850">
        <f t="shared" si="87"/>
        <v>4516</v>
      </c>
      <c r="AJ850">
        <f t="shared" si="88"/>
        <v>1814</v>
      </c>
      <c r="AK850">
        <f t="shared" si="89"/>
        <v>1814</v>
      </c>
    </row>
    <row r="851" spans="30:37">
      <c r="AD851" s="131">
        <v>203803</v>
      </c>
      <c r="AE851" s="135">
        <v>121124</v>
      </c>
      <c r="AF851">
        <f t="shared" si="86"/>
        <v>38</v>
      </c>
      <c r="AG851">
        <f t="shared" si="85"/>
        <v>3</v>
      </c>
      <c r="AH851" t="str">
        <f t="shared" si="90"/>
        <v>困难</v>
      </c>
      <c r="AI851">
        <f t="shared" si="87"/>
        <v>4106</v>
      </c>
      <c r="AJ851">
        <f t="shared" si="88"/>
        <v>1814</v>
      </c>
      <c r="AK851">
        <f t="shared" si="89"/>
        <v>1814</v>
      </c>
    </row>
    <row r="852" spans="30:37">
      <c r="AD852" s="131">
        <v>203804</v>
      </c>
      <c r="AE852" s="135">
        <v>1113006</v>
      </c>
      <c r="AF852">
        <f t="shared" si="86"/>
        <v>38</v>
      </c>
      <c r="AG852">
        <f t="shared" si="85"/>
        <v>4</v>
      </c>
      <c r="AH852" t="str">
        <f t="shared" si="90"/>
        <v>困难</v>
      </c>
      <c r="AI852">
        <f t="shared" si="87"/>
        <v>4516</v>
      </c>
      <c r="AJ852">
        <f t="shared" si="88"/>
        <v>1814</v>
      </c>
      <c r="AK852">
        <f t="shared" si="89"/>
        <v>1814</v>
      </c>
    </row>
    <row r="853" spans="30:37">
      <c r="AD853" s="131">
        <v>203901</v>
      </c>
      <c r="AE853" s="135">
        <v>121162</v>
      </c>
      <c r="AF853">
        <f t="shared" si="86"/>
        <v>39</v>
      </c>
      <c r="AG853">
        <f t="shared" si="85"/>
        <v>1</v>
      </c>
      <c r="AH853" t="str">
        <f t="shared" si="90"/>
        <v>简单</v>
      </c>
      <c r="AI853">
        <f t="shared" si="87"/>
        <v>2596</v>
      </c>
      <c r="AJ853">
        <f t="shared" si="88"/>
        <v>1132</v>
      </c>
      <c r="AK853">
        <f t="shared" si="89"/>
        <v>20067</v>
      </c>
    </row>
    <row r="854" spans="30:37">
      <c r="AD854" s="131">
        <v>203901</v>
      </c>
      <c r="AE854" s="135">
        <v>121160</v>
      </c>
      <c r="AF854">
        <f t="shared" si="86"/>
        <v>39</v>
      </c>
      <c r="AG854">
        <f t="shared" ref="AG854:AG917" si="91">ROUNDDOWN(RIGHT(AD854,2),0)</f>
        <v>1</v>
      </c>
      <c r="AH854" t="str">
        <f t="shared" si="90"/>
        <v>简单</v>
      </c>
      <c r="AI854">
        <f t="shared" si="87"/>
        <v>2596</v>
      </c>
      <c r="AJ854">
        <f t="shared" si="88"/>
        <v>1132</v>
      </c>
      <c r="AK854">
        <f t="shared" si="89"/>
        <v>20067</v>
      </c>
    </row>
    <row r="855" spans="30:37">
      <c r="AD855" s="131">
        <v>203901</v>
      </c>
      <c r="AE855" s="135">
        <v>121161</v>
      </c>
      <c r="AF855">
        <f t="shared" si="86"/>
        <v>39</v>
      </c>
      <c r="AG855">
        <f t="shared" si="91"/>
        <v>1</v>
      </c>
      <c r="AH855" t="str">
        <f t="shared" si="90"/>
        <v>简单</v>
      </c>
      <c r="AI855">
        <f t="shared" si="87"/>
        <v>2596</v>
      </c>
      <c r="AJ855">
        <f t="shared" si="88"/>
        <v>1132</v>
      </c>
      <c r="AK855">
        <f t="shared" si="89"/>
        <v>20067</v>
      </c>
    </row>
    <row r="856" spans="30:37">
      <c r="AD856" s="131">
        <v>203902</v>
      </c>
      <c r="AE856" s="135">
        <v>121138</v>
      </c>
      <c r="AF856">
        <f t="shared" si="86"/>
        <v>39</v>
      </c>
      <c r="AG856">
        <f t="shared" si="91"/>
        <v>2</v>
      </c>
      <c r="AH856" t="str">
        <f t="shared" si="90"/>
        <v>简单</v>
      </c>
      <c r="AI856">
        <f t="shared" si="87"/>
        <v>2596</v>
      </c>
      <c r="AJ856">
        <f t="shared" si="88"/>
        <v>1132</v>
      </c>
      <c r="AK856">
        <f t="shared" si="89"/>
        <v>20067</v>
      </c>
    </row>
    <row r="857" spans="30:37">
      <c r="AD857" s="131">
        <v>203902</v>
      </c>
      <c r="AE857" s="135">
        <v>121147</v>
      </c>
      <c r="AF857">
        <f t="shared" si="86"/>
        <v>39</v>
      </c>
      <c r="AG857">
        <f t="shared" si="91"/>
        <v>2</v>
      </c>
      <c r="AH857" t="str">
        <f t="shared" si="90"/>
        <v>简单</v>
      </c>
      <c r="AI857">
        <f t="shared" si="87"/>
        <v>2596</v>
      </c>
      <c r="AJ857">
        <f t="shared" si="88"/>
        <v>1132</v>
      </c>
      <c r="AK857">
        <f t="shared" si="89"/>
        <v>20067</v>
      </c>
    </row>
    <row r="858" spans="30:37">
      <c r="AD858" s="131">
        <v>203902</v>
      </c>
      <c r="AE858" s="135">
        <v>121146</v>
      </c>
      <c r="AF858">
        <f t="shared" si="86"/>
        <v>39</v>
      </c>
      <c r="AG858">
        <f t="shared" si="91"/>
        <v>2</v>
      </c>
      <c r="AH858" t="str">
        <f t="shared" si="90"/>
        <v>简单</v>
      </c>
      <c r="AI858">
        <f t="shared" si="87"/>
        <v>2596</v>
      </c>
      <c r="AJ858">
        <f t="shared" si="88"/>
        <v>1132</v>
      </c>
      <c r="AK858">
        <f t="shared" si="89"/>
        <v>20067</v>
      </c>
    </row>
    <row r="859" spans="30:37">
      <c r="AD859" s="131">
        <v>203902</v>
      </c>
      <c r="AE859" s="135">
        <v>121145</v>
      </c>
      <c r="AF859">
        <f t="shared" si="86"/>
        <v>39</v>
      </c>
      <c r="AG859">
        <f t="shared" si="91"/>
        <v>2</v>
      </c>
      <c r="AH859" t="str">
        <f t="shared" si="90"/>
        <v>简单</v>
      </c>
      <c r="AI859">
        <f t="shared" si="87"/>
        <v>2596</v>
      </c>
      <c r="AJ859">
        <f t="shared" si="88"/>
        <v>1132</v>
      </c>
      <c r="AK859">
        <f t="shared" si="89"/>
        <v>20067</v>
      </c>
    </row>
    <row r="860" spans="30:37">
      <c r="AD860" s="131">
        <v>203903</v>
      </c>
      <c r="AE860" s="135">
        <v>121162</v>
      </c>
      <c r="AF860">
        <f t="shared" si="86"/>
        <v>39</v>
      </c>
      <c r="AG860">
        <f t="shared" si="91"/>
        <v>3</v>
      </c>
      <c r="AH860" t="str">
        <f t="shared" si="90"/>
        <v>困难</v>
      </c>
      <c r="AI860">
        <f t="shared" si="87"/>
        <v>4119</v>
      </c>
      <c r="AJ860">
        <f t="shared" si="88"/>
        <v>1820</v>
      </c>
      <c r="AK860">
        <f t="shared" si="89"/>
        <v>1820</v>
      </c>
    </row>
    <row r="861" spans="30:37">
      <c r="AD861" s="131">
        <v>203903</v>
      </c>
      <c r="AE861" s="135">
        <v>121160</v>
      </c>
      <c r="AF861">
        <f t="shared" si="86"/>
        <v>39</v>
      </c>
      <c r="AG861">
        <f t="shared" si="91"/>
        <v>3</v>
      </c>
      <c r="AH861" t="str">
        <f t="shared" si="90"/>
        <v>困难</v>
      </c>
      <c r="AI861">
        <f t="shared" si="87"/>
        <v>4119</v>
      </c>
      <c r="AJ861">
        <f t="shared" si="88"/>
        <v>1820</v>
      </c>
      <c r="AK861">
        <f t="shared" si="89"/>
        <v>1820</v>
      </c>
    </row>
    <row r="862" spans="30:37">
      <c r="AD862" s="131">
        <v>203903</v>
      </c>
      <c r="AE862" s="135">
        <v>121161</v>
      </c>
      <c r="AF862">
        <f t="shared" ref="AF862:AF925" si="92">MOD(ROUNDDOWN(AD862/100,0),100)</f>
        <v>39</v>
      </c>
      <c r="AG862">
        <f t="shared" si="91"/>
        <v>3</v>
      </c>
      <c r="AH862" t="str">
        <f t="shared" si="90"/>
        <v>困难</v>
      </c>
      <c r="AI862">
        <f t="shared" si="87"/>
        <v>4119</v>
      </c>
      <c r="AJ862">
        <f t="shared" si="88"/>
        <v>1820</v>
      </c>
      <c r="AK862">
        <f t="shared" si="89"/>
        <v>1820</v>
      </c>
    </row>
    <row r="863" spans="30:37">
      <c r="AD863" s="131">
        <v>203904</v>
      </c>
      <c r="AE863" s="135">
        <v>121138</v>
      </c>
      <c r="AF863">
        <f t="shared" si="92"/>
        <v>39</v>
      </c>
      <c r="AG863">
        <f t="shared" si="91"/>
        <v>4</v>
      </c>
      <c r="AH863" t="str">
        <f t="shared" si="90"/>
        <v>困难</v>
      </c>
      <c r="AI863">
        <f t="shared" ref="AI863:AI926" si="93">IF($AH863="简单",IF(AE863&lt;122000,VLOOKUP($AF863,$N:$T,2,0),VLOOKUP($AF863,$N:$T,5,0)),IF(AE863&lt;122000,VLOOKUP($AF863,$V:$AB,2,0),VLOOKUP($AF863,$V:$AB,5,0)))</f>
        <v>4119</v>
      </c>
      <c r="AJ863">
        <f t="shared" ref="AJ863:AJ926" si="94">IF($AH863="简单",IF(AF863&lt;122000,VLOOKUP($AF863,$N:$T,3,0),VLOOKUP($AF863,$N:$T,6,0)),IF(AF863&lt;122000,VLOOKUP($AF863,$V:$AB,3,0),VLOOKUP($AF863,$V:$AB,6,0)))</f>
        <v>1820</v>
      </c>
      <c r="AK863">
        <f t="shared" ref="AK863:AK926" si="95">IF($AH863="简单",IF(AG863&lt;122000,VLOOKUP($AF863,$N:$T,4,0),VLOOKUP($AF863,$N:$T,7,0)),IF(AG863&lt;122000,VLOOKUP($AF863,$V:$AB,3,0),VLOOKUP($AF863,$V:$AB,6,0)))</f>
        <v>1820</v>
      </c>
    </row>
    <row r="864" spans="30:37">
      <c r="AD864" s="131">
        <v>203904</v>
      </c>
      <c r="AE864" s="135">
        <v>121147</v>
      </c>
      <c r="AF864">
        <f t="shared" si="92"/>
        <v>39</v>
      </c>
      <c r="AG864">
        <f t="shared" si="91"/>
        <v>4</v>
      </c>
      <c r="AH864" t="str">
        <f t="shared" si="90"/>
        <v>困难</v>
      </c>
      <c r="AI864">
        <f t="shared" si="93"/>
        <v>4119</v>
      </c>
      <c r="AJ864">
        <f t="shared" si="94"/>
        <v>1820</v>
      </c>
      <c r="AK864">
        <f t="shared" si="95"/>
        <v>1820</v>
      </c>
    </row>
    <row r="865" spans="30:37">
      <c r="AD865" s="131">
        <v>203904</v>
      </c>
      <c r="AE865" s="135">
        <v>121146</v>
      </c>
      <c r="AF865">
        <f t="shared" si="92"/>
        <v>39</v>
      </c>
      <c r="AG865">
        <f t="shared" si="91"/>
        <v>4</v>
      </c>
      <c r="AH865" t="str">
        <f t="shared" si="90"/>
        <v>困难</v>
      </c>
      <c r="AI865">
        <f t="shared" si="93"/>
        <v>4119</v>
      </c>
      <c r="AJ865">
        <f t="shared" si="94"/>
        <v>1820</v>
      </c>
      <c r="AK865">
        <f t="shared" si="95"/>
        <v>1820</v>
      </c>
    </row>
    <row r="866" spans="30:37">
      <c r="AD866" s="131">
        <v>203904</v>
      </c>
      <c r="AE866" s="135">
        <v>121145</v>
      </c>
      <c r="AF866">
        <f t="shared" si="92"/>
        <v>39</v>
      </c>
      <c r="AG866">
        <f t="shared" si="91"/>
        <v>4</v>
      </c>
      <c r="AH866" t="str">
        <f t="shared" si="90"/>
        <v>困难</v>
      </c>
      <c r="AI866">
        <f t="shared" si="93"/>
        <v>4119</v>
      </c>
      <c r="AJ866">
        <f t="shared" si="94"/>
        <v>1820</v>
      </c>
      <c r="AK866">
        <f t="shared" si="95"/>
        <v>1820</v>
      </c>
    </row>
    <row r="867" spans="30:37">
      <c r="AD867" s="131">
        <v>204001</v>
      </c>
      <c r="AE867" s="135">
        <v>121141</v>
      </c>
      <c r="AF867">
        <f t="shared" si="92"/>
        <v>40</v>
      </c>
      <c r="AG867">
        <f t="shared" si="91"/>
        <v>1</v>
      </c>
      <c r="AH867" t="str">
        <f t="shared" si="90"/>
        <v>简单</v>
      </c>
      <c r="AI867">
        <f t="shared" si="93"/>
        <v>2784</v>
      </c>
      <c r="AJ867">
        <f t="shared" si="94"/>
        <v>1229</v>
      </c>
      <c r="AK867">
        <f t="shared" si="95"/>
        <v>23104</v>
      </c>
    </row>
    <row r="868" spans="30:37">
      <c r="AD868" s="131">
        <v>204001</v>
      </c>
      <c r="AE868" s="135">
        <v>121147</v>
      </c>
      <c r="AF868">
        <f t="shared" si="92"/>
        <v>40</v>
      </c>
      <c r="AG868">
        <f t="shared" si="91"/>
        <v>1</v>
      </c>
      <c r="AH868" t="str">
        <f t="shared" si="90"/>
        <v>简单</v>
      </c>
      <c r="AI868">
        <f t="shared" si="93"/>
        <v>2784</v>
      </c>
      <c r="AJ868">
        <f t="shared" si="94"/>
        <v>1229</v>
      </c>
      <c r="AK868">
        <f t="shared" si="95"/>
        <v>23104</v>
      </c>
    </row>
    <row r="869" spans="30:37">
      <c r="AD869" s="131">
        <v>204001</v>
      </c>
      <c r="AE869" s="135">
        <v>121140</v>
      </c>
      <c r="AF869">
        <f t="shared" si="92"/>
        <v>40</v>
      </c>
      <c r="AG869">
        <f t="shared" si="91"/>
        <v>1</v>
      </c>
      <c r="AH869" t="str">
        <f t="shared" si="90"/>
        <v>简单</v>
      </c>
      <c r="AI869">
        <f t="shared" si="93"/>
        <v>2784</v>
      </c>
      <c r="AJ869">
        <f t="shared" si="94"/>
        <v>1229</v>
      </c>
      <c r="AK869">
        <f t="shared" si="95"/>
        <v>23104</v>
      </c>
    </row>
    <row r="870" spans="30:37">
      <c r="AD870" s="131">
        <v>204001</v>
      </c>
      <c r="AE870" s="135">
        <v>121146</v>
      </c>
      <c r="AF870">
        <f t="shared" si="92"/>
        <v>40</v>
      </c>
      <c r="AG870">
        <f t="shared" si="91"/>
        <v>1</v>
      </c>
      <c r="AH870" t="str">
        <f t="shared" si="90"/>
        <v>简单</v>
      </c>
      <c r="AI870">
        <f t="shared" si="93"/>
        <v>2784</v>
      </c>
      <c r="AJ870">
        <f t="shared" si="94"/>
        <v>1229</v>
      </c>
      <c r="AK870">
        <f t="shared" si="95"/>
        <v>23104</v>
      </c>
    </row>
    <row r="871" spans="30:37">
      <c r="AD871" s="131">
        <v>204001</v>
      </c>
      <c r="AE871" s="135">
        <v>121140</v>
      </c>
      <c r="AF871">
        <f t="shared" si="92"/>
        <v>40</v>
      </c>
      <c r="AG871">
        <f t="shared" si="91"/>
        <v>1</v>
      </c>
      <c r="AH871" t="str">
        <f t="shared" si="90"/>
        <v>简单</v>
      </c>
      <c r="AI871">
        <f t="shared" si="93"/>
        <v>2784</v>
      </c>
      <c r="AJ871">
        <f t="shared" si="94"/>
        <v>1229</v>
      </c>
      <c r="AK871">
        <f t="shared" si="95"/>
        <v>23104</v>
      </c>
    </row>
    <row r="872" spans="30:37">
      <c r="AD872" s="131">
        <v>204002</v>
      </c>
      <c r="AE872" s="135">
        <v>121143</v>
      </c>
      <c r="AF872">
        <f t="shared" si="92"/>
        <v>40</v>
      </c>
      <c r="AG872">
        <f t="shared" si="91"/>
        <v>2</v>
      </c>
      <c r="AH872" t="str">
        <f t="shared" si="90"/>
        <v>简单</v>
      </c>
      <c r="AI872">
        <f t="shared" si="93"/>
        <v>2784</v>
      </c>
      <c r="AJ872">
        <f t="shared" si="94"/>
        <v>1229</v>
      </c>
      <c r="AK872">
        <f t="shared" si="95"/>
        <v>23104</v>
      </c>
    </row>
    <row r="873" spans="30:37">
      <c r="AD873" s="131">
        <v>204002</v>
      </c>
      <c r="AE873" s="135">
        <v>121143</v>
      </c>
      <c r="AF873">
        <f t="shared" si="92"/>
        <v>40</v>
      </c>
      <c r="AG873">
        <f t="shared" si="91"/>
        <v>2</v>
      </c>
      <c r="AH873" t="str">
        <f t="shared" si="90"/>
        <v>简单</v>
      </c>
      <c r="AI873">
        <f t="shared" si="93"/>
        <v>2784</v>
      </c>
      <c r="AJ873">
        <f t="shared" si="94"/>
        <v>1229</v>
      </c>
      <c r="AK873">
        <f t="shared" si="95"/>
        <v>23104</v>
      </c>
    </row>
    <row r="874" spans="30:37">
      <c r="AD874" s="131">
        <v>204002</v>
      </c>
      <c r="AE874" s="135">
        <v>121142</v>
      </c>
      <c r="AF874">
        <f t="shared" si="92"/>
        <v>40</v>
      </c>
      <c r="AG874">
        <f t="shared" si="91"/>
        <v>2</v>
      </c>
      <c r="AH874" t="str">
        <f t="shared" si="90"/>
        <v>简单</v>
      </c>
      <c r="AI874">
        <f t="shared" si="93"/>
        <v>2784</v>
      </c>
      <c r="AJ874">
        <f t="shared" si="94"/>
        <v>1229</v>
      </c>
      <c r="AK874">
        <f t="shared" si="95"/>
        <v>23104</v>
      </c>
    </row>
    <row r="875" spans="30:37">
      <c r="AD875" s="131">
        <v>204002</v>
      </c>
      <c r="AE875" s="135">
        <v>121142</v>
      </c>
      <c r="AF875">
        <f t="shared" si="92"/>
        <v>40</v>
      </c>
      <c r="AG875">
        <f t="shared" si="91"/>
        <v>2</v>
      </c>
      <c r="AH875" t="str">
        <f t="shared" si="90"/>
        <v>简单</v>
      </c>
      <c r="AI875">
        <f t="shared" si="93"/>
        <v>2784</v>
      </c>
      <c r="AJ875">
        <f t="shared" si="94"/>
        <v>1229</v>
      </c>
      <c r="AK875">
        <f t="shared" si="95"/>
        <v>23104</v>
      </c>
    </row>
    <row r="876" spans="30:37">
      <c r="AD876" s="131">
        <v>204002</v>
      </c>
      <c r="AE876" s="135">
        <v>121148</v>
      </c>
      <c r="AF876">
        <f t="shared" si="92"/>
        <v>40</v>
      </c>
      <c r="AG876">
        <f t="shared" si="91"/>
        <v>2</v>
      </c>
      <c r="AH876" t="str">
        <f t="shared" ref="AH876:AH939" si="96">IF(VLOOKUP(AF876,AF:AG,2,1)=4,IF(AG876&lt;3,"简单","困难"),IF(AG876&lt;4,"简单","困难"))</f>
        <v>简单</v>
      </c>
      <c r="AI876">
        <f t="shared" si="93"/>
        <v>2784</v>
      </c>
      <c r="AJ876">
        <f t="shared" si="94"/>
        <v>1229</v>
      </c>
      <c r="AK876">
        <f t="shared" si="95"/>
        <v>23104</v>
      </c>
    </row>
    <row r="877" spans="30:37">
      <c r="AD877" s="131">
        <v>204003</v>
      </c>
      <c r="AE877" s="135">
        <v>121141</v>
      </c>
      <c r="AF877">
        <f t="shared" si="92"/>
        <v>40</v>
      </c>
      <c r="AG877">
        <f t="shared" si="91"/>
        <v>3</v>
      </c>
      <c r="AH877" t="str">
        <f t="shared" si="96"/>
        <v>困难</v>
      </c>
      <c r="AI877">
        <f t="shared" si="93"/>
        <v>4428</v>
      </c>
      <c r="AJ877">
        <f t="shared" si="94"/>
        <v>1982</v>
      </c>
      <c r="AK877">
        <f t="shared" si="95"/>
        <v>1982</v>
      </c>
    </row>
    <row r="878" spans="30:37">
      <c r="AD878" s="131">
        <v>204003</v>
      </c>
      <c r="AE878" s="135">
        <v>121147</v>
      </c>
      <c r="AF878">
        <f t="shared" si="92"/>
        <v>40</v>
      </c>
      <c r="AG878">
        <f t="shared" si="91"/>
        <v>3</v>
      </c>
      <c r="AH878" t="str">
        <f t="shared" si="96"/>
        <v>困难</v>
      </c>
      <c r="AI878">
        <f t="shared" si="93"/>
        <v>4428</v>
      </c>
      <c r="AJ878">
        <f t="shared" si="94"/>
        <v>1982</v>
      </c>
      <c r="AK878">
        <f t="shared" si="95"/>
        <v>1982</v>
      </c>
    </row>
    <row r="879" spans="30:37">
      <c r="AD879" s="131">
        <v>204003</v>
      </c>
      <c r="AE879" s="135">
        <v>121140</v>
      </c>
      <c r="AF879">
        <f t="shared" si="92"/>
        <v>40</v>
      </c>
      <c r="AG879">
        <f t="shared" si="91"/>
        <v>3</v>
      </c>
      <c r="AH879" t="str">
        <f t="shared" si="96"/>
        <v>困难</v>
      </c>
      <c r="AI879">
        <f t="shared" si="93"/>
        <v>4428</v>
      </c>
      <c r="AJ879">
        <f t="shared" si="94"/>
        <v>1982</v>
      </c>
      <c r="AK879">
        <f t="shared" si="95"/>
        <v>1982</v>
      </c>
    </row>
    <row r="880" spans="30:37">
      <c r="AD880" s="131">
        <v>204003</v>
      </c>
      <c r="AE880" s="135">
        <v>121146</v>
      </c>
      <c r="AF880">
        <f t="shared" si="92"/>
        <v>40</v>
      </c>
      <c r="AG880">
        <f t="shared" si="91"/>
        <v>3</v>
      </c>
      <c r="AH880" t="str">
        <f t="shared" si="96"/>
        <v>困难</v>
      </c>
      <c r="AI880">
        <f t="shared" si="93"/>
        <v>4428</v>
      </c>
      <c r="AJ880">
        <f t="shared" si="94"/>
        <v>1982</v>
      </c>
      <c r="AK880">
        <f t="shared" si="95"/>
        <v>1982</v>
      </c>
    </row>
    <row r="881" spans="30:37">
      <c r="AD881" s="131">
        <v>204003</v>
      </c>
      <c r="AE881" s="135">
        <v>121140</v>
      </c>
      <c r="AF881">
        <f t="shared" si="92"/>
        <v>40</v>
      </c>
      <c r="AG881">
        <f t="shared" si="91"/>
        <v>3</v>
      </c>
      <c r="AH881" t="str">
        <f t="shared" si="96"/>
        <v>困难</v>
      </c>
      <c r="AI881">
        <f t="shared" si="93"/>
        <v>4428</v>
      </c>
      <c r="AJ881">
        <f t="shared" si="94"/>
        <v>1982</v>
      </c>
      <c r="AK881">
        <f t="shared" si="95"/>
        <v>1982</v>
      </c>
    </row>
    <row r="882" spans="30:37">
      <c r="AD882" s="131">
        <v>204004</v>
      </c>
      <c r="AE882" s="135">
        <v>121143</v>
      </c>
      <c r="AF882">
        <f t="shared" si="92"/>
        <v>40</v>
      </c>
      <c r="AG882">
        <f t="shared" si="91"/>
        <v>4</v>
      </c>
      <c r="AH882" t="str">
        <f t="shared" si="96"/>
        <v>困难</v>
      </c>
      <c r="AI882">
        <f t="shared" si="93"/>
        <v>4428</v>
      </c>
      <c r="AJ882">
        <f t="shared" si="94"/>
        <v>1982</v>
      </c>
      <c r="AK882">
        <f t="shared" si="95"/>
        <v>1982</v>
      </c>
    </row>
    <row r="883" spans="30:37">
      <c r="AD883" s="131">
        <v>204004</v>
      </c>
      <c r="AE883" s="135">
        <v>121143</v>
      </c>
      <c r="AF883">
        <f t="shared" si="92"/>
        <v>40</v>
      </c>
      <c r="AG883">
        <f t="shared" si="91"/>
        <v>4</v>
      </c>
      <c r="AH883" t="str">
        <f t="shared" si="96"/>
        <v>困难</v>
      </c>
      <c r="AI883">
        <f t="shared" si="93"/>
        <v>4428</v>
      </c>
      <c r="AJ883">
        <f t="shared" si="94"/>
        <v>1982</v>
      </c>
      <c r="AK883">
        <f t="shared" si="95"/>
        <v>1982</v>
      </c>
    </row>
    <row r="884" spans="30:37">
      <c r="AD884" s="131">
        <v>204004</v>
      </c>
      <c r="AE884" s="135">
        <v>121142</v>
      </c>
      <c r="AF884">
        <f t="shared" si="92"/>
        <v>40</v>
      </c>
      <c r="AG884">
        <f t="shared" si="91"/>
        <v>4</v>
      </c>
      <c r="AH884" t="str">
        <f t="shared" si="96"/>
        <v>困难</v>
      </c>
      <c r="AI884">
        <f t="shared" si="93"/>
        <v>4428</v>
      </c>
      <c r="AJ884">
        <f t="shared" si="94"/>
        <v>1982</v>
      </c>
      <c r="AK884">
        <f t="shared" si="95"/>
        <v>1982</v>
      </c>
    </row>
    <row r="885" spans="30:37">
      <c r="AD885" s="131">
        <v>204004</v>
      </c>
      <c r="AE885" s="135">
        <v>121142</v>
      </c>
      <c r="AF885">
        <f t="shared" si="92"/>
        <v>40</v>
      </c>
      <c r="AG885">
        <f t="shared" si="91"/>
        <v>4</v>
      </c>
      <c r="AH885" t="str">
        <f t="shared" si="96"/>
        <v>困难</v>
      </c>
      <c r="AI885">
        <f t="shared" si="93"/>
        <v>4428</v>
      </c>
      <c r="AJ885">
        <f t="shared" si="94"/>
        <v>1982</v>
      </c>
      <c r="AK885">
        <f t="shared" si="95"/>
        <v>1982</v>
      </c>
    </row>
    <row r="886" spans="30:37">
      <c r="AD886" s="131">
        <v>204004</v>
      </c>
      <c r="AE886" s="135">
        <v>121148</v>
      </c>
      <c r="AF886">
        <f t="shared" si="92"/>
        <v>40</v>
      </c>
      <c r="AG886">
        <f t="shared" si="91"/>
        <v>4</v>
      </c>
      <c r="AH886" t="str">
        <f t="shared" si="96"/>
        <v>困难</v>
      </c>
      <c r="AI886">
        <f t="shared" si="93"/>
        <v>4428</v>
      </c>
      <c r="AJ886">
        <f t="shared" si="94"/>
        <v>1982</v>
      </c>
      <c r="AK886">
        <f t="shared" si="95"/>
        <v>1982</v>
      </c>
    </row>
    <row r="887" spans="30:37">
      <c r="AD887" s="131">
        <v>204101</v>
      </c>
      <c r="AE887" s="135">
        <v>121155</v>
      </c>
      <c r="AF887">
        <f t="shared" si="92"/>
        <v>41</v>
      </c>
      <c r="AG887">
        <f t="shared" si="91"/>
        <v>1</v>
      </c>
      <c r="AH887" t="str">
        <f t="shared" si="96"/>
        <v>简单</v>
      </c>
      <c r="AI887">
        <f t="shared" si="93"/>
        <v>2784</v>
      </c>
      <c r="AJ887">
        <f t="shared" si="94"/>
        <v>1229</v>
      </c>
      <c r="AK887">
        <f t="shared" si="95"/>
        <v>23104</v>
      </c>
    </row>
    <row r="888" spans="30:37">
      <c r="AD888" s="131">
        <v>204101</v>
      </c>
      <c r="AE888" s="135">
        <v>121155</v>
      </c>
      <c r="AF888">
        <f t="shared" si="92"/>
        <v>41</v>
      </c>
      <c r="AG888">
        <f t="shared" si="91"/>
        <v>1</v>
      </c>
      <c r="AH888" t="str">
        <f t="shared" si="96"/>
        <v>简单</v>
      </c>
      <c r="AI888">
        <f t="shared" si="93"/>
        <v>2784</v>
      </c>
      <c r="AJ888">
        <f t="shared" si="94"/>
        <v>1229</v>
      </c>
      <c r="AK888">
        <f t="shared" si="95"/>
        <v>23104</v>
      </c>
    </row>
    <row r="889" spans="30:37">
      <c r="AD889" s="131">
        <v>204101</v>
      </c>
      <c r="AE889" s="135">
        <v>121155</v>
      </c>
      <c r="AF889">
        <f t="shared" si="92"/>
        <v>41</v>
      </c>
      <c r="AG889">
        <f t="shared" si="91"/>
        <v>1</v>
      </c>
      <c r="AH889" t="str">
        <f t="shared" si="96"/>
        <v>简单</v>
      </c>
      <c r="AI889">
        <f t="shared" si="93"/>
        <v>2784</v>
      </c>
      <c r="AJ889">
        <f t="shared" si="94"/>
        <v>1229</v>
      </c>
      <c r="AK889">
        <f t="shared" si="95"/>
        <v>23104</v>
      </c>
    </row>
    <row r="890" spans="30:37">
      <c r="AD890" s="131">
        <v>204101</v>
      </c>
      <c r="AE890" s="135">
        <v>121156</v>
      </c>
      <c r="AF890">
        <f t="shared" si="92"/>
        <v>41</v>
      </c>
      <c r="AG890">
        <f t="shared" si="91"/>
        <v>1</v>
      </c>
      <c r="AH890" t="str">
        <f t="shared" si="96"/>
        <v>简单</v>
      </c>
      <c r="AI890">
        <f t="shared" si="93"/>
        <v>2784</v>
      </c>
      <c r="AJ890">
        <f t="shared" si="94"/>
        <v>1229</v>
      </c>
      <c r="AK890">
        <f t="shared" si="95"/>
        <v>23104</v>
      </c>
    </row>
    <row r="891" spans="30:37">
      <c r="AD891" s="131">
        <v>204101</v>
      </c>
      <c r="AE891" s="135">
        <v>121151</v>
      </c>
      <c r="AF891">
        <f t="shared" si="92"/>
        <v>41</v>
      </c>
      <c r="AG891">
        <f t="shared" si="91"/>
        <v>1</v>
      </c>
      <c r="AH891" t="str">
        <f t="shared" si="96"/>
        <v>简单</v>
      </c>
      <c r="AI891">
        <f t="shared" si="93"/>
        <v>2784</v>
      </c>
      <c r="AJ891">
        <f t="shared" si="94"/>
        <v>1229</v>
      </c>
      <c r="AK891">
        <f t="shared" si="95"/>
        <v>23104</v>
      </c>
    </row>
    <row r="892" spans="30:37">
      <c r="AD892" s="131">
        <v>204101</v>
      </c>
      <c r="AE892" s="135">
        <v>121156</v>
      </c>
      <c r="AF892">
        <f t="shared" si="92"/>
        <v>41</v>
      </c>
      <c r="AG892">
        <f t="shared" si="91"/>
        <v>1</v>
      </c>
      <c r="AH892" t="str">
        <f t="shared" si="96"/>
        <v>简单</v>
      </c>
      <c r="AI892">
        <f t="shared" si="93"/>
        <v>2784</v>
      </c>
      <c r="AJ892">
        <f t="shared" si="94"/>
        <v>1229</v>
      </c>
      <c r="AK892">
        <f t="shared" si="95"/>
        <v>23104</v>
      </c>
    </row>
    <row r="893" spans="30:37">
      <c r="AD893" s="131">
        <v>204102</v>
      </c>
      <c r="AE893" s="135">
        <v>1112028</v>
      </c>
      <c r="AF893">
        <f t="shared" si="92"/>
        <v>41</v>
      </c>
      <c r="AG893">
        <f t="shared" si="91"/>
        <v>2</v>
      </c>
      <c r="AH893" t="str">
        <f t="shared" si="96"/>
        <v>简单</v>
      </c>
      <c r="AI893">
        <f t="shared" si="93"/>
        <v>3712</v>
      </c>
      <c r="AJ893">
        <f t="shared" si="94"/>
        <v>1229</v>
      </c>
      <c r="AK893">
        <f t="shared" si="95"/>
        <v>23104</v>
      </c>
    </row>
    <row r="894" spans="30:37">
      <c r="AD894" s="131">
        <v>204102</v>
      </c>
      <c r="AE894" s="135">
        <v>121154</v>
      </c>
      <c r="AF894">
        <f t="shared" si="92"/>
        <v>41</v>
      </c>
      <c r="AG894">
        <f t="shared" si="91"/>
        <v>2</v>
      </c>
      <c r="AH894" t="str">
        <f t="shared" si="96"/>
        <v>简单</v>
      </c>
      <c r="AI894">
        <f t="shared" si="93"/>
        <v>2784</v>
      </c>
      <c r="AJ894">
        <f t="shared" si="94"/>
        <v>1229</v>
      </c>
      <c r="AK894">
        <f t="shared" si="95"/>
        <v>23104</v>
      </c>
    </row>
    <row r="895" spans="30:37">
      <c r="AD895" s="131">
        <v>204102</v>
      </c>
      <c r="AE895" s="135">
        <v>121154</v>
      </c>
      <c r="AF895">
        <f t="shared" si="92"/>
        <v>41</v>
      </c>
      <c r="AG895">
        <f t="shared" si="91"/>
        <v>2</v>
      </c>
      <c r="AH895" t="str">
        <f t="shared" si="96"/>
        <v>简单</v>
      </c>
      <c r="AI895">
        <f t="shared" si="93"/>
        <v>2784</v>
      </c>
      <c r="AJ895">
        <f t="shared" si="94"/>
        <v>1229</v>
      </c>
      <c r="AK895">
        <f t="shared" si="95"/>
        <v>23104</v>
      </c>
    </row>
    <row r="896" spans="30:37">
      <c r="AD896" s="131">
        <v>204102</v>
      </c>
      <c r="AE896" s="135">
        <v>121154</v>
      </c>
      <c r="AF896">
        <f t="shared" si="92"/>
        <v>41</v>
      </c>
      <c r="AG896">
        <f t="shared" si="91"/>
        <v>2</v>
      </c>
      <c r="AH896" t="str">
        <f t="shared" si="96"/>
        <v>简单</v>
      </c>
      <c r="AI896">
        <f t="shared" si="93"/>
        <v>2784</v>
      </c>
      <c r="AJ896">
        <f t="shared" si="94"/>
        <v>1229</v>
      </c>
      <c r="AK896">
        <f t="shared" si="95"/>
        <v>23104</v>
      </c>
    </row>
    <row r="897" spans="30:37">
      <c r="AD897" s="131">
        <v>204102</v>
      </c>
      <c r="AE897" s="135">
        <v>1113007</v>
      </c>
      <c r="AF897">
        <f t="shared" si="92"/>
        <v>41</v>
      </c>
      <c r="AG897">
        <f t="shared" si="91"/>
        <v>2</v>
      </c>
      <c r="AH897" t="str">
        <f t="shared" si="96"/>
        <v>简单</v>
      </c>
      <c r="AI897">
        <f t="shared" si="93"/>
        <v>3712</v>
      </c>
      <c r="AJ897">
        <f t="shared" si="94"/>
        <v>1229</v>
      </c>
      <c r="AK897">
        <f t="shared" si="95"/>
        <v>23104</v>
      </c>
    </row>
    <row r="898" spans="30:37">
      <c r="AD898" s="131">
        <v>204103</v>
      </c>
      <c r="AE898" s="135">
        <v>121155</v>
      </c>
      <c r="AF898">
        <f t="shared" si="92"/>
        <v>41</v>
      </c>
      <c r="AG898">
        <f t="shared" si="91"/>
        <v>3</v>
      </c>
      <c r="AH898" t="str">
        <f t="shared" si="96"/>
        <v>困难</v>
      </c>
      <c r="AI898">
        <f t="shared" si="93"/>
        <v>4428</v>
      </c>
      <c r="AJ898">
        <f t="shared" si="94"/>
        <v>1982</v>
      </c>
      <c r="AK898">
        <f t="shared" si="95"/>
        <v>1982</v>
      </c>
    </row>
    <row r="899" spans="30:37">
      <c r="AD899" s="131">
        <v>204103</v>
      </c>
      <c r="AE899" s="135">
        <v>121155</v>
      </c>
      <c r="AF899">
        <f t="shared" si="92"/>
        <v>41</v>
      </c>
      <c r="AG899">
        <f t="shared" si="91"/>
        <v>3</v>
      </c>
      <c r="AH899" t="str">
        <f t="shared" si="96"/>
        <v>困难</v>
      </c>
      <c r="AI899">
        <f t="shared" si="93"/>
        <v>4428</v>
      </c>
      <c r="AJ899">
        <f t="shared" si="94"/>
        <v>1982</v>
      </c>
      <c r="AK899">
        <f t="shared" si="95"/>
        <v>1982</v>
      </c>
    </row>
    <row r="900" spans="30:37">
      <c r="AD900" s="131">
        <v>204103</v>
      </c>
      <c r="AE900" s="135">
        <v>121155</v>
      </c>
      <c r="AF900">
        <f t="shared" si="92"/>
        <v>41</v>
      </c>
      <c r="AG900">
        <f t="shared" si="91"/>
        <v>3</v>
      </c>
      <c r="AH900" t="str">
        <f t="shared" si="96"/>
        <v>困难</v>
      </c>
      <c r="AI900">
        <f t="shared" si="93"/>
        <v>4428</v>
      </c>
      <c r="AJ900">
        <f t="shared" si="94"/>
        <v>1982</v>
      </c>
      <c r="AK900">
        <f t="shared" si="95"/>
        <v>1982</v>
      </c>
    </row>
    <row r="901" spans="30:37">
      <c r="AD901" s="131">
        <v>204103</v>
      </c>
      <c r="AE901" s="135">
        <v>121156</v>
      </c>
      <c r="AF901">
        <f t="shared" si="92"/>
        <v>41</v>
      </c>
      <c r="AG901">
        <f t="shared" si="91"/>
        <v>3</v>
      </c>
      <c r="AH901" t="str">
        <f t="shared" si="96"/>
        <v>困难</v>
      </c>
      <c r="AI901">
        <f t="shared" si="93"/>
        <v>4428</v>
      </c>
      <c r="AJ901">
        <f t="shared" si="94"/>
        <v>1982</v>
      </c>
      <c r="AK901">
        <f t="shared" si="95"/>
        <v>1982</v>
      </c>
    </row>
    <row r="902" spans="30:37">
      <c r="AD902" s="131">
        <v>204103</v>
      </c>
      <c r="AE902" s="135">
        <v>121151</v>
      </c>
      <c r="AF902">
        <f t="shared" si="92"/>
        <v>41</v>
      </c>
      <c r="AG902">
        <f t="shared" si="91"/>
        <v>3</v>
      </c>
      <c r="AH902" t="str">
        <f t="shared" si="96"/>
        <v>困难</v>
      </c>
      <c r="AI902">
        <f t="shared" si="93"/>
        <v>4428</v>
      </c>
      <c r="AJ902">
        <f t="shared" si="94"/>
        <v>1982</v>
      </c>
      <c r="AK902">
        <f t="shared" si="95"/>
        <v>1982</v>
      </c>
    </row>
    <row r="903" spans="30:37">
      <c r="AD903" s="131">
        <v>204103</v>
      </c>
      <c r="AE903" s="135">
        <v>121156</v>
      </c>
      <c r="AF903">
        <f t="shared" si="92"/>
        <v>41</v>
      </c>
      <c r="AG903">
        <f t="shared" si="91"/>
        <v>3</v>
      </c>
      <c r="AH903" t="str">
        <f t="shared" si="96"/>
        <v>困难</v>
      </c>
      <c r="AI903">
        <f t="shared" si="93"/>
        <v>4428</v>
      </c>
      <c r="AJ903">
        <f t="shared" si="94"/>
        <v>1982</v>
      </c>
      <c r="AK903">
        <f t="shared" si="95"/>
        <v>1982</v>
      </c>
    </row>
    <row r="904" spans="30:37">
      <c r="AD904" s="131">
        <v>204104</v>
      </c>
      <c r="AE904" s="135">
        <v>1112028</v>
      </c>
      <c r="AF904">
        <f t="shared" si="92"/>
        <v>41</v>
      </c>
      <c r="AG904">
        <f t="shared" si="91"/>
        <v>4</v>
      </c>
      <c r="AH904" t="str">
        <f t="shared" si="96"/>
        <v>困难</v>
      </c>
      <c r="AI904">
        <f t="shared" si="93"/>
        <v>4871</v>
      </c>
      <c r="AJ904">
        <f t="shared" si="94"/>
        <v>1982</v>
      </c>
      <c r="AK904">
        <f t="shared" si="95"/>
        <v>1982</v>
      </c>
    </row>
    <row r="905" spans="30:37">
      <c r="AD905" s="131">
        <v>204104</v>
      </c>
      <c r="AE905" s="135">
        <v>121154</v>
      </c>
      <c r="AF905">
        <f t="shared" si="92"/>
        <v>41</v>
      </c>
      <c r="AG905">
        <f t="shared" si="91"/>
        <v>4</v>
      </c>
      <c r="AH905" t="str">
        <f t="shared" si="96"/>
        <v>困难</v>
      </c>
      <c r="AI905">
        <f t="shared" si="93"/>
        <v>4428</v>
      </c>
      <c r="AJ905">
        <f t="shared" si="94"/>
        <v>1982</v>
      </c>
      <c r="AK905">
        <f t="shared" si="95"/>
        <v>1982</v>
      </c>
    </row>
    <row r="906" spans="30:37">
      <c r="AD906" s="131">
        <v>204104</v>
      </c>
      <c r="AE906" s="135">
        <v>121154</v>
      </c>
      <c r="AF906">
        <f t="shared" si="92"/>
        <v>41</v>
      </c>
      <c r="AG906">
        <f t="shared" si="91"/>
        <v>4</v>
      </c>
      <c r="AH906" t="str">
        <f t="shared" si="96"/>
        <v>困难</v>
      </c>
      <c r="AI906">
        <f t="shared" si="93"/>
        <v>4428</v>
      </c>
      <c r="AJ906">
        <f t="shared" si="94"/>
        <v>1982</v>
      </c>
      <c r="AK906">
        <f t="shared" si="95"/>
        <v>1982</v>
      </c>
    </row>
    <row r="907" spans="30:37">
      <c r="AD907" s="131">
        <v>204104</v>
      </c>
      <c r="AE907" s="135">
        <v>121154</v>
      </c>
      <c r="AF907">
        <f t="shared" si="92"/>
        <v>41</v>
      </c>
      <c r="AG907">
        <f t="shared" si="91"/>
        <v>4</v>
      </c>
      <c r="AH907" t="str">
        <f t="shared" si="96"/>
        <v>困难</v>
      </c>
      <c r="AI907">
        <f t="shared" si="93"/>
        <v>4428</v>
      </c>
      <c r="AJ907">
        <f t="shared" si="94"/>
        <v>1982</v>
      </c>
      <c r="AK907">
        <f t="shared" si="95"/>
        <v>1982</v>
      </c>
    </row>
    <row r="908" spans="30:37">
      <c r="AD908" s="131">
        <v>204104</v>
      </c>
      <c r="AE908" s="135">
        <v>1113007</v>
      </c>
      <c r="AF908">
        <f t="shared" si="92"/>
        <v>41</v>
      </c>
      <c r="AG908">
        <f t="shared" si="91"/>
        <v>4</v>
      </c>
      <c r="AH908" t="str">
        <f t="shared" si="96"/>
        <v>困难</v>
      </c>
      <c r="AI908">
        <f t="shared" si="93"/>
        <v>4871</v>
      </c>
      <c r="AJ908">
        <f t="shared" si="94"/>
        <v>1982</v>
      </c>
      <c r="AK908">
        <f t="shared" si="95"/>
        <v>1982</v>
      </c>
    </row>
    <row r="909" spans="30:37">
      <c r="AD909" s="131">
        <v>204201</v>
      </c>
      <c r="AE909" s="135">
        <v>121158</v>
      </c>
      <c r="AF909">
        <f t="shared" si="92"/>
        <v>42</v>
      </c>
      <c r="AG909">
        <f t="shared" si="91"/>
        <v>1</v>
      </c>
      <c r="AH909" t="str">
        <f t="shared" si="96"/>
        <v>简单</v>
      </c>
      <c r="AI909">
        <f t="shared" si="93"/>
        <v>2784</v>
      </c>
      <c r="AJ909">
        <f t="shared" si="94"/>
        <v>1229</v>
      </c>
      <c r="AK909">
        <f t="shared" si="95"/>
        <v>23104</v>
      </c>
    </row>
    <row r="910" spans="30:37">
      <c r="AD910" s="131">
        <v>204201</v>
      </c>
      <c r="AE910" s="135">
        <v>121159</v>
      </c>
      <c r="AF910">
        <f t="shared" si="92"/>
        <v>42</v>
      </c>
      <c r="AG910">
        <f t="shared" si="91"/>
        <v>1</v>
      </c>
      <c r="AH910" t="str">
        <f t="shared" si="96"/>
        <v>简单</v>
      </c>
      <c r="AI910">
        <f t="shared" si="93"/>
        <v>2784</v>
      </c>
      <c r="AJ910">
        <f t="shared" si="94"/>
        <v>1229</v>
      </c>
      <c r="AK910">
        <f t="shared" si="95"/>
        <v>23104</v>
      </c>
    </row>
    <row r="911" spans="30:37">
      <c r="AD911" s="131">
        <v>204201</v>
      </c>
      <c r="AE911" s="135">
        <v>121158</v>
      </c>
      <c r="AF911">
        <f t="shared" si="92"/>
        <v>42</v>
      </c>
      <c r="AG911">
        <f t="shared" si="91"/>
        <v>1</v>
      </c>
      <c r="AH911" t="str">
        <f t="shared" si="96"/>
        <v>简单</v>
      </c>
      <c r="AI911">
        <f t="shared" si="93"/>
        <v>2784</v>
      </c>
      <c r="AJ911">
        <f t="shared" si="94"/>
        <v>1229</v>
      </c>
      <c r="AK911">
        <f t="shared" si="95"/>
        <v>23104</v>
      </c>
    </row>
    <row r="912" spans="30:37">
      <c r="AD912" s="131">
        <v>204201</v>
      </c>
      <c r="AE912" s="135">
        <v>121157</v>
      </c>
      <c r="AF912">
        <f t="shared" si="92"/>
        <v>42</v>
      </c>
      <c r="AG912">
        <f t="shared" si="91"/>
        <v>1</v>
      </c>
      <c r="AH912" t="str">
        <f t="shared" si="96"/>
        <v>简单</v>
      </c>
      <c r="AI912">
        <f t="shared" si="93"/>
        <v>2784</v>
      </c>
      <c r="AJ912">
        <f t="shared" si="94"/>
        <v>1229</v>
      </c>
      <c r="AK912">
        <f t="shared" si="95"/>
        <v>23104</v>
      </c>
    </row>
    <row r="913" spans="30:37">
      <c r="AD913" s="131">
        <v>204201</v>
      </c>
      <c r="AE913" s="135">
        <v>121159</v>
      </c>
      <c r="AF913">
        <f t="shared" si="92"/>
        <v>42</v>
      </c>
      <c r="AG913">
        <f t="shared" si="91"/>
        <v>1</v>
      </c>
      <c r="AH913" t="str">
        <f t="shared" si="96"/>
        <v>简单</v>
      </c>
      <c r="AI913">
        <f t="shared" si="93"/>
        <v>2784</v>
      </c>
      <c r="AJ913">
        <f t="shared" si="94"/>
        <v>1229</v>
      </c>
      <c r="AK913">
        <f t="shared" si="95"/>
        <v>23104</v>
      </c>
    </row>
    <row r="914" spans="30:37">
      <c r="AD914" s="131">
        <v>204202</v>
      </c>
      <c r="AE914" s="135">
        <v>121152</v>
      </c>
      <c r="AF914">
        <f t="shared" si="92"/>
        <v>42</v>
      </c>
      <c r="AG914">
        <f t="shared" si="91"/>
        <v>2</v>
      </c>
      <c r="AH914" t="str">
        <f t="shared" si="96"/>
        <v>简单</v>
      </c>
      <c r="AI914">
        <f t="shared" si="93"/>
        <v>2784</v>
      </c>
      <c r="AJ914">
        <f t="shared" si="94"/>
        <v>1229</v>
      </c>
      <c r="AK914">
        <f t="shared" si="95"/>
        <v>23104</v>
      </c>
    </row>
    <row r="915" spans="30:37">
      <c r="AD915" s="131">
        <v>204202</v>
      </c>
      <c r="AE915" s="135">
        <v>121153</v>
      </c>
      <c r="AF915">
        <f t="shared" si="92"/>
        <v>42</v>
      </c>
      <c r="AG915">
        <f t="shared" si="91"/>
        <v>2</v>
      </c>
      <c r="AH915" t="str">
        <f t="shared" si="96"/>
        <v>简单</v>
      </c>
      <c r="AI915">
        <f t="shared" si="93"/>
        <v>2784</v>
      </c>
      <c r="AJ915">
        <f t="shared" si="94"/>
        <v>1229</v>
      </c>
      <c r="AK915">
        <f t="shared" si="95"/>
        <v>23104</v>
      </c>
    </row>
    <row r="916" spans="30:37">
      <c r="AD916" s="131">
        <v>204202</v>
      </c>
      <c r="AE916" s="135">
        <v>1113013</v>
      </c>
      <c r="AF916">
        <f t="shared" si="92"/>
        <v>42</v>
      </c>
      <c r="AG916">
        <f t="shared" si="91"/>
        <v>2</v>
      </c>
      <c r="AH916" t="str">
        <f t="shared" si="96"/>
        <v>简单</v>
      </c>
      <c r="AI916">
        <f t="shared" si="93"/>
        <v>3712</v>
      </c>
      <c r="AJ916">
        <f t="shared" si="94"/>
        <v>1229</v>
      </c>
      <c r="AK916">
        <f t="shared" si="95"/>
        <v>23104</v>
      </c>
    </row>
    <row r="917" spans="30:37">
      <c r="AD917" s="131">
        <v>204203</v>
      </c>
      <c r="AE917" s="135">
        <v>121158</v>
      </c>
      <c r="AF917">
        <f t="shared" si="92"/>
        <v>42</v>
      </c>
      <c r="AG917">
        <f t="shared" si="91"/>
        <v>3</v>
      </c>
      <c r="AH917" t="str">
        <f t="shared" si="96"/>
        <v>困难</v>
      </c>
      <c r="AI917">
        <f t="shared" si="93"/>
        <v>4455</v>
      </c>
      <c r="AJ917">
        <f t="shared" si="94"/>
        <v>1993</v>
      </c>
      <c r="AK917">
        <f t="shared" si="95"/>
        <v>1993</v>
      </c>
    </row>
    <row r="918" spans="30:37">
      <c r="AD918" s="131">
        <v>204203</v>
      </c>
      <c r="AE918" s="135">
        <v>121159</v>
      </c>
      <c r="AF918">
        <f t="shared" si="92"/>
        <v>42</v>
      </c>
      <c r="AG918">
        <f t="shared" ref="AG918:AG981" si="97">ROUNDDOWN(RIGHT(AD918,2),0)</f>
        <v>3</v>
      </c>
      <c r="AH918" t="str">
        <f t="shared" si="96"/>
        <v>困难</v>
      </c>
      <c r="AI918">
        <f t="shared" si="93"/>
        <v>4455</v>
      </c>
      <c r="AJ918">
        <f t="shared" si="94"/>
        <v>1993</v>
      </c>
      <c r="AK918">
        <f t="shared" si="95"/>
        <v>1993</v>
      </c>
    </row>
    <row r="919" spans="30:37">
      <c r="AD919" s="131">
        <v>204203</v>
      </c>
      <c r="AE919" s="135">
        <v>121158</v>
      </c>
      <c r="AF919">
        <f t="shared" si="92"/>
        <v>42</v>
      </c>
      <c r="AG919">
        <f t="shared" si="97"/>
        <v>3</v>
      </c>
      <c r="AH919" t="str">
        <f t="shared" si="96"/>
        <v>困难</v>
      </c>
      <c r="AI919">
        <f t="shared" si="93"/>
        <v>4455</v>
      </c>
      <c r="AJ919">
        <f t="shared" si="94"/>
        <v>1993</v>
      </c>
      <c r="AK919">
        <f t="shared" si="95"/>
        <v>1993</v>
      </c>
    </row>
    <row r="920" spans="30:37">
      <c r="AD920" s="131">
        <v>204203</v>
      </c>
      <c r="AE920" s="135">
        <v>121157</v>
      </c>
      <c r="AF920">
        <f t="shared" si="92"/>
        <v>42</v>
      </c>
      <c r="AG920">
        <f t="shared" si="97"/>
        <v>3</v>
      </c>
      <c r="AH920" t="str">
        <f t="shared" si="96"/>
        <v>困难</v>
      </c>
      <c r="AI920">
        <f t="shared" si="93"/>
        <v>4455</v>
      </c>
      <c r="AJ920">
        <f t="shared" si="94"/>
        <v>1993</v>
      </c>
      <c r="AK920">
        <f t="shared" si="95"/>
        <v>1993</v>
      </c>
    </row>
    <row r="921" spans="30:37">
      <c r="AD921" s="131">
        <v>204203</v>
      </c>
      <c r="AE921" s="135">
        <v>121159</v>
      </c>
      <c r="AF921">
        <f t="shared" si="92"/>
        <v>42</v>
      </c>
      <c r="AG921">
        <f t="shared" si="97"/>
        <v>3</v>
      </c>
      <c r="AH921" t="str">
        <f t="shared" si="96"/>
        <v>困难</v>
      </c>
      <c r="AI921">
        <f t="shared" si="93"/>
        <v>4455</v>
      </c>
      <c r="AJ921">
        <f t="shared" si="94"/>
        <v>1993</v>
      </c>
      <c r="AK921">
        <f t="shared" si="95"/>
        <v>1993</v>
      </c>
    </row>
    <row r="922" spans="30:37">
      <c r="AD922" s="131">
        <v>204204</v>
      </c>
      <c r="AE922" s="135">
        <v>121152</v>
      </c>
      <c r="AF922">
        <f t="shared" si="92"/>
        <v>42</v>
      </c>
      <c r="AG922">
        <f t="shared" si="97"/>
        <v>4</v>
      </c>
      <c r="AH922" t="str">
        <f t="shared" si="96"/>
        <v>困难</v>
      </c>
      <c r="AI922">
        <f t="shared" si="93"/>
        <v>4455</v>
      </c>
      <c r="AJ922">
        <f t="shared" si="94"/>
        <v>1993</v>
      </c>
      <c r="AK922">
        <f t="shared" si="95"/>
        <v>1993</v>
      </c>
    </row>
    <row r="923" spans="30:37">
      <c r="AD923" s="131">
        <v>204204</v>
      </c>
      <c r="AE923" s="135">
        <v>121153</v>
      </c>
      <c r="AF923">
        <f t="shared" si="92"/>
        <v>42</v>
      </c>
      <c r="AG923">
        <f t="shared" si="97"/>
        <v>4</v>
      </c>
      <c r="AH923" t="str">
        <f t="shared" si="96"/>
        <v>困难</v>
      </c>
      <c r="AI923">
        <f t="shared" si="93"/>
        <v>4455</v>
      </c>
      <c r="AJ923">
        <f t="shared" si="94"/>
        <v>1993</v>
      </c>
      <c r="AK923">
        <f t="shared" si="95"/>
        <v>1993</v>
      </c>
    </row>
    <row r="924" spans="30:37">
      <c r="AD924" s="131">
        <v>204204</v>
      </c>
      <c r="AE924" s="135">
        <v>1113013</v>
      </c>
      <c r="AF924">
        <f t="shared" si="92"/>
        <v>42</v>
      </c>
      <c r="AG924">
        <f t="shared" si="97"/>
        <v>4</v>
      </c>
      <c r="AH924" t="str">
        <f t="shared" si="96"/>
        <v>困难</v>
      </c>
      <c r="AI924">
        <f t="shared" si="93"/>
        <v>4900</v>
      </c>
      <c r="AJ924">
        <f t="shared" si="94"/>
        <v>1993</v>
      </c>
      <c r="AK924">
        <f t="shared" si="95"/>
        <v>1993</v>
      </c>
    </row>
    <row r="925" spans="30:37">
      <c r="AD925" s="149">
        <v>204301</v>
      </c>
      <c r="AE925" s="150">
        <v>121180</v>
      </c>
      <c r="AF925">
        <f t="shared" si="92"/>
        <v>43</v>
      </c>
      <c r="AG925">
        <f t="shared" si="97"/>
        <v>1</v>
      </c>
      <c r="AH925" t="str">
        <f t="shared" si="96"/>
        <v>简单</v>
      </c>
      <c r="AI925">
        <f t="shared" si="93"/>
        <v>3189</v>
      </c>
      <c r="AJ925">
        <f t="shared" si="94"/>
        <v>1319</v>
      </c>
      <c r="AK925">
        <f t="shared" si="95"/>
        <v>24766</v>
      </c>
    </row>
    <row r="926" spans="30:37">
      <c r="AD926" s="149">
        <v>204301</v>
      </c>
      <c r="AE926" s="150">
        <v>121180</v>
      </c>
      <c r="AF926">
        <f t="shared" ref="AF926:AF989" si="98">MOD(ROUNDDOWN(AD926/100,0),100)</f>
        <v>43</v>
      </c>
      <c r="AG926">
        <f t="shared" si="97"/>
        <v>1</v>
      </c>
      <c r="AH926" t="str">
        <f t="shared" si="96"/>
        <v>简单</v>
      </c>
      <c r="AI926">
        <f t="shared" si="93"/>
        <v>3189</v>
      </c>
      <c r="AJ926">
        <f t="shared" si="94"/>
        <v>1319</v>
      </c>
      <c r="AK926">
        <f t="shared" si="95"/>
        <v>24766</v>
      </c>
    </row>
    <row r="927" spans="30:37">
      <c r="AD927" s="149">
        <v>204301</v>
      </c>
      <c r="AE927" s="150">
        <v>121172</v>
      </c>
      <c r="AF927">
        <f t="shared" si="98"/>
        <v>43</v>
      </c>
      <c r="AG927">
        <f t="shared" si="97"/>
        <v>1</v>
      </c>
      <c r="AH927" t="str">
        <f t="shared" si="96"/>
        <v>简单</v>
      </c>
      <c r="AI927">
        <f t="shared" ref="AI927:AI990" si="99">IF($AH927="简单",IF(AE927&lt;122000,VLOOKUP($AF927,$N:$T,2,0),VLOOKUP($AF927,$N:$T,5,0)),IF(AE927&lt;122000,VLOOKUP($AF927,$V:$AB,2,0),VLOOKUP($AF927,$V:$AB,5,0)))</f>
        <v>3189</v>
      </c>
      <c r="AJ927">
        <f t="shared" ref="AJ927:AJ990" si="100">IF($AH927="简单",IF(AF927&lt;122000,VLOOKUP($AF927,$N:$T,3,0),VLOOKUP($AF927,$N:$T,6,0)),IF(AF927&lt;122000,VLOOKUP($AF927,$V:$AB,3,0),VLOOKUP($AF927,$V:$AB,6,0)))</f>
        <v>1319</v>
      </c>
      <c r="AK927">
        <f t="shared" ref="AK927:AK990" si="101">IF($AH927="简单",IF(AG927&lt;122000,VLOOKUP($AF927,$N:$T,4,0),VLOOKUP($AF927,$N:$T,7,0)),IF(AG927&lt;122000,VLOOKUP($AF927,$V:$AB,3,0),VLOOKUP($AF927,$V:$AB,6,0)))</f>
        <v>24766</v>
      </c>
    </row>
    <row r="928" spans="30:37">
      <c r="AD928" s="131">
        <v>204302</v>
      </c>
      <c r="AE928" s="135">
        <v>121169</v>
      </c>
      <c r="AF928">
        <f t="shared" si="98"/>
        <v>43</v>
      </c>
      <c r="AG928">
        <f t="shared" si="97"/>
        <v>2</v>
      </c>
      <c r="AH928" t="str">
        <f t="shared" si="96"/>
        <v>简单</v>
      </c>
      <c r="AI928">
        <f t="shared" si="99"/>
        <v>3189</v>
      </c>
      <c r="AJ928">
        <f t="shared" si="100"/>
        <v>1319</v>
      </c>
      <c r="AK928">
        <f t="shared" si="101"/>
        <v>24766</v>
      </c>
    </row>
    <row r="929" spans="30:37">
      <c r="AD929" s="149">
        <v>204303</v>
      </c>
      <c r="AE929" s="150">
        <v>121180</v>
      </c>
      <c r="AF929">
        <f t="shared" si="98"/>
        <v>43</v>
      </c>
      <c r="AG929">
        <f t="shared" si="97"/>
        <v>3</v>
      </c>
      <c r="AH929" t="str">
        <f t="shared" si="96"/>
        <v>困难</v>
      </c>
      <c r="AI929">
        <f t="shared" si="99"/>
        <v>5083</v>
      </c>
      <c r="AJ929">
        <f t="shared" si="100"/>
        <v>2135</v>
      </c>
      <c r="AK929">
        <f t="shared" si="101"/>
        <v>2135</v>
      </c>
    </row>
    <row r="930" spans="30:37">
      <c r="AD930" s="149">
        <v>204303</v>
      </c>
      <c r="AE930" s="150">
        <v>121180</v>
      </c>
      <c r="AF930">
        <f t="shared" si="98"/>
        <v>43</v>
      </c>
      <c r="AG930">
        <f t="shared" si="97"/>
        <v>3</v>
      </c>
      <c r="AH930" t="str">
        <f t="shared" si="96"/>
        <v>困难</v>
      </c>
      <c r="AI930">
        <f t="shared" si="99"/>
        <v>5083</v>
      </c>
      <c r="AJ930">
        <f t="shared" si="100"/>
        <v>2135</v>
      </c>
      <c r="AK930">
        <f t="shared" si="101"/>
        <v>2135</v>
      </c>
    </row>
    <row r="931" spans="30:37">
      <c r="AD931" s="149">
        <v>204303</v>
      </c>
      <c r="AE931" s="150">
        <v>121172</v>
      </c>
      <c r="AF931">
        <f t="shared" si="98"/>
        <v>43</v>
      </c>
      <c r="AG931">
        <f t="shared" si="97"/>
        <v>3</v>
      </c>
      <c r="AH931" t="str">
        <f t="shared" si="96"/>
        <v>困难</v>
      </c>
      <c r="AI931">
        <f t="shared" si="99"/>
        <v>5083</v>
      </c>
      <c r="AJ931">
        <f t="shared" si="100"/>
        <v>2135</v>
      </c>
      <c r="AK931">
        <f t="shared" si="101"/>
        <v>2135</v>
      </c>
    </row>
    <row r="932" spans="30:37">
      <c r="AD932" s="131">
        <v>204304</v>
      </c>
      <c r="AE932" s="135">
        <v>121169</v>
      </c>
      <c r="AF932">
        <f t="shared" si="98"/>
        <v>43</v>
      </c>
      <c r="AG932">
        <f t="shared" si="97"/>
        <v>4</v>
      </c>
      <c r="AH932" t="str">
        <f t="shared" si="96"/>
        <v>困难</v>
      </c>
      <c r="AI932">
        <f t="shared" si="99"/>
        <v>5083</v>
      </c>
      <c r="AJ932">
        <f t="shared" si="100"/>
        <v>2135</v>
      </c>
      <c r="AK932">
        <f t="shared" si="101"/>
        <v>2135</v>
      </c>
    </row>
    <row r="933" spans="30:37">
      <c r="AD933" s="151">
        <v>204401</v>
      </c>
      <c r="AE933" s="152">
        <v>121173</v>
      </c>
      <c r="AF933">
        <f t="shared" si="98"/>
        <v>44</v>
      </c>
      <c r="AG933">
        <f t="shared" si="97"/>
        <v>1</v>
      </c>
      <c r="AH933" t="str">
        <f t="shared" si="96"/>
        <v>简单</v>
      </c>
      <c r="AI933">
        <f t="shared" si="99"/>
        <v>3189</v>
      </c>
      <c r="AJ933">
        <f t="shared" si="100"/>
        <v>1319</v>
      </c>
      <c r="AK933">
        <f t="shared" si="101"/>
        <v>24766</v>
      </c>
    </row>
    <row r="934" spans="30:37">
      <c r="AD934" s="151">
        <v>204401</v>
      </c>
      <c r="AE934" s="152">
        <v>121173</v>
      </c>
      <c r="AF934">
        <f t="shared" si="98"/>
        <v>44</v>
      </c>
      <c r="AG934">
        <f t="shared" si="97"/>
        <v>1</v>
      </c>
      <c r="AH934" t="str">
        <f t="shared" si="96"/>
        <v>简单</v>
      </c>
      <c r="AI934">
        <f t="shared" si="99"/>
        <v>3189</v>
      </c>
      <c r="AJ934">
        <f t="shared" si="100"/>
        <v>1319</v>
      </c>
      <c r="AK934">
        <f t="shared" si="101"/>
        <v>24766</v>
      </c>
    </row>
    <row r="935" spans="30:37">
      <c r="AD935" s="151">
        <v>204401</v>
      </c>
      <c r="AE935" s="152">
        <v>121173</v>
      </c>
      <c r="AF935">
        <f t="shared" si="98"/>
        <v>44</v>
      </c>
      <c r="AG935">
        <f t="shared" si="97"/>
        <v>1</v>
      </c>
      <c r="AH935" t="str">
        <f t="shared" si="96"/>
        <v>简单</v>
      </c>
      <c r="AI935">
        <f t="shared" si="99"/>
        <v>3189</v>
      </c>
      <c r="AJ935">
        <f t="shared" si="100"/>
        <v>1319</v>
      </c>
      <c r="AK935">
        <f t="shared" si="101"/>
        <v>24766</v>
      </c>
    </row>
    <row r="936" spans="30:37">
      <c r="AD936" s="151">
        <v>204401</v>
      </c>
      <c r="AE936" s="152">
        <v>121175</v>
      </c>
      <c r="AF936">
        <f t="shared" si="98"/>
        <v>44</v>
      </c>
      <c r="AG936">
        <f t="shared" si="97"/>
        <v>1</v>
      </c>
      <c r="AH936" t="str">
        <f t="shared" si="96"/>
        <v>简单</v>
      </c>
      <c r="AI936">
        <f t="shared" si="99"/>
        <v>3189</v>
      </c>
      <c r="AJ936">
        <f t="shared" si="100"/>
        <v>1319</v>
      </c>
      <c r="AK936">
        <f t="shared" si="101"/>
        <v>24766</v>
      </c>
    </row>
    <row r="937" spans="30:37">
      <c r="AD937" s="131">
        <v>204402</v>
      </c>
      <c r="AE937" s="135">
        <v>121180</v>
      </c>
      <c r="AF937">
        <f t="shared" si="98"/>
        <v>44</v>
      </c>
      <c r="AG937">
        <f t="shared" si="97"/>
        <v>2</v>
      </c>
      <c r="AH937" t="str">
        <f t="shared" si="96"/>
        <v>简单</v>
      </c>
      <c r="AI937">
        <f t="shared" si="99"/>
        <v>3189</v>
      </c>
      <c r="AJ937">
        <f t="shared" si="100"/>
        <v>1319</v>
      </c>
      <c r="AK937">
        <f t="shared" si="101"/>
        <v>24766</v>
      </c>
    </row>
    <row r="938" spans="30:37">
      <c r="AD938" s="131">
        <v>204402</v>
      </c>
      <c r="AE938" s="135">
        <v>121180</v>
      </c>
      <c r="AF938">
        <f t="shared" si="98"/>
        <v>44</v>
      </c>
      <c r="AG938">
        <f t="shared" si="97"/>
        <v>2</v>
      </c>
      <c r="AH938" t="str">
        <f t="shared" si="96"/>
        <v>简单</v>
      </c>
      <c r="AI938">
        <f t="shared" si="99"/>
        <v>3189</v>
      </c>
      <c r="AJ938">
        <f t="shared" si="100"/>
        <v>1319</v>
      </c>
      <c r="AK938">
        <f t="shared" si="101"/>
        <v>24766</v>
      </c>
    </row>
    <row r="939" spans="30:37">
      <c r="AD939" s="131">
        <v>204402</v>
      </c>
      <c r="AE939" s="135">
        <v>121179</v>
      </c>
      <c r="AF939">
        <f t="shared" si="98"/>
        <v>44</v>
      </c>
      <c r="AG939">
        <f t="shared" si="97"/>
        <v>2</v>
      </c>
      <c r="AH939" t="str">
        <f t="shared" si="96"/>
        <v>简单</v>
      </c>
      <c r="AI939">
        <f t="shared" si="99"/>
        <v>3189</v>
      </c>
      <c r="AJ939">
        <f t="shared" si="100"/>
        <v>1319</v>
      </c>
      <c r="AK939">
        <f t="shared" si="101"/>
        <v>24766</v>
      </c>
    </row>
    <row r="940" spans="30:37">
      <c r="AD940" s="131">
        <v>204402</v>
      </c>
      <c r="AE940" s="135">
        <v>121178</v>
      </c>
      <c r="AF940">
        <f t="shared" si="98"/>
        <v>44</v>
      </c>
      <c r="AG940">
        <f t="shared" si="97"/>
        <v>2</v>
      </c>
      <c r="AH940" t="str">
        <f t="shared" ref="AH940:AH1003" si="102">IF(VLOOKUP(AF940,AF:AG,2,1)=4,IF(AG940&lt;3,"简单","困难"),IF(AG940&lt;4,"简单","困难"))</f>
        <v>简单</v>
      </c>
      <c r="AI940">
        <f t="shared" si="99"/>
        <v>3189</v>
      </c>
      <c r="AJ940">
        <f t="shared" si="100"/>
        <v>1319</v>
      </c>
      <c r="AK940">
        <f t="shared" si="101"/>
        <v>24766</v>
      </c>
    </row>
    <row r="941" spans="30:37">
      <c r="AD941" s="131">
        <v>204402</v>
      </c>
      <c r="AE941" s="135">
        <v>121178</v>
      </c>
      <c r="AF941">
        <f t="shared" si="98"/>
        <v>44</v>
      </c>
      <c r="AG941">
        <f t="shared" si="97"/>
        <v>2</v>
      </c>
      <c r="AH941" t="str">
        <f t="shared" si="102"/>
        <v>简单</v>
      </c>
      <c r="AI941">
        <f t="shared" si="99"/>
        <v>3189</v>
      </c>
      <c r="AJ941">
        <f t="shared" si="100"/>
        <v>1319</v>
      </c>
      <c r="AK941">
        <f t="shared" si="101"/>
        <v>24766</v>
      </c>
    </row>
    <row r="942" spans="30:37">
      <c r="AD942" s="131">
        <v>204402</v>
      </c>
      <c r="AE942" s="135">
        <v>121178</v>
      </c>
      <c r="AF942">
        <f t="shared" si="98"/>
        <v>44</v>
      </c>
      <c r="AG942">
        <f t="shared" si="97"/>
        <v>2</v>
      </c>
      <c r="AH942" t="str">
        <f t="shared" si="102"/>
        <v>简单</v>
      </c>
      <c r="AI942">
        <f t="shared" si="99"/>
        <v>3189</v>
      </c>
      <c r="AJ942">
        <f t="shared" si="100"/>
        <v>1319</v>
      </c>
      <c r="AK942">
        <f t="shared" si="101"/>
        <v>24766</v>
      </c>
    </row>
    <row r="943" spans="30:37">
      <c r="AD943" s="151">
        <v>204403</v>
      </c>
      <c r="AE943" s="152">
        <v>121173</v>
      </c>
      <c r="AF943">
        <f t="shared" si="98"/>
        <v>44</v>
      </c>
      <c r="AG943">
        <f t="shared" si="97"/>
        <v>3</v>
      </c>
      <c r="AH943" t="str">
        <f t="shared" si="102"/>
        <v>困难</v>
      </c>
      <c r="AI943">
        <f t="shared" si="99"/>
        <v>5083</v>
      </c>
      <c r="AJ943">
        <f t="shared" si="100"/>
        <v>2135</v>
      </c>
      <c r="AK943">
        <f t="shared" si="101"/>
        <v>2135</v>
      </c>
    </row>
    <row r="944" spans="30:37">
      <c r="AD944" s="151">
        <v>204403</v>
      </c>
      <c r="AE944" s="152">
        <v>121173</v>
      </c>
      <c r="AF944">
        <f t="shared" si="98"/>
        <v>44</v>
      </c>
      <c r="AG944">
        <f t="shared" si="97"/>
        <v>3</v>
      </c>
      <c r="AH944" t="str">
        <f t="shared" si="102"/>
        <v>困难</v>
      </c>
      <c r="AI944">
        <f t="shared" si="99"/>
        <v>5083</v>
      </c>
      <c r="AJ944">
        <f t="shared" si="100"/>
        <v>2135</v>
      </c>
      <c r="AK944">
        <f t="shared" si="101"/>
        <v>2135</v>
      </c>
    </row>
    <row r="945" spans="30:37">
      <c r="AD945" s="151">
        <v>204403</v>
      </c>
      <c r="AE945" s="152">
        <v>121173</v>
      </c>
      <c r="AF945">
        <f t="shared" si="98"/>
        <v>44</v>
      </c>
      <c r="AG945">
        <f t="shared" si="97"/>
        <v>3</v>
      </c>
      <c r="AH945" t="str">
        <f t="shared" si="102"/>
        <v>困难</v>
      </c>
      <c r="AI945">
        <f t="shared" si="99"/>
        <v>5083</v>
      </c>
      <c r="AJ945">
        <f t="shared" si="100"/>
        <v>2135</v>
      </c>
      <c r="AK945">
        <f t="shared" si="101"/>
        <v>2135</v>
      </c>
    </row>
    <row r="946" spans="30:37">
      <c r="AD946" s="151">
        <v>204403</v>
      </c>
      <c r="AE946" s="152">
        <v>121175</v>
      </c>
      <c r="AF946">
        <f t="shared" si="98"/>
        <v>44</v>
      </c>
      <c r="AG946">
        <f t="shared" si="97"/>
        <v>3</v>
      </c>
      <c r="AH946" t="str">
        <f t="shared" si="102"/>
        <v>困难</v>
      </c>
      <c r="AI946">
        <f t="shared" si="99"/>
        <v>5083</v>
      </c>
      <c r="AJ946">
        <f t="shared" si="100"/>
        <v>2135</v>
      </c>
      <c r="AK946">
        <f t="shared" si="101"/>
        <v>2135</v>
      </c>
    </row>
    <row r="947" spans="30:37">
      <c r="AD947" s="131">
        <v>204404</v>
      </c>
      <c r="AE947" s="135">
        <v>121180</v>
      </c>
      <c r="AF947">
        <f t="shared" si="98"/>
        <v>44</v>
      </c>
      <c r="AG947">
        <f t="shared" si="97"/>
        <v>4</v>
      </c>
      <c r="AH947" t="str">
        <f t="shared" si="102"/>
        <v>困难</v>
      </c>
      <c r="AI947">
        <f t="shared" si="99"/>
        <v>5083</v>
      </c>
      <c r="AJ947">
        <f t="shared" si="100"/>
        <v>2135</v>
      </c>
      <c r="AK947">
        <f t="shared" si="101"/>
        <v>2135</v>
      </c>
    </row>
    <row r="948" spans="30:37">
      <c r="AD948" s="131">
        <v>204404</v>
      </c>
      <c r="AE948" s="135">
        <v>121180</v>
      </c>
      <c r="AF948">
        <f t="shared" si="98"/>
        <v>44</v>
      </c>
      <c r="AG948">
        <f t="shared" si="97"/>
        <v>4</v>
      </c>
      <c r="AH948" t="str">
        <f t="shared" si="102"/>
        <v>困难</v>
      </c>
      <c r="AI948">
        <f t="shared" si="99"/>
        <v>5083</v>
      </c>
      <c r="AJ948">
        <f t="shared" si="100"/>
        <v>2135</v>
      </c>
      <c r="AK948">
        <f t="shared" si="101"/>
        <v>2135</v>
      </c>
    </row>
    <row r="949" spans="30:37">
      <c r="AD949" s="131">
        <v>204404</v>
      </c>
      <c r="AE949" s="135">
        <v>121179</v>
      </c>
      <c r="AF949">
        <f t="shared" si="98"/>
        <v>44</v>
      </c>
      <c r="AG949">
        <f t="shared" si="97"/>
        <v>4</v>
      </c>
      <c r="AH949" t="str">
        <f t="shared" si="102"/>
        <v>困难</v>
      </c>
      <c r="AI949">
        <f t="shared" si="99"/>
        <v>5083</v>
      </c>
      <c r="AJ949">
        <f t="shared" si="100"/>
        <v>2135</v>
      </c>
      <c r="AK949">
        <f t="shared" si="101"/>
        <v>2135</v>
      </c>
    </row>
    <row r="950" spans="30:37">
      <c r="AD950" s="131">
        <v>204404</v>
      </c>
      <c r="AE950" s="135">
        <v>121178</v>
      </c>
      <c r="AF950">
        <f t="shared" si="98"/>
        <v>44</v>
      </c>
      <c r="AG950">
        <f t="shared" si="97"/>
        <v>4</v>
      </c>
      <c r="AH950" t="str">
        <f t="shared" si="102"/>
        <v>困难</v>
      </c>
      <c r="AI950">
        <f t="shared" si="99"/>
        <v>5083</v>
      </c>
      <c r="AJ950">
        <f t="shared" si="100"/>
        <v>2135</v>
      </c>
      <c r="AK950">
        <f t="shared" si="101"/>
        <v>2135</v>
      </c>
    </row>
    <row r="951" spans="30:37">
      <c r="AD951" s="131">
        <v>204404</v>
      </c>
      <c r="AE951" s="135">
        <v>121178</v>
      </c>
      <c r="AF951">
        <f t="shared" si="98"/>
        <v>44</v>
      </c>
      <c r="AG951">
        <f t="shared" si="97"/>
        <v>4</v>
      </c>
      <c r="AH951" t="str">
        <f t="shared" si="102"/>
        <v>困难</v>
      </c>
      <c r="AI951">
        <f t="shared" si="99"/>
        <v>5083</v>
      </c>
      <c r="AJ951">
        <f t="shared" si="100"/>
        <v>2135</v>
      </c>
      <c r="AK951">
        <f t="shared" si="101"/>
        <v>2135</v>
      </c>
    </row>
    <row r="952" spans="30:37">
      <c r="AD952" s="131">
        <v>204404</v>
      </c>
      <c r="AE952" s="135">
        <v>121178</v>
      </c>
      <c r="AF952">
        <f t="shared" si="98"/>
        <v>44</v>
      </c>
      <c r="AG952">
        <f t="shared" si="97"/>
        <v>4</v>
      </c>
      <c r="AH952" t="str">
        <f t="shared" si="102"/>
        <v>困难</v>
      </c>
      <c r="AI952">
        <f t="shared" si="99"/>
        <v>5083</v>
      </c>
      <c r="AJ952">
        <f t="shared" si="100"/>
        <v>2135</v>
      </c>
      <c r="AK952">
        <f t="shared" si="101"/>
        <v>2135</v>
      </c>
    </row>
    <row r="953" spans="30:37">
      <c r="AD953" s="151">
        <v>204501</v>
      </c>
      <c r="AE953" s="153">
        <v>121176</v>
      </c>
      <c r="AF953">
        <f t="shared" si="98"/>
        <v>45</v>
      </c>
      <c r="AG953">
        <f t="shared" si="97"/>
        <v>1</v>
      </c>
      <c r="AH953" t="str">
        <f t="shared" si="102"/>
        <v>简单</v>
      </c>
      <c r="AI953">
        <f t="shared" si="99"/>
        <v>3189</v>
      </c>
      <c r="AJ953">
        <f t="shared" si="100"/>
        <v>1319</v>
      </c>
      <c r="AK953">
        <f t="shared" si="101"/>
        <v>24766</v>
      </c>
    </row>
    <row r="954" spans="30:37">
      <c r="AD954" s="151">
        <v>204501</v>
      </c>
      <c r="AE954" s="153">
        <v>121176</v>
      </c>
      <c r="AF954">
        <f t="shared" si="98"/>
        <v>45</v>
      </c>
      <c r="AG954">
        <f t="shared" si="97"/>
        <v>1</v>
      </c>
      <c r="AH954" t="str">
        <f t="shared" si="102"/>
        <v>简单</v>
      </c>
      <c r="AI954">
        <f t="shared" si="99"/>
        <v>3189</v>
      </c>
      <c r="AJ954">
        <f t="shared" si="100"/>
        <v>1319</v>
      </c>
      <c r="AK954">
        <f t="shared" si="101"/>
        <v>24766</v>
      </c>
    </row>
    <row r="955" spans="30:37">
      <c r="AD955" s="151">
        <v>204501</v>
      </c>
      <c r="AE955" s="153">
        <v>121176</v>
      </c>
      <c r="AF955">
        <f t="shared" si="98"/>
        <v>45</v>
      </c>
      <c r="AG955">
        <f t="shared" si="97"/>
        <v>1</v>
      </c>
      <c r="AH955" t="str">
        <f t="shared" si="102"/>
        <v>简单</v>
      </c>
      <c r="AI955">
        <f t="shared" si="99"/>
        <v>3189</v>
      </c>
      <c r="AJ955">
        <f t="shared" si="100"/>
        <v>1319</v>
      </c>
      <c r="AK955">
        <f t="shared" si="101"/>
        <v>24766</v>
      </c>
    </row>
    <row r="956" spans="30:37">
      <c r="AD956" s="151">
        <v>204501</v>
      </c>
      <c r="AE956" s="153">
        <v>121176</v>
      </c>
      <c r="AF956">
        <f t="shared" si="98"/>
        <v>45</v>
      </c>
      <c r="AG956">
        <f t="shared" si="97"/>
        <v>1</v>
      </c>
      <c r="AH956" t="str">
        <f t="shared" si="102"/>
        <v>简单</v>
      </c>
      <c r="AI956">
        <f t="shared" si="99"/>
        <v>3189</v>
      </c>
      <c r="AJ956">
        <f t="shared" si="100"/>
        <v>1319</v>
      </c>
      <c r="AK956">
        <f t="shared" si="101"/>
        <v>24766</v>
      </c>
    </row>
    <row r="957" spans="30:37">
      <c r="AD957" s="151">
        <v>204501</v>
      </c>
      <c r="AE957" s="153">
        <v>121189</v>
      </c>
      <c r="AF957">
        <f t="shared" si="98"/>
        <v>45</v>
      </c>
      <c r="AG957">
        <f t="shared" si="97"/>
        <v>1</v>
      </c>
      <c r="AH957" t="str">
        <f t="shared" si="102"/>
        <v>简单</v>
      </c>
      <c r="AI957">
        <f t="shared" si="99"/>
        <v>3189</v>
      </c>
      <c r="AJ957">
        <f t="shared" si="100"/>
        <v>1319</v>
      </c>
      <c r="AK957">
        <f t="shared" si="101"/>
        <v>24766</v>
      </c>
    </row>
    <row r="958" spans="30:37">
      <c r="AD958" s="151">
        <v>204501</v>
      </c>
      <c r="AE958" s="153">
        <v>121189</v>
      </c>
      <c r="AF958">
        <f t="shared" si="98"/>
        <v>45</v>
      </c>
      <c r="AG958">
        <f t="shared" si="97"/>
        <v>1</v>
      </c>
      <c r="AH958" t="str">
        <f t="shared" si="102"/>
        <v>简单</v>
      </c>
      <c r="AI958">
        <f t="shared" si="99"/>
        <v>3189</v>
      </c>
      <c r="AJ958">
        <f t="shared" si="100"/>
        <v>1319</v>
      </c>
      <c r="AK958">
        <f t="shared" si="101"/>
        <v>24766</v>
      </c>
    </row>
    <row r="959" spans="30:37">
      <c r="AD959" s="151">
        <v>204501</v>
      </c>
      <c r="AE959" s="153">
        <v>121189</v>
      </c>
      <c r="AF959">
        <f t="shared" si="98"/>
        <v>45</v>
      </c>
      <c r="AG959">
        <f t="shared" si="97"/>
        <v>1</v>
      </c>
      <c r="AH959" t="str">
        <f t="shared" si="102"/>
        <v>简单</v>
      </c>
      <c r="AI959">
        <f t="shared" si="99"/>
        <v>3189</v>
      </c>
      <c r="AJ959">
        <f t="shared" si="100"/>
        <v>1319</v>
      </c>
      <c r="AK959">
        <f t="shared" si="101"/>
        <v>24766</v>
      </c>
    </row>
    <row r="960" spans="30:37">
      <c r="AD960" s="131">
        <v>204502</v>
      </c>
      <c r="AE960" s="65">
        <v>121180</v>
      </c>
      <c r="AF960">
        <f t="shared" si="98"/>
        <v>45</v>
      </c>
      <c r="AG960">
        <f t="shared" si="97"/>
        <v>2</v>
      </c>
      <c r="AH960" t="str">
        <f t="shared" si="102"/>
        <v>简单</v>
      </c>
      <c r="AI960">
        <f t="shared" si="99"/>
        <v>3189</v>
      </c>
      <c r="AJ960">
        <f t="shared" si="100"/>
        <v>1319</v>
      </c>
      <c r="AK960">
        <f t="shared" si="101"/>
        <v>24766</v>
      </c>
    </row>
    <row r="961" spans="30:37">
      <c r="AD961" s="131">
        <v>204502</v>
      </c>
      <c r="AE961" s="65">
        <v>121180</v>
      </c>
      <c r="AF961">
        <f t="shared" si="98"/>
        <v>45</v>
      </c>
      <c r="AG961">
        <f t="shared" si="97"/>
        <v>2</v>
      </c>
      <c r="AH961" t="str">
        <f t="shared" si="102"/>
        <v>简单</v>
      </c>
      <c r="AI961">
        <f t="shared" si="99"/>
        <v>3189</v>
      </c>
      <c r="AJ961">
        <f t="shared" si="100"/>
        <v>1319</v>
      </c>
      <c r="AK961">
        <f t="shared" si="101"/>
        <v>24766</v>
      </c>
    </row>
    <row r="962" spans="30:37">
      <c r="AD962" s="131">
        <v>204502</v>
      </c>
      <c r="AE962" s="65">
        <v>121189</v>
      </c>
      <c r="AF962">
        <f t="shared" si="98"/>
        <v>45</v>
      </c>
      <c r="AG962">
        <f t="shared" si="97"/>
        <v>2</v>
      </c>
      <c r="AH962" t="str">
        <f t="shared" si="102"/>
        <v>简单</v>
      </c>
      <c r="AI962">
        <f t="shared" si="99"/>
        <v>3189</v>
      </c>
      <c r="AJ962">
        <f t="shared" si="100"/>
        <v>1319</v>
      </c>
      <c r="AK962">
        <f t="shared" si="101"/>
        <v>24766</v>
      </c>
    </row>
    <row r="963" spans="30:37">
      <c r="AD963" s="131">
        <v>204502</v>
      </c>
      <c r="AE963" s="65">
        <v>121171</v>
      </c>
      <c r="AF963">
        <f t="shared" si="98"/>
        <v>45</v>
      </c>
      <c r="AG963">
        <f t="shared" si="97"/>
        <v>2</v>
      </c>
      <c r="AH963" t="str">
        <f t="shared" si="102"/>
        <v>简单</v>
      </c>
      <c r="AI963">
        <f t="shared" si="99"/>
        <v>3189</v>
      </c>
      <c r="AJ963">
        <f t="shared" si="100"/>
        <v>1319</v>
      </c>
      <c r="AK963">
        <f t="shared" si="101"/>
        <v>24766</v>
      </c>
    </row>
    <row r="964" spans="30:37">
      <c r="AD964" s="131">
        <v>204502</v>
      </c>
      <c r="AE964" s="65">
        <v>121189</v>
      </c>
      <c r="AF964">
        <f t="shared" si="98"/>
        <v>45</v>
      </c>
      <c r="AG964">
        <f t="shared" si="97"/>
        <v>2</v>
      </c>
      <c r="AH964" t="str">
        <f t="shared" si="102"/>
        <v>简单</v>
      </c>
      <c r="AI964">
        <f t="shared" si="99"/>
        <v>3189</v>
      </c>
      <c r="AJ964">
        <f t="shared" si="100"/>
        <v>1319</v>
      </c>
      <c r="AK964">
        <f t="shared" si="101"/>
        <v>24766</v>
      </c>
    </row>
    <row r="965" spans="30:37">
      <c r="AD965" s="151">
        <v>204503</v>
      </c>
      <c r="AE965" s="153">
        <v>121176</v>
      </c>
      <c r="AF965">
        <f t="shared" si="98"/>
        <v>45</v>
      </c>
      <c r="AG965">
        <f t="shared" si="97"/>
        <v>3</v>
      </c>
      <c r="AH965" t="str">
        <f t="shared" si="102"/>
        <v>困难</v>
      </c>
      <c r="AI965">
        <f t="shared" si="99"/>
        <v>5109</v>
      </c>
      <c r="AJ965">
        <f t="shared" si="100"/>
        <v>2278</v>
      </c>
      <c r="AK965">
        <f t="shared" si="101"/>
        <v>2278</v>
      </c>
    </row>
    <row r="966" spans="30:37">
      <c r="AD966" s="151">
        <v>204503</v>
      </c>
      <c r="AE966" s="153">
        <v>121176</v>
      </c>
      <c r="AF966">
        <f t="shared" si="98"/>
        <v>45</v>
      </c>
      <c r="AG966">
        <f t="shared" si="97"/>
        <v>3</v>
      </c>
      <c r="AH966" t="str">
        <f t="shared" si="102"/>
        <v>困难</v>
      </c>
      <c r="AI966">
        <f t="shared" si="99"/>
        <v>5109</v>
      </c>
      <c r="AJ966">
        <f t="shared" si="100"/>
        <v>2278</v>
      </c>
      <c r="AK966">
        <f t="shared" si="101"/>
        <v>2278</v>
      </c>
    </row>
    <row r="967" spans="30:37">
      <c r="AD967" s="151">
        <v>204503</v>
      </c>
      <c r="AE967" s="153">
        <v>121176</v>
      </c>
      <c r="AF967">
        <f t="shared" si="98"/>
        <v>45</v>
      </c>
      <c r="AG967">
        <f t="shared" si="97"/>
        <v>3</v>
      </c>
      <c r="AH967" t="str">
        <f t="shared" si="102"/>
        <v>困难</v>
      </c>
      <c r="AI967">
        <f t="shared" si="99"/>
        <v>5109</v>
      </c>
      <c r="AJ967">
        <f t="shared" si="100"/>
        <v>2278</v>
      </c>
      <c r="AK967">
        <f t="shared" si="101"/>
        <v>2278</v>
      </c>
    </row>
    <row r="968" spans="30:37">
      <c r="AD968" s="151">
        <v>204503</v>
      </c>
      <c r="AE968" s="153">
        <v>121176</v>
      </c>
      <c r="AF968">
        <f t="shared" si="98"/>
        <v>45</v>
      </c>
      <c r="AG968">
        <f t="shared" si="97"/>
        <v>3</v>
      </c>
      <c r="AH968" t="str">
        <f t="shared" si="102"/>
        <v>困难</v>
      </c>
      <c r="AI968">
        <f t="shared" si="99"/>
        <v>5109</v>
      </c>
      <c r="AJ968">
        <f t="shared" si="100"/>
        <v>2278</v>
      </c>
      <c r="AK968">
        <f t="shared" si="101"/>
        <v>2278</v>
      </c>
    </row>
    <row r="969" spans="30:37">
      <c r="AD969" s="151">
        <v>204503</v>
      </c>
      <c r="AE969" s="153">
        <v>121189</v>
      </c>
      <c r="AF969">
        <f t="shared" si="98"/>
        <v>45</v>
      </c>
      <c r="AG969">
        <f t="shared" si="97"/>
        <v>3</v>
      </c>
      <c r="AH969" t="str">
        <f t="shared" si="102"/>
        <v>困难</v>
      </c>
      <c r="AI969">
        <f t="shared" si="99"/>
        <v>5109</v>
      </c>
      <c r="AJ969">
        <f t="shared" si="100"/>
        <v>2278</v>
      </c>
      <c r="AK969">
        <f t="shared" si="101"/>
        <v>2278</v>
      </c>
    </row>
    <row r="970" spans="30:37">
      <c r="AD970" s="151">
        <v>204503</v>
      </c>
      <c r="AE970" s="153">
        <v>121189</v>
      </c>
      <c r="AF970">
        <f t="shared" si="98"/>
        <v>45</v>
      </c>
      <c r="AG970">
        <f t="shared" si="97"/>
        <v>3</v>
      </c>
      <c r="AH970" t="str">
        <f t="shared" si="102"/>
        <v>困难</v>
      </c>
      <c r="AI970">
        <f t="shared" si="99"/>
        <v>5109</v>
      </c>
      <c r="AJ970">
        <f t="shared" si="100"/>
        <v>2278</v>
      </c>
      <c r="AK970">
        <f t="shared" si="101"/>
        <v>2278</v>
      </c>
    </row>
    <row r="971" spans="30:37">
      <c r="AD971" s="151">
        <v>204503</v>
      </c>
      <c r="AE971" s="153">
        <v>121189</v>
      </c>
      <c r="AF971">
        <f t="shared" si="98"/>
        <v>45</v>
      </c>
      <c r="AG971">
        <f t="shared" si="97"/>
        <v>3</v>
      </c>
      <c r="AH971" t="str">
        <f t="shared" si="102"/>
        <v>困难</v>
      </c>
      <c r="AI971">
        <f t="shared" si="99"/>
        <v>5109</v>
      </c>
      <c r="AJ971">
        <f t="shared" si="100"/>
        <v>2278</v>
      </c>
      <c r="AK971">
        <f t="shared" si="101"/>
        <v>2278</v>
      </c>
    </row>
    <row r="972" spans="30:37">
      <c r="AD972" s="131">
        <v>204504</v>
      </c>
      <c r="AE972" s="65">
        <v>121180</v>
      </c>
      <c r="AF972">
        <f t="shared" si="98"/>
        <v>45</v>
      </c>
      <c r="AG972">
        <f t="shared" si="97"/>
        <v>4</v>
      </c>
      <c r="AH972" t="str">
        <f t="shared" si="102"/>
        <v>困难</v>
      </c>
      <c r="AI972">
        <f t="shared" si="99"/>
        <v>5109</v>
      </c>
      <c r="AJ972">
        <f t="shared" si="100"/>
        <v>2278</v>
      </c>
      <c r="AK972">
        <f t="shared" si="101"/>
        <v>2278</v>
      </c>
    </row>
    <row r="973" spans="30:37">
      <c r="AD973" s="131">
        <v>204504</v>
      </c>
      <c r="AE973" s="65">
        <v>121180</v>
      </c>
      <c r="AF973">
        <f t="shared" si="98"/>
        <v>45</v>
      </c>
      <c r="AG973">
        <f t="shared" si="97"/>
        <v>4</v>
      </c>
      <c r="AH973" t="str">
        <f t="shared" si="102"/>
        <v>困难</v>
      </c>
      <c r="AI973">
        <f t="shared" si="99"/>
        <v>5109</v>
      </c>
      <c r="AJ973">
        <f t="shared" si="100"/>
        <v>2278</v>
      </c>
      <c r="AK973">
        <f t="shared" si="101"/>
        <v>2278</v>
      </c>
    </row>
    <row r="974" spans="30:37">
      <c r="AD974" s="131">
        <v>204504</v>
      </c>
      <c r="AE974" s="65">
        <v>121189</v>
      </c>
      <c r="AF974">
        <f t="shared" si="98"/>
        <v>45</v>
      </c>
      <c r="AG974">
        <f t="shared" si="97"/>
        <v>4</v>
      </c>
      <c r="AH974" t="str">
        <f t="shared" si="102"/>
        <v>困难</v>
      </c>
      <c r="AI974">
        <f t="shared" si="99"/>
        <v>5109</v>
      </c>
      <c r="AJ974">
        <f t="shared" si="100"/>
        <v>2278</v>
      </c>
      <c r="AK974">
        <f t="shared" si="101"/>
        <v>2278</v>
      </c>
    </row>
    <row r="975" spans="30:37">
      <c r="AD975" s="131">
        <v>204504</v>
      </c>
      <c r="AE975" s="65">
        <v>121171</v>
      </c>
      <c r="AF975">
        <f t="shared" si="98"/>
        <v>45</v>
      </c>
      <c r="AG975">
        <f t="shared" si="97"/>
        <v>4</v>
      </c>
      <c r="AH975" t="str">
        <f t="shared" si="102"/>
        <v>困难</v>
      </c>
      <c r="AI975">
        <f t="shared" si="99"/>
        <v>5109</v>
      </c>
      <c r="AJ975">
        <f t="shared" si="100"/>
        <v>2278</v>
      </c>
      <c r="AK975">
        <f t="shared" si="101"/>
        <v>2278</v>
      </c>
    </row>
    <row r="976" spans="30:37">
      <c r="AD976" s="131">
        <v>204504</v>
      </c>
      <c r="AE976" s="65">
        <v>121189</v>
      </c>
      <c r="AF976">
        <f t="shared" si="98"/>
        <v>45</v>
      </c>
      <c r="AG976">
        <f t="shared" si="97"/>
        <v>4</v>
      </c>
      <c r="AH976" t="str">
        <f t="shared" si="102"/>
        <v>困难</v>
      </c>
      <c r="AI976">
        <f t="shared" si="99"/>
        <v>5109</v>
      </c>
      <c r="AJ976">
        <f t="shared" si="100"/>
        <v>2278</v>
      </c>
      <c r="AK976">
        <f t="shared" si="101"/>
        <v>2278</v>
      </c>
    </row>
    <row r="977" spans="30:37">
      <c r="AD977" s="151">
        <v>204601</v>
      </c>
      <c r="AE977" s="153">
        <v>121181</v>
      </c>
      <c r="AF977">
        <f t="shared" si="98"/>
        <v>46</v>
      </c>
      <c r="AG977">
        <f t="shared" si="97"/>
        <v>1</v>
      </c>
      <c r="AH977" t="str">
        <f t="shared" si="102"/>
        <v>简单</v>
      </c>
      <c r="AI977">
        <f t="shared" si="99"/>
        <v>3678</v>
      </c>
      <c r="AJ977">
        <f t="shared" si="100"/>
        <v>1618</v>
      </c>
      <c r="AK977">
        <f t="shared" si="101"/>
        <v>30525</v>
      </c>
    </row>
    <row r="978" spans="30:37">
      <c r="AD978" s="151">
        <v>204601</v>
      </c>
      <c r="AE978" s="153">
        <v>121177</v>
      </c>
      <c r="AF978">
        <f t="shared" si="98"/>
        <v>46</v>
      </c>
      <c r="AG978">
        <f t="shared" si="97"/>
        <v>1</v>
      </c>
      <c r="AH978" t="str">
        <f t="shared" si="102"/>
        <v>简单</v>
      </c>
      <c r="AI978">
        <f t="shared" si="99"/>
        <v>3678</v>
      </c>
      <c r="AJ978">
        <f t="shared" si="100"/>
        <v>1618</v>
      </c>
      <c r="AK978">
        <f t="shared" si="101"/>
        <v>30525</v>
      </c>
    </row>
    <row r="979" spans="30:37">
      <c r="AD979" s="151">
        <v>204601</v>
      </c>
      <c r="AE979" s="153">
        <v>121174</v>
      </c>
      <c r="AF979">
        <f t="shared" si="98"/>
        <v>46</v>
      </c>
      <c r="AG979">
        <f t="shared" si="97"/>
        <v>1</v>
      </c>
      <c r="AH979" t="str">
        <f t="shared" si="102"/>
        <v>简单</v>
      </c>
      <c r="AI979">
        <f t="shared" si="99"/>
        <v>3678</v>
      </c>
      <c r="AJ979">
        <f t="shared" si="100"/>
        <v>1618</v>
      </c>
      <c r="AK979">
        <f t="shared" si="101"/>
        <v>30525</v>
      </c>
    </row>
    <row r="980" spans="30:37">
      <c r="AD980" s="151">
        <v>204601</v>
      </c>
      <c r="AE980" s="153">
        <v>121182</v>
      </c>
      <c r="AF980">
        <f t="shared" si="98"/>
        <v>46</v>
      </c>
      <c r="AG980">
        <f t="shared" si="97"/>
        <v>1</v>
      </c>
      <c r="AH980" t="str">
        <f t="shared" si="102"/>
        <v>简单</v>
      </c>
      <c r="AI980">
        <f t="shared" si="99"/>
        <v>3678</v>
      </c>
      <c r="AJ980">
        <f t="shared" si="100"/>
        <v>1618</v>
      </c>
      <c r="AK980">
        <f t="shared" si="101"/>
        <v>30525</v>
      </c>
    </row>
    <row r="981" spans="30:37">
      <c r="AD981" s="131">
        <v>204602</v>
      </c>
      <c r="AE981" s="65">
        <v>121171</v>
      </c>
      <c r="AF981">
        <f t="shared" si="98"/>
        <v>46</v>
      </c>
      <c r="AG981">
        <f t="shared" si="97"/>
        <v>2</v>
      </c>
      <c r="AH981" t="str">
        <f t="shared" si="102"/>
        <v>简单</v>
      </c>
      <c r="AI981">
        <f t="shared" si="99"/>
        <v>3678</v>
      </c>
      <c r="AJ981">
        <f t="shared" si="100"/>
        <v>1618</v>
      </c>
      <c r="AK981">
        <f t="shared" si="101"/>
        <v>30525</v>
      </c>
    </row>
    <row r="982" spans="30:37">
      <c r="AD982" s="131">
        <v>204602</v>
      </c>
      <c r="AE982" s="65">
        <v>121178</v>
      </c>
      <c r="AF982">
        <f t="shared" si="98"/>
        <v>46</v>
      </c>
      <c r="AG982">
        <f t="shared" ref="AG982:AG1045" si="103">ROUNDDOWN(RIGHT(AD982,2),0)</f>
        <v>2</v>
      </c>
      <c r="AH982" t="str">
        <f t="shared" si="102"/>
        <v>简单</v>
      </c>
      <c r="AI982">
        <f t="shared" si="99"/>
        <v>3678</v>
      </c>
      <c r="AJ982">
        <f t="shared" si="100"/>
        <v>1618</v>
      </c>
      <c r="AK982">
        <f t="shared" si="101"/>
        <v>30525</v>
      </c>
    </row>
    <row r="983" spans="30:37">
      <c r="AD983" s="131">
        <v>204602</v>
      </c>
      <c r="AE983" s="65">
        <v>1113018</v>
      </c>
      <c r="AF983">
        <f t="shared" si="98"/>
        <v>46</v>
      </c>
      <c r="AG983">
        <f t="shared" si="103"/>
        <v>2</v>
      </c>
      <c r="AH983" t="str">
        <f t="shared" si="102"/>
        <v>简单</v>
      </c>
      <c r="AI983">
        <f t="shared" si="99"/>
        <v>4904</v>
      </c>
      <c r="AJ983">
        <f t="shared" si="100"/>
        <v>1618</v>
      </c>
      <c r="AK983">
        <f t="shared" si="101"/>
        <v>30525</v>
      </c>
    </row>
    <row r="984" spans="30:37">
      <c r="AD984" s="131">
        <v>204602</v>
      </c>
      <c r="AE984" s="65">
        <v>121188</v>
      </c>
      <c r="AF984">
        <f t="shared" si="98"/>
        <v>46</v>
      </c>
      <c r="AG984">
        <f t="shared" si="103"/>
        <v>2</v>
      </c>
      <c r="AH984" t="str">
        <f t="shared" si="102"/>
        <v>简单</v>
      </c>
      <c r="AI984">
        <f t="shared" si="99"/>
        <v>3678</v>
      </c>
      <c r="AJ984">
        <f t="shared" si="100"/>
        <v>1618</v>
      </c>
      <c r="AK984">
        <f t="shared" si="101"/>
        <v>30525</v>
      </c>
    </row>
    <row r="985" spans="30:37">
      <c r="AD985" s="131">
        <v>204602</v>
      </c>
      <c r="AE985" s="65">
        <v>121188</v>
      </c>
      <c r="AF985">
        <f t="shared" si="98"/>
        <v>46</v>
      </c>
      <c r="AG985">
        <f t="shared" si="103"/>
        <v>2</v>
      </c>
      <c r="AH985" t="str">
        <f t="shared" si="102"/>
        <v>简单</v>
      </c>
      <c r="AI985">
        <f t="shared" si="99"/>
        <v>3678</v>
      </c>
      <c r="AJ985">
        <f t="shared" si="100"/>
        <v>1618</v>
      </c>
      <c r="AK985">
        <f t="shared" si="101"/>
        <v>30525</v>
      </c>
    </row>
    <row r="986" spans="30:37">
      <c r="AD986" s="151">
        <v>204603</v>
      </c>
      <c r="AE986" s="153">
        <v>121181</v>
      </c>
      <c r="AF986">
        <f t="shared" si="98"/>
        <v>46</v>
      </c>
      <c r="AG986">
        <f t="shared" si="103"/>
        <v>3</v>
      </c>
      <c r="AH986" t="str">
        <f t="shared" si="102"/>
        <v>困难</v>
      </c>
      <c r="AI986">
        <f t="shared" si="99"/>
        <v>5935</v>
      </c>
      <c r="AJ986">
        <f t="shared" si="100"/>
        <v>2644</v>
      </c>
      <c r="AK986">
        <f t="shared" si="101"/>
        <v>2644</v>
      </c>
    </row>
    <row r="987" spans="30:37">
      <c r="AD987" s="151">
        <v>204603</v>
      </c>
      <c r="AE987" s="153">
        <v>121177</v>
      </c>
      <c r="AF987">
        <f t="shared" si="98"/>
        <v>46</v>
      </c>
      <c r="AG987">
        <f t="shared" si="103"/>
        <v>3</v>
      </c>
      <c r="AH987" t="str">
        <f t="shared" si="102"/>
        <v>困难</v>
      </c>
      <c r="AI987">
        <f t="shared" si="99"/>
        <v>5935</v>
      </c>
      <c r="AJ987">
        <f t="shared" si="100"/>
        <v>2644</v>
      </c>
      <c r="AK987">
        <f t="shared" si="101"/>
        <v>2644</v>
      </c>
    </row>
    <row r="988" spans="30:37">
      <c r="AD988" s="151">
        <v>204603</v>
      </c>
      <c r="AE988" s="153">
        <v>121174</v>
      </c>
      <c r="AF988">
        <f t="shared" si="98"/>
        <v>46</v>
      </c>
      <c r="AG988">
        <f t="shared" si="103"/>
        <v>3</v>
      </c>
      <c r="AH988" t="str">
        <f t="shared" si="102"/>
        <v>困难</v>
      </c>
      <c r="AI988">
        <f t="shared" si="99"/>
        <v>5935</v>
      </c>
      <c r="AJ988">
        <f t="shared" si="100"/>
        <v>2644</v>
      </c>
      <c r="AK988">
        <f t="shared" si="101"/>
        <v>2644</v>
      </c>
    </row>
    <row r="989" spans="30:37">
      <c r="AD989" s="151">
        <v>204603</v>
      </c>
      <c r="AE989" s="153">
        <v>121182</v>
      </c>
      <c r="AF989">
        <f t="shared" si="98"/>
        <v>46</v>
      </c>
      <c r="AG989">
        <f t="shared" si="103"/>
        <v>3</v>
      </c>
      <c r="AH989" t="str">
        <f t="shared" si="102"/>
        <v>困难</v>
      </c>
      <c r="AI989">
        <f t="shared" si="99"/>
        <v>5935</v>
      </c>
      <c r="AJ989">
        <f t="shared" si="100"/>
        <v>2644</v>
      </c>
      <c r="AK989">
        <f t="shared" si="101"/>
        <v>2644</v>
      </c>
    </row>
    <row r="990" spans="30:37">
      <c r="AD990" s="131">
        <v>204604</v>
      </c>
      <c r="AE990" s="65">
        <v>121171</v>
      </c>
      <c r="AF990">
        <f t="shared" ref="AF990:AF1053" si="104">MOD(ROUNDDOWN(AD990/100,0),100)</f>
        <v>46</v>
      </c>
      <c r="AG990">
        <f t="shared" si="103"/>
        <v>4</v>
      </c>
      <c r="AH990" t="str">
        <f t="shared" si="102"/>
        <v>困难</v>
      </c>
      <c r="AI990">
        <f t="shared" si="99"/>
        <v>5935</v>
      </c>
      <c r="AJ990">
        <f t="shared" si="100"/>
        <v>2644</v>
      </c>
      <c r="AK990">
        <f t="shared" si="101"/>
        <v>2644</v>
      </c>
    </row>
    <row r="991" spans="30:37">
      <c r="AD991" s="131">
        <v>204604</v>
      </c>
      <c r="AE991" s="65">
        <v>121178</v>
      </c>
      <c r="AF991">
        <f t="shared" si="104"/>
        <v>46</v>
      </c>
      <c r="AG991">
        <f t="shared" si="103"/>
        <v>4</v>
      </c>
      <c r="AH991" t="str">
        <f t="shared" si="102"/>
        <v>困难</v>
      </c>
      <c r="AI991">
        <f t="shared" ref="AI991:AI1054" si="105">IF($AH991="简单",IF(AE991&lt;122000,VLOOKUP($AF991,$N:$T,2,0),VLOOKUP($AF991,$N:$T,5,0)),IF(AE991&lt;122000,VLOOKUP($AF991,$V:$AB,2,0),VLOOKUP($AF991,$V:$AB,5,0)))</f>
        <v>5935</v>
      </c>
      <c r="AJ991">
        <f t="shared" ref="AJ991:AJ1054" si="106">IF($AH991="简单",IF(AF991&lt;122000,VLOOKUP($AF991,$N:$T,3,0),VLOOKUP($AF991,$N:$T,6,0)),IF(AF991&lt;122000,VLOOKUP($AF991,$V:$AB,3,0),VLOOKUP($AF991,$V:$AB,6,0)))</f>
        <v>2644</v>
      </c>
      <c r="AK991">
        <f t="shared" ref="AK991:AK1054" si="107">IF($AH991="简单",IF(AG991&lt;122000,VLOOKUP($AF991,$N:$T,4,0),VLOOKUP($AF991,$N:$T,7,0)),IF(AG991&lt;122000,VLOOKUP($AF991,$V:$AB,3,0),VLOOKUP($AF991,$V:$AB,6,0)))</f>
        <v>2644</v>
      </c>
    </row>
    <row r="992" spans="30:37">
      <c r="AD992" s="131">
        <v>204604</v>
      </c>
      <c r="AE992" s="65">
        <v>1113018</v>
      </c>
      <c r="AF992">
        <f t="shared" si="104"/>
        <v>46</v>
      </c>
      <c r="AG992">
        <f t="shared" si="103"/>
        <v>4</v>
      </c>
      <c r="AH992" t="str">
        <f t="shared" si="102"/>
        <v>困难</v>
      </c>
      <c r="AI992">
        <f t="shared" si="105"/>
        <v>6529</v>
      </c>
      <c r="AJ992">
        <f t="shared" si="106"/>
        <v>2644</v>
      </c>
      <c r="AK992">
        <f t="shared" si="107"/>
        <v>2644</v>
      </c>
    </row>
    <row r="993" spans="30:37">
      <c r="AD993" s="131">
        <v>204604</v>
      </c>
      <c r="AE993" s="65">
        <v>121188</v>
      </c>
      <c r="AF993">
        <f t="shared" si="104"/>
        <v>46</v>
      </c>
      <c r="AG993">
        <f t="shared" si="103"/>
        <v>4</v>
      </c>
      <c r="AH993" t="str">
        <f t="shared" si="102"/>
        <v>困难</v>
      </c>
      <c r="AI993">
        <f t="shared" si="105"/>
        <v>5935</v>
      </c>
      <c r="AJ993">
        <f t="shared" si="106"/>
        <v>2644</v>
      </c>
      <c r="AK993">
        <f t="shared" si="107"/>
        <v>2644</v>
      </c>
    </row>
    <row r="994" spans="30:37">
      <c r="AD994" s="131">
        <v>204604</v>
      </c>
      <c r="AE994" s="65">
        <v>121188</v>
      </c>
      <c r="AF994">
        <f t="shared" si="104"/>
        <v>46</v>
      </c>
      <c r="AG994">
        <f t="shared" si="103"/>
        <v>4</v>
      </c>
      <c r="AH994" t="str">
        <f t="shared" si="102"/>
        <v>困难</v>
      </c>
      <c r="AI994">
        <f t="shared" si="105"/>
        <v>5935</v>
      </c>
      <c r="AJ994">
        <f t="shared" si="106"/>
        <v>2644</v>
      </c>
      <c r="AK994">
        <f t="shared" si="107"/>
        <v>2644</v>
      </c>
    </row>
    <row r="995" spans="30:37">
      <c r="AD995" s="151">
        <v>204701</v>
      </c>
      <c r="AE995" s="153">
        <v>1113006</v>
      </c>
      <c r="AF995">
        <f t="shared" si="104"/>
        <v>47</v>
      </c>
      <c r="AG995">
        <f t="shared" si="103"/>
        <v>1</v>
      </c>
      <c r="AH995" t="str">
        <f t="shared" si="102"/>
        <v>简单</v>
      </c>
      <c r="AI995">
        <f t="shared" si="105"/>
        <v>4904</v>
      </c>
      <c r="AJ995">
        <f t="shared" si="106"/>
        <v>1618</v>
      </c>
      <c r="AK995">
        <f t="shared" si="107"/>
        <v>30525</v>
      </c>
    </row>
    <row r="996" spans="30:37">
      <c r="AD996" s="151">
        <v>204701</v>
      </c>
      <c r="AE996" s="153">
        <v>1113010</v>
      </c>
      <c r="AF996">
        <f t="shared" si="104"/>
        <v>47</v>
      </c>
      <c r="AG996">
        <f t="shared" si="103"/>
        <v>1</v>
      </c>
      <c r="AH996" t="str">
        <f t="shared" si="102"/>
        <v>简单</v>
      </c>
      <c r="AI996">
        <f t="shared" si="105"/>
        <v>4904</v>
      </c>
      <c r="AJ996">
        <f t="shared" si="106"/>
        <v>1618</v>
      </c>
      <c r="AK996">
        <f t="shared" si="107"/>
        <v>30525</v>
      </c>
    </row>
    <row r="997" spans="30:37">
      <c r="AD997" s="151">
        <v>204701</v>
      </c>
      <c r="AE997" s="153">
        <v>1113005</v>
      </c>
      <c r="AF997">
        <f t="shared" si="104"/>
        <v>47</v>
      </c>
      <c r="AG997">
        <f t="shared" si="103"/>
        <v>1</v>
      </c>
      <c r="AH997" t="str">
        <f t="shared" si="102"/>
        <v>简单</v>
      </c>
      <c r="AI997">
        <f t="shared" si="105"/>
        <v>4904</v>
      </c>
      <c r="AJ997">
        <f t="shared" si="106"/>
        <v>1618</v>
      </c>
      <c r="AK997">
        <f t="shared" si="107"/>
        <v>30525</v>
      </c>
    </row>
    <row r="998" spans="30:37">
      <c r="AD998" s="131">
        <v>204702</v>
      </c>
      <c r="AE998" s="65">
        <v>121194</v>
      </c>
      <c r="AF998">
        <f t="shared" si="104"/>
        <v>47</v>
      </c>
      <c r="AG998">
        <f t="shared" si="103"/>
        <v>2</v>
      </c>
      <c r="AH998" t="str">
        <f t="shared" si="102"/>
        <v>简单</v>
      </c>
      <c r="AI998">
        <f t="shared" si="105"/>
        <v>3678</v>
      </c>
      <c r="AJ998">
        <f t="shared" si="106"/>
        <v>1618</v>
      </c>
      <c r="AK998">
        <f t="shared" si="107"/>
        <v>30525</v>
      </c>
    </row>
    <row r="999" spans="30:37">
      <c r="AD999" s="131">
        <v>204702</v>
      </c>
      <c r="AE999" s="65">
        <v>121191</v>
      </c>
      <c r="AF999">
        <f t="shared" si="104"/>
        <v>47</v>
      </c>
      <c r="AG999">
        <f t="shared" si="103"/>
        <v>2</v>
      </c>
      <c r="AH999" t="str">
        <f t="shared" si="102"/>
        <v>简单</v>
      </c>
      <c r="AI999">
        <f t="shared" si="105"/>
        <v>3678</v>
      </c>
      <c r="AJ999">
        <f t="shared" si="106"/>
        <v>1618</v>
      </c>
      <c r="AK999">
        <f t="shared" si="107"/>
        <v>30525</v>
      </c>
    </row>
    <row r="1000" spans="30:37">
      <c r="AD1000" s="131">
        <v>204702</v>
      </c>
      <c r="AE1000" s="65">
        <v>121013</v>
      </c>
      <c r="AF1000">
        <f t="shared" si="104"/>
        <v>47</v>
      </c>
      <c r="AG1000">
        <f t="shared" si="103"/>
        <v>2</v>
      </c>
      <c r="AH1000" t="str">
        <f t="shared" si="102"/>
        <v>简单</v>
      </c>
      <c r="AI1000">
        <f t="shared" si="105"/>
        <v>3678</v>
      </c>
      <c r="AJ1000">
        <f t="shared" si="106"/>
        <v>1618</v>
      </c>
      <c r="AK1000">
        <f t="shared" si="107"/>
        <v>30525</v>
      </c>
    </row>
    <row r="1001" spans="30:37">
      <c r="AD1001" s="131">
        <v>204702</v>
      </c>
      <c r="AE1001" s="65">
        <v>121013</v>
      </c>
      <c r="AF1001">
        <f t="shared" si="104"/>
        <v>47</v>
      </c>
      <c r="AG1001">
        <f t="shared" si="103"/>
        <v>2</v>
      </c>
      <c r="AH1001" t="str">
        <f t="shared" si="102"/>
        <v>简单</v>
      </c>
      <c r="AI1001">
        <f t="shared" si="105"/>
        <v>3678</v>
      </c>
      <c r="AJ1001">
        <f t="shared" si="106"/>
        <v>1618</v>
      </c>
      <c r="AK1001">
        <f t="shared" si="107"/>
        <v>30525</v>
      </c>
    </row>
    <row r="1002" spans="30:37">
      <c r="AD1002" s="131">
        <v>204702</v>
      </c>
      <c r="AE1002" s="65">
        <v>121193</v>
      </c>
      <c r="AF1002">
        <f t="shared" si="104"/>
        <v>47</v>
      </c>
      <c r="AG1002">
        <f t="shared" si="103"/>
        <v>2</v>
      </c>
      <c r="AH1002" t="str">
        <f t="shared" si="102"/>
        <v>简单</v>
      </c>
      <c r="AI1002">
        <f t="shared" si="105"/>
        <v>3678</v>
      </c>
      <c r="AJ1002">
        <f t="shared" si="106"/>
        <v>1618</v>
      </c>
      <c r="AK1002">
        <f t="shared" si="107"/>
        <v>30525</v>
      </c>
    </row>
    <row r="1003" spans="30:37">
      <c r="AD1003" s="151">
        <v>204703</v>
      </c>
      <c r="AE1003" s="153">
        <v>1113006</v>
      </c>
      <c r="AF1003">
        <f t="shared" si="104"/>
        <v>47</v>
      </c>
      <c r="AG1003">
        <f t="shared" si="103"/>
        <v>3</v>
      </c>
      <c r="AH1003" t="str">
        <f t="shared" si="102"/>
        <v>困难</v>
      </c>
      <c r="AI1003">
        <f t="shared" si="105"/>
        <v>6529</v>
      </c>
      <c r="AJ1003">
        <f t="shared" si="106"/>
        <v>2644</v>
      </c>
      <c r="AK1003">
        <f t="shared" si="107"/>
        <v>2644</v>
      </c>
    </row>
    <row r="1004" spans="30:37">
      <c r="AD1004" s="151">
        <v>204703</v>
      </c>
      <c r="AE1004" s="153">
        <v>1113010</v>
      </c>
      <c r="AF1004">
        <f t="shared" si="104"/>
        <v>47</v>
      </c>
      <c r="AG1004">
        <f t="shared" si="103"/>
        <v>3</v>
      </c>
      <c r="AH1004" t="str">
        <f t="shared" ref="AH1004:AH1067" si="108">IF(VLOOKUP(AF1004,AF:AG,2,1)=4,IF(AG1004&lt;3,"简单","困难"),IF(AG1004&lt;4,"简单","困难"))</f>
        <v>困难</v>
      </c>
      <c r="AI1004">
        <f t="shared" si="105"/>
        <v>6529</v>
      </c>
      <c r="AJ1004">
        <f t="shared" si="106"/>
        <v>2644</v>
      </c>
      <c r="AK1004">
        <f t="shared" si="107"/>
        <v>2644</v>
      </c>
    </row>
    <row r="1005" spans="30:37">
      <c r="AD1005" s="151">
        <v>204703</v>
      </c>
      <c r="AE1005" s="153">
        <v>1113005</v>
      </c>
      <c r="AF1005">
        <f t="shared" si="104"/>
        <v>47</v>
      </c>
      <c r="AG1005">
        <f t="shared" si="103"/>
        <v>3</v>
      </c>
      <c r="AH1005" t="str">
        <f t="shared" si="108"/>
        <v>困难</v>
      </c>
      <c r="AI1005">
        <f t="shared" si="105"/>
        <v>6529</v>
      </c>
      <c r="AJ1005">
        <f t="shared" si="106"/>
        <v>2644</v>
      </c>
      <c r="AK1005">
        <f t="shared" si="107"/>
        <v>2644</v>
      </c>
    </row>
    <row r="1006" spans="30:37">
      <c r="AD1006" s="131">
        <v>204704</v>
      </c>
      <c r="AE1006" s="65">
        <v>121194</v>
      </c>
      <c r="AF1006">
        <f t="shared" si="104"/>
        <v>47</v>
      </c>
      <c r="AG1006">
        <f t="shared" si="103"/>
        <v>4</v>
      </c>
      <c r="AH1006" t="str">
        <f t="shared" si="108"/>
        <v>困难</v>
      </c>
      <c r="AI1006">
        <f t="shared" si="105"/>
        <v>5935</v>
      </c>
      <c r="AJ1006">
        <f t="shared" si="106"/>
        <v>2644</v>
      </c>
      <c r="AK1006">
        <f t="shared" si="107"/>
        <v>2644</v>
      </c>
    </row>
    <row r="1007" spans="30:37">
      <c r="AD1007" s="131">
        <v>204704</v>
      </c>
      <c r="AE1007" s="65">
        <v>121191</v>
      </c>
      <c r="AF1007">
        <f t="shared" si="104"/>
        <v>47</v>
      </c>
      <c r="AG1007">
        <f t="shared" si="103"/>
        <v>4</v>
      </c>
      <c r="AH1007" t="str">
        <f t="shared" si="108"/>
        <v>困难</v>
      </c>
      <c r="AI1007">
        <f t="shared" si="105"/>
        <v>5935</v>
      </c>
      <c r="AJ1007">
        <f t="shared" si="106"/>
        <v>2644</v>
      </c>
      <c r="AK1007">
        <f t="shared" si="107"/>
        <v>2644</v>
      </c>
    </row>
    <row r="1008" spans="30:37">
      <c r="AD1008" s="131">
        <v>204704</v>
      </c>
      <c r="AE1008" s="65">
        <v>121013</v>
      </c>
      <c r="AF1008">
        <f t="shared" si="104"/>
        <v>47</v>
      </c>
      <c r="AG1008">
        <f t="shared" si="103"/>
        <v>4</v>
      </c>
      <c r="AH1008" t="str">
        <f t="shared" si="108"/>
        <v>困难</v>
      </c>
      <c r="AI1008">
        <f t="shared" si="105"/>
        <v>5935</v>
      </c>
      <c r="AJ1008">
        <f t="shared" si="106"/>
        <v>2644</v>
      </c>
      <c r="AK1008">
        <f t="shared" si="107"/>
        <v>2644</v>
      </c>
    </row>
    <row r="1009" spans="30:37">
      <c r="AD1009" s="131">
        <v>204704</v>
      </c>
      <c r="AE1009" s="65">
        <v>121013</v>
      </c>
      <c r="AF1009">
        <f t="shared" si="104"/>
        <v>47</v>
      </c>
      <c r="AG1009">
        <f t="shared" si="103"/>
        <v>4</v>
      </c>
      <c r="AH1009" t="str">
        <f t="shared" si="108"/>
        <v>困难</v>
      </c>
      <c r="AI1009">
        <f t="shared" si="105"/>
        <v>5935</v>
      </c>
      <c r="AJ1009">
        <f t="shared" si="106"/>
        <v>2644</v>
      </c>
      <c r="AK1009">
        <f t="shared" si="107"/>
        <v>2644</v>
      </c>
    </row>
    <row r="1010" spans="30:37">
      <c r="AD1010" s="131">
        <v>204704</v>
      </c>
      <c r="AE1010" s="65">
        <v>121193</v>
      </c>
      <c r="AF1010">
        <f t="shared" si="104"/>
        <v>47</v>
      </c>
      <c r="AG1010">
        <f t="shared" si="103"/>
        <v>4</v>
      </c>
      <c r="AH1010" t="str">
        <f t="shared" si="108"/>
        <v>困难</v>
      </c>
      <c r="AI1010">
        <f t="shared" si="105"/>
        <v>5935</v>
      </c>
      <c r="AJ1010">
        <f t="shared" si="106"/>
        <v>2644</v>
      </c>
      <c r="AK1010">
        <f t="shared" si="107"/>
        <v>2644</v>
      </c>
    </row>
    <row r="1011" spans="30:37">
      <c r="AD1011" s="151">
        <v>204801</v>
      </c>
      <c r="AE1011" s="153">
        <v>1113009</v>
      </c>
      <c r="AF1011">
        <f t="shared" si="104"/>
        <v>48</v>
      </c>
      <c r="AG1011">
        <f t="shared" si="103"/>
        <v>1</v>
      </c>
      <c r="AH1011" t="str">
        <f t="shared" si="108"/>
        <v>简单</v>
      </c>
      <c r="AI1011">
        <f t="shared" si="105"/>
        <v>4904</v>
      </c>
      <c r="AJ1011">
        <f t="shared" si="106"/>
        <v>1618</v>
      </c>
      <c r="AK1011">
        <f t="shared" si="107"/>
        <v>30525</v>
      </c>
    </row>
    <row r="1012" spans="30:37">
      <c r="AD1012" s="151">
        <v>204801</v>
      </c>
      <c r="AE1012" s="153">
        <v>121008</v>
      </c>
      <c r="AF1012">
        <f t="shared" si="104"/>
        <v>48</v>
      </c>
      <c r="AG1012">
        <f t="shared" si="103"/>
        <v>1</v>
      </c>
      <c r="AH1012" t="str">
        <f t="shared" si="108"/>
        <v>简单</v>
      </c>
      <c r="AI1012">
        <f t="shared" si="105"/>
        <v>3678</v>
      </c>
      <c r="AJ1012">
        <f t="shared" si="106"/>
        <v>1618</v>
      </c>
      <c r="AK1012">
        <f t="shared" si="107"/>
        <v>30525</v>
      </c>
    </row>
    <row r="1013" spans="30:37">
      <c r="AD1013" s="151">
        <v>204801</v>
      </c>
      <c r="AE1013" s="153">
        <v>1113003</v>
      </c>
      <c r="AF1013">
        <f t="shared" si="104"/>
        <v>48</v>
      </c>
      <c r="AG1013">
        <f t="shared" si="103"/>
        <v>1</v>
      </c>
      <c r="AH1013" t="str">
        <f t="shared" si="108"/>
        <v>简单</v>
      </c>
      <c r="AI1013">
        <f t="shared" si="105"/>
        <v>4904</v>
      </c>
      <c r="AJ1013">
        <f t="shared" si="106"/>
        <v>1618</v>
      </c>
      <c r="AK1013">
        <f t="shared" si="107"/>
        <v>30525</v>
      </c>
    </row>
    <row r="1014" spans="30:37">
      <c r="AD1014" s="151">
        <v>204801</v>
      </c>
      <c r="AE1014" s="153">
        <v>1113007</v>
      </c>
      <c r="AF1014">
        <f t="shared" si="104"/>
        <v>48</v>
      </c>
      <c r="AG1014">
        <f t="shared" si="103"/>
        <v>1</v>
      </c>
      <c r="AH1014" t="str">
        <f t="shared" si="108"/>
        <v>简单</v>
      </c>
      <c r="AI1014">
        <f t="shared" si="105"/>
        <v>4904</v>
      </c>
      <c r="AJ1014">
        <f t="shared" si="106"/>
        <v>1618</v>
      </c>
      <c r="AK1014">
        <f t="shared" si="107"/>
        <v>30525</v>
      </c>
    </row>
    <row r="1015" spans="30:37">
      <c r="AD1015" s="151">
        <v>204801</v>
      </c>
      <c r="AE1015" s="153">
        <v>121013</v>
      </c>
      <c r="AF1015">
        <f t="shared" si="104"/>
        <v>48</v>
      </c>
      <c r="AG1015">
        <f t="shared" si="103"/>
        <v>1</v>
      </c>
      <c r="AH1015" t="str">
        <f t="shared" si="108"/>
        <v>简单</v>
      </c>
      <c r="AI1015">
        <f t="shared" si="105"/>
        <v>3678</v>
      </c>
      <c r="AJ1015">
        <f t="shared" si="106"/>
        <v>1618</v>
      </c>
      <c r="AK1015">
        <f t="shared" si="107"/>
        <v>30525</v>
      </c>
    </row>
    <row r="1016" spans="30:37">
      <c r="AD1016" s="131">
        <v>204802</v>
      </c>
      <c r="AE1016" s="65">
        <v>11113017</v>
      </c>
      <c r="AF1016">
        <f t="shared" si="104"/>
        <v>48</v>
      </c>
      <c r="AG1016">
        <f t="shared" si="103"/>
        <v>2</v>
      </c>
      <c r="AH1016" t="str">
        <f t="shared" si="108"/>
        <v>简单</v>
      </c>
      <c r="AI1016">
        <f t="shared" si="105"/>
        <v>4904</v>
      </c>
      <c r="AJ1016">
        <f t="shared" si="106"/>
        <v>1618</v>
      </c>
      <c r="AK1016">
        <f t="shared" si="107"/>
        <v>30525</v>
      </c>
    </row>
    <row r="1017" spans="30:37">
      <c r="AD1017" s="131">
        <v>204802</v>
      </c>
      <c r="AE1017" s="65">
        <v>1113004</v>
      </c>
      <c r="AF1017">
        <f t="shared" si="104"/>
        <v>48</v>
      </c>
      <c r="AG1017">
        <f t="shared" si="103"/>
        <v>2</v>
      </c>
      <c r="AH1017" t="str">
        <f t="shared" si="108"/>
        <v>简单</v>
      </c>
      <c r="AI1017">
        <f t="shared" si="105"/>
        <v>4904</v>
      </c>
      <c r="AJ1017">
        <f t="shared" si="106"/>
        <v>1618</v>
      </c>
      <c r="AK1017">
        <f t="shared" si="107"/>
        <v>30525</v>
      </c>
    </row>
    <row r="1018" spans="30:37">
      <c r="AD1018" s="131">
        <v>204802</v>
      </c>
      <c r="AE1018" s="65">
        <v>1113009</v>
      </c>
      <c r="AF1018">
        <f t="shared" si="104"/>
        <v>48</v>
      </c>
      <c r="AG1018">
        <f t="shared" si="103"/>
        <v>2</v>
      </c>
      <c r="AH1018" t="str">
        <f t="shared" si="108"/>
        <v>简单</v>
      </c>
      <c r="AI1018">
        <f t="shared" si="105"/>
        <v>4904</v>
      </c>
      <c r="AJ1018">
        <f t="shared" si="106"/>
        <v>1618</v>
      </c>
      <c r="AK1018">
        <f t="shared" si="107"/>
        <v>30525</v>
      </c>
    </row>
    <row r="1019" spans="30:37">
      <c r="AD1019" s="151">
        <v>204803</v>
      </c>
      <c r="AE1019" s="153">
        <v>1113009</v>
      </c>
      <c r="AF1019">
        <f t="shared" si="104"/>
        <v>48</v>
      </c>
      <c r="AG1019">
        <f t="shared" si="103"/>
        <v>3</v>
      </c>
      <c r="AH1019" t="str">
        <f t="shared" si="108"/>
        <v>困难</v>
      </c>
      <c r="AI1019">
        <f t="shared" si="105"/>
        <v>6558</v>
      </c>
      <c r="AJ1019">
        <f t="shared" si="106"/>
        <v>2654</v>
      </c>
      <c r="AK1019">
        <f t="shared" si="107"/>
        <v>2654</v>
      </c>
    </row>
    <row r="1020" spans="30:37">
      <c r="AD1020" s="151">
        <v>204803</v>
      </c>
      <c r="AE1020" s="153">
        <v>121008</v>
      </c>
      <c r="AF1020">
        <f t="shared" si="104"/>
        <v>48</v>
      </c>
      <c r="AG1020">
        <f t="shared" si="103"/>
        <v>3</v>
      </c>
      <c r="AH1020" t="str">
        <f t="shared" si="108"/>
        <v>困难</v>
      </c>
      <c r="AI1020">
        <f t="shared" si="105"/>
        <v>5962</v>
      </c>
      <c r="AJ1020">
        <f t="shared" si="106"/>
        <v>2654</v>
      </c>
      <c r="AK1020">
        <f t="shared" si="107"/>
        <v>2654</v>
      </c>
    </row>
    <row r="1021" spans="30:37">
      <c r="AD1021" s="151">
        <v>204803</v>
      </c>
      <c r="AE1021" s="153">
        <v>1113003</v>
      </c>
      <c r="AF1021">
        <f t="shared" si="104"/>
        <v>48</v>
      </c>
      <c r="AG1021">
        <f t="shared" si="103"/>
        <v>3</v>
      </c>
      <c r="AH1021" t="str">
        <f t="shared" si="108"/>
        <v>困难</v>
      </c>
      <c r="AI1021">
        <f t="shared" si="105"/>
        <v>6558</v>
      </c>
      <c r="AJ1021">
        <f t="shared" si="106"/>
        <v>2654</v>
      </c>
      <c r="AK1021">
        <f t="shared" si="107"/>
        <v>2654</v>
      </c>
    </row>
    <row r="1022" spans="30:37">
      <c r="AD1022" s="151">
        <v>204803</v>
      </c>
      <c r="AE1022" s="153">
        <v>1113007</v>
      </c>
      <c r="AF1022">
        <f t="shared" si="104"/>
        <v>48</v>
      </c>
      <c r="AG1022">
        <f t="shared" si="103"/>
        <v>3</v>
      </c>
      <c r="AH1022" t="str">
        <f t="shared" si="108"/>
        <v>困难</v>
      </c>
      <c r="AI1022">
        <f t="shared" si="105"/>
        <v>6558</v>
      </c>
      <c r="AJ1022">
        <f t="shared" si="106"/>
        <v>2654</v>
      </c>
      <c r="AK1022">
        <f t="shared" si="107"/>
        <v>2654</v>
      </c>
    </row>
    <row r="1023" spans="30:37">
      <c r="AD1023" s="151">
        <v>204803</v>
      </c>
      <c r="AE1023" s="153">
        <v>121013</v>
      </c>
      <c r="AF1023">
        <f t="shared" si="104"/>
        <v>48</v>
      </c>
      <c r="AG1023">
        <f t="shared" si="103"/>
        <v>3</v>
      </c>
      <c r="AH1023" t="str">
        <f t="shared" si="108"/>
        <v>困难</v>
      </c>
      <c r="AI1023">
        <f t="shared" si="105"/>
        <v>5962</v>
      </c>
      <c r="AJ1023">
        <f t="shared" si="106"/>
        <v>2654</v>
      </c>
      <c r="AK1023">
        <f t="shared" si="107"/>
        <v>2654</v>
      </c>
    </row>
    <row r="1024" spans="30:37">
      <c r="AD1024" s="131">
        <v>204804</v>
      </c>
      <c r="AE1024" s="65">
        <v>11113017</v>
      </c>
      <c r="AF1024">
        <f t="shared" si="104"/>
        <v>48</v>
      </c>
      <c r="AG1024">
        <f t="shared" si="103"/>
        <v>4</v>
      </c>
      <c r="AH1024" t="str">
        <f t="shared" si="108"/>
        <v>困难</v>
      </c>
      <c r="AI1024">
        <f t="shared" si="105"/>
        <v>6558</v>
      </c>
      <c r="AJ1024">
        <f t="shared" si="106"/>
        <v>2654</v>
      </c>
      <c r="AK1024">
        <f t="shared" si="107"/>
        <v>2654</v>
      </c>
    </row>
    <row r="1025" spans="30:37">
      <c r="AD1025" s="131">
        <v>204804</v>
      </c>
      <c r="AE1025" s="65">
        <v>1113004</v>
      </c>
      <c r="AF1025">
        <f t="shared" si="104"/>
        <v>48</v>
      </c>
      <c r="AG1025">
        <f t="shared" si="103"/>
        <v>4</v>
      </c>
      <c r="AH1025" t="str">
        <f t="shared" si="108"/>
        <v>困难</v>
      </c>
      <c r="AI1025">
        <f t="shared" si="105"/>
        <v>6558</v>
      </c>
      <c r="AJ1025">
        <f t="shared" si="106"/>
        <v>2654</v>
      </c>
      <c r="AK1025">
        <f t="shared" si="107"/>
        <v>2654</v>
      </c>
    </row>
    <row r="1026" spans="30:37">
      <c r="AD1026" s="131">
        <v>204804</v>
      </c>
      <c r="AE1026" s="65">
        <v>1113009</v>
      </c>
      <c r="AF1026">
        <f t="shared" si="104"/>
        <v>48</v>
      </c>
      <c r="AG1026">
        <f t="shared" si="103"/>
        <v>4</v>
      </c>
      <c r="AH1026" t="str">
        <f t="shared" si="108"/>
        <v>困难</v>
      </c>
      <c r="AI1026">
        <f t="shared" si="105"/>
        <v>6558</v>
      </c>
      <c r="AJ1026">
        <f t="shared" si="106"/>
        <v>2654</v>
      </c>
      <c r="AK1026">
        <f t="shared" si="107"/>
        <v>2654</v>
      </c>
    </row>
    <row r="1027" spans="30:37">
      <c r="AD1027" s="151">
        <v>204901</v>
      </c>
      <c r="AE1027" s="153">
        <v>121140</v>
      </c>
      <c r="AF1027">
        <f t="shared" si="104"/>
        <v>49</v>
      </c>
      <c r="AG1027">
        <f t="shared" si="103"/>
        <v>1</v>
      </c>
      <c r="AH1027" t="str">
        <f t="shared" si="108"/>
        <v>简单</v>
      </c>
      <c r="AI1027">
        <f t="shared" si="105"/>
        <v>4158</v>
      </c>
      <c r="AJ1027">
        <f t="shared" si="106"/>
        <v>1721</v>
      </c>
      <c r="AK1027">
        <f t="shared" si="107"/>
        <v>32427</v>
      </c>
    </row>
    <row r="1028" spans="30:37">
      <c r="AD1028" s="151">
        <v>204901</v>
      </c>
      <c r="AE1028" s="153">
        <v>121141</v>
      </c>
      <c r="AF1028">
        <f t="shared" si="104"/>
        <v>49</v>
      </c>
      <c r="AG1028">
        <f t="shared" si="103"/>
        <v>1</v>
      </c>
      <c r="AH1028" t="str">
        <f t="shared" si="108"/>
        <v>简单</v>
      </c>
      <c r="AI1028">
        <f t="shared" si="105"/>
        <v>4158</v>
      </c>
      <c r="AJ1028">
        <f t="shared" si="106"/>
        <v>1721</v>
      </c>
      <c r="AK1028">
        <f t="shared" si="107"/>
        <v>32427</v>
      </c>
    </row>
    <row r="1029" spans="30:37">
      <c r="AD1029" s="151">
        <v>204901</v>
      </c>
      <c r="AE1029" s="153">
        <v>1113027</v>
      </c>
      <c r="AF1029">
        <f t="shared" si="104"/>
        <v>49</v>
      </c>
      <c r="AG1029">
        <f t="shared" si="103"/>
        <v>1</v>
      </c>
      <c r="AH1029" t="str">
        <f t="shared" si="108"/>
        <v>简单</v>
      </c>
      <c r="AI1029">
        <f t="shared" si="105"/>
        <v>5544</v>
      </c>
      <c r="AJ1029">
        <f t="shared" si="106"/>
        <v>1721</v>
      </c>
      <c r="AK1029">
        <f t="shared" si="107"/>
        <v>32427</v>
      </c>
    </row>
    <row r="1030" spans="30:37">
      <c r="AD1030" s="151">
        <v>204901</v>
      </c>
      <c r="AE1030" s="153">
        <v>121148</v>
      </c>
      <c r="AF1030">
        <f t="shared" si="104"/>
        <v>49</v>
      </c>
      <c r="AG1030">
        <f t="shared" si="103"/>
        <v>1</v>
      </c>
      <c r="AH1030" t="str">
        <f t="shared" si="108"/>
        <v>简单</v>
      </c>
      <c r="AI1030">
        <f t="shared" si="105"/>
        <v>4158</v>
      </c>
      <c r="AJ1030">
        <f t="shared" si="106"/>
        <v>1721</v>
      </c>
      <c r="AK1030">
        <f t="shared" si="107"/>
        <v>32427</v>
      </c>
    </row>
    <row r="1031" spans="30:37">
      <c r="AD1031" s="151">
        <v>204901</v>
      </c>
      <c r="AE1031" s="153">
        <v>121149</v>
      </c>
      <c r="AF1031">
        <f t="shared" si="104"/>
        <v>49</v>
      </c>
      <c r="AG1031">
        <f t="shared" si="103"/>
        <v>1</v>
      </c>
      <c r="AH1031" t="str">
        <f t="shared" si="108"/>
        <v>简单</v>
      </c>
      <c r="AI1031">
        <f t="shared" si="105"/>
        <v>4158</v>
      </c>
      <c r="AJ1031">
        <f t="shared" si="106"/>
        <v>1721</v>
      </c>
      <c r="AK1031">
        <f t="shared" si="107"/>
        <v>32427</v>
      </c>
    </row>
    <row r="1032" spans="30:37">
      <c r="AD1032" s="131">
        <v>204902</v>
      </c>
      <c r="AE1032" s="65">
        <v>1113009</v>
      </c>
      <c r="AF1032">
        <f t="shared" si="104"/>
        <v>49</v>
      </c>
      <c r="AG1032">
        <f t="shared" si="103"/>
        <v>2</v>
      </c>
      <c r="AH1032" t="str">
        <f t="shared" si="108"/>
        <v>简单</v>
      </c>
      <c r="AI1032">
        <f t="shared" si="105"/>
        <v>5544</v>
      </c>
      <c r="AJ1032">
        <f t="shared" si="106"/>
        <v>1721</v>
      </c>
      <c r="AK1032">
        <f t="shared" si="107"/>
        <v>32427</v>
      </c>
    </row>
    <row r="1033" spans="30:37">
      <c r="AD1033" s="131">
        <v>204902</v>
      </c>
      <c r="AE1033" s="65">
        <v>1113003</v>
      </c>
      <c r="AF1033">
        <f t="shared" si="104"/>
        <v>49</v>
      </c>
      <c r="AG1033">
        <f t="shared" si="103"/>
        <v>2</v>
      </c>
      <c r="AH1033" t="str">
        <f t="shared" si="108"/>
        <v>简单</v>
      </c>
      <c r="AI1033">
        <f t="shared" si="105"/>
        <v>5544</v>
      </c>
      <c r="AJ1033">
        <f t="shared" si="106"/>
        <v>1721</v>
      </c>
      <c r="AK1033">
        <f t="shared" si="107"/>
        <v>32427</v>
      </c>
    </row>
    <row r="1034" spans="30:37">
      <c r="AD1034" s="131">
        <v>204902</v>
      </c>
      <c r="AE1034" s="65">
        <v>1113007</v>
      </c>
      <c r="AF1034">
        <f t="shared" si="104"/>
        <v>49</v>
      </c>
      <c r="AG1034">
        <f t="shared" si="103"/>
        <v>2</v>
      </c>
      <c r="AH1034" t="str">
        <f t="shared" si="108"/>
        <v>简单</v>
      </c>
      <c r="AI1034">
        <f t="shared" si="105"/>
        <v>5544</v>
      </c>
      <c r="AJ1034">
        <f t="shared" si="106"/>
        <v>1721</v>
      </c>
      <c r="AK1034">
        <f t="shared" si="107"/>
        <v>32427</v>
      </c>
    </row>
    <row r="1035" spans="30:37">
      <c r="AD1035" s="151">
        <v>204903</v>
      </c>
      <c r="AE1035" s="153">
        <v>121140</v>
      </c>
      <c r="AF1035">
        <f t="shared" si="104"/>
        <v>49</v>
      </c>
      <c r="AG1035">
        <f t="shared" si="103"/>
        <v>3</v>
      </c>
      <c r="AH1035" t="str">
        <f t="shared" si="108"/>
        <v>困难</v>
      </c>
      <c r="AI1035">
        <f t="shared" si="105"/>
        <v>6510</v>
      </c>
      <c r="AJ1035">
        <f t="shared" si="106"/>
        <v>2761</v>
      </c>
      <c r="AK1035">
        <f t="shared" si="107"/>
        <v>2761</v>
      </c>
    </row>
    <row r="1036" spans="30:37">
      <c r="AD1036" s="151">
        <v>204903</v>
      </c>
      <c r="AE1036" s="153">
        <v>121141</v>
      </c>
      <c r="AF1036">
        <f t="shared" si="104"/>
        <v>49</v>
      </c>
      <c r="AG1036">
        <f t="shared" si="103"/>
        <v>3</v>
      </c>
      <c r="AH1036" t="str">
        <f t="shared" si="108"/>
        <v>困难</v>
      </c>
      <c r="AI1036">
        <f t="shared" si="105"/>
        <v>6510</v>
      </c>
      <c r="AJ1036">
        <f t="shared" si="106"/>
        <v>2761</v>
      </c>
      <c r="AK1036">
        <f t="shared" si="107"/>
        <v>2761</v>
      </c>
    </row>
    <row r="1037" spans="30:37">
      <c r="AD1037" s="151">
        <v>204903</v>
      </c>
      <c r="AE1037" s="153">
        <v>1113027</v>
      </c>
      <c r="AF1037">
        <f t="shared" si="104"/>
        <v>49</v>
      </c>
      <c r="AG1037">
        <f t="shared" si="103"/>
        <v>3</v>
      </c>
      <c r="AH1037" t="str">
        <f t="shared" si="108"/>
        <v>困难</v>
      </c>
      <c r="AI1037">
        <f t="shared" si="105"/>
        <v>7161</v>
      </c>
      <c r="AJ1037">
        <f t="shared" si="106"/>
        <v>2761</v>
      </c>
      <c r="AK1037">
        <f t="shared" si="107"/>
        <v>2761</v>
      </c>
    </row>
    <row r="1038" spans="30:37">
      <c r="AD1038" s="151">
        <v>204903</v>
      </c>
      <c r="AE1038" s="153">
        <v>121148</v>
      </c>
      <c r="AF1038">
        <f t="shared" si="104"/>
        <v>49</v>
      </c>
      <c r="AG1038">
        <f t="shared" si="103"/>
        <v>3</v>
      </c>
      <c r="AH1038" t="str">
        <f t="shared" si="108"/>
        <v>困难</v>
      </c>
      <c r="AI1038">
        <f t="shared" si="105"/>
        <v>6510</v>
      </c>
      <c r="AJ1038">
        <f t="shared" si="106"/>
        <v>2761</v>
      </c>
      <c r="AK1038">
        <f t="shared" si="107"/>
        <v>2761</v>
      </c>
    </row>
    <row r="1039" spans="30:37">
      <c r="AD1039" s="151">
        <v>204903</v>
      </c>
      <c r="AE1039" s="153">
        <v>121149</v>
      </c>
      <c r="AF1039">
        <f t="shared" si="104"/>
        <v>49</v>
      </c>
      <c r="AG1039">
        <f t="shared" si="103"/>
        <v>3</v>
      </c>
      <c r="AH1039" t="str">
        <f t="shared" si="108"/>
        <v>困难</v>
      </c>
      <c r="AI1039">
        <f t="shared" si="105"/>
        <v>6510</v>
      </c>
      <c r="AJ1039">
        <f t="shared" si="106"/>
        <v>2761</v>
      </c>
      <c r="AK1039">
        <f t="shared" si="107"/>
        <v>2761</v>
      </c>
    </row>
    <row r="1040" spans="30:37">
      <c r="AD1040" s="131">
        <v>204904</v>
      </c>
      <c r="AE1040" s="65">
        <v>1113009</v>
      </c>
      <c r="AF1040">
        <f t="shared" si="104"/>
        <v>49</v>
      </c>
      <c r="AG1040">
        <f t="shared" si="103"/>
        <v>4</v>
      </c>
      <c r="AH1040" t="str">
        <f t="shared" si="108"/>
        <v>困难</v>
      </c>
      <c r="AI1040">
        <f t="shared" si="105"/>
        <v>7161</v>
      </c>
      <c r="AJ1040">
        <f t="shared" si="106"/>
        <v>2761</v>
      </c>
      <c r="AK1040">
        <f t="shared" si="107"/>
        <v>2761</v>
      </c>
    </row>
    <row r="1041" spans="30:37">
      <c r="AD1041" s="131">
        <v>204904</v>
      </c>
      <c r="AE1041" s="65">
        <v>1113003</v>
      </c>
      <c r="AF1041">
        <f t="shared" si="104"/>
        <v>49</v>
      </c>
      <c r="AG1041">
        <f t="shared" si="103"/>
        <v>4</v>
      </c>
      <c r="AH1041" t="str">
        <f t="shared" si="108"/>
        <v>困难</v>
      </c>
      <c r="AI1041">
        <f t="shared" si="105"/>
        <v>7161</v>
      </c>
      <c r="AJ1041">
        <f t="shared" si="106"/>
        <v>2761</v>
      </c>
      <c r="AK1041">
        <f t="shared" si="107"/>
        <v>2761</v>
      </c>
    </row>
    <row r="1042" spans="30:37">
      <c r="AD1042" s="131">
        <v>204904</v>
      </c>
      <c r="AE1042" s="65">
        <v>1113007</v>
      </c>
      <c r="AF1042">
        <f t="shared" si="104"/>
        <v>49</v>
      </c>
      <c r="AG1042">
        <f t="shared" si="103"/>
        <v>4</v>
      </c>
      <c r="AH1042" t="str">
        <f t="shared" si="108"/>
        <v>困难</v>
      </c>
      <c r="AI1042">
        <f t="shared" si="105"/>
        <v>7161</v>
      </c>
      <c r="AJ1042">
        <f t="shared" si="106"/>
        <v>2761</v>
      </c>
      <c r="AK1042">
        <f t="shared" si="107"/>
        <v>2761</v>
      </c>
    </row>
    <row r="1043" spans="30:37">
      <c r="AD1043" s="151">
        <v>205001</v>
      </c>
      <c r="AE1043" s="153">
        <v>121198</v>
      </c>
      <c r="AF1043">
        <f t="shared" si="104"/>
        <v>50</v>
      </c>
      <c r="AG1043">
        <f t="shared" si="103"/>
        <v>1</v>
      </c>
      <c r="AH1043" t="str">
        <f t="shared" si="108"/>
        <v>简单</v>
      </c>
      <c r="AI1043">
        <f t="shared" si="105"/>
        <v>4158</v>
      </c>
      <c r="AJ1043">
        <f t="shared" si="106"/>
        <v>1721</v>
      </c>
      <c r="AK1043">
        <f t="shared" si="107"/>
        <v>32427</v>
      </c>
    </row>
    <row r="1044" spans="30:37">
      <c r="AD1044" s="151">
        <v>205001</v>
      </c>
      <c r="AE1044" s="153">
        <v>121140</v>
      </c>
      <c r="AF1044">
        <f t="shared" si="104"/>
        <v>50</v>
      </c>
      <c r="AG1044">
        <f t="shared" si="103"/>
        <v>1</v>
      </c>
      <c r="AH1044" t="str">
        <f t="shared" si="108"/>
        <v>简单</v>
      </c>
      <c r="AI1044">
        <f t="shared" si="105"/>
        <v>4158</v>
      </c>
      <c r="AJ1044">
        <f t="shared" si="106"/>
        <v>1721</v>
      </c>
      <c r="AK1044">
        <f t="shared" si="107"/>
        <v>32427</v>
      </c>
    </row>
    <row r="1045" spans="30:37">
      <c r="AD1045" s="151">
        <v>205001</v>
      </c>
      <c r="AE1045" s="153">
        <v>121141</v>
      </c>
      <c r="AF1045">
        <f t="shared" si="104"/>
        <v>50</v>
      </c>
      <c r="AG1045">
        <f t="shared" si="103"/>
        <v>1</v>
      </c>
      <c r="AH1045" t="str">
        <f t="shared" si="108"/>
        <v>简单</v>
      </c>
      <c r="AI1045">
        <f t="shared" si="105"/>
        <v>4158</v>
      </c>
      <c r="AJ1045">
        <f t="shared" si="106"/>
        <v>1721</v>
      </c>
      <c r="AK1045">
        <f t="shared" si="107"/>
        <v>32427</v>
      </c>
    </row>
    <row r="1046" spans="30:37">
      <c r="AD1046" s="151">
        <v>205001</v>
      </c>
      <c r="AE1046" s="153">
        <v>121199</v>
      </c>
      <c r="AF1046">
        <f t="shared" si="104"/>
        <v>50</v>
      </c>
      <c r="AG1046">
        <f t="shared" ref="AG1046:AG1109" si="109">ROUNDDOWN(RIGHT(AD1046,2),0)</f>
        <v>1</v>
      </c>
      <c r="AH1046" t="str">
        <f t="shared" si="108"/>
        <v>简单</v>
      </c>
      <c r="AI1046">
        <f t="shared" si="105"/>
        <v>4158</v>
      </c>
      <c r="AJ1046">
        <f t="shared" si="106"/>
        <v>1721</v>
      </c>
      <c r="AK1046">
        <f t="shared" si="107"/>
        <v>32427</v>
      </c>
    </row>
    <row r="1047" spans="30:37">
      <c r="AD1047" s="151">
        <v>205001</v>
      </c>
      <c r="AE1047" s="153">
        <v>121200</v>
      </c>
      <c r="AF1047">
        <f t="shared" si="104"/>
        <v>50</v>
      </c>
      <c r="AG1047">
        <f t="shared" si="109"/>
        <v>1</v>
      </c>
      <c r="AH1047" t="str">
        <f t="shared" si="108"/>
        <v>简单</v>
      </c>
      <c r="AI1047">
        <f t="shared" si="105"/>
        <v>4158</v>
      </c>
      <c r="AJ1047">
        <f t="shared" si="106"/>
        <v>1721</v>
      </c>
      <c r="AK1047">
        <f t="shared" si="107"/>
        <v>32427</v>
      </c>
    </row>
    <row r="1048" spans="30:37">
      <c r="AD1048" s="131">
        <v>205002</v>
      </c>
      <c r="AE1048" s="65">
        <v>121203</v>
      </c>
      <c r="AF1048">
        <f t="shared" si="104"/>
        <v>50</v>
      </c>
      <c r="AG1048">
        <f t="shared" si="109"/>
        <v>2</v>
      </c>
      <c r="AH1048" t="str">
        <f t="shared" si="108"/>
        <v>简单</v>
      </c>
      <c r="AI1048">
        <f t="shared" si="105"/>
        <v>4158</v>
      </c>
      <c r="AJ1048">
        <f t="shared" si="106"/>
        <v>1721</v>
      </c>
      <c r="AK1048">
        <f t="shared" si="107"/>
        <v>32427</v>
      </c>
    </row>
    <row r="1049" spans="30:37">
      <c r="AD1049" s="131">
        <v>205002</v>
      </c>
      <c r="AE1049" s="65">
        <v>121142</v>
      </c>
      <c r="AF1049">
        <f t="shared" si="104"/>
        <v>50</v>
      </c>
      <c r="AG1049">
        <f t="shared" si="109"/>
        <v>2</v>
      </c>
      <c r="AH1049" t="str">
        <f t="shared" si="108"/>
        <v>简单</v>
      </c>
      <c r="AI1049">
        <f t="shared" si="105"/>
        <v>4158</v>
      </c>
      <c r="AJ1049">
        <f t="shared" si="106"/>
        <v>1721</v>
      </c>
      <c r="AK1049">
        <f t="shared" si="107"/>
        <v>32427</v>
      </c>
    </row>
    <row r="1050" spans="30:37">
      <c r="AD1050" s="131">
        <v>205002</v>
      </c>
      <c r="AE1050" s="65">
        <v>121142</v>
      </c>
      <c r="AF1050">
        <f t="shared" si="104"/>
        <v>50</v>
      </c>
      <c r="AG1050">
        <f t="shared" si="109"/>
        <v>2</v>
      </c>
      <c r="AH1050" t="str">
        <f t="shared" si="108"/>
        <v>简单</v>
      </c>
      <c r="AI1050">
        <f t="shared" si="105"/>
        <v>4158</v>
      </c>
      <c r="AJ1050">
        <f t="shared" si="106"/>
        <v>1721</v>
      </c>
      <c r="AK1050">
        <f t="shared" si="107"/>
        <v>32427</v>
      </c>
    </row>
    <row r="1051" spans="30:37">
      <c r="AD1051" s="131">
        <v>205002</v>
      </c>
      <c r="AE1051" s="65">
        <v>121149</v>
      </c>
      <c r="AF1051">
        <f t="shared" si="104"/>
        <v>50</v>
      </c>
      <c r="AG1051">
        <f t="shared" si="109"/>
        <v>2</v>
      </c>
      <c r="AH1051" t="str">
        <f t="shared" si="108"/>
        <v>简单</v>
      </c>
      <c r="AI1051">
        <f t="shared" si="105"/>
        <v>4158</v>
      </c>
      <c r="AJ1051">
        <f t="shared" si="106"/>
        <v>1721</v>
      </c>
      <c r="AK1051">
        <f t="shared" si="107"/>
        <v>32427</v>
      </c>
    </row>
    <row r="1052" spans="30:37">
      <c r="AD1052" s="131">
        <v>205002</v>
      </c>
      <c r="AE1052" s="65">
        <v>121149</v>
      </c>
      <c r="AF1052">
        <f t="shared" si="104"/>
        <v>50</v>
      </c>
      <c r="AG1052">
        <f t="shared" si="109"/>
        <v>2</v>
      </c>
      <c r="AH1052" t="str">
        <f t="shared" si="108"/>
        <v>简单</v>
      </c>
      <c r="AI1052">
        <f t="shared" si="105"/>
        <v>4158</v>
      </c>
      <c r="AJ1052">
        <f t="shared" si="106"/>
        <v>1721</v>
      </c>
      <c r="AK1052">
        <f t="shared" si="107"/>
        <v>32427</v>
      </c>
    </row>
    <row r="1053" spans="30:37">
      <c r="AD1053" s="131">
        <v>205002</v>
      </c>
      <c r="AE1053" s="65">
        <v>121146</v>
      </c>
      <c r="AF1053">
        <f t="shared" si="104"/>
        <v>50</v>
      </c>
      <c r="AG1053">
        <f t="shared" si="109"/>
        <v>2</v>
      </c>
      <c r="AH1053" t="str">
        <f t="shared" si="108"/>
        <v>简单</v>
      </c>
      <c r="AI1053">
        <f t="shared" si="105"/>
        <v>4158</v>
      </c>
      <c r="AJ1053">
        <f t="shared" si="106"/>
        <v>1721</v>
      </c>
      <c r="AK1053">
        <f t="shared" si="107"/>
        <v>32427</v>
      </c>
    </row>
    <row r="1054" spans="30:37">
      <c r="AD1054" s="151">
        <v>205003</v>
      </c>
      <c r="AE1054" s="153">
        <v>121198</v>
      </c>
      <c r="AF1054">
        <f t="shared" ref="AF1054:AF1117" si="110">MOD(ROUNDDOWN(AD1054/100,0),100)</f>
        <v>50</v>
      </c>
      <c r="AG1054">
        <f t="shared" si="109"/>
        <v>3</v>
      </c>
      <c r="AH1054" t="str">
        <f t="shared" si="108"/>
        <v>困难</v>
      </c>
      <c r="AI1054">
        <f t="shared" si="105"/>
        <v>6510</v>
      </c>
      <c r="AJ1054">
        <f t="shared" si="106"/>
        <v>2761</v>
      </c>
      <c r="AK1054">
        <f t="shared" si="107"/>
        <v>2761</v>
      </c>
    </row>
    <row r="1055" spans="30:37">
      <c r="AD1055" s="151">
        <v>205003</v>
      </c>
      <c r="AE1055" s="153">
        <v>121140</v>
      </c>
      <c r="AF1055">
        <f t="shared" si="110"/>
        <v>50</v>
      </c>
      <c r="AG1055">
        <f t="shared" si="109"/>
        <v>3</v>
      </c>
      <c r="AH1055" t="str">
        <f t="shared" si="108"/>
        <v>困难</v>
      </c>
      <c r="AI1055">
        <f t="shared" ref="AI1055:AI1118" si="111">IF($AH1055="简单",IF(AE1055&lt;122000,VLOOKUP($AF1055,$N:$T,2,0),VLOOKUP($AF1055,$N:$T,5,0)),IF(AE1055&lt;122000,VLOOKUP($AF1055,$V:$AB,2,0),VLOOKUP($AF1055,$V:$AB,5,0)))</f>
        <v>6510</v>
      </c>
      <c r="AJ1055">
        <f t="shared" ref="AJ1055:AJ1118" si="112">IF($AH1055="简单",IF(AF1055&lt;122000,VLOOKUP($AF1055,$N:$T,3,0),VLOOKUP($AF1055,$N:$T,6,0)),IF(AF1055&lt;122000,VLOOKUP($AF1055,$V:$AB,3,0),VLOOKUP($AF1055,$V:$AB,6,0)))</f>
        <v>2761</v>
      </c>
      <c r="AK1055">
        <f t="shared" ref="AK1055:AK1118" si="113">IF($AH1055="简单",IF(AG1055&lt;122000,VLOOKUP($AF1055,$N:$T,4,0),VLOOKUP($AF1055,$N:$T,7,0)),IF(AG1055&lt;122000,VLOOKUP($AF1055,$V:$AB,3,0),VLOOKUP($AF1055,$V:$AB,6,0)))</f>
        <v>2761</v>
      </c>
    </row>
    <row r="1056" spans="30:37">
      <c r="AD1056" s="151">
        <v>205003</v>
      </c>
      <c r="AE1056" s="153">
        <v>121141</v>
      </c>
      <c r="AF1056">
        <f t="shared" si="110"/>
        <v>50</v>
      </c>
      <c r="AG1056">
        <f t="shared" si="109"/>
        <v>3</v>
      </c>
      <c r="AH1056" t="str">
        <f t="shared" si="108"/>
        <v>困难</v>
      </c>
      <c r="AI1056">
        <f t="shared" si="111"/>
        <v>6510</v>
      </c>
      <c r="AJ1056">
        <f t="shared" si="112"/>
        <v>2761</v>
      </c>
      <c r="AK1056">
        <f t="shared" si="113"/>
        <v>2761</v>
      </c>
    </row>
    <row r="1057" spans="30:37">
      <c r="AD1057" s="151">
        <v>205003</v>
      </c>
      <c r="AE1057" s="153">
        <v>121199</v>
      </c>
      <c r="AF1057">
        <f t="shared" si="110"/>
        <v>50</v>
      </c>
      <c r="AG1057">
        <f t="shared" si="109"/>
        <v>3</v>
      </c>
      <c r="AH1057" t="str">
        <f t="shared" si="108"/>
        <v>困难</v>
      </c>
      <c r="AI1057">
        <f t="shared" si="111"/>
        <v>6510</v>
      </c>
      <c r="AJ1057">
        <f t="shared" si="112"/>
        <v>2761</v>
      </c>
      <c r="AK1057">
        <f t="shared" si="113"/>
        <v>2761</v>
      </c>
    </row>
    <row r="1058" spans="30:37">
      <c r="AD1058" s="151">
        <v>205003</v>
      </c>
      <c r="AE1058" s="153">
        <v>121200</v>
      </c>
      <c r="AF1058">
        <f t="shared" si="110"/>
        <v>50</v>
      </c>
      <c r="AG1058">
        <f t="shared" si="109"/>
        <v>3</v>
      </c>
      <c r="AH1058" t="str">
        <f t="shared" si="108"/>
        <v>困难</v>
      </c>
      <c r="AI1058">
        <f t="shared" si="111"/>
        <v>6510</v>
      </c>
      <c r="AJ1058">
        <f t="shared" si="112"/>
        <v>2761</v>
      </c>
      <c r="AK1058">
        <f t="shared" si="113"/>
        <v>2761</v>
      </c>
    </row>
    <row r="1059" spans="30:37">
      <c r="AD1059" s="154">
        <v>205004</v>
      </c>
      <c r="AE1059" s="46">
        <v>121203</v>
      </c>
      <c r="AF1059">
        <f t="shared" si="110"/>
        <v>50</v>
      </c>
      <c r="AG1059">
        <f t="shared" si="109"/>
        <v>4</v>
      </c>
      <c r="AH1059" t="str">
        <f t="shared" si="108"/>
        <v>困难</v>
      </c>
      <c r="AI1059">
        <f t="shared" si="111"/>
        <v>6510</v>
      </c>
      <c r="AJ1059">
        <f t="shared" si="112"/>
        <v>2761</v>
      </c>
      <c r="AK1059">
        <f t="shared" si="113"/>
        <v>2761</v>
      </c>
    </row>
    <row r="1060" spans="30:37">
      <c r="AD1060" s="154">
        <v>205004</v>
      </c>
      <c r="AE1060" s="46">
        <v>121142</v>
      </c>
      <c r="AF1060">
        <f t="shared" si="110"/>
        <v>50</v>
      </c>
      <c r="AG1060">
        <f t="shared" si="109"/>
        <v>4</v>
      </c>
      <c r="AH1060" t="str">
        <f t="shared" si="108"/>
        <v>困难</v>
      </c>
      <c r="AI1060">
        <f t="shared" si="111"/>
        <v>6510</v>
      </c>
      <c r="AJ1060">
        <f t="shared" si="112"/>
        <v>2761</v>
      </c>
      <c r="AK1060">
        <f t="shared" si="113"/>
        <v>2761</v>
      </c>
    </row>
    <row r="1061" spans="30:37">
      <c r="AD1061" s="154">
        <v>205004</v>
      </c>
      <c r="AE1061" s="46">
        <v>121142</v>
      </c>
      <c r="AF1061">
        <f t="shared" si="110"/>
        <v>50</v>
      </c>
      <c r="AG1061">
        <f t="shared" si="109"/>
        <v>4</v>
      </c>
      <c r="AH1061" t="str">
        <f t="shared" si="108"/>
        <v>困难</v>
      </c>
      <c r="AI1061">
        <f t="shared" si="111"/>
        <v>6510</v>
      </c>
      <c r="AJ1061">
        <f t="shared" si="112"/>
        <v>2761</v>
      </c>
      <c r="AK1061">
        <f t="shared" si="113"/>
        <v>2761</v>
      </c>
    </row>
    <row r="1062" spans="30:37">
      <c r="AD1062" s="154">
        <v>205004</v>
      </c>
      <c r="AE1062" s="46">
        <v>121149</v>
      </c>
      <c r="AF1062">
        <f t="shared" si="110"/>
        <v>50</v>
      </c>
      <c r="AG1062">
        <f t="shared" si="109"/>
        <v>4</v>
      </c>
      <c r="AH1062" t="str">
        <f t="shared" si="108"/>
        <v>困难</v>
      </c>
      <c r="AI1062">
        <f t="shared" si="111"/>
        <v>6510</v>
      </c>
      <c r="AJ1062">
        <f t="shared" si="112"/>
        <v>2761</v>
      </c>
      <c r="AK1062">
        <f t="shared" si="113"/>
        <v>2761</v>
      </c>
    </row>
    <row r="1063" spans="30:37">
      <c r="AD1063" s="154">
        <v>205004</v>
      </c>
      <c r="AE1063" s="46">
        <v>121149</v>
      </c>
      <c r="AF1063">
        <f t="shared" si="110"/>
        <v>50</v>
      </c>
      <c r="AG1063">
        <f t="shared" si="109"/>
        <v>4</v>
      </c>
      <c r="AH1063" t="str">
        <f t="shared" si="108"/>
        <v>困难</v>
      </c>
      <c r="AI1063">
        <f t="shared" si="111"/>
        <v>6510</v>
      </c>
      <c r="AJ1063">
        <f t="shared" si="112"/>
        <v>2761</v>
      </c>
      <c r="AK1063">
        <f t="shared" si="113"/>
        <v>2761</v>
      </c>
    </row>
    <row r="1064" spans="30:37">
      <c r="AD1064" s="154">
        <v>205004</v>
      </c>
      <c r="AE1064" s="46">
        <v>121146</v>
      </c>
      <c r="AF1064">
        <f t="shared" si="110"/>
        <v>50</v>
      </c>
      <c r="AG1064">
        <f t="shared" si="109"/>
        <v>4</v>
      </c>
      <c r="AH1064" t="str">
        <f t="shared" si="108"/>
        <v>困难</v>
      </c>
      <c r="AI1064">
        <f t="shared" si="111"/>
        <v>6510</v>
      </c>
      <c r="AJ1064">
        <f t="shared" si="112"/>
        <v>2761</v>
      </c>
      <c r="AK1064">
        <f t="shared" si="113"/>
        <v>2761</v>
      </c>
    </row>
    <row r="1065" spans="30:37">
      <c r="AD1065" s="154">
        <v>205101</v>
      </c>
      <c r="AE1065" s="46">
        <v>121211</v>
      </c>
      <c r="AF1065">
        <f t="shared" si="110"/>
        <v>51</v>
      </c>
      <c r="AG1065">
        <f t="shared" si="109"/>
        <v>1</v>
      </c>
      <c r="AH1065" t="str">
        <f t="shared" si="108"/>
        <v>简单</v>
      </c>
      <c r="AI1065">
        <f t="shared" si="111"/>
        <v>4158</v>
      </c>
      <c r="AJ1065">
        <f t="shared" si="112"/>
        <v>1721</v>
      </c>
      <c r="AK1065">
        <f t="shared" si="113"/>
        <v>32427</v>
      </c>
    </row>
    <row r="1066" spans="30:37">
      <c r="AD1066" s="154">
        <v>205101</v>
      </c>
      <c r="AE1066" s="46">
        <v>121212</v>
      </c>
      <c r="AF1066">
        <f t="shared" si="110"/>
        <v>51</v>
      </c>
      <c r="AG1066">
        <f t="shared" si="109"/>
        <v>1</v>
      </c>
      <c r="AH1066" t="str">
        <f t="shared" si="108"/>
        <v>简单</v>
      </c>
      <c r="AI1066">
        <f t="shared" si="111"/>
        <v>4158</v>
      </c>
      <c r="AJ1066">
        <f t="shared" si="112"/>
        <v>1721</v>
      </c>
      <c r="AK1066">
        <f t="shared" si="113"/>
        <v>32427</v>
      </c>
    </row>
    <row r="1067" spans="30:37">
      <c r="AD1067" s="154">
        <v>205101</v>
      </c>
      <c r="AE1067" s="46">
        <v>121210</v>
      </c>
      <c r="AF1067">
        <f t="shared" si="110"/>
        <v>51</v>
      </c>
      <c r="AG1067">
        <f t="shared" si="109"/>
        <v>1</v>
      </c>
      <c r="AH1067" t="str">
        <f t="shared" si="108"/>
        <v>简单</v>
      </c>
      <c r="AI1067">
        <f t="shared" si="111"/>
        <v>4158</v>
      </c>
      <c r="AJ1067">
        <f t="shared" si="112"/>
        <v>1721</v>
      </c>
      <c r="AK1067">
        <f t="shared" si="113"/>
        <v>32427</v>
      </c>
    </row>
    <row r="1068" spans="30:37">
      <c r="AD1068" s="154">
        <v>205101</v>
      </c>
      <c r="AE1068" s="46">
        <v>121214</v>
      </c>
      <c r="AF1068">
        <f t="shared" si="110"/>
        <v>51</v>
      </c>
      <c r="AG1068">
        <f t="shared" si="109"/>
        <v>1</v>
      </c>
      <c r="AH1068" t="str">
        <f t="shared" ref="AH1068:AH1131" si="114">IF(VLOOKUP(AF1068,AF:AG,2,1)=4,IF(AG1068&lt;3,"简单","困难"),IF(AG1068&lt;4,"简单","困难"))</f>
        <v>简单</v>
      </c>
      <c r="AI1068">
        <f t="shared" si="111"/>
        <v>4158</v>
      </c>
      <c r="AJ1068">
        <f t="shared" si="112"/>
        <v>1721</v>
      </c>
      <c r="AK1068">
        <f t="shared" si="113"/>
        <v>32427</v>
      </c>
    </row>
    <row r="1069" spans="30:37">
      <c r="AD1069" s="154">
        <v>205102</v>
      </c>
      <c r="AE1069" s="46">
        <v>121208</v>
      </c>
      <c r="AF1069">
        <f t="shared" si="110"/>
        <v>51</v>
      </c>
      <c r="AG1069">
        <f t="shared" si="109"/>
        <v>2</v>
      </c>
      <c r="AH1069" t="str">
        <f t="shared" si="114"/>
        <v>简单</v>
      </c>
      <c r="AI1069">
        <f t="shared" si="111"/>
        <v>4158</v>
      </c>
      <c r="AJ1069">
        <f t="shared" si="112"/>
        <v>1721</v>
      </c>
      <c r="AK1069">
        <f t="shared" si="113"/>
        <v>32427</v>
      </c>
    </row>
    <row r="1070" spans="30:37">
      <c r="AD1070" s="154">
        <v>205102</v>
      </c>
      <c r="AE1070" s="46">
        <v>121207</v>
      </c>
      <c r="AF1070">
        <f t="shared" si="110"/>
        <v>51</v>
      </c>
      <c r="AG1070">
        <f t="shared" si="109"/>
        <v>2</v>
      </c>
      <c r="AH1070" t="str">
        <f t="shared" si="114"/>
        <v>简单</v>
      </c>
      <c r="AI1070">
        <f t="shared" si="111"/>
        <v>4158</v>
      </c>
      <c r="AJ1070">
        <f t="shared" si="112"/>
        <v>1721</v>
      </c>
      <c r="AK1070">
        <f t="shared" si="113"/>
        <v>32427</v>
      </c>
    </row>
    <row r="1071" spans="30:37">
      <c r="AD1071" s="154">
        <v>205102</v>
      </c>
      <c r="AE1071" s="46">
        <v>121207</v>
      </c>
      <c r="AF1071">
        <f t="shared" si="110"/>
        <v>51</v>
      </c>
      <c r="AG1071">
        <f t="shared" si="109"/>
        <v>2</v>
      </c>
      <c r="AH1071" t="str">
        <f t="shared" si="114"/>
        <v>简单</v>
      </c>
      <c r="AI1071">
        <f t="shared" si="111"/>
        <v>4158</v>
      </c>
      <c r="AJ1071">
        <f t="shared" si="112"/>
        <v>1721</v>
      </c>
      <c r="AK1071">
        <f t="shared" si="113"/>
        <v>32427</v>
      </c>
    </row>
    <row r="1072" spans="30:37">
      <c r="AD1072" s="154">
        <v>205102</v>
      </c>
      <c r="AE1072" s="46">
        <v>121207</v>
      </c>
      <c r="AF1072">
        <f t="shared" si="110"/>
        <v>51</v>
      </c>
      <c r="AG1072">
        <f t="shared" si="109"/>
        <v>2</v>
      </c>
      <c r="AH1072" t="str">
        <f t="shared" si="114"/>
        <v>简单</v>
      </c>
      <c r="AI1072">
        <f t="shared" si="111"/>
        <v>4158</v>
      </c>
      <c r="AJ1072">
        <f t="shared" si="112"/>
        <v>1721</v>
      </c>
      <c r="AK1072">
        <f t="shared" si="113"/>
        <v>32427</v>
      </c>
    </row>
    <row r="1073" spans="30:37">
      <c r="AD1073" s="154">
        <v>205102</v>
      </c>
      <c r="AE1073" s="46">
        <v>121207</v>
      </c>
      <c r="AF1073">
        <f t="shared" si="110"/>
        <v>51</v>
      </c>
      <c r="AG1073">
        <f t="shared" si="109"/>
        <v>2</v>
      </c>
      <c r="AH1073" t="str">
        <f t="shared" si="114"/>
        <v>简单</v>
      </c>
      <c r="AI1073">
        <f t="shared" si="111"/>
        <v>4158</v>
      </c>
      <c r="AJ1073">
        <f t="shared" si="112"/>
        <v>1721</v>
      </c>
      <c r="AK1073">
        <f t="shared" si="113"/>
        <v>32427</v>
      </c>
    </row>
    <row r="1074" spans="30:37">
      <c r="AD1074" s="154">
        <v>205103</v>
      </c>
      <c r="AE1074" s="46">
        <v>121211</v>
      </c>
      <c r="AF1074">
        <f t="shared" si="110"/>
        <v>51</v>
      </c>
      <c r="AG1074">
        <f t="shared" si="109"/>
        <v>3</v>
      </c>
      <c r="AH1074" t="str">
        <f t="shared" si="114"/>
        <v>困难</v>
      </c>
      <c r="AI1074">
        <f t="shared" si="111"/>
        <v>6524</v>
      </c>
      <c r="AJ1074">
        <f t="shared" si="112"/>
        <v>2767</v>
      </c>
      <c r="AK1074">
        <f t="shared" si="113"/>
        <v>2767</v>
      </c>
    </row>
    <row r="1075" spans="30:37">
      <c r="AD1075" s="154">
        <v>205103</v>
      </c>
      <c r="AE1075" s="46">
        <v>121212</v>
      </c>
      <c r="AF1075">
        <f t="shared" si="110"/>
        <v>51</v>
      </c>
      <c r="AG1075">
        <f t="shared" si="109"/>
        <v>3</v>
      </c>
      <c r="AH1075" t="str">
        <f t="shared" si="114"/>
        <v>困难</v>
      </c>
      <c r="AI1075">
        <f t="shared" si="111"/>
        <v>6524</v>
      </c>
      <c r="AJ1075">
        <f t="shared" si="112"/>
        <v>2767</v>
      </c>
      <c r="AK1075">
        <f t="shared" si="113"/>
        <v>2767</v>
      </c>
    </row>
    <row r="1076" spans="30:37">
      <c r="AD1076" s="154">
        <v>205103</v>
      </c>
      <c r="AE1076" s="46">
        <v>121210</v>
      </c>
      <c r="AF1076">
        <f t="shared" si="110"/>
        <v>51</v>
      </c>
      <c r="AG1076">
        <f t="shared" si="109"/>
        <v>3</v>
      </c>
      <c r="AH1076" t="str">
        <f t="shared" si="114"/>
        <v>困难</v>
      </c>
      <c r="AI1076">
        <f t="shared" si="111"/>
        <v>6524</v>
      </c>
      <c r="AJ1076">
        <f t="shared" si="112"/>
        <v>2767</v>
      </c>
      <c r="AK1076">
        <f t="shared" si="113"/>
        <v>2767</v>
      </c>
    </row>
    <row r="1077" spans="30:37">
      <c r="AD1077" s="154">
        <v>205103</v>
      </c>
      <c r="AE1077" s="46">
        <v>121214</v>
      </c>
      <c r="AF1077">
        <f t="shared" si="110"/>
        <v>51</v>
      </c>
      <c r="AG1077">
        <f t="shared" si="109"/>
        <v>3</v>
      </c>
      <c r="AH1077" t="str">
        <f t="shared" si="114"/>
        <v>困难</v>
      </c>
      <c r="AI1077">
        <f t="shared" si="111"/>
        <v>6524</v>
      </c>
      <c r="AJ1077">
        <f t="shared" si="112"/>
        <v>2767</v>
      </c>
      <c r="AK1077">
        <f t="shared" si="113"/>
        <v>2767</v>
      </c>
    </row>
    <row r="1078" spans="30:37">
      <c r="AD1078" s="154">
        <v>205104</v>
      </c>
      <c r="AE1078" s="46">
        <v>121208</v>
      </c>
      <c r="AF1078">
        <f t="shared" si="110"/>
        <v>51</v>
      </c>
      <c r="AG1078">
        <f t="shared" si="109"/>
        <v>4</v>
      </c>
      <c r="AH1078" t="str">
        <f t="shared" si="114"/>
        <v>困难</v>
      </c>
      <c r="AI1078">
        <f t="shared" si="111"/>
        <v>6524</v>
      </c>
      <c r="AJ1078">
        <f t="shared" si="112"/>
        <v>2767</v>
      </c>
      <c r="AK1078">
        <f t="shared" si="113"/>
        <v>2767</v>
      </c>
    </row>
    <row r="1079" spans="30:37">
      <c r="AD1079" s="154">
        <v>205104</v>
      </c>
      <c r="AE1079" s="46">
        <v>121207</v>
      </c>
      <c r="AF1079">
        <f t="shared" si="110"/>
        <v>51</v>
      </c>
      <c r="AG1079">
        <f t="shared" si="109"/>
        <v>4</v>
      </c>
      <c r="AH1079" t="str">
        <f t="shared" si="114"/>
        <v>困难</v>
      </c>
      <c r="AI1079">
        <f t="shared" si="111"/>
        <v>6524</v>
      </c>
      <c r="AJ1079">
        <f t="shared" si="112"/>
        <v>2767</v>
      </c>
      <c r="AK1079">
        <f t="shared" si="113"/>
        <v>2767</v>
      </c>
    </row>
    <row r="1080" spans="30:37">
      <c r="AD1080" s="154">
        <v>205104</v>
      </c>
      <c r="AE1080" s="46">
        <v>121207</v>
      </c>
      <c r="AF1080">
        <f t="shared" si="110"/>
        <v>51</v>
      </c>
      <c r="AG1080">
        <f t="shared" si="109"/>
        <v>4</v>
      </c>
      <c r="AH1080" t="str">
        <f t="shared" si="114"/>
        <v>困难</v>
      </c>
      <c r="AI1080">
        <f t="shared" si="111"/>
        <v>6524</v>
      </c>
      <c r="AJ1080">
        <f t="shared" si="112"/>
        <v>2767</v>
      </c>
      <c r="AK1080">
        <f t="shared" si="113"/>
        <v>2767</v>
      </c>
    </row>
    <row r="1081" spans="30:37">
      <c r="AD1081" s="154">
        <v>205104</v>
      </c>
      <c r="AE1081" s="46">
        <v>121207</v>
      </c>
      <c r="AF1081">
        <f t="shared" si="110"/>
        <v>51</v>
      </c>
      <c r="AG1081">
        <f t="shared" si="109"/>
        <v>4</v>
      </c>
      <c r="AH1081" t="str">
        <f t="shared" si="114"/>
        <v>困难</v>
      </c>
      <c r="AI1081">
        <f t="shared" si="111"/>
        <v>6524</v>
      </c>
      <c r="AJ1081">
        <f t="shared" si="112"/>
        <v>2767</v>
      </c>
      <c r="AK1081">
        <f t="shared" si="113"/>
        <v>2767</v>
      </c>
    </row>
    <row r="1082" spans="30:37">
      <c r="AD1082" s="154">
        <v>205104</v>
      </c>
      <c r="AE1082" s="46">
        <v>121207</v>
      </c>
      <c r="AF1082">
        <f t="shared" si="110"/>
        <v>51</v>
      </c>
      <c r="AG1082">
        <f t="shared" si="109"/>
        <v>4</v>
      </c>
      <c r="AH1082" t="str">
        <f t="shared" si="114"/>
        <v>困难</v>
      </c>
      <c r="AI1082">
        <f t="shared" si="111"/>
        <v>6524</v>
      </c>
      <c r="AJ1082">
        <f t="shared" si="112"/>
        <v>2767</v>
      </c>
      <c r="AK1082">
        <f t="shared" si="113"/>
        <v>2767</v>
      </c>
    </row>
    <row r="1083" spans="30:37">
      <c r="AD1083" s="154">
        <v>205201</v>
      </c>
      <c r="AE1083" s="155">
        <v>121211</v>
      </c>
      <c r="AF1083">
        <f t="shared" si="110"/>
        <v>52</v>
      </c>
      <c r="AG1083">
        <f t="shared" si="109"/>
        <v>1</v>
      </c>
      <c r="AH1083" t="str">
        <f t="shared" si="114"/>
        <v>简单</v>
      </c>
      <c r="AI1083">
        <f t="shared" si="111"/>
        <v>4180</v>
      </c>
      <c r="AJ1083">
        <f t="shared" si="112"/>
        <v>1831</v>
      </c>
      <c r="AK1083">
        <f t="shared" si="113"/>
        <v>32600</v>
      </c>
    </row>
    <row r="1084" spans="30:37">
      <c r="AD1084" s="154">
        <v>205201</v>
      </c>
      <c r="AE1084" s="155">
        <v>121206</v>
      </c>
      <c r="AF1084">
        <f t="shared" si="110"/>
        <v>52</v>
      </c>
      <c r="AG1084">
        <f t="shared" si="109"/>
        <v>1</v>
      </c>
      <c r="AH1084" t="str">
        <f t="shared" si="114"/>
        <v>简单</v>
      </c>
      <c r="AI1084">
        <f t="shared" si="111"/>
        <v>4180</v>
      </c>
      <c r="AJ1084">
        <f t="shared" si="112"/>
        <v>1831</v>
      </c>
      <c r="AK1084">
        <f t="shared" si="113"/>
        <v>32600</v>
      </c>
    </row>
    <row r="1085" spans="30:37">
      <c r="AD1085" s="154">
        <v>205201</v>
      </c>
      <c r="AE1085" s="155">
        <v>121210</v>
      </c>
      <c r="AF1085">
        <f t="shared" si="110"/>
        <v>52</v>
      </c>
      <c r="AG1085">
        <f t="shared" si="109"/>
        <v>1</v>
      </c>
      <c r="AH1085" t="str">
        <f t="shared" si="114"/>
        <v>简单</v>
      </c>
      <c r="AI1085">
        <f t="shared" si="111"/>
        <v>4180</v>
      </c>
      <c r="AJ1085">
        <f t="shared" si="112"/>
        <v>1831</v>
      </c>
      <c r="AK1085">
        <f t="shared" si="113"/>
        <v>32600</v>
      </c>
    </row>
    <row r="1086" spans="30:37">
      <c r="AD1086" s="154">
        <v>205201</v>
      </c>
      <c r="AE1086" s="155">
        <v>121207</v>
      </c>
      <c r="AF1086">
        <f t="shared" si="110"/>
        <v>52</v>
      </c>
      <c r="AG1086">
        <f t="shared" si="109"/>
        <v>1</v>
      </c>
      <c r="AH1086" t="str">
        <f t="shared" si="114"/>
        <v>简单</v>
      </c>
      <c r="AI1086">
        <f t="shared" si="111"/>
        <v>4180</v>
      </c>
      <c r="AJ1086">
        <f t="shared" si="112"/>
        <v>1831</v>
      </c>
      <c r="AK1086">
        <f t="shared" si="113"/>
        <v>32600</v>
      </c>
    </row>
    <row r="1087" spans="30:37">
      <c r="AD1087" s="154">
        <v>205201</v>
      </c>
      <c r="AE1087" s="155">
        <v>121214</v>
      </c>
      <c r="AF1087">
        <f t="shared" si="110"/>
        <v>52</v>
      </c>
      <c r="AG1087">
        <f t="shared" si="109"/>
        <v>1</v>
      </c>
      <c r="AH1087" t="str">
        <f t="shared" si="114"/>
        <v>简单</v>
      </c>
      <c r="AI1087">
        <f t="shared" si="111"/>
        <v>4180</v>
      </c>
      <c r="AJ1087">
        <f t="shared" si="112"/>
        <v>1831</v>
      </c>
      <c r="AK1087">
        <f t="shared" si="113"/>
        <v>32600</v>
      </c>
    </row>
    <row r="1088" spans="30:37">
      <c r="AD1088" s="154">
        <v>205201</v>
      </c>
      <c r="AE1088" s="155">
        <v>121206</v>
      </c>
      <c r="AF1088">
        <f t="shared" si="110"/>
        <v>52</v>
      </c>
      <c r="AG1088">
        <f t="shared" si="109"/>
        <v>1</v>
      </c>
      <c r="AH1088" t="str">
        <f t="shared" si="114"/>
        <v>简单</v>
      </c>
      <c r="AI1088">
        <f t="shared" si="111"/>
        <v>4180</v>
      </c>
      <c r="AJ1088">
        <f t="shared" si="112"/>
        <v>1831</v>
      </c>
      <c r="AK1088">
        <f t="shared" si="113"/>
        <v>32600</v>
      </c>
    </row>
    <row r="1089" spans="30:37">
      <c r="AD1089" s="154">
        <v>205202</v>
      </c>
      <c r="AE1089" s="155">
        <v>121213</v>
      </c>
      <c r="AF1089">
        <f t="shared" si="110"/>
        <v>52</v>
      </c>
      <c r="AG1089">
        <f t="shared" si="109"/>
        <v>2</v>
      </c>
      <c r="AH1089" t="str">
        <f t="shared" si="114"/>
        <v>简单</v>
      </c>
      <c r="AI1089">
        <f t="shared" si="111"/>
        <v>4180</v>
      </c>
      <c r="AJ1089">
        <f t="shared" si="112"/>
        <v>1831</v>
      </c>
      <c r="AK1089">
        <f t="shared" si="113"/>
        <v>32600</v>
      </c>
    </row>
    <row r="1090" spans="30:37">
      <c r="AD1090" s="154">
        <v>205202</v>
      </c>
      <c r="AE1090" s="155">
        <v>121212</v>
      </c>
      <c r="AF1090">
        <f t="shared" si="110"/>
        <v>52</v>
      </c>
      <c r="AG1090">
        <f t="shared" si="109"/>
        <v>2</v>
      </c>
      <c r="AH1090" t="str">
        <f t="shared" si="114"/>
        <v>简单</v>
      </c>
      <c r="AI1090">
        <f t="shared" si="111"/>
        <v>4180</v>
      </c>
      <c r="AJ1090">
        <f t="shared" si="112"/>
        <v>1831</v>
      </c>
      <c r="AK1090">
        <f t="shared" si="113"/>
        <v>32600</v>
      </c>
    </row>
    <row r="1091" spans="30:37">
      <c r="AD1091" s="154">
        <v>205202</v>
      </c>
      <c r="AE1091" s="155">
        <v>121206</v>
      </c>
      <c r="AF1091">
        <f t="shared" si="110"/>
        <v>52</v>
      </c>
      <c r="AG1091">
        <f t="shared" si="109"/>
        <v>2</v>
      </c>
      <c r="AH1091" t="str">
        <f t="shared" si="114"/>
        <v>简单</v>
      </c>
      <c r="AI1091">
        <f t="shared" si="111"/>
        <v>4180</v>
      </c>
      <c r="AJ1091">
        <f t="shared" si="112"/>
        <v>1831</v>
      </c>
      <c r="AK1091">
        <f t="shared" si="113"/>
        <v>32600</v>
      </c>
    </row>
    <row r="1092" spans="30:37">
      <c r="AD1092" s="154">
        <v>205202</v>
      </c>
      <c r="AE1092" s="155">
        <v>121207</v>
      </c>
      <c r="AF1092">
        <f t="shared" si="110"/>
        <v>52</v>
      </c>
      <c r="AG1092">
        <f t="shared" si="109"/>
        <v>2</v>
      </c>
      <c r="AH1092" t="str">
        <f t="shared" si="114"/>
        <v>简单</v>
      </c>
      <c r="AI1092">
        <f t="shared" si="111"/>
        <v>4180</v>
      </c>
      <c r="AJ1092">
        <f t="shared" si="112"/>
        <v>1831</v>
      </c>
      <c r="AK1092">
        <f t="shared" si="113"/>
        <v>32600</v>
      </c>
    </row>
    <row r="1093" spans="30:37">
      <c r="AD1093" s="154">
        <v>205202</v>
      </c>
      <c r="AE1093" s="155">
        <v>121208</v>
      </c>
      <c r="AF1093">
        <f t="shared" si="110"/>
        <v>52</v>
      </c>
      <c r="AG1093">
        <f t="shared" si="109"/>
        <v>2</v>
      </c>
      <c r="AH1093" t="str">
        <f t="shared" si="114"/>
        <v>简单</v>
      </c>
      <c r="AI1093">
        <f t="shared" si="111"/>
        <v>4180</v>
      </c>
      <c r="AJ1093">
        <f t="shared" si="112"/>
        <v>1831</v>
      </c>
      <c r="AK1093">
        <f t="shared" si="113"/>
        <v>32600</v>
      </c>
    </row>
    <row r="1094" spans="30:37">
      <c r="AD1094" s="154">
        <v>205203</v>
      </c>
      <c r="AE1094" s="155">
        <v>121211</v>
      </c>
      <c r="AF1094">
        <f t="shared" si="110"/>
        <v>52</v>
      </c>
      <c r="AG1094">
        <f t="shared" si="109"/>
        <v>3</v>
      </c>
      <c r="AH1094" t="str">
        <f t="shared" si="114"/>
        <v>困难</v>
      </c>
      <c r="AI1094">
        <f t="shared" si="111"/>
        <v>6550</v>
      </c>
      <c r="AJ1094">
        <f t="shared" si="112"/>
        <v>2944</v>
      </c>
      <c r="AK1094">
        <f t="shared" si="113"/>
        <v>2944</v>
      </c>
    </row>
    <row r="1095" spans="30:37">
      <c r="AD1095" s="154">
        <v>205203</v>
      </c>
      <c r="AE1095" s="155">
        <v>121206</v>
      </c>
      <c r="AF1095">
        <f t="shared" si="110"/>
        <v>52</v>
      </c>
      <c r="AG1095">
        <f t="shared" si="109"/>
        <v>3</v>
      </c>
      <c r="AH1095" t="str">
        <f t="shared" si="114"/>
        <v>困难</v>
      </c>
      <c r="AI1095">
        <f t="shared" si="111"/>
        <v>6550</v>
      </c>
      <c r="AJ1095">
        <f t="shared" si="112"/>
        <v>2944</v>
      </c>
      <c r="AK1095">
        <f t="shared" si="113"/>
        <v>2944</v>
      </c>
    </row>
    <row r="1096" spans="30:37">
      <c r="AD1096" s="154">
        <v>205203</v>
      </c>
      <c r="AE1096" s="155">
        <v>121210</v>
      </c>
      <c r="AF1096">
        <f t="shared" si="110"/>
        <v>52</v>
      </c>
      <c r="AG1096">
        <f t="shared" si="109"/>
        <v>3</v>
      </c>
      <c r="AH1096" t="str">
        <f t="shared" si="114"/>
        <v>困难</v>
      </c>
      <c r="AI1096">
        <f t="shared" si="111"/>
        <v>6550</v>
      </c>
      <c r="AJ1096">
        <f t="shared" si="112"/>
        <v>2944</v>
      </c>
      <c r="AK1096">
        <f t="shared" si="113"/>
        <v>2944</v>
      </c>
    </row>
    <row r="1097" spans="30:37">
      <c r="AD1097" s="154">
        <v>205203</v>
      </c>
      <c r="AE1097" s="155">
        <v>121207</v>
      </c>
      <c r="AF1097">
        <f t="shared" si="110"/>
        <v>52</v>
      </c>
      <c r="AG1097">
        <f t="shared" si="109"/>
        <v>3</v>
      </c>
      <c r="AH1097" t="str">
        <f t="shared" si="114"/>
        <v>困难</v>
      </c>
      <c r="AI1097">
        <f t="shared" si="111"/>
        <v>6550</v>
      </c>
      <c r="AJ1097">
        <f t="shared" si="112"/>
        <v>2944</v>
      </c>
      <c r="AK1097">
        <f t="shared" si="113"/>
        <v>2944</v>
      </c>
    </row>
    <row r="1098" spans="30:37">
      <c r="AD1098" s="154">
        <v>205203</v>
      </c>
      <c r="AE1098" s="155">
        <v>121214</v>
      </c>
      <c r="AF1098">
        <f t="shared" si="110"/>
        <v>52</v>
      </c>
      <c r="AG1098">
        <f t="shared" si="109"/>
        <v>3</v>
      </c>
      <c r="AH1098" t="str">
        <f t="shared" si="114"/>
        <v>困难</v>
      </c>
      <c r="AI1098">
        <f t="shared" si="111"/>
        <v>6550</v>
      </c>
      <c r="AJ1098">
        <f t="shared" si="112"/>
        <v>2944</v>
      </c>
      <c r="AK1098">
        <f t="shared" si="113"/>
        <v>2944</v>
      </c>
    </row>
    <row r="1099" spans="30:37">
      <c r="AD1099" s="154">
        <v>205203</v>
      </c>
      <c r="AE1099" s="155">
        <v>121206</v>
      </c>
      <c r="AF1099">
        <f t="shared" si="110"/>
        <v>52</v>
      </c>
      <c r="AG1099">
        <f t="shared" si="109"/>
        <v>3</v>
      </c>
      <c r="AH1099" t="str">
        <f t="shared" si="114"/>
        <v>困难</v>
      </c>
      <c r="AI1099">
        <f t="shared" si="111"/>
        <v>6550</v>
      </c>
      <c r="AJ1099">
        <f t="shared" si="112"/>
        <v>2944</v>
      </c>
      <c r="AK1099">
        <f t="shared" si="113"/>
        <v>2944</v>
      </c>
    </row>
    <row r="1100" spans="30:37">
      <c r="AD1100" s="154">
        <v>205204</v>
      </c>
      <c r="AE1100" s="155">
        <v>121213</v>
      </c>
      <c r="AF1100">
        <f t="shared" si="110"/>
        <v>52</v>
      </c>
      <c r="AG1100">
        <f t="shared" si="109"/>
        <v>4</v>
      </c>
      <c r="AH1100" t="str">
        <f t="shared" si="114"/>
        <v>困难</v>
      </c>
      <c r="AI1100">
        <f t="shared" si="111"/>
        <v>6550</v>
      </c>
      <c r="AJ1100">
        <f t="shared" si="112"/>
        <v>2944</v>
      </c>
      <c r="AK1100">
        <f t="shared" si="113"/>
        <v>2944</v>
      </c>
    </row>
    <row r="1101" spans="30:37">
      <c r="AD1101" s="154">
        <v>205204</v>
      </c>
      <c r="AE1101" s="155">
        <v>121212</v>
      </c>
      <c r="AF1101">
        <f t="shared" si="110"/>
        <v>52</v>
      </c>
      <c r="AG1101">
        <f t="shared" si="109"/>
        <v>4</v>
      </c>
      <c r="AH1101" t="str">
        <f t="shared" si="114"/>
        <v>困难</v>
      </c>
      <c r="AI1101">
        <f t="shared" si="111"/>
        <v>6550</v>
      </c>
      <c r="AJ1101">
        <f t="shared" si="112"/>
        <v>2944</v>
      </c>
      <c r="AK1101">
        <f t="shared" si="113"/>
        <v>2944</v>
      </c>
    </row>
    <row r="1102" spans="30:37">
      <c r="AD1102" s="154">
        <v>205204</v>
      </c>
      <c r="AE1102" s="155">
        <v>121206</v>
      </c>
      <c r="AF1102">
        <f t="shared" si="110"/>
        <v>52</v>
      </c>
      <c r="AG1102">
        <f t="shared" si="109"/>
        <v>4</v>
      </c>
      <c r="AH1102" t="str">
        <f t="shared" si="114"/>
        <v>困难</v>
      </c>
      <c r="AI1102">
        <f t="shared" si="111"/>
        <v>6550</v>
      </c>
      <c r="AJ1102">
        <f t="shared" si="112"/>
        <v>2944</v>
      </c>
      <c r="AK1102">
        <f t="shared" si="113"/>
        <v>2944</v>
      </c>
    </row>
    <row r="1103" spans="30:37">
      <c r="AD1103" s="154">
        <v>205204</v>
      </c>
      <c r="AE1103" s="155">
        <v>121207</v>
      </c>
      <c r="AF1103">
        <f t="shared" si="110"/>
        <v>52</v>
      </c>
      <c r="AG1103">
        <f t="shared" si="109"/>
        <v>4</v>
      </c>
      <c r="AH1103" t="str">
        <f t="shared" si="114"/>
        <v>困难</v>
      </c>
      <c r="AI1103">
        <f t="shared" si="111"/>
        <v>6550</v>
      </c>
      <c r="AJ1103">
        <f t="shared" si="112"/>
        <v>2944</v>
      </c>
      <c r="AK1103">
        <f t="shared" si="113"/>
        <v>2944</v>
      </c>
    </row>
    <row r="1104" spans="30:37">
      <c r="AD1104" s="154">
        <v>205204</v>
      </c>
      <c r="AE1104" s="155">
        <v>121208</v>
      </c>
      <c r="AF1104">
        <f t="shared" si="110"/>
        <v>52</v>
      </c>
      <c r="AG1104">
        <f t="shared" si="109"/>
        <v>4</v>
      </c>
      <c r="AH1104" t="str">
        <f t="shared" si="114"/>
        <v>困难</v>
      </c>
      <c r="AI1104">
        <f t="shared" si="111"/>
        <v>6550</v>
      </c>
      <c r="AJ1104">
        <f t="shared" si="112"/>
        <v>2944</v>
      </c>
      <c r="AK1104">
        <f t="shared" si="113"/>
        <v>2944</v>
      </c>
    </row>
    <row r="1105" spans="30:37">
      <c r="AD1105" s="154">
        <v>205301</v>
      </c>
      <c r="AE1105" s="155">
        <v>1113032</v>
      </c>
      <c r="AF1105">
        <f t="shared" si="110"/>
        <v>53</v>
      </c>
      <c r="AG1105">
        <f t="shared" si="109"/>
        <v>1</v>
      </c>
      <c r="AH1105" t="str">
        <f t="shared" si="114"/>
        <v>简单</v>
      </c>
      <c r="AI1105">
        <f t="shared" si="111"/>
        <v>5573</v>
      </c>
      <c r="AJ1105">
        <f t="shared" si="112"/>
        <v>1831</v>
      </c>
      <c r="AK1105">
        <f t="shared" si="113"/>
        <v>32600</v>
      </c>
    </row>
    <row r="1106" spans="30:37">
      <c r="AD1106" s="154">
        <v>205301</v>
      </c>
      <c r="AE1106" s="155">
        <v>121220</v>
      </c>
      <c r="AF1106">
        <f t="shared" si="110"/>
        <v>53</v>
      </c>
      <c r="AG1106">
        <f t="shared" si="109"/>
        <v>1</v>
      </c>
      <c r="AH1106" t="str">
        <f t="shared" si="114"/>
        <v>简单</v>
      </c>
      <c r="AI1106">
        <f t="shared" si="111"/>
        <v>4180</v>
      </c>
      <c r="AJ1106">
        <f t="shared" si="112"/>
        <v>1831</v>
      </c>
      <c r="AK1106">
        <f t="shared" si="113"/>
        <v>32600</v>
      </c>
    </row>
    <row r="1107" spans="30:37">
      <c r="AD1107" s="154">
        <v>205301</v>
      </c>
      <c r="AE1107" s="155">
        <v>121220</v>
      </c>
      <c r="AF1107">
        <f t="shared" si="110"/>
        <v>53</v>
      </c>
      <c r="AG1107">
        <f t="shared" si="109"/>
        <v>1</v>
      </c>
      <c r="AH1107" t="str">
        <f t="shared" si="114"/>
        <v>简单</v>
      </c>
      <c r="AI1107">
        <f t="shared" si="111"/>
        <v>4180</v>
      </c>
      <c r="AJ1107">
        <f t="shared" si="112"/>
        <v>1831</v>
      </c>
      <c r="AK1107">
        <f t="shared" si="113"/>
        <v>32600</v>
      </c>
    </row>
    <row r="1108" spans="30:37">
      <c r="AD1108" s="154">
        <v>205301</v>
      </c>
      <c r="AE1108" s="155">
        <v>1113033</v>
      </c>
      <c r="AF1108">
        <f t="shared" si="110"/>
        <v>53</v>
      </c>
      <c r="AG1108">
        <f t="shared" si="109"/>
        <v>1</v>
      </c>
      <c r="AH1108" t="str">
        <f t="shared" si="114"/>
        <v>简单</v>
      </c>
      <c r="AI1108">
        <f t="shared" si="111"/>
        <v>5573</v>
      </c>
      <c r="AJ1108">
        <f t="shared" si="112"/>
        <v>1831</v>
      </c>
      <c r="AK1108">
        <f t="shared" si="113"/>
        <v>32600</v>
      </c>
    </row>
    <row r="1109" spans="30:37">
      <c r="AD1109" s="154">
        <v>205301</v>
      </c>
      <c r="AE1109" s="155">
        <v>121221</v>
      </c>
      <c r="AF1109">
        <f t="shared" si="110"/>
        <v>53</v>
      </c>
      <c r="AG1109">
        <f t="shared" si="109"/>
        <v>1</v>
      </c>
      <c r="AH1109" t="str">
        <f t="shared" si="114"/>
        <v>简单</v>
      </c>
      <c r="AI1109">
        <f t="shared" si="111"/>
        <v>4180</v>
      </c>
      <c r="AJ1109">
        <f t="shared" si="112"/>
        <v>1831</v>
      </c>
      <c r="AK1109">
        <f t="shared" si="113"/>
        <v>32600</v>
      </c>
    </row>
    <row r="1110" spans="30:37">
      <c r="AD1110" s="154">
        <v>205302</v>
      </c>
      <c r="AE1110" s="155">
        <v>121226</v>
      </c>
      <c r="AF1110">
        <f t="shared" si="110"/>
        <v>53</v>
      </c>
      <c r="AG1110">
        <f t="shared" ref="AG1110:AG1173" si="115">ROUNDDOWN(RIGHT(AD1110,2),0)</f>
        <v>2</v>
      </c>
      <c r="AH1110" t="str">
        <f t="shared" si="114"/>
        <v>简单</v>
      </c>
      <c r="AI1110">
        <f t="shared" si="111"/>
        <v>4180</v>
      </c>
      <c r="AJ1110">
        <f t="shared" si="112"/>
        <v>1831</v>
      </c>
      <c r="AK1110">
        <f t="shared" si="113"/>
        <v>32600</v>
      </c>
    </row>
    <row r="1111" spans="30:37">
      <c r="AD1111" s="154">
        <v>205302</v>
      </c>
      <c r="AE1111" s="155">
        <v>121227</v>
      </c>
      <c r="AF1111">
        <f t="shared" si="110"/>
        <v>53</v>
      </c>
      <c r="AG1111">
        <f t="shared" si="115"/>
        <v>2</v>
      </c>
      <c r="AH1111" t="str">
        <f t="shared" si="114"/>
        <v>简单</v>
      </c>
      <c r="AI1111">
        <f t="shared" si="111"/>
        <v>4180</v>
      </c>
      <c r="AJ1111">
        <f t="shared" si="112"/>
        <v>1831</v>
      </c>
      <c r="AK1111">
        <f t="shared" si="113"/>
        <v>32600</v>
      </c>
    </row>
    <row r="1112" spans="30:37">
      <c r="AD1112" s="154">
        <v>205302</v>
      </c>
      <c r="AE1112" s="155">
        <v>1113041</v>
      </c>
      <c r="AF1112">
        <f t="shared" si="110"/>
        <v>53</v>
      </c>
      <c r="AG1112">
        <f t="shared" si="115"/>
        <v>2</v>
      </c>
      <c r="AH1112" t="str">
        <f t="shared" si="114"/>
        <v>简单</v>
      </c>
      <c r="AI1112">
        <f t="shared" si="111"/>
        <v>5573</v>
      </c>
      <c r="AJ1112">
        <f t="shared" si="112"/>
        <v>1831</v>
      </c>
      <c r="AK1112">
        <f t="shared" si="113"/>
        <v>32600</v>
      </c>
    </row>
    <row r="1113" spans="30:37">
      <c r="AD1113" s="154">
        <v>205302</v>
      </c>
      <c r="AE1113" s="155">
        <v>121221</v>
      </c>
      <c r="AF1113">
        <f t="shared" si="110"/>
        <v>53</v>
      </c>
      <c r="AG1113">
        <f t="shared" si="115"/>
        <v>2</v>
      </c>
      <c r="AH1113" t="str">
        <f t="shared" si="114"/>
        <v>简单</v>
      </c>
      <c r="AI1113">
        <f t="shared" si="111"/>
        <v>4180</v>
      </c>
      <c r="AJ1113">
        <f t="shared" si="112"/>
        <v>1831</v>
      </c>
      <c r="AK1113">
        <f t="shared" si="113"/>
        <v>32600</v>
      </c>
    </row>
    <row r="1114" spans="30:37">
      <c r="AD1114" s="154">
        <v>205302</v>
      </c>
      <c r="AE1114" s="155">
        <v>121221</v>
      </c>
      <c r="AF1114">
        <f t="shared" si="110"/>
        <v>53</v>
      </c>
      <c r="AG1114">
        <f t="shared" si="115"/>
        <v>2</v>
      </c>
      <c r="AH1114" t="str">
        <f t="shared" si="114"/>
        <v>简单</v>
      </c>
      <c r="AI1114">
        <f t="shared" si="111"/>
        <v>4180</v>
      </c>
      <c r="AJ1114">
        <f t="shared" si="112"/>
        <v>1831</v>
      </c>
      <c r="AK1114">
        <f t="shared" si="113"/>
        <v>32600</v>
      </c>
    </row>
    <row r="1115" spans="30:37">
      <c r="AD1115" s="154">
        <v>205303</v>
      </c>
      <c r="AE1115" s="155">
        <v>1113032</v>
      </c>
      <c r="AF1115">
        <f t="shared" si="110"/>
        <v>53</v>
      </c>
      <c r="AG1115">
        <f t="shared" si="115"/>
        <v>3</v>
      </c>
      <c r="AH1115" t="str">
        <f t="shared" si="114"/>
        <v>困难</v>
      </c>
      <c r="AI1115">
        <f t="shared" si="111"/>
        <v>7205</v>
      </c>
      <c r="AJ1115">
        <f t="shared" si="112"/>
        <v>2944</v>
      </c>
      <c r="AK1115">
        <f t="shared" si="113"/>
        <v>2944</v>
      </c>
    </row>
    <row r="1116" spans="30:37">
      <c r="AD1116" s="154">
        <v>205303</v>
      </c>
      <c r="AE1116" s="155">
        <v>121220</v>
      </c>
      <c r="AF1116">
        <f t="shared" si="110"/>
        <v>53</v>
      </c>
      <c r="AG1116">
        <f t="shared" si="115"/>
        <v>3</v>
      </c>
      <c r="AH1116" t="str">
        <f t="shared" si="114"/>
        <v>困难</v>
      </c>
      <c r="AI1116">
        <f t="shared" si="111"/>
        <v>6550</v>
      </c>
      <c r="AJ1116">
        <f t="shared" si="112"/>
        <v>2944</v>
      </c>
      <c r="AK1116">
        <f t="shared" si="113"/>
        <v>2944</v>
      </c>
    </row>
    <row r="1117" spans="30:37">
      <c r="AD1117" s="154">
        <v>205303</v>
      </c>
      <c r="AE1117" s="155">
        <v>121220</v>
      </c>
      <c r="AF1117">
        <f t="shared" si="110"/>
        <v>53</v>
      </c>
      <c r="AG1117">
        <f t="shared" si="115"/>
        <v>3</v>
      </c>
      <c r="AH1117" t="str">
        <f t="shared" si="114"/>
        <v>困难</v>
      </c>
      <c r="AI1117">
        <f t="shared" si="111"/>
        <v>6550</v>
      </c>
      <c r="AJ1117">
        <f t="shared" si="112"/>
        <v>2944</v>
      </c>
      <c r="AK1117">
        <f t="shared" si="113"/>
        <v>2944</v>
      </c>
    </row>
    <row r="1118" spans="30:37">
      <c r="AD1118" s="154">
        <v>205303</v>
      </c>
      <c r="AE1118" s="155">
        <v>1113033</v>
      </c>
      <c r="AF1118">
        <f t="shared" ref="AF1118:AF1181" si="116">MOD(ROUNDDOWN(AD1118/100,0),100)</f>
        <v>53</v>
      </c>
      <c r="AG1118">
        <f t="shared" si="115"/>
        <v>3</v>
      </c>
      <c r="AH1118" t="str">
        <f t="shared" si="114"/>
        <v>困难</v>
      </c>
      <c r="AI1118">
        <f t="shared" si="111"/>
        <v>7205</v>
      </c>
      <c r="AJ1118">
        <f t="shared" si="112"/>
        <v>2944</v>
      </c>
      <c r="AK1118">
        <f t="shared" si="113"/>
        <v>2944</v>
      </c>
    </row>
    <row r="1119" spans="30:37">
      <c r="AD1119" s="154">
        <v>205303</v>
      </c>
      <c r="AE1119" s="155">
        <v>121221</v>
      </c>
      <c r="AF1119">
        <f t="shared" si="116"/>
        <v>53</v>
      </c>
      <c r="AG1119">
        <f t="shared" si="115"/>
        <v>3</v>
      </c>
      <c r="AH1119" t="str">
        <f t="shared" si="114"/>
        <v>困难</v>
      </c>
      <c r="AI1119">
        <f t="shared" ref="AI1119:AI1182" si="117">IF($AH1119="简单",IF(AE1119&lt;122000,VLOOKUP($AF1119,$N:$T,2,0),VLOOKUP($AF1119,$N:$T,5,0)),IF(AE1119&lt;122000,VLOOKUP($AF1119,$V:$AB,2,0),VLOOKUP($AF1119,$V:$AB,5,0)))</f>
        <v>6550</v>
      </c>
      <c r="AJ1119">
        <f t="shared" ref="AJ1119:AJ1182" si="118">IF($AH1119="简单",IF(AF1119&lt;122000,VLOOKUP($AF1119,$N:$T,3,0),VLOOKUP($AF1119,$N:$T,6,0)),IF(AF1119&lt;122000,VLOOKUP($AF1119,$V:$AB,3,0),VLOOKUP($AF1119,$V:$AB,6,0)))</f>
        <v>2944</v>
      </c>
      <c r="AK1119">
        <f t="shared" ref="AK1119:AK1182" si="119">IF($AH1119="简单",IF(AG1119&lt;122000,VLOOKUP($AF1119,$N:$T,4,0),VLOOKUP($AF1119,$N:$T,7,0)),IF(AG1119&lt;122000,VLOOKUP($AF1119,$V:$AB,3,0),VLOOKUP($AF1119,$V:$AB,6,0)))</f>
        <v>2944</v>
      </c>
    </row>
    <row r="1120" spans="30:37">
      <c r="AD1120" s="154">
        <v>205304</v>
      </c>
      <c r="AE1120" s="155">
        <v>121226</v>
      </c>
      <c r="AF1120">
        <f t="shared" si="116"/>
        <v>53</v>
      </c>
      <c r="AG1120">
        <f t="shared" si="115"/>
        <v>4</v>
      </c>
      <c r="AH1120" t="str">
        <f t="shared" si="114"/>
        <v>困难</v>
      </c>
      <c r="AI1120">
        <f t="shared" si="117"/>
        <v>6550</v>
      </c>
      <c r="AJ1120">
        <f t="shared" si="118"/>
        <v>2944</v>
      </c>
      <c r="AK1120">
        <f t="shared" si="119"/>
        <v>2944</v>
      </c>
    </row>
    <row r="1121" spans="30:37">
      <c r="AD1121" s="154">
        <v>205304</v>
      </c>
      <c r="AE1121" s="155">
        <v>121227</v>
      </c>
      <c r="AF1121">
        <f t="shared" si="116"/>
        <v>53</v>
      </c>
      <c r="AG1121">
        <f t="shared" si="115"/>
        <v>4</v>
      </c>
      <c r="AH1121" t="str">
        <f t="shared" si="114"/>
        <v>困难</v>
      </c>
      <c r="AI1121">
        <f t="shared" si="117"/>
        <v>6550</v>
      </c>
      <c r="AJ1121">
        <f t="shared" si="118"/>
        <v>2944</v>
      </c>
      <c r="AK1121">
        <f t="shared" si="119"/>
        <v>2944</v>
      </c>
    </row>
    <row r="1122" spans="30:37">
      <c r="AD1122" s="154">
        <v>205304</v>
      </c>
      <c r="AE1122" s="155">
        <v>1113041</v>
      </c>
      <c r="AF1122">
        <f t="shared" si="116"/>
        <v>53</v>
      </c>
      <c r="AG1122">
        <f t="shared" si="115"/>
        <v>4</v>
      </c>
      <c r="AH1122" t="str">
        <f t="shared" si="114"/>
        <v>困难</v>
      </c>
      <c r="AI1122">
        <f t="shared" si="117"/>
        <v>7205</v>
      </c>
      <c r="AJ1122">
        <f t="shared" si="118"/>
        <v>2944</v>
      </c>
      <c r="AK1122">
        <f t="shared" si="119"/>
        <v>2944</v>
      </c>
    </row>
    <row r="1123" spans="30:37">
      <c r="AD1123" s="154">
        <v>205304</v>
      </c>
      <c r="AE1123" s="155">
        <v>121221</v>
      </c>
      <c r="AF1123">
        <f t="shared" si="116"/>
        <v>53</v>
      </c>
      <c r="AG1123">
        <f t="shared" si="115"/>
        <v>4</v>
      </c>
      <c r="AH1123" t="str">
        <f t="shared" si="114"/>
        <v>困难</v>
      </c>
      <c r="AI1123">
        <f t="shared" si="117"/>
        <v>6550</v>
      </c>
      <c r="AJ1123">
        <f t="shared" si="118"/>
        <v>2944</v>
      </c>
      <c r="AK1123">
        <f t="shared" si="119"/>
        <v>2944</v>
      </c>
    </row>
    <row r="1124" spans="30:37">
      <c r="AD1124" s="154">
        <v>205304</v>
      </c>
      <c r="AE1124" s="155">
        <v>121221</v>
      </c>
      <c r="AF1124">
        <f t="shared" si="116"/>
        <v>53</v>
      </c>
      <c r="AG1124">
        <f t="shared" si="115"/>
        <v>4</v>
      </c>
      <c r="AH1124" t="str">
        <f t="shared" si="114"/>
        <v>困难</v>
      </c>
      <c r="AI1124">
        <f t="shared" si="117"/>
        <v>6550</v>
      </c>
      <c r="AJ1124">
        <f t="shared" si="118"/>
        <v>2944</v>
      </c>
      <c r="AK1124">
        <f t="shared" si="119"/>
        <v>2944</v>
      </c>
    </row>
    <row r="1125" spans="30:37">
      <c r="AD1125" s="154">
        <v>205401</v>
      </c>
      <c r="AE1125" s="155">
        <v>121229</v>
      </c>
      <c r="AF1125">
        <f t="shared" si="116"/>
        <v>54</v>
      </c>
      <c r="AG1125">
        <f t="shared" si="115"/>
        <v>1</v>
      </c>
      <c r="AH1125" t="str">
        <f t="shared" si="114"/>
        <v>简单</v>
      </c>
      <c r="AI1125">
        <f t="shared" si="117"/>
        <v>4180</v>
      </c>
      <c r="AJ1125">
        <f t="shared" si="118"/>
        <v>1831</v>
      </c>
      <c r="AK1125">
        <f t="shared" si="119"/>
        <v>32600</v>
      </c>
    </row>
    <row r="1126" spans="30:37">
      <c r="AD1126" s="154">
        <v>205401</v>
      </c>
      <c r="AE1126" s="155">
        <v>1113041</v>
      </c>
      <c r="AF1126">
        <f t="shared" si="116"/>
        <v>54</v>
      </c>
      <c r="AG1126">
        <f t="shared" si="115"/>
        <v>1</v>
      </c>
      <c r="AH1126" t="str">
        <f t="shared" si="114"/>
        <v>简单</v>
      </c>
      <c r="AI1126">
        <f t="shared" si="117"/>
        <v>5573</v>
      </c>
      <c r="AJ1126">
        <f t="shared" si="118"/>
        <v>1831</v>
      </c>
      <c r="AK1126">
        <f t="shared" si="119"/>
        <v>32600</v>
      </c>
    </row>
    <row r="1127" spans="30:37">
      <c r="AD1127" s="154">
        <v>205401</v>
      </c>
      <c r="AE1127" s="155">
        <v>121230</v>
      </c>
      <c r="AF1127">
        <f t="shared" si="116"/>
        <v>54</v>
      </c>
      <c r="AG1127">
        <f t="shared" si="115"/>
        <v>1</v>
      </c>
      <c r="AH1127" t="str">
        <f t="shared" si="114"/>
        <v>简单</v>
      </c>
      <c r="AI1127">
        <f t="shared" si="117"/>
        <v>4180</v>
      </c>
      <c r="AJ1127">
        <f t="shared" si="118"/>
        <v>1831</v>
      </c>
      <c r="AK1127">
        <f t="shared" si="119"/>
        <v>32600</v>
      </c>
    </row>
    <row r="1128" spans="30:37">
      <c r="AD1128" s="154">
        <v>205401</v>
      </c>
      <c r="AE1128" s="155">
        <v>121220</v>
      </c>
      <c r="AF1128">
        <f t="shared" si="116"/>
        <v>54</v>
      </c>
      <c r="AG1128">
        <f t="shared" si="115"/>
        <v>1</v>
      </c>
      <c r="AH1128" t="str">
        <f t="shared" si="114"/>
        <v>简单</v>
      </c>
      <c r="AI1128">
        <f t="shared" si="117"/>
        <v>4180</v>
      </c>
      <c r="AJ1128">
        <f t="shared" si="118"/>
        <v>1831</v>
      </c>
      <c r="AK1128">
        <f t="shared" si="119"/>
        <v>32600</v>
      </c>
    </row>
    <row r="1129" spans="30:37">
      <c r="AD1129" s="154">
        <v>205401</v>
      </c>
      <c r="AE1129" s="155">
        <v>121220</v>
      </c>
      <c r="AF1129">
        <f t="shared" si="116"/>
        <v>54</v>
      </c>
      <c r="AG1129">
        <f t="shared" si="115"/>
        <v>1</v>
      </c>
      <c r="AH1129" t="str">
        <f t="shared" si="114"/>
        <v>简单</v>
      </c>
      <c r="AI1129">
        <f t="shared" si="117"/>
        <v>4180</v>
      </c>
      <c r="AJ1129">
        <f t="shared" si="118"/>
        <v>1831</v>
      </c>
      <c r="AK1129">
        <f t="shared" si="119"/>
        <v>32600</v>
      </c>
    </row>
    <row r="1130" spans="30:37">
      <c r="AD1130" s="154">
        <v>205402</v>
      </c>
      <c r="AE1130" s="155">
        <v>1113030</v>
      </c>
      <c r="AF1130">
        <f t="shared" si="116"/>
        <v>54</v>
      </c>
      <c r="AG1130">
        <f t="shared" si="115"/>
        <v>2</v>
      </c>
      <c r="AH1130" t="str">
        <f t="shared" si="114"/>
        <v>简单</v>
      </c>
      <c r="AI1130">
        <f t="shared" si="117"/>
        <v>5573</v>
      </c>
      <c r="AJ1130">
        <f t="shared" si="118"/>
        <v>1831</v>
      </c>
      <c r="AK1130">
        <f t="shared" si="119"/>
        <v>32600</v>
      </c>
    </row>
    <row r="1131" spans="30:37">
      <c r="AD1131" s="154">
        <v>205402</v>
      </c>
      <c r="AE1131" s="155">
        <v>121231</v>
      </c>
      <c r="AF1131">
        <f t="shared" si="116"/>
        <v>54</v>
      </c>
      <c r="AG1131">
        <f t="shared" si="115"/>
        <v>2</v>
      </c>
      <c r="AH1131" t="str">
        <f t="shared" si="114"/>
        <v>简单</v>
      </c>
      <c r="AI1131">
        <f t="shared" si="117"/>
        <v>4180</v>
      </c>
      <c r="AJ1131">
        <f t="shared" si="118"/>
        <v>1831</v>
      </c>
      <c r="AK1131">
        <f t="shared" si="119"/>
        <v>32600</v>
      </c>
    </row>
    <row r="1132" spans="30:37">
      <c r="AD1132" s="154">
        <v>205402</v>
      </c>
      <c r="AE1132" s="155">
        <v>1112029</v>
      </c>
      <c r="AF1132">
        <f t="shared" si="116"/>
        <v>54</v>
      </c>
      <c r="AG1132">
        <f t="shared" si="115"/>
        <v>2</v>
      </c>
      <c r="AH1132" t="str">
        <f t="shared" ref="AH1132:AH1195" si="120">IF(VLOOKUP(AF1132,AF:AG,2,1)=4,IF(AG1132&lt;3,"简单","困难"),IF(AG1132&lt;4,"简单","困难"))</f>
        <v>简单</v>
      </c>
      <c r="AI1132">
        <f t="shared" si="117"/>
        <v>5573</v>
      </c>
      <c r="AJ1132">
        <f t="shared" si="118"/>
        <v>1831</v>
      </c>
      <c r="AK1132">
        <f t="shared" si="119"/>
        <v>32600</v>
      </c>
    </row>
    <row r="1133" spans="30:37">
      <c r="AD1133" s="154">
        <v>205402</v>
      </c>
      <c r="AE1133" s="155">
        <v>121220</v>
      </c>
      <c r="AF1133">
        <f t="shared" si="116"/>
        <v>54</v>
      </c>
      <c r="AG1133">
        <f t="shared" si="115"/>
        <v>2</v>
      </c>
      <c r="AH1133" t="str">
        <f t="shared" si="120"/>
        <v>简单</v>
      </c>
      <c r="AI1133">
        <f t="shared" si="117"/>
        <v>4180</v>
      </c>
      <c r="AJ1133">
        <f t="shared" si="118"/>
        <v>1831</v>
      </c>
      <c r="AK1133">
        <f t="shared" si="119"/>
        <v>32600</v>
      </c>
    </row>
    <row r="1134" spans="30:37">
      <c r="AD1134" s="154">
        <v>205402</v>
      </c>
      <c r="AE1134" s="155">
        <v>121220</v>
      </c>
      <c r="AF1134">
        <f t="shared" si="116"/>
        <v>54</v>
      </c>
      <c r="AG1134">
        <f t="shared" si="115"/>
        <v>2</v>
      </c>
      <c r="AH1134" t="str">
        <f t="shared" si="120"/>
        <v>简单</v>
      </c>
      <c r="AI1134">
        <f t="shared" si="117"/>
        <v>4180</v>
      </c>
      <c r="AJ1134">
        <f t="shared" si="118"/>
        <v>1831</v>
      </c>
      <c r="AK1134">
        <f t="shared" si="119"/>
        <v>32600</v>
      </c>
    </row>
    <row r="1135" spans="30:37">
      <c r="AD1135" s="154">
        <v>205403</v>
      </c>
      <c r="AE1135" s="155">
        <v>121229</v>
      </c>
      <c r="AF1135">
        <f t="shared" si="116"/>
        <v>54</v>
      </c>
      <c r="AG1135">
        <f t="shared" si="115"/>
        <v>3</v>
      </c>
      <c r="AH1135" t="str">
        <f t="shared" si="120"/>
        <v>困难</v>
      </c>
      <c r="AI1135">
        <f t="shared" si="117"/>
        <v>6563</v>
      </c>
      <c r="AJ1135">
        <f t="shared" si="118"/>
        <v>2950</v>
      </c>
      <c r="AK1135">
        <f t="shared" si="119"/>
        <v>2950</v>
      </c>
    </row>
    <row r="1136" spans="30:37">
      <c r="AD1136" s="154">
        <v>205403</v>
      </c>
      <c r="AE1136" s="155">
        <v>1113041</v>
      </c>
      <c r="AF1136">
        <f t="shared" si="116"/>
        <v>54</v>
      </c>
      <c r="AG1136">
        <f t="shared" si="115"/>
        <v>3</v>
      </c>
      <c r="AH1136" t="str">
        <f t="shared" si="120"/>
        <v>困难</v>
      </c>
      <c r="AI1136">
        <f t="shared" si="117"/>
        <v>7220</v>
      </c>
      <c r="AJ1136">
        <f t="shared" si="118"/>
        <v>2950</v>
      </c>
      <c r="AK1136">
        <f t="shared" si="119"/>
        <v>2950</v>
      </c>
    </row>
    <row r="1137" spans="30:37">
      <c r="AD1137" s="154">
        <v>205403</v>
      </c>
      <c r="AE1137" s="155">
        <v>121230</v>
      </c>
      <c r="AF1137">
        <f t="shared" si="116"/>
        <v>54</v>
      </c>
      <c r="AG1137">
        <f t="shared" si="115"/>
        <v>3</v>
      </c>
      <c r="AH1137" t="str">
        <f t="shared" si="120"/>
        <v>困难</v>
      </c>
      <c r="AI1137">
        <f t="shared" si="117"/>
        <v>6563</v>
      </c>
      <c r="AJ1137">
        <f t="shared" si="118"/>
        <v>2950</v>
      </c>
      <c r="AK1137">
        <f t="shared" si="119"/>
        <v>2950</v>
      </c>
    </row>
    <row r="1138" spans="30:37">
      <c r="AD1138" s="154">
        <v>205403</v>
      </c>
      <c r="AE1138" s="155">
        <v>121220</v>
      </c>
      <c r="AF1138">
        <f t="shared" si="116"/>
        <v>54</v>
      </c>
      <c r="AG1138">
        <f t="shared" si="115"/>
        <v>3</v>
      </c>
      <c r="AH1138" t="str">
        <f t="shared" si="120"/>
        <v>困难</v>
      </c>
      <c r="AI1138">
        <f t="shared" si="117"/>
        <v>6563</v>
      </c>
      <c r="AJ1138">
        <f t="shared" si="118"/>
        <v>2950</v>
      </c>
      <c r="AK1138">
        <f t="shared" si="119"/>
        <v>2950</v>
      </c>
    </row>
    <row r="1139" spans="30:37">
      <c r="AD1139" s="154">
        <v>205403</v>
      </c>
      <c r="AE1139" s="155">
        <v>121220</v>
      </c>
      <c r="AF1139">
        <f t="shared" si="116"/>
        <v>54</v>
      </c>
      <c r="AG1139">
        <f t="shared" si="115"/>
        <v>3</v>
      </c>
      <c r="AH1139" t="str">
        <f t="shared" si="120"/>
        <v>困难</v>
      </c>
      <c r="AI1139">
        <f t="shared" si="117"/>
        <v>6563</v>
      </c>
      <c r="AJ1139">
        <f t="shared" si="118"/>
        <v>2950</v>
      </c>
      <c r="AK1139">
        <f t="shared" si="119"/>
        <v>2950</v>
      </c>
    </row>
    <row r="1140" spans="30:37">
      <c r="AD1140" s="154">
        <v>205404</v>
      </c>
      <c r="AE1140" s="155">
        <v>1113030</v>
      </c>
      <c r="AF1140">
        <f t="shared" si="116"/>
        <v>54</v>
      </c>
      <c r="AG1140">
        <f t="shared" si="115"/>
        <v>4</v>
      </c>
      <c r="AH1140" t="str">
        <f t="shared" si="120"/>
        <v>困难</v>
      </c>
      <c r="AI1140">
        <f t="shared" si="117"/>
        <v>7220</v>
      </c>
      <c r="AJ1140">
        <f t="shared" si="118"/>
        <v>2950</v>
      </c>
      <c r="AK1140">
        <f t="shared" si="119"/>
        <v>2950</v>
      </c>
    </row>
    <row r="1141" spans="30:37">
      <c r="AD1141" s="154">
        <v>205404</v>
      </c>
      <c r="AE1141" s="155">
        <v>121231</v>
      </c>
      <c r="AF1141">
        <f t="shared" si="116"/>
        <v>54</v>
      </c>
      <c r="AG1141">
        <f t="shared" si="115"/>
        <v>4</v>
      </c>
      <c r="AH1141" t="str">
        <f t="shared" si="120"/>
        <v>困难</v>
      </c>
      <c r="AI1141">
        <f t="shared" si="117"/>
        <v>6563</v>
      </c>
      <c r="AJ1141">
        <f t="shared" si="118"/>
        <v>2950</v>
      </c>
      <c r="AK1141">
        <f t="shared" si="119"/>
        <v>2950</v>
      </c>
    </row>
    <row r="1142" spans="30:37">
      <c r="AD1142" s="154">
        <v>205404</v>
      </c>
      <c r="AE1142" s="155">
        <v>1112029</v>
      </c>
      <c r="AF1142">
        <f t="shared" si="116"/>
        <v>54</v>
      </c>
      <c r="AG1142">
        <f t="shared" si="115"/>
        <v>4</v>
      </c>
      <c r="AH1142" t="str">
        <f t="shared" si="120"/>
        <v>困难</v>
      </c>
      <c r="AI1142">
        <f t="shared" si="117"/>
        <v>7220</v>
      </c>
      <c r="AJ1142">
        <f t="shared" si="118"/>
        <v>2950</v>
      </c>
      <c r="AK1142">
        <f t="shared" si="119"/>
        <v>2950</v>
      </c>
    </row>
    <row r="1143" spans="30:37">
      <c r="AD1143" s="154">
        <v>205404</v>
      </c>
      <c r="AE1143" s="155">
        <v>121220</v>
      </c>
      <c r="AF1143">
        <f t="shared" si="116"/>
        <v>54</v>
      </c>
      <c r="AG1143">
        <f t="shared" si="115"/>
        <v>4</v>
      </c>
      <c r="AH1143" t="str">
        <f t="shared" si="120"/>
        <v>困难</v>
      </c>
      <c r="AI1143">
        <f t="shared" si="117"/>
        <v>6563</v>
      </c>
      <c r="AJ1143">
        <f t="shared" si="118"/>
        <v>2950</v>
      </c>
      <c r="AK1143">
        <f t="shared" si="119"/>
        <v>2950</v>
      </c>
    </row>
    <row r="1144" spans="30:37">
      <c r="AD1144" s="154">
        <v>205404</v>
      </c>
      <c r="AE1144" s="155">
        <v>121220</v>
      </c>
      <c r="AF1144">
        <f t="shared" si="116"/>
        <v>54</v>
      </c>
      <c r="AG1144">
        <f t="shared" si="115"/>
        <v>4</v>
      </c>
      <c r="AH1144" t="str">
        <f t="shared" si="120"/>
        <v>困难</v>
      </c>
      <c r="AI1144">
        <f t="shared" si="117"/>
        <v>6563</v>
      </c>
      <c r="AJ1144">
        <f t="shared" si="118"/>
        <v>2950</v>
      </c>
      <c r="AK1144">
        <f t="shared" si="119"/>
        <v>2950</v>
      </c>
    </row>
    <row r="1145" spans="30:37">
      <c r="AD1145" s="154">
        <v>205501</v>
      </c>
      <c r="AE1145" s="155">
        <v>121242</v>
      </c>
      <c r="AF1145">
        <f t="shared" si="116"/>
        <v>55</v>
      </c>
      <c r="AG1145">
        <f t="shared" si="115"/>
        <v>1</v>
      </c>
      <c r="AH1145" t="str">
        <f t="shared" si="120"/>
        <v>简单</v>
      </c>
      <c r="AI1145">
        <f t="shared" si="117"/>
        <v>4454</v>
      </c>
      <c r="AJ1145">
        <f t="shared" si="118"/>
        <v>1971</v>
      </c>
      <c r="AK1145">
        <f t="shared" si="119"/>
        <v>37005</v>
      </c>
    </row>
    <row r="1146" spans="30:37">
      <c r="AD1146" s="154">
        <v>205501</v>
      </c>
      <c r="AE1146" s="155">
        <v>121246</v>
      </c>
      <c r="AF1146">
        <f t="shared" si="116"/>
        <v>55</v>
      </c>
      <c r="AG1146">
        <f t="shared" si="115"/>
        <v>1</v>
      </c>
      <c r="AH1146" t="str">
        <f t="shared" si="120"/>
        <v>简单</v>
      </c>
      <c r="AI1146">
        <f t="shared" si="117"/>
        <v>4454</v>
      </c>
      <c r="AJ1146">
        <f t="shared" si="118"/>
        <v>1971</v>
      </c>
      <c r="AK1146">
        <f t="shared" si="119"/>
        <v>37005</v>
      </c>
    </row>
    <row r="1147" spans="30:37">
      <c r="AD1147" s="154">
        <v>205501</v>
      </c>
      <c r="AE1147" s="155">
        <v>121239</v>
      </c>
      <c r="AF1147">
        <f t="shared" si="116"/>
        <v>55</v>
      </c>
      <c r="AG1147">
        <f t="shared" si="115"/>
        <v>1</v>
      </c>
      <c r="AH1147" t="str">
        <f t="shared" si="120"/>
        <v>简单</v>
      </c>
      <c r="AI1147">
        <f t="shared" si="117"/>
        <v>4454</v>
      </c>
      <c r="AJ1147">
        <f t="shared" si="118"/>
        <v>1971</v>
      </c>
      <c r="AK1147">
        <f t="shared" si="119"/>
        <v>37005</v>
      </c>
    </row>
    <row r="1148" spans="30:37">
      <c r="AD1148" s="154">
        <v>205501</v>
      </c>
      <c r="AE1148" s="155">
        <v>121240</v>
      </c>
      <c r="AF1148">
        <f t="shared" si="116"/>
        <v>55</v>
      </c>
      <c r="AG1148">
        <f t="shared" si="115"/>
        <v>1</v>
      </c>
      <c r="AH1148" t="str">
        <f t="shared" si="120"/>
        <v>简单</v>
      </c>
      <c r="AI1148">
        <f t="shared" si="117"/>
        <v>4454</v>
      </c>
      <c r="AJ1148">
        <f t="shared" si="118"/>
        <v>1971</v>
      </c>
      <c r="AK1148">
        <f t="shared" si="119"/>
        <v>37005</v>
      </c>
    </row>
    <row r="1149" spans="30:37">
      <c r="AD1149" s="154">
        <v>205501</v>
      </c>
      <c r="AE1149" s="155">
        <v>121241</v>
      </c>
      <c r="AF1149">
        <f t="shared" si="116"/>
        <v>55</v>
      </c>
      <c r="AG1149">
        <f t="shared" si="115"/>
        <v>1</v>
      </c>
      <c r="AH1149" t="str">
        <f t="shared" si="120"/>
        <v>简单</v>
      </c>
      <c r="AI1149">
        <f t="shared" si="117"/>
        <v>4454</v>
      </c>
      <c r="AJ1149">
        <f t="shared" si="118"/>
        <v>1971</v>
      </c>
      <c r="AK1149">
        <f t="shared" si="119"/>
        <v>37005</v>
      </c>
    </row>
    <row r="1150" spans="30:37">
      <c r="AD1150" s="154">
        <v>205502</v>
      </c>
      <c r="AE1150" s="155">
        <v>121233</v>
      </c>
      <c r="AF1150">
        <f t="shared" si="116"/>
        <v>55</v>
      </c>
      <c r="AG1150">
        <f t="shared" si="115"/>
        <v>2</v>
      </c>
      <c r="AH1150" t="str">
        <f t="shared" si="120"/>
        <v>简单</v>
      </c>
      <c r="AI1150">
        <f t="shared" si="117"/>
        <v>4454</v>
      </c>
      <c r="AJ1150">
        <f t="shared" si="118"/>
        <v>1971</v>
      </c>
      <c r="AK1150">
        <f t="shared" si="119"/>
        <v>37005</v>
      </c>
    </row>
    <row r="1151" spans="30:37">
      <c r="AD1151" s="154">
        <v>205502</v>
      </c>
      <c r="AE1151" s="155">
        <v>121245</v>
      </c>
      <c r="AF1151">
        <f t="shared" si="116"/>
        <v>55</v>
      </c>
      <c r="AG1151">
        <f t="shared" si="115"/>
        <v>2</v>
      </c>
      <c r="AH1151" t="str">
        <f t="shared" si="120"/>
        <v>简单</v>
      </c>
      <c r="AI1151">
        <f t="shared" si="117"/>
        <v>4454</v>
      </c>
      <c r="AJ1151">
        <f t="shared" si="118"/>
        <v>1971</v>
      </c>
      <c r="AK1151">
        <f t="shared" si="119"/>
        <v>37005</v>
      </c>
    </row>
    <row r="1152" spans="30:37">
      <c r="AD1152" s="154">
        <v>205502</v>
      </c>
      <c r="AE1152" s="155">
        <v>121234</v>
      </c>
      <c r="AF1152">
        <f t="shared" si="116"/>
        <v>55</v>
      </c>
      <c r="AG1152">
        <f t="shared" si="115"/>
        <v>2</v>
      </c>
      <c r="AH1152" t="str">
        <f t="shared" si="120"/>
        <v>简单</v>
      </c>
      <c r="AI1152">
        <f t="shared" si="117"/>
        <v>4454</v>
      </c>
      <c r="AJ1152">
        <f t="shared" si="118"/>
        <v>1971</v>
      </c>
      <c r="AK1152">
        <f t="shared" si="119"/>
        <v>37005</v>
      </c>
    </row>
    <row r="1153" spans="30:37">
      <c r="AD1153" s="154">
        <v>205502</v>
      </c>
      <c r="AE1153" s="155">
        <v>121243</v>
      </c>
      <c r="AF1153">
        <f t="shared" si="116"/>
        <v>55</v>
      </c>
      <c r="AG1153">
        <f t="shared" si="115"/>
        <v>2</v>
      </c>
      <c r="AH1153" t="str">
        <f t="shared" si="120"/>
        <v>简单</v>
      </c>
      <c r="AI1153">
        <f t="shared" si="117"/>
        <v>4454</v>
      </c>
      <c r="AJ1153">
        <f t="shared" si="118"/>
        <v>1971</v>
      </c>
      <c r="AK1153">
        <f t="shared" si="119"/>
        <v>37005</v>
      </c>
    </row>
    <row r="1154" spans="30:37">
      <c r="AD1154" s="154">
        <v>205502</v>
      </c>
      <c r="AE1154" s="155">
        <v>121240</v>
      </c>
      <c r="AF1154">
        <f t="shared" si="116"/>
        <v>55</v>
      </c>
      <c r="AG1154">
        <f t="shared" si="115"/>
        <v>2</v>
      </c>
      <c r="AH1154" t="str">
        <f t="shared" si="120"/>
        <v>简单</v>
      </c>
      <c r="AI1154">
        <f t="shared" si="117"/>
        <v>4454</v>
      </c>
      <c r="AJ1154">
        <f t="shared" si="118"/>
        <v>1971</v>
      </c>
      <c r="AK1154">
        <f t="shared" si="119"/>
        <v>37005</v>
      </c>
    </row>
    <row r="1155" spans="30:37">
      <c r="AD1155" s="154">
        <v>205503</v>
      </c>
      <c r="AE1155" s="155">
        <v>121242</v>
      </c>
      <c r="AF1155">
        <f t="shared" si="116"/>
        <v>55</v>
      </c>
      <c r="AG1155">
        <f t="shared" si="115"/>
        <v>3</v>
      </c>
      <c r="AH1155" t="str">
        <f t="shared" si="120"/>
        <v>困难</v>
      </c>
      <c r="AI1155">
        <f t="shared" si="117"/>
        <v>6974</v>
      </c>
      <c r="AJ1155">
        <f t="shared" si="118"/>
        <v>3174</v>
      </c>
      <c r="AK1155">
        <f t="shared" si="119"/>
        <v>3174</v>
      </c>
    </row>
    <row r="1156" spans="30:37">
      <c r="AD1156" s="154">
        <v>205503</v>
      </c>
      <c r="AE1156" s="155">
        <v>121246</v>
      </c>
      <c r="AF1156">
        <f t="shared" si="116"/>
        <v>55</v>
      </c>
      <c r="AG1156">
        <f t="shared" si="115"/>
        <v>3</v>
      </c>
      <c r="AH1156" t="str">
        <f t="shared" si="120"/>
        <v>困难</v>
      </c>
      <c r="AI1156">
        <f t="shared" si="117"/>
        <v>6974</v>
      </c>
      <c r="AJ1156">
        <f t="shared" si="118"/>
        <v>3174</v>
      </c>
      <c r="AK1156">
        <f t="shared" si="119"/>
        <v>3174</v>
      </c>
    </row>
    <row r="1157" spans="30:37">
      <c r="AD1157" s="154">
        <v>205503</v>
      </c>
      <c r="AE1157" s="155">
        <v>121239</v>
      </c>
      <c r="AF1157">
        <f t="shared" si="116"/>
        <v>55</v>
      </c>
      <c r="AG1157">
        <f t="shared" si="115"/>
        <v>3</v>
      </c>
      <c r="AH1157" t="str">
        <f t="shared" si="120"/>
        <v>困难</v>
      </c>
      <c r="AI1157">
        <f t="shared" si="117"/>
        <v>6974</v>
      </c>
      <c r="AJ1157">
        <f t="shared" si="118"/>
        <v>3174</v>
      </c>
      <c r="AK1157">
        <f t="shared" si="119"/>
        <v>3174</v>
      </c>
    </row>
    <row r="1158" spans="30:37">
      <c r="AD1158" s="154">
        <v>205503</v>
      </c>
      <c r="AE1158" s="155">
        <v>121240</v>
      </c>
      <c r="AF1158">
        <f t="shared" si="116"/>
        <v>55</v>
      </c>
      <c r="AG1158">
        <f t="shared" si="115"/>
        <v>3</v>
      </c>
      <c r="AH1158" t="str">
        <f t="shared" si="120"/>
        <v>困难</v>
      </c>
      <c r="AI1158">
        <f t="shared" si="117"/>
        <v>6974</v>
      </c>
      <c r="AJ1158">
        <f t="shared" si="118"/>
        <v>3174</v>
      </c>
      <c r="AK1158">
        <f t="shared" si="119"/>
        <v>3174</v>
      </c>
    </row>
    <row r="1159" spans="30:37">
      <c r="AD1159" s="154">
        <v>205503</v>
      </c>
      <c r="AE1159" s="155">
        <v>121241</v>
      </c>
      <c r="AF1159">
        <f t="shared" si="116"/>
        <v>55</v>
      </c>
      <c r="AG1159">
        <f t="shared" si="115"/>
        <v>3</v>
      </c>
      <c r="AH1159" t="str">
        <f t="shared" si="120"/>
        <v>困难</v>
      </c>
      <c r="AI1159">
        <f t="shared" si="117"/>
        <v>6974</v>
      </c>
      <c r="AJ1159">
        <f t="shared" si="118"/>
        <v>3174</v>
      </c>
      <c r="AK1159">
        <f t="shared" si="119"/>
        <v>3174</v>
      </c>
    </row>
    <row r="1160" spans="30:37">
      <c r="AD1160" s="154">
        <v>205504</v>
      </c>
      <c r="AE1160" s="155">
        <v>121233</v>
      </c>
      <c r="AF1160">
        <f t="shared" si="116"/>
        <v>55</v>
      </c>
      <c r="AG1160">
        <f t="shared" si="115"/>
        <v>4</v>
      </c>
      <c r="AH1160" t="str">
        <f t="shared" si="120"/>
        <v>困难</v>
      </c>
      <c r="AI1160">
        <f t="shared" si="117"/>
        <v>6974</v>
      </c>
      <c r="AJ1160">
        <f t="shared" si="118"/>
        <v>3174</v>
      </c>
      <c r="AK1160">
        <f t="shared" si="119"/>
        <v>3174</v>
      </c>
    </row>
    <row r="1161" spans="30:37">
      <c r="AD1161" s="154">
        <v>205504</v>
      </c>
      <c r="AE1161" s="155">
        <v>121245</v>
      </c>
      <c r="AF1161">
        <f t="shared" si="116"/>
        <v>55</v>
      </c>
      <c r="AG1161">
        <f t="shared" si="115"/>
        <v>4</v>
      </c>
      <c r="AH1161" t="str">
        <f t="shared" si="120"/>
        <v>困难</v>
      </c>
      <c r="AI1161">
        <f t="shared" si="117"/>
        <v>6974</v>
      </c>
      <c r="AJ1161">
        <f t="shared" si="118"/>
        <v>3174</v>
      </c>
      <c r="AK1161">
        <f t="shared" si="119"/>
        <v>3174</v>
      </c>
    </row>
    <row r="1162" spans="30:37">
      <c r="AD1162" s="154">
        <v>205504</v>
      </c>
      <c r="AE1162" s="155">
        <v>121234</v>
      </c>
      <c r="AF1162">
        <f t="shared" si="116"/>
        <v>55</v>
      </c>
      <c r="AG1162">
        <f t="shared" si="115"/>
        <v>4</v>
      </c>
      <c r="AH1162" t="str">
        <f t="shared" si="120"/>
        <v>困难</v>
      </c>
      <c r="AI1162">
        <f t="shared" si="117"/>
        <v>6974</v>
      </c>
      <c r="AJ1162">
        <f t="shared" si="118"/>
        <v>3174</v>
      </c>
      <c r="AK1162">
        <f t="shared" si="119"/>
        <v>3174</v>
      </c>
    </row>
    <row r="1163" spans="30:37">
      <c r="AD1163" s="154">
        <v>205504</v>
      </c>
      <c r="AE1163" s="155">
        <v>121243</v>
      </c>
      <c r="AF1163">
        <f t="shared" si="116"/>
        <v>55</v>
      </c>
      <c r="AG1163">
        <f t="shared" si="115"/>
        <v>4</v>
      </c>
      <c r="AH1163" t="str">
        <f t="shared" si="120"/>
        <v>困难</v>
      </c>
      <c r="AI1163">
        <f t="shared" si="117"/>
        <v>6974</v>
      </c>
      <c r="AJ1163">
        <f t="shared" si="118"/>
        <v>3174</v>
      </c>
      <c r="AK1163">
        <f t="shared" si="119"/>
        <v>3174</v>
      </c>
    </row>
    <row r="1164" spans="30:37">
      <c r="AD1164" s="154">
        <v>205504</v>
      </c>
      <c r="AE1164" s="155">
        <v>121240</v>
      </c>
      <c r="AF1164">
        <f t="shared" si="116"/>
        <v>55</v>
      </c>
      <c r="AG1164">
        <f t="shared" si="115"/>
        <v>4</v>
      </c>
      <c r="AH1164" t="str">
        <f t="shared" si="120"/>
        <v>困难</v>
      </c>
      <c r="AI1164">
        <f t="shared" si="117"/>
        <v>6974</v>
      </c>
      <c r="AJ1164">
        <f t="shared" si="118"/>
        <v>3174</v>
      </c>
      <c r="AK1164">
        <f t="shared" si="119"/>
        <v>3174</v>
      </c>
    </row>
    <row r="1165" spans="30:37">
      <c r="AD1165" s="154">
        <v>205601</v>
      </c>
      <c r="AE1165" s="155">
        <v>121250</v>
      </c>
      <c r="AF1165">
        <f t="shared" si="116"/>
        <v>56</v>
      </c>
      <c r="AG1165">
        <f t="shared" si="115"/>
        <v>1</v>
      </c>
      <c r="AH1165" t="str">
        <f t="shared" si="120"/>
        <v>简单</v>
      </c>
      <c r="AI1165">
        <f t="shared" si="117"/>
        <v>4454</v>
      </c>
      <c r="AJ1165">
        <f t="shared" si="118"/>
        <v>1971</v>
      </c>
      <c r="AK1165">
        <f t="shared" si="119"/>
        <v>37005</v>
      </c>
    </row>
    <row r="1166" spans="30:37">
      <c r="AD1166" s="154">
        <v>205601</v>
      </c>
      <c r="AE1166" s="155">
        <v>121251</v>
      </c>
      <c r="AF1166">
        <f t="shared" si="116"/>
        <v>56</v>
      </c>
      <c r="AG1166">
        <f t="shared" si="115"/>
        <v>1</v>
      </c>
      <c r="AH1166" t="str">
        <f t="shared" si="120"/>
        <v>简单</v>
      </c>
      <c r="AI1166">
        <f t="shared" si="117"/>
        <v>4454</v>
      </c>
      <c r="AJ1166">
        <f t="shared" si="118"/>
        <v>1971</v>
      </c>
      <c r="AK1166">
        <f t="shared" si="119"/>
        <v>37005</v>
      </c>
    </row>
    <row r="1167" spans="30:37">
      <c r="AD1167" s="154">
        <v>205601</v>
      </c>
      <c r="AE1167" s="155">
        <v>121237</v>
      </c>
      <c r="AF1167">
        <f t="shared" si="116"/>
        <v>56</v>
      </c>
      <c r="AG1167">
        <f t="shared" si="115"/>
        <v>1</v>
      </c>
      <c r="AH1167" t="str">
        <f t="shared" si="120"/>
        <v>简单</v>
      </c>
      <c r="AI1167">
        <f t="shared" si="117"/>
        <v>4454</v>
      </c>
      <c r="AJ1167">
        <f t="shared" si="118"/>
        <v>1971</v>
      </c>
      <c r="AK1167">
        <f t="shared" si="119"/>
        <v>37005</v>
      </c>
    </row>
    <row r="1168" spans="30:37">
      <c r="AD1168" s="154">
        <v>205601</v>
      </c>
      <c r="AE1168" s="155">
        <v>121258</v>
      </c>
      <c r="AF1168">
        <f t="shared" si="116"/>
        <v>56</v>
      </c>
      <c r="AG1168">
        <f t="shared" si="115"/>
        <v>1</v>
      </c>
      <c r="AH1168" t="str">
        <f t="shared" si="120"/>
        <v>简单</v>
      </c>
      <c r="AI1168">
        <f t="shared" si="117"/>
        <v>4454</v>
      </c>
      <c r="AJ1168">
        <f t="shared" si="118"/>
        <v>1971</v>
      </c>
      <c r="AK1168">
        <f t="shared" si="119"/>
        <v>37005</v>
      </c>
    </row>
    <row r="1169" spans="30:37">
      <c r="AD1169" s="154">
        <v>205601</v>
      </c>
      <c r="AE1169" s="155">
        <v>121235</v>
      </c>
      <c r="AF1169">
        <f t="shared" si="116"/>
        <v>56</v>
      </c>
      <c r="AG1169">
        <f t="shared" si="115"/>
        <v>1</v>
      </c>
      <c r="AH1169" t="str">
        <f t="shared" si="120"/>
        <v>简单</v>
      </c>
      <c r="AI1169">
        <f t="shared" si="117"/>
        <v>4454</v>
      </c>
      <c r="AJ1169">
        <f t="shared" si="118"/>
        <v>1971</v>
      </c>
      <c r="AK1169">
        <f t="shared" si="119"/>
        <v>37005</v>
      </c>
    </row>
    <row r="1170" spans="30:37">
      <c r="AD1170" s="154">
        <v>205602</v>
      </c>
      <c r="AE1170" s="155">
        <v>121253</v>
      </c>
      <c r="AF1170">
        <f t="shared" si="116"/>
        <v>56</v>
      </c>
      <c r="AG1170">
        <f t="shared" si="115"/>
        <v>2</v>
      </c>
      <c r="AH1170" t="str">
        <f t="shared" si="120"/>
        <v>简单</v>
      </c>
      <c r="AI1170">
        <f t="shared" si="117"/>
        <v>4454</v>
      </c>
      <c r="AJ1170">
        <f t="shared" si="118"/>
        <v>1971</v>
      </c>
      <c r="AK1170">
        <f t="shared" si="119"/>
        <v>37005</v>
      </c>
    </row>
    <row r="1171" spans="30:37">
      <c r="AD1171" s="154">
        <v>205602</v>
      </c>
      <c r="AE1171" s="155">
        <v>1113043</v>
      </c>
      <c r="AF1171">
        <f t="shared" si="116"/>
        <v>56</v>
      </c>
      <c r="AG1171">
        <f t="shared" si="115"/>
        <v>2</v>
      </c>
      <c r="AH1171" t="str">
        <f t="shared" si="120"/>
        <v>简单</v>
      </c>
      <c r="AI1171">
        <f t="shared" si="117"/>
        <v>5939</v>
      </c>
      <c r="AJ1171">
        <f t="shared" si="118"/>
        <v>1971</v>
      </c>
      <c r="AK1171">
        <f t="shared" si="119"/>
        <v>37005</v>
      </c>
    </row>
    <row r="1172" spans="30:37">
      <c r="AD1172" s="154">
        <v>205602</v>
      </c>
      <c r="AE1172" s="155">
        <v>1113030</v>
      </c>
      <c r="AF1172">
        <f t="shared" si="116"/>
        <v>56</v>
      </c>
      <c r="AG1172">
        <f t="shared" si="115"/>
        <v>2</v>
      </c>
      <c r="AH1172" t="str">
        <f t="shared" si="120"/>
        <v>简单</v>
      </c>
      <c r="AI1172">
        <f t="shared" si="117"/>
        <v>5939</v>
      </c>
      <c r="AJ1172">
        <f t="shared" si="118"/>
        <v>1971</v>
      </c>
      <c r="AK1172">
        <f t="shared" si="119"/>
        <v>37005</v>
      </c>
    </row>
    <row r="1173" spans="30:37">
      <c r="AD1173" s="154">
        <v>205602</v>
      </c>
      <c r="AE1173" s="155">
        <v>121252</v>
      </c>
      <c r="AF1173">
        <f t="shared" si="116"/>
        <v>56</v>
      </c>
      <c r="AG1173">
        <f t="shared" si="115"/>
        <v>2</v>
      </c>
      <c r="AH1173" t="str">
        <f t="shared" si="120"/>
        <v>简单</v>
      </c>
      <c r="AI1173">
        <f t="shared" si="117"/>
        <v>4454</v>
      </c>
      <c r="AJ1173">
        <f t="shared" si="118"/>
        <v>1971</v>
      </c>
      <c r="AK1173">
        <f t="shared" si="119"/>
        <v>37005</v>
      </c>
    </row>
    <row r="1174" spans="30:37">
      <c r="AD1174" s="154">
        <v>205602</v>
      </c>
      <c r="AE1174" s="155">
        <v>121232</v>
      </c>
      <c r="AF1174">
        <f t="shared" si="116"/>
        <v>56</v>
      </c>
      <c r="AG1174">
        <f t="shared" ref="AG1174:AG1237" si="121">ROUNDDOWN(RIGHT(AD1174,2),0)</f>
        <v>2</v>
      </c>
      <c r="AH1174" t="str">
        <f t="shared" si="120"/>
        <v>简单</v>
      </c>
      <c r="AI1174">
        <f t="shared" si="117"/>
        <v>4454</v>
      </c>
      <c r="AJ1174">
        <f t="shared" si="118"/>
        <v>1971</v>
      </c>
      <c r="AK1174">
        <f t="shared" si="119"/>
        <v>37005</v>
      </c>
    </row>
    <row r="1175" spans="30:37">
      <c r="AD1175" s="154">
        <v>205603</v>
      </c>
      <c r="AE1175" s="155">
        <v>121250</v>
      </c>
      <c r="AF1175">
        <f t="shared" si="116"/>
        <v>56</v>
      </c>
      <c r="AG1175">
        <f t="shared" si="121"/>
        <v>3</v>
      </c>
      <c r="AH1175" t="str">
        <f t="shared" si="120"/>
        <v>困难</v>
      </c>
      <c r="AI1175">
        <f t="shared" si="117"/>
        <v>6974</v>
      </c>
      <c r="AJ1175">
        <f t="shared" si="118"/>
        <v>3174</v>
      </c>
      <c r="AK1175">
        <f t="shared" si="119"/>
        <v>3174</v>
      </c>
    </row>
    <row r="1176" spans="30:37">
      <c r="AD1176" s="154">
        <v>205603</v>
      </c>
      <c r="AE1176" s="155">
        <v>121251</v>
      </c>
      <c r="AF1176">
        <f t="shared" si="116"/>
        <v>56</v>
      </c>
      <c r="AG1176">
        <f t="shared" si="121"/>
        <v>3</v>
      </c>
      <c r="AH1176" t="str">
        <f t="shared" si="120"/>
        <v>困难</v>
      </c>
      <c r="AI1176">
        <f t="shared" si="117"/>
        <v>6974</v>
      </c>
      <c r="AJ1176">
        <f t="shared" si="118"/>
        <v>3174</v>
      </c>
      <c r="AK1176">
        <f t="shared" si="119"/>
        <v>3174</v>
      </c>
    </row>
    <row r="1177" spans="30:37">
      <c r="AD1177" s="154">
        <v>205603</v>
      </c>
      <c r="AE1177" s="155">
        <v>121237</v>
      </c>
      <c r="AF1177">
        <f t="shared" si="116"/>
        <v>56</v>
      </c>
      <c r="AG1177">
        <f t="shared" si="121"/>
        <v>3</v>
      </c>
      <c r="AH1177" t="str">
        <f t="shared" si="120"/>
        <v>困难</v>
      </c>
      <c r="AI1177">
        <f t="shared" si="117"/>
        <v>6974</v>
      </c>
      <c r="AJ1177">
        <f t="shared" si="118"/>
        <v>3174</v>
      </c>
      <c r="AK1177">
        <f t="shared" si="119"/>
        <v>3174</v>
      </c>
    </row>
    <row r="1178" spans="30:37">
      <c r="AD1178" s="154">
        <v>205603</v>
      </c>
      <c r="AE1178" s="155">
        <v>121258</v>
      </c>
      <c r="AF1178">
        <f t="shared" si="116"/>
        <v>56</v>
      </c>
      <c r="AG1178">
        <f t="shared" si="121"/>
        <v>3</v>
      </c>
      <c r="AH1178" t="str">
        <f t="shared" si="120"/>
        <v>困难</v>
      </c>
      <c r="AI1178">
        <f t="shared" si="117"/>
        <v>6974</v>
      </c>
      <c r="AJ1178">
        <f t="shared" si="118"/>
        <v>3174</v>
      </c>
      <c r="AK1178">
        <f t="shared" si="119"/>
        <v>3174</v>
      </c>
    </row>
    <row r="1179" spans="30:37">
      <c r="AD1179" s="154">
        <v>205603</v>
      </c>
      <c r="AE1179" s="155">
        <v>121235</v>
      </c>
      <c r="AF1179">
        <f t="shared" si="116"/>
        <v>56</v>
      </c>
      <c r="AG1179">
        <f t="shared" si="121"/>
        <v>3</v>
      </c>
      <c r="AH1179" t="str">
        <f t="shared" si="120"/>
        <v>困难</v>
      </c>
      <c r="AI1179">
        <f t="shared" si="117"/>
        <v>6974</v>
      </c>
      <c r="AJ1179">
        <f t="shared" si="118"/>
        <v>3174</v>
      </c>
      <c r="AK1179">
        <f t="shared" si="119"/>
        <v>3174</v>
      </c>
    </row>
    <row r="1180" spans="30:37">
      <c r="AD1180" s="154">
        <v>205604</v>
      </c>
      <c r="AE1180" s="155">
        <v>121253</v>
      </c>
      <c r="AF1180">
        <f t="shared" si="116"/>
        <v>56</v>
      </c>
      <c r="AG1180">
        <f t="shared" si="121"/>
        <v>4</v>
      </c>
      <c r="AH1180" t="str">
        <f t="shared" si="120"/>
        <v>困难</v>
      </c>
      <c r="AI1180">
        <f t="shared" si="117"/>
        <v>6974</v>
      </c>
      <c r="AJ1180">
        <f t="shared" si="118"/>
        <v>3174</v>
      </c>
      <c r="AK1180">
        <f t="shared" si="119"/>
        <v>3174</v>
      </c>
    </row>
    <row r="1181" spans="30:37">
      <c r="AD1181" s="154">
        <v>205604</v>
      </c>
      <c r="AE1181" s="155">
        <v>1113043</v>
      </c>
      <c r="AF1181">
        <f t="shared" si="116"/>
        <v>56</v>
      </c>
      <c r="AG1181">
        <f t="shared" si="121"/>
        <v>4</v>
      </c>
      <c r="AH1181" t="str">
        <f t="shared" si="120"/>
        <v>困难</v>
      </c>
      <c r="AI1181">
        <f t="shared" si="117"/>
        <v>7671</v>
      </c>
      <c r="AJ1181">
        <f t="shared" si="118"/>
        <v>3174</v>
      </c>
      <c r="AK1181">
        <f t="shared" si="119"/>
        <v>3174</v>
      </c>
    </row>
    <row r="1182" spans="30:37">
      <c r="AD1182" s="154">
        <v>205604</v>
      </c>
      <c r="AE1182" s="155">
        <v>1113030</v>
      </c>
      <c r="AF1182">
        <f t="shared" ref="AF1182:AF1245" si="122">MOD(ROUNDDOWN(AD1182/100,0),100)</f>
        <v>56</v>
      </c>
      <c r="AG1182">
        <f t="shared" si="121"/>
        <v>4</v>
      </c>
      <c r="AH1182" t="str">
        <f t="shared" si="120"/>
        <v>困难</v>
      </c>
      <c r="AI1182">
        <f t="shared" si="117"/>
        <v>7671</v>
      </c>
      <c r="AJ1182">
        <f t="shared" si="118"/>
        <v>3174</v>
      </c>
      <c r="AK1182">
        <f t="shared" si="119"/>
        <v>3174</v>
      </c>
    </row>
    <row r="1183" spans="30:37">
      <c r="AD1183" s="154">
        <v>205604</v>
      </c>
      <c r="AE1183" s="155">
        <v>121252</v>
      </c>
      <c r="AF1183">
        <f t="shared" si="122"/>
        <v>56</v>
      </c>
      <c r="AG1183">
        <f t="shared" si="121"/>
        <v>4</v>
      </c>
      <c r="AH1183" t="str">
        <f t="shared" si="120"/>
        <v>困难</v>
      </c>
      <c r="AI1183">
        <f t="shared" ref="AI1183:AI1246" si="123">IF($AH1183="简单",IF(AE1183&lt;122000,VLOOKUP($AF1183,$N:$T,2,0),VLOOKUP($AF1183,$N:$T,5,0)),IF(AE1183&lt;122000,VLOOKUP($AF1183,$V:$AB,2,0),VLOOKUP($AF1183,$V:$AB,5,0)))</f>
        <v>6974</v>
      </c>
      <c r="AJ1183">
        <f t="shared" ref="AJ1183:AJ1246" si="124">IF($AH1183="简单",IF(AF1183&lt;122000,VLOOKUP($AF1183,$N:$T,3,0),VLOOKUP($AF1183,$N:$T,6,0)),IF(AF1183&lt;122000,VLOOKUP($AF1183,$V:$AB,3,0),VLOOKUP($AF1183,$V:$AB,6,0)))</f>
        <v>3174</v>
      </c>
      <c r="AK1183">
        <f t="shared" ref="AK1183:AK1246" si="125">IF($AH1183="简单",IF(AG1183&lt;122000,VLOOKUP($AF1183,$N:$T,4,0),VLOOKUP($AF1183,$N:$T,7,0)),IF(AG1183&lt;122000,VLOOKUP($AF1183,$V:$AB,3,0),VLOOKUP($AF1183,$V:$AB,6,0)))</f>
        <v>3174</v>
      </c>
    </row>
    <row r="1184" spans="30:37">
      <c r="AD1184" s="154">
        <v>205604</v>
      </c>
      <c r="AE1184" s="155">
        <v>121232</v>
      </c>
      <c r="AF1184">
        <f t="shared" si="122"/>
        <v>56</v>
      </c>
      <c r="AG1184">
        <f t="shared" si="121"/>
        <v>4</v>
      </c>
      <c r="AH1184" t="str">
        <f t="shared" si="120"/>
        <v>困难</v>
      </c>
      <c r="AI1184">
        <f t="shared" si="123"/>
        <v>6974</v>
      </c>
      <c r="AJ1184">
        <f t="shared" si="124"/>
        <v>3174</v>
      </c>
      <c r="AK1184">
        <f t="shared" si="125"/>
        <v>3174</v>
      </c>
    </row>
    <row r="1185" spans="30:37">
      <c r="AD1185" s="154">
        <v>205701</v>
      </c>
      <c r="AE1185" s="155">
        <v>121252</v>
      </c>
      <c r="AF1185">
        <f t="shared" si="122"/>
        <v>57</v>
      </c>
      <c r="AG1185">
        <f t="shared" si="121"/>
        <v>1</v>
      </c>
      <c r="AH1185" t="str">
        <f t="shared" si="120"/>
        <v>简单</v>
      </c>
      <c r="AI1185">
        <f t="shared" si="123"/>
        <v>4454</v>
      </c>
      <c r="AJ1185">
        <f t="shared" si="124"/>
        <v>1971</v>
      </c>
      <c r="AK1185">
        <f t="shared" si="125"/>
        <v>37005</v>
      </c>
    </row>
    <row r="1186" spans="30:37">
      <c r="AD1186" s="154">
        <v>205701</v>
      </c>
      <c r="AE1186" s="155">
        <v>121253</v>
      </c>
      <c r="AF1186">
        <f t="shared" si="122"/>
        <v>57</v>
      </c>
      <c r="AG1186">
        <f t="shared" si="121"/>
        <v>1</v>
      </c>
      <c r="AH1186" t="str">
        <f t="shared" si="120"/>
        <v>简单</v>
      </c>
      <c r="AI1186">
        <f t="shared" si="123"/>
        <v>4454</v>
      </c>
      <c r="AJ1186">
        <f t="shared" si="124"/>
        <v>1971</v>
      </c>
      <c r="AK1186">
        <f t="shared" si="125"/>
        <v>37005</v>
      </c>
    </row>
    <row r="1187" spans="30:37">
      <c r="AD1187" s="154">
        <v>205701</v>
      </c>
      <c r="AE1187" s="155">
        <v>121237</v>
      </c>
      <c r="AF1187">
        <f t="shared" si="122"/>
        <v>57</v>
      </c>
      <c r="AG1187">
        <f t="shared" si="121"/>
        <v>1</v>
      </c>
      <c r="AH1187" t="str">
        <f t="shared" si="120"/>
        <v>简单</v>
      </c>
      <c r="AI1187">
        <f t="shared" si="123"/>
        <v>4454</v>
      </c>
      <c r="AJ1187">
        <f t="shared" si="124"/>
        <v>1971</v>
      </c>
      <c r="AK1187">
        <f t="shared" si="125"/>
        <v>37005</v>
      </c>
    </row>
    <row r="1188" spans="30:37">
      <c r="AD1188" s="154">
        <v>205701</v>
      </c>
      <c r="AE1188" s="155">
        <v>121237</v>
      </c>
      <c r="AF1188">
        <f t="shared" si="122"/>
        <v>57</v>
      </c>
      <c r="AG1188">
        <f t="shared" si="121"/>
        <v>1</v>
      </c>
      <c r="AH1188" t="str">
        <f t="shared" si="120"/>
        <v>简单</v>
      </c>
      <c r="AI1188">
        <f t="shared" si="123"/>
        <v>4454</v>
      </c>
      <c r="AJ1188">
        <f t="shared" si="124"/>
        <v>1971</v>
      </c>
      <c r="AK1188">
        <f t="shared" si="125"/>
        <v>37005</v>
      </c>
    </row>
    <row r="1189" spans="30:37">
      <c r="AD1189" s="154">
        <v>205701</v>
      </c>
      <c r="AE1189" s="155">
        <v>121237</v>
      </c>
      <c r="AF1189">
        <f t="shared" si="122"/>
        <v>57</v>
      </c>
      <c r="AG1189">
        <f t="shared" si="121"/>
        <v>1</v>
      </c>
      <c r="AH1189" t="str">
        <f t="shared" si="120"/>
        <v>简单</v>
      </c>
      <c r="AI1189">
        <f t="shared" si="123"/>
        <v>4454</v>
      </c>
      <c r="AJ1189">
        <f t="shared" si="124"/>
        <v>1971</v>
      </c>
      <c r="AK1189">
        <f t="shared" si="125"/>
        <v>37005</v>
      </c>
    </row>
    <row r="1190" spans="30:37">
      <c r="AD1190" s="154">
        <v>205702</v>
      </c>
      <c r="AE1190" s="155">
        <v>121252</v>
      </c>
      <c r="AF1190">
        <f t="shared" si="122"/>
        <v>57</v>
      </c>
      <c r="AG1190">
        <f t="shared" si="121"/>
        <v>2</v>
      </c>
      <c r="AH1190" t="str">
        <f t="shared" si="120"/>
        <v>简单</v>
      </c>
      <c r="AI1190">
        <f t="shared" si="123"/>
        <v>4454</v>
      </c>
      <c r="AJ1190">
        <f t="shared" si="124"/>
        <v>1971</v>
      </c>
      <c r="AK1190">
        <f t="shared" si="125"/>
        <v>37005</v>
      </c>
    </row>
    <row r="1191" spans="30:37">
      <c r="AD1191" s="154">
        <v>205702</v>
      </c>
      <c r="AE1191" s="155">
        <v>121255</v>
      </c>
      <c r="AF1191">
        <f t="shared" si="122"/>
        <v>57</v>
      </c>
      <c r="AG1191">
        <f t="shared" si="121"/>
        <v>2</v>
      </c>
      <c r="AH1191" t="str">
        <f t="shared" si="120"/>
        <v>简单</v>
      </c>
      <c r="AI1191">
        <f t="shared" si="123"/>
        <v>4454</v>
      </c>
      <c r="AJ1191">
        <f t="shared" si="124"/>
        <v>1971</v>
      </c>
      <c r="AK1191">
        <f t="shared" si="125"/>
        <v>37005</v>
      </c>
    </row>
    <row r="1192" spans="30:37">
      <c r="AD1192" s="154">
        <v>205702</v>
      </c>
      <c r="AE1192" s="155">
        <v>121253</v>
      </c>
      <c r="AF1192">
        <f t="shared" si="122"/>
        <v>57</v>
      </c>
      <c r="AG1192">
        <f t="shared" si="121"/>
        <v>2</v>
      </c>
      <c r="AH1192" t="str">
        <f t="shared" si="120"/>
        <v>简单</v>
      </c>
      <c r="AI1192">
        <f t="shared" si="123"/>
        <v>4454</v>
      </c>
      <c r="AJ1192">
        <f t="shared" si="124"/>
        <v>1971</v>
      </c>
      <c r="AK1192">
        <f t="shared" si="125"/>
        <v>37005</v>
      </c>
    </row>
    <row r="1193" spans="30:37">
      <c r="AD1193" s="154">
        <v>205702</v>
      </c>
      <c r="AE1193" s="155">
        <v>121238</v>
      </c>
      <c r="AF1193">
        <f t="shared" si="122"/>
        <v>57</v>
      </c>
      <c r="AG1193">
        <f t="shared" si="121"/>
        <v>2</v>
      </c>
      <c r="AH1193" t="str">
        <f t="shared" si="120"/>
        <v>简单</v>
      </c>
      <c r="AI1193">
        <f t="shared" si="123"/>
        <v>4454</v>
      </c>
      <c r="AJ1193">
        <f t="shared" si="124"/>
        <v>1971</v>
      </c>
      <c r="AK1193">
        <f t="shared" si="125"/>
        <v>37005</v>
      </c>
    </row>
    <row r="1194" spans="30:37">
      <c r="AD1194" s="154">
        <v>205702</v>
      </c>
      <c r="AE1194" s="155">
        <v>121238</v>
      </c>
      <c r="AF1194">
        <f t="shared" si="122"/>
        <v>57</v>
      </c>
      <c r="AG1194">
        <f t="shared" si="121"/>
        <v>2</v>
      </c>
      <c r="AH1194" t="str">
        <f t="shared" si="120"/>
        <v>简单</v>
      </c>
      <c r="AI1194">
        <f t="shared" si="123"/>
        <v>4454</v>
      </c>
      <c r="AJ1194">
        <f t="shared" si="124"/>
        <v>1971</v>
      </c>
      <c r="AK1194">
        <f t="shared" si="125"/>
        <v>37005</v>
      </c>
    </row>
    <row r="1195" spans="30:37">
      <c r="AD1195" s="154">
        <v>205703</v>
      </c>
      <c r="AE1195" s="155">
        <v>121254</v>
      </c>
      <c r="AF1195">
        <f t="shared" si="122"/>
        <v>57</v>
      </c>
      <c r="AG1195">
        <f t="shared" si="121"/>
        <v>3</v>
      </c>
      <c r="AH1195" t="str">
        <f t="shared" si="120"/>
        <v>困难</v>
      </c>
      <c r="AI1195">
        <f t="shared" si="123"/>
        <v>7000</v>
      </c>
      <c r="AJ1195">
        <f t="shared" si="124"/>
        <v>3184</v>
      </c>
      <c r="AK1195">
        <f t="shared" si="125"/>
        <v>3184</v>
      </c>
    </row>
    <row r="1196" spans="30:37">
      <c r="AD1196" s="154">
        <v>205703</v>
      </c>
      <c r="AE1196" s="155">
        <v>121252</v>
      </c>
      <c r="AF1196">
        <f t="shared" si="122"/>
        <v>57</v>
      </c>
      <c r="AG1196">
        <f t="shared" si="121"/>
        <v>3</v>
      </c>
      <c r="AH1196" t="str">
        <f t="shared" ref="AH1196:AH1259" si="126">IF(VLOOKUP(AF1196,AF:AG,2,1)=4,IF(AG1196&lt;3,"简单","困难"),IF(AG1196&lt;4,"简单","困难"))</f>
        <v>困难</v>
      </c>
      <c r="AI1196">
        <f t="shared" si="123"/>
        <v>7000</v>
      </c>
      <c r="AJ1196">
        <f t="shared" si="124"/>
        <v>3184</v>
      </c>
      <c r="AK1196">
        <f t="shared" si="125"/>
        <v>3184</v>
      </c>
    </row>
    <row r="1197" spans="30:37">
      <c r="AD1197" s="154">
        <v>205703</v>
      </c>
      <c r="AE1197" s="155">
        <v>121255</v>
      </c>
      <c r="AF1197">
        <f t="shared" si="122"/>
        <v>57</v>
      </c>
      <c r="AG1197">
        <f t="shared" si="121"/>
        <v>3</v>
      </c>
      <c r="AH1197" t="str">
        <f t="shared" si="126"/>
        <v>困难</v>
      </c>
      <c r="AI1197">
        <f t="shared" si="123"/>
        <v>7000</v>
      </c>
      <c r="AJ1197">
        <f t="shared" si="124"/>
        <v>3184</v>
      </c>
      <c r="AK1197">
        <f t="shared" si="125"/>
        <v>3184</v>
      </c>
    </row>
    <row r="1198" spans="30:37">
      <c r="AD1198" s="154">
        <v>205703</v>
      </c>
      <c r="AE1198" s="155">
        <v>121232</v>
      </c>
      <c r="AF1198">
        <f t="shared" si="122"/>
        <v>57</v>
      </c>
      <c r="AG1198">
        <f t="shared" si="121"/>
        <v>3</v>
      </c>
      <c r="AH1198" t="str">
        <f t="shared" si="126"/>
        <v>困难</v>
      </c>
      <c r="AI1198">
        <f t="shared" si="123"/>
        <v>7000</v>
      </c>
      <c r="AJ1198">
        <f t="shared" si="124"/>
        <v>3184</v>
      </c>
      <c r="AK1198">
        <f t="shared" si="125"/>
        <v>3184</v>
      </c>
    </row>
    <row r="1199" spans="30:37">
      <c r="AD1199" s="154">
        <v>205703</v>
      </c>
      <c r="AE1199" s="155">
        <v>121238</v>
      </c>
      <c r="AF1199">
        <f t="shared" si="122"/>
        <v>57</v>
      </c>
      <c r="AG1199">
        <f t="shared" si="121"/>
        <v>3</v>
      </c>
      <c r="AH1199" t="str">
        <f t="shared" si="126"/>
        <v>困难</v>
      </c>
      <c r="AI1199">
        <f t="shared" si="123"/>
        <v>7000</v>
      </c>
      <c r="AJ1199">
        <f t="shared" si="124"/>
        <v>3184</v>
      </c>
      <c r="AK1199">
        <f t="shared" si="125"/>
        <v>3184</v>
      </c>
    </row>
    <row r="1200" spans="30:37">
      <c r="AD1200" s="154">
        <v>205704</v>
      </c>
      <c r="AE1200" s="155">
        <v>1113043</v>
      </c>
      <c r="AF1200">
        <f t="shared" si="122"/>
        <v>57</v>
      </c>
      <c r="AG1200">
        <f t="shared" si="121"/>
        <v>4</v>
      </c>
      <c r="AH1200" t="str">
        <f t="shared" si="126"/>
        <v>困难</v>
      </c>
      <c r="AI1200">
        <f t="shared" si="123"/>
        <v>7700</v>
      </c>
      <c r="AJ1200">
        <f t="shared" si="124"/>
        <v>3184</v>
      </c>
      <c r="AK1200">
        <f t="shared" si="125"/>
        <v>3184</v>
      </c>
    </row>
    <row r="1201" spans="30:37">
      <c r="AD1201" s="154">
        <v>205704</v>
      </c>
      <c r="AE1201" s="155">
        <v>121186</v>
      </c>
      <c r="AF1201">
        <f t="shared" si="122"/>
        <v>57</v>
      </c>
      <c r="AG1201">
        <f t="shared" si="121"/>
        <v>4</v>
      </c>
      <c r="AH1201" t="str">
        <f t="shared" si="126"/>
        <v>困难</v>
      </c>
      <c r="AI1201">
        <f t="shared" si="123"/>
        <v>7000</v>
      </c>
      <c r="AJ1201">
        <f t="shared" si="124"/>
        <v>3184</v>
      </c>
      <c r="AK1201">
        <f t="shared" si="125"/>
        <v>3184</v>
      </c>
    </row>
    <row r="1202" spans="30:37">
      <c r="AD1202" s="154">
        <v>205704</v>
      </c>
      <c r="AE1202" s="155">
        <v>121186</v>
      </c>
      <c r="AF1202">
        <f t="shared" si="122"/>
        <v>57</v>
      </c>
      <c r="AG1202">
        <f t="shared" si="121"/>
        <v>4</v>
      </c>
      <c r="AH1202" t="str">
        <f t="shared" si="126"/>
        <v>困难</v>
      </c>
      <c r="AI1202">
        <f t="shared" si="123"/>
        <v>7000</v>
      </c>
      <c r="AJ1202">
        <f t="shared" si="124"/>
        <v>3184</v>
      </c>
      <c r="AK1202">
        <f t="shared" si="125"/>
        <v>3184</v>
      </c>
    </row>
    <row r="1203" spans="30:37">
      <c r="AD1203" s="154">
        <v>205704</v>
      </c>
      <c r="AE1203" s="155">
        <v>121187</v>
      </c>
      <c r="AF1203">
        <f t="shared" si="122"/>
        <v>57</v>
      </c>
      <c r="AG1203">
        <f t="shared" si="121"/>
        <v>4</v>
      </c>
      <c r="AH1203" t="str">
        <f t="shared" si="126"/>
        <v>困难</v>
      </c>
      <c r="AI1203">
        <f t="shared" si="123"/>
        <v>7000</v>
      </c>
      <c r="AJ1203">
        <f t="shared" si="124"/>
        <v>3184</v>
      </c>
      <c r="AK1203">
        <f t="shared" si="125"/>
        <v>3184</v>
      </c>
    </row>
    <row r="1204" spans="30:37">
      <c r="AD1204" s="156">
        <v>205704</v>
      </c>
      <c r="AE1204" s="157">
        <v>121187</v>
      </c>
      <c r="AF1204">
        <f t="shared" si="122"/>
        <v>57</v>
      </c>
      <c r="AG1204">
        <f t="shared" si="121"/>
        <v>4</v>
      </c>
      <c r="AH1204" t="str">
        <f t="shared" si="126"/>
        <v>困难</v>
      </c>
      <c r="AI1204">
        <f t="shared" si="123"/>
        <v>7000</v>
      </c>
      <c r="AJ1204">
        <f t="shared" si="124"/>
        <v>3184</v>
      </c>
      <c r="AK1204">
        <f t="shared" si="125"/>
        <v>3184</v>
      </c>
    </row>
    <row r="1205" spans="30:37">
      <c r="AD1205" s="154">
        <v>205801</v>
      </c>
      <c r="AE1205" s="155">
        <v>121258</v>
      </c>
      <c r="AF1205">
        <f t="shared" si="122"/>
        <v>58</v>
      </c>
      <c r="AG1205">
        <f t="shared" si="121"/>
        <v>1</v>
      </c>
      <c r="AH1205" t="str">
        <f t="shared" si="126"/>
        <v>简单</v>
      </c>
      <c r="AI1205">
        <f t="shared" si="123"/>
        <v>5009</v>
      </c>
      <c r="AJ1205">
        <f t="shared" si="124"/>
        <v>2086</v>
      </c>
      <c r="AK1205">
        <f t="shared" si="125"/>
        <v>39147</v>
      </c>
    </row>
    <row r="1206" spans="30:37">
      <c r="AD1206" s="154">
        <v>205801</v>
      </c>
      <c r="AE1206" s="155">
        <v>121262</v>
      </c>
      <c r="AF1206">
        <f t="shared" si="122"/>
        <v>58</v>
      </c>
      <c r="AG1206">
        <f t="shared" si="121"/>
        <v>1</v>
      </c>
      <c r="AH1206" t="str">
        <f t="shared" si="126"/>
        <v>简单</v>
      </c>
      <c r="AI1206">
        <f t="shared" si="123"/>
        <v>5009</v>
      </c>
      <c r="AJ1206">
        <f t="shared" si="124"/>
        <v>2086</v>
      </c>
      <c r="AK1206">
        <f t="shared" si="125"/>
        <v>39147</v>
      </c>
    </row>
    <row r="1207" spans="30:37">
      <c r="AD1207" s="154">
        <v>205801</v>
      </c>
      <c r="AE1207" s="155">
        <v>121237</v>
      </c>
      <c r="AF1207">
        <f t="shared" si="122"/>
        <v>58</v>
      </c>
      <c r="AG1207">
        <f t="shared" si="121"/>
        <v>1</v>
      </c>
      <c r="AH1207" t="str">
        <f t="shared" si="126"/>
        <v>简单</v>
      </c>
      <c r="AI1207">
        <f t="shared" si="123"/>
        <v>5009</v>
      </c>
      <c r="AJ1207">
        <f t="shared" si="124"/>
        <v>2086</v>
      </c>
      <c r="AK1207">
        <f t="shared" si="125"/>
        <v>39147</v>
      </c>
    </row>
    <row r="1208" spans="30:37">
      <c r="AD1208" s="154">
        <v>205801</v>
      </c>
      <c r="AE1208" s="155">
        <v>121238</v>
      </c>
      <c r="AF1208">
        <f t="shared" si="122"/>
        <v>58</v>
      </c>
      <c r="AG1208">
        <f t="shared" si="121"/>
        <v>1</v>
      </c>
      <c r="AH1208" t="str">
        <f t="shared" si="126"/>
        <v>简单</v>
      </c>
      <c r="AI1208">
        <f t="shared" si="123"/>
        <v>5009</v>
      </c>
      <c r="AJ1208">
        <f t="shared" si="124"/>
        <v>2086</v>
      </c>
      <c r="AK1208">
        <f t="shared" si="125"/>
        <v>39147</v>
      </c>
    </row>
    <row r="1209" spans="30:37">
      <c r="AD1209" s="154">
        <v>205801</v>
      </c>
      <c r="AE1209" s="155">
        <v>121238</v>
      </c>
      <c r="AF1209">
        <f t="shared" si="122"/>
        <v>58</v>
      </c>
      <c r="AG1209">
        <f t="shared" si="121"/>
        <v>1</v>
      </c>
      <c r="AH1209" t="str">
        <f t="shared" si="126"/>
        <v>简单</v>
      </c>
      <c r="AI1209">
        <f t="shared" si="123"/>
        <v>5009</v>
      </c>
      <c r="AJ1209">
        <f t="shared" si="124"/>
        <v>2086</v>
      </c>
      <c r="AK1209">
        <f t="shared" si="125"/>
        <v>39147</v>
      </c>
    </row>
    <row r="1210" spans="30:37">
      <c r="AD1210" s="154">
        <v>205802</v>
      </c>
      <c r="AE1210" s="155">
        <v>121258</v>
      </c>
      <c r="AF1210">
        <f t="shared" si="122"/>
        <v>58</v>
      </c>
      <c r="AG1210">
        <f t="shared" si="121"/>
        <v>2</v>
      </c>
      <c r="AH1210" t="str">
        <f t="shared" si="126"/>
        <v>简单</v>
      </c>
      <c r="AI1210">
        <f t="shared" si="123"/>
        <v>5009</v>
      </c>
      <c r="AJ1210">
        <f t="shared" si="124"/>
        <v>2086</v>
      </c>
      <c r="AK1210">
        <f t="shared" si="125"/>
        <v>39147</v>
      </c>
    </row>
    <row r="1211" spans="30:37">
      <c r="AD1211" s="154">
        <v>205802</v>
      </c>
      <c r="AE1211" s="155">
        <v>121262</v>
      </c>
      <c r="AF1211">
        <f t="shared" si="122"/>
        <v>58</v>
      </c>
      <c r="AG1211">
        <f t="shared" si="121"/>
        <v>2</v>
      </c>
      <c r="AH1211" t="str">
        <f t="shared" si="126"/>
        <v>简单</v>
      </c>
      <c r="AI1211">
        <f t="shared" si="123"/>
        <v>5009</v>
      </c>
      <c r="AJ1211">
        <f t="shared" si="124"/>
        <v>2086</v>
      </c>
      <c r="AK1211">
        <f t="shared" si="125"/>
        <v>39147</v>
      </c>
    </row>
    <row r="1212" spans="30:37">
      <c r="AD1212" s="154">
        <v>205802</v>
      </c>
      <c r="AE1212" s="155">
        <v>121264</v>
      </c>
      <c r="AF1212">
        <f t="shared" si="122"/>
        <v>58</v>
      </c>
      <c r="AG1212">
        <f t="shared" si="121"/>
        <v>2</v>
      </c>
      <c r="AH1212" t="str">
        <f t="shared" si="126"/>
        <v>简单</v>
      </c>
      <c r="AI1212">
        <f t="shared" si="123"/>
        <v>5009</v>
      </c>
      <c r="AJ1212">
        <f t="shared" si="124"/>
        <v>2086</v>
      </c>
      <c r="AK1212">
        <f t="shared" si="125"/>
        <v>39147</v>
      </c>
    </row>
    <row r="1213" spans="30:37">
      <c r="AD1213" s="154">
        <v>205802</v>
      </c>
      <c r="AE1213" s="155">
        <v>121264</v>
      </c>
      <c r="AF1213">
        <f t="shared" si="122"/>
        <v>58</v>
      </c>
      <c r="AG1213">
        <f t="shared" si="121"/>
        <v>2</v>
      </c>
      <c r="AH1213" t="str">
        <f t="shared" si="126"/>
        <v>简单</v>
      </c>
      <c r="AI1213">
        <f t="shared" si="123"/>
        <v>5009</v>
      </c>
      <c r="AJ1213">
        <f t="shared" si="124"/>
        <v>2086</v>
      </c>
      <c r="AK1213">
        <f t="shared" si="125"/>
        <v>39147</v>
      </c>
    </row>
    <row r="1214" spans="30:37">
      <c r="AD1214" s="154">
        <v>205802</v>
      </c>
      <c r="AE1214" s="155">
        <v>121264</v>
      </c>
      <c r="AF1214">
        <f t="shared" si="122"/>
        <v>58</v>
      </c>
      <c r="AG1214">
        <f t="shared" si="121"/>
        <v>2</v>
      </c>
      <c r="AH1214" t="str">
        <f t="shared" si="126"/>
        <v>简单</v>
      </c>
      <c r="AI1214">
        <f t="shared" si="123"/>
        <v>5009</v>
      </c>
      <c r="AJ1214">
        <f t="shared" si="124"/>
        <v>2086</v>
      </c>
      <c r="AK1214">
        <f t="shared" si="125"/>
        <v>39147</v>
      </c>
    </row>
    <row r="1215" spans="30:37">
      <c r="AD1215" s="154">
        <v>205803</v>
      </c>
      <c r="AE1215" s="155">
        <v>1113030</v>
      </c>
      <c r="AF1215">
        <f t="shared" si="122"/>
        <v>58</v>
      </c>
      <c r="AG1215">
        <f t="shared" si="121"/>
        <v>3</v>
      </c>
      <c r="AH1215" t="str">
        <f t="shared" si="126"/>
        <v>困难</v>
      </c>
      <c r="AI1215">
        <f t="shared" si="123"/>
        <v>8391</v>
      </c>
      <c r="AJ1215">
        <f t="shared" si="124"/>
        <v>3239</v>
      </c>
      <c r="AK1215">
        <f t="shared" si="125"/>
        <v>3239</v>
      </c>
    </row>
    <row r="1216" spans="30:37">
      <c r="AD1216" s="154">
        <v>205803</v>
      </c>
      <c r="AE1216" s="155">
        <v>121185</v>
      </c>
      <c r="AF1216">
        <f t="shared" si="122"/>
        <v>58</v>
      </c>
      <c r="AG1216">
        <f t="shared" si="121"/>
        <v>3</v>
      </c>
      <c r="AH1216" t="str">
        <f t="shared" si="126"/>
        <v>困难</v>
      </c>
      <c r="AI1216">
        <f t="shared" si="123"/>
        <v>7628</v>
      </c>
      <c r="AJ1216">
        <f t="shared" si="124"/>
        <v>3239</v>
      </c>
      <c r="AK1216">
        <f t="shared" si="125"/>
        <v>3239</v>
      </c>
    </row>
    <row r="1217" spans="30:37">
      <c r="AD1217" s="154">
        <v>205803</v>
      </c>
      <c r="AE1217" s="155">
        <v>121185</v>
      </c>
      <c r="AF1217">
        <f t="shared" si="122"/>
        <v>58</v>
      </c>
      <c r="AG1217">
        <f t="shared" si="121"/>
        <v>3</v>
      </c>
      <c r="AH1217" t="str">
        <f t="shared" si="126"/>
        <v>困难</v>
      </c>
      <c r="AI1217">
        <f t="shared" si="123"/>
        <v>7628</v>
      </c>
      <c r="AJ1217">
        <f t="shared" si="124"/>
        <v>3239</v>
      </c>
      <c r="AK1217">
        <f t="shared" si="125"/>
        <v>3239</v>
      </c>
    </row>
    <row r="1218" spans="30:37">
      <c r="AD1218" s="154">
        <v>205803</v>
      </c>
      <c r="AE1218" s="155">
        <v>121184</v>
      </c>
      <c r="AF1218">
        <f t="shared" si="122"/>
        <v>58</v>
      </c>
      <c r="AG1218">
        <f t="shared" si="121"/>
        <v>3</v>
      </c>
      <c r="AH1218" t="str">
        <f t="shared" si="126"/>
        <v>困难</v>
      </c>
      <c r="AI1218">
        <f t="shared" si="123"/>
        <v>7628</v>
      </c>
      <c r="AJ1218">
        <f t="shared" si="124"/>
        <v>3239</v>
      </c>
      <c r="AK1218">
        <f t="shared" si="125"/>
        <v>3239</v>
      </c>
    </row>
    <row r="1219" spans="30:37">
      <c r="AD1219" s="154">
        <v>205803</v>
      </c>
      <c r="AE1219" s="155">
        <v>121184</v>
      </c>
      <c r="AF1219">
        <f t="shared" si="122"/>
        <v>58</v>
      </c>
      <c r="AG1219">
        <f t="shared" si="121"/>
        <v>3</v>
      </c>
      <c r="AH1219" t="str">
        <f t="shared" si="126"/>
        <v>困难</v>
      </c>
      <c r="AI1219">
        <f t="shared" si="123"/>
        <v>7628</v>
      </c>
      <c r="AJ1219">
        <f t="shared" si="124"/>
        <v>3239</v>
      </c>
      <c r="AK1219">
        <f t="shared" si="125"/>
        <v>3239</v>
      </c>
    </row>
    <row r="1220" spans="30:37">
      <c r="AD1220" s="154">
        <v>205804</v>
      </c>
      <c r="AE1220" s="155">
        <v>1113030</v>
      </c>
      <c r="AF1220">
        <f t="shared" si="122"/>
        <v>58</v>
      </c>
      <c r="AG1220">
        <f t="shared" si="121"/>
        <v>4</v>
      </c>
      <c r="AH1220" t="str">
        <f t="shared" si="126"/>
        <v>困难</v>
      </c>
      <c r="AI1220">
        <f t="shared" si="123"/>
        <v>8391</v>
      </c>
      <c r="AJ1220">
        <f t="shared" si="124"/>
        <v>3239</v>
      </c>
      <c r="AK1220">
        <f t="shared" si="125"/>
        <v>3239</v>
      </c>
    </row>
    <row r="1221" spans="30:37">
      <c r="AD1221" s="154">
        <v>205804</v>
      </c>
      <c r="AE1221" s="155">
        <v>121258</v>
      </c>
      <c r="AF1221">
        <f t="shared" si="122"/>
        <v>58</v>
      </c>
      <c r="AG1221">
        <f t="shared" si="121"/>
        <v>4</v>
      </c>
      <c r="AH1221" t="str">
        <f t="shared" si="126"/>
        <v>困难</v>
      </c>
      <c r="AI1221">
        <f t="shared" si="123"/>
        <v>7628</v>
      </c>
      <c r="AJ1221">
        <f t="shared" si="124"/>
        <v>3239</v>
      </c>
      <c r="AK1221">
        <f t="shared" si="125"/>
        <v>3239</v>
      </c>
    </row>
    <row r="1222" spans="30:37">
      <c r="AD1222" s="154">
        <v>205804</v>
      </c>
      <c r="AE1222" s="155">
        <v>121262</v>
      </c>
      <c r="AF1222">
        <f t="shared" si="122"/>
        <v>58</v>
      </c>
      <c r="AG1222">
        <f t="shared" si="121"/>
        <v>4</v>
      </c>
      <c r="AH1222" t="str">
        <f t="shared" si="126"/>
        <v>困难</v>
      </c>
      <c r="AI1222">
        <f t="shared" si="123"/>
        <v>7628</v>
      </c>
      <c r="AJ1222">
        <f t="shared" si="124"/>
        <v>3239</v>
      </c>
      <c r="AK1222">
        <f t="shared" si="125"/>
        <v>3239</v>
      </c>
    </row>
    <row r="1223" spans="30:37">
      <c r="AD1223" s="154">
        <v>205804</v>
      </c>
      <c r="AE1223" s="155">
        <v>121185</v>
      </c>
      <c r="AF1223">
        <f t="shared" si="122"/>
        <v>58</v>
      </c>
      <c r="AG1223">
        <f t="shared" si="121"/>
        <v>4</v>
      </c>
      <c r="AH1223" t="str">
        <f t="shared" si="126"/>
        <v>困难</v>
      </c>
      <c r="AI1223">
        <f t="shared" si="123"/>
        <v>7628</v>
      </c>
      <c r="AJ1223">
        <f t="shared" si="124"/>
        <v>3239</v>
      </c>
      <c r="AK1223">
        <f t="shared" si="125"/>
        <v>3239</v>
      </c>
    </row>
    <row r="1224" spans="30:37">
      <c r="AD1224" s="156">
        <v>205804</v>
      </c>
      <c r="AE1224" s="157">
        <v>121185</v>
      </c>
      <c r="AF1224">
        <f t="shared" si="122"/>
        <v>58</v>
      </c>
      <c r="AG1224">
        <f t="shared" si="121"/>
        <v>4</v>
      </c>
      <c r="AH1224" t="str">
        <f t="shared" si="126"/>
        <v>困难</v>
      </c>
      <c r="AI1224">
        <f t="shared" si="123"/>
        <v>7628</v>
      </c>
      <c r="AJ1224">
        <f t="shared" si="124"/>
        <v>3239</v>
      </c>
      <c r="AK1224">
        <f t="shared" si="125"/>
        <v>3239</v>
      </c>
    </row>
    <row r="1225" spans="30:37">
      <c r="AD1225" s="154">
        <v>205901</v>
      </c>
      <c r="AE1225" s="155">
        <v>1113030</v>
      </c>
      <c r="AF1225">
        <f t="shared" si="122"/>
        <v>59</v>
      </c>
      <c r="AG1225">
        <f t="shared" si="121"/>
        <v>1</v>
      </c>
      <c r="AH1225" t="str">
        <f t="shared" si="126"/>
        <v>简单</v>
      </c>
      <c r="AI1225">
        <f t="shared" si="123"/>
        <v>6679</v>
      </c>
      <c r="AJ1225">
        <f t="shared" si="124"/>
        <v>2086</v>
      </c>
      <c r="AK1225">
        <f t="shared" si="125"/>
        <v>39147</v>
      </c>
    </row>
    <row r="1226" spans="30:37">
      <c r="AD1226" s="154">
        <v>205901</v>
      </c>
      <c r="AE1226" s="155">
        <v>121257</v>
      </c>
      <c r="AF1226">
        <f t="shared" si="122"/>
        <v>59</v>
      </c>
      <c r="AG1226">
        <f t="shared" si="121"/>
        <v>1</v>
      </c>
      <c r="AH1226" t="str">
        <f t="shared" si="126"/>
        <v>简单</v>
      </c>
      <c r="AI1226">
        <f t="shared" si="123"/>
        <v>5009</v>
      </c>
      <c r="AJ1226">
        <f t="shared" si="124"/>
        <v>2086</v>
      </c>
      <c r="AK1226">
        <f t="shared" si="125"/>
        <v>39147</v>
      </c>
    </row>
    <row r="1227" spans="30:37">
      <c r="AD1227" s="154">
        <v>205901</v>
      </c>
      <c r="AE1227" s="155">
        <v>121232</v>
      </c>
      <c r="AF1227">
        <f t="shared" si="122"/>
        <v>59</v>
      </c>
      <c r="AG1227">
        <f t="shared" si="121"/>
        <v>1</v>
      </c>
      <c r="AH1227" t="str">
        <f t="shared" si="126"/>
        <v>简单</v>
      </c>
      <c r="AI1227">
        <f t="shared" si="123"/>
        <v>5009</v>
      </c>
      <c r="AJ1227">
        <f t="shared" si="124"/>
        <v>2086</v>
      </c>
      <c r="AK1227">
        <f t="shared" si="125"/>
        <v>39147</v>
      </c>
    </row>
    <row r="1228" spans="30:37">
      <c r="AD1228" s="154">
        <v>205901</v>
      </c>
      <c r="AE1228" s="155">
        <v>121237</v>
      </c>
      <c r="AF1228">
        <f t="shared" si="122"/>
        <v>59</v>
      </c>
      <c r="AG1228">
        <f t="shared" si="121"/>
        <v>1</v>
      </c>
      <c r="AH1228" t="str">
        <f t="shared" si="126"/>
        <v>简单</v>
      </c>
      <c r="AI1228">
        <f t="shared" si="123"/>
        <v>5009</v>
      </c>
      <c r="AJ1228">
        <f t="shared" si="124"/>
        <v>2086</v>
      </c>
      <c r="AK1228">
        <f t="shared" si="125"/>
        <v>39147</v>
      </c>
    </row>
    <row r="1229" spans="30:37">
      <c r="AD1229" s="154">
        <v>205901</v>
      </c>
      <c r="AE1229" s="155">
        <v>121238</v>
      </c>
      <c r="AF1229">
        <f t="shared" si="122"/>
        <v>59</v>
      </c>
      <c r="AG1229">
        <f t="shared" si="121"/>
        <v>1</v>
      </c>
      <c r="AH1229" t="str">
        <f t="shared" si="126"/>
        <v>简单</v>
      </c>
      <c r="AI1229">
        <f t="shared" si="123"/>
        <v>5009</v>
      </c>
      <c r="AJ1229">
        <f t="shared" si="124"/>
        <v>2086</v>
      </c>
      <c r="AK1229">
        <f t="shared" si="125"/>
        <v>39147</v>
      </c>
    </row>
    <row r="1230" spans="30:37">
      <c r="AD1230" s="154">
        <v>205902</v>
      </c>
      <c r="AE1230" s="155">
        <v>1113030</v>
      </c>
      <c r="AF1230">
        <f t="shared" si="122"/>
        <v>59</v>
      </c>
      <c r="AG1230">
        <f t="shared" si="121"/>
        <v>2</v>
      </c>
      <c r="AH1230" t="str">
        <f t="shared" si="126"/>
        <v>简单</v>
      </c>
      <c r="AI1230">
        <f t="shared" si="123"/>
        <v>6679</v>
      </c>
      <c r="AJ1230">
        <f t="shared" si="124"/>
        <v>2086</v>
      </c>
      <c r="AK1230">
        <f t="shared" si="125"/>
        <v>39147</v>
      </c>
    </row>
    <row r="1231" spans="30:37">
      <c r="AD1231" s="154">
        <v>205902</v>
      </c>
      <c r="AE1231" s="155">
        <v>121257</v>
      </c>
      <c r="AF1231">
        <f t="shared" si="122"/>
        <v>59</v>
      </c>
      <c r="AG1231">
        <f t="shared" si="121"/>
        <v>2</v>
      </c>
      <c r="AH1231" t="str">
        <f t="shared" si="126"/>
        <v>简单</v>
      </c>
      <c r="AI1231">
        <f t="shared" si="123"/>
        <v>5009</v>
      </c>
      <c r="AJ1231">
        <f t="shared" si="124"/>
        <v>2086</v>
      </c>
      <c r="AK1231">
        <f t="shared" si="125"/>
        <v>39147</v>
      </c>
    </row>
    <row r="1232" spans="30:37">
      <c r="AD1232" s="154">
        <v>205902</v>
      </c>
      <c r="AE1232" s="155">
        <v>121232</v>
      </c>
      <c r="AF1232">
        <f t="shared" si="122"/>
        <v>59</v>
      </c>
      <c r="AG1232">
        <f t="shared" si="121"/>
        <v>2</v>
      </c>
      <c r="AH1232" t="str">
        <f t="shared" si="126"/>
        <v>简单</v>
      </c>
      <c r="AI1232">
        <f t="shared" si="123"/>
        <v>5009</v>
      </c>
      <c r="AJ1232">
        <f t="shared" si="124"/>
        <v>2086</v>
      </c>
      <c r="AK1232">
        <f t="shared" si="125"/>
        <v>39147</v>
      </c>
    </row>
    <row r="1233" spans="30:37">
      <c r="AD1233" s="154">
        <v>205902</v>
      </c>
      <c r="AE1233" s="155">
        <v>121237</v>
      </c>
      <c r="AF1233">
        <f t="shared" si="122"/>
        <v>59</v>
      </c>
      <c r="AG1233">
        <f t="shared" si="121"/>
        <v>2</v>
      </c>
      <c r="AH1233" t="str">
        <f t="shared" si="126"/>
        <v>简单</v>
      </c>
      <c r="AI1233">
        <f t="shared" si="123"/>
        <v>5009</v>
      </c>
      <c r="AJ1233">
        <f t="shared" si="124"/>
        <v>2086</v>
      </c>
      <c r="AK1233">
        <f t="shared" si="125"/>
        <v>39147</v>
      </c>
    </row>
    <row r="1234" spans="30:37">
      <c r="AD1234" s="154">
        <v>205902</v>
      </c>
      <c r="AE1234" s="155">
        <v>121238</v>
      </c>
      <c r="AF1234">
        <f t="shared" si="122"/>
        <v>59</v>
      </c>
      <c r="AG1234">
        <f t="shared" si="121"/>
        <v>2</v>
      </c>
      <c r="AH1234" t="str">
        <f t="shared" si="126"/>
        <v>简单</v>
      </c>
      <c r="AI1234">
        <f t="shared" si="123"/>
        <v>5009</v>
      </c>
      <c r="AJ1234">
        <f t="shared" si="124"/>
        <v>2086</v>
      </c>
      <c r="AK1234">
        <f t="shared" si="125"/>
        <v>39147</v>
      </c>
    </row>
    <row r="1235" spans="30:37">
      <c r="AD1235" s="154">
        <v>205903</v>
      </c>
      <c r="AE1235" s="155">
        <v>113043</v>
      </c>
      <c r="AF1235">
        <f t="shared" si="122"/>
        <v>59</v>
      </c>
      <c r="AG1235">
        <f t="shared" si="121"/>
        <v>3</v>
      </c>
      <c r="AH1235" t="str">
        <f t="shared" si="126"/>
        <v>困难</v>
      </c>
      <c r="AI1235">
        <f t="shared" si="123"/>
        <v>7654</v>
      </c>
      <c r="AJ1235">
        <f t="shared" si="124"/>
        <v>3469</v>
      </c>
      <c r="AK1235">
        <f t="shared" si="125"/>
        <v>3469</v>
      </c>
    </row>
    <row r="1236" spans="30:37">
      <c r="AD1236" s="154">
        <v>205903</v>
      </c>
      <c r="AE1236" s="155">
        <v>121186</v>
      </c>
      <c r="AF1236">
        <f t="shared" si="122"/>
        <v>59</v>
      </c>
      <c r="AG1236">
        <f t="shared" si="121"/>
        <v>3</v>
      </c>
      <c r="AH1236" t="str">
        <f t="shared" si="126"/>
        <v>困难</v>
      </c>
      <c r="AI1236">
        <f t="shared" si="123"/>
        <v>7654</v>
      </c>
      <c r="AJ1236">
        <f t="shared" si="124"/>
        <v>3469</v>
      </c>
      <c r="AK1236">
        <f t="shared" si="125"/>
        <v>3469</v>
      </c>
    </row>
    <row r="1237" spans="30:37">
      <c r="AD1237" s="154">
        <v>205903</v>
      </c>
      <c r="AE1237" s="155">
        <v>121186</v>
      </c>
      <c r="AF1237">
        <f t="shared" si="122"/>
        <v>59</v>
      </c>
      <c r="AG1237">
        <f t="shared" si="121"/>
        <v>3</v>
      </c>
      <c r="AH1237" t="str">
        <f t="shared" si="126"/>
        <v>困难</v>
      </c>
      <c r="AI1237">
        <f t="shared" si="123"/>
        <v>7654</v>
      </c>
      <c r="AJ1237">
        <f t="shared" si="124"/>
        <v>3469</v>
      </c>
      <c r="AK1237">
        <f t="shared" si="125"/>
        <v>3469</v>
      </c>
    </row>
    <row r="1238" spans="30:37">
      <c r="AD1238" s="154">
        <v>205903</v>
      </c>
      <c r="AE1238" s="155">
        <v>121187</v>
      </c>
      <c r="AF1238">
        <f t="shared" si="122"/>
        <v>59</v>
      </c>
      <c r="AG1238">
        <f t="shared" ref="AG1238:AG1277" si="127">ROUNDDOWN(RIGHT(AD1238,2),0)</f>
        <v>3</v>
      </c>
      <c r="AH1238" t="str">
        <f t="shared" si="126"/>
        <v>困难</v>
      </c>
      <c r="AI1238">
        <f t="shared" si="123"/>
        <v>7654</v>
      </c>
      <c r="AJ1238">
        <f t="shared" si="124"/>
        <v>3469</v>
      </c>
      <c r="AK1238">
        <f t="shared" si="125"/>
        <v>3469</v>
      </c>
    </row>
    <row r="1239" spans="30:37">
      <c r="AD1239" s="154">
        <v>205903</v>
      </c>
      <c r="AE1239" s="155">
        <v>121009</v>
      </c>
      <c r="AF1239">
        <f t="shared" si="122"/>
        <v>59</v>
      </c>
      <c r="AG1239">
        <f t="shared" si="127"/>
        <v>3</v>
      </c>
      <c r="AH1239" t="str">
        <f t="shared" si="126"/>
        <v>困难</v>
      </c>
      <c r="AI1239">
        <f t="shared" si="123"/>
        <v>7654</v>
      </c>
      <c r="AJ1239">
        <f t="shared" si="124"/>
        <v>3469</v>
      </c>
      <c r="AK1239">
        <f t="shared" si="125"/>
        <v>3469</v>
      </c>
    </row>
    <row r="1240" spans="30:37">
      <c r="AD1240" s="154">
        <v>205903</v>
      </c>
      <c r="AE1240" s="155">
        <v>121009</v>
      </c>
      <c r="AF1240">
        <f t="shared" si="122"/>
        <v>59</v>
      </c>
      <c r="AG1240">
        <f t="shared" si="127"/>
        <v>3</v>
      </c>
      <c r="AH1240" t="str">
        <f t="shared" si="126"/>
        <v>困难</v>
      </c>
      <c r="AI1240">
        <f t="shared" si="123"/>
        <v>7654</v>
      </c>
      <c r="AJ1240">
        <f t="shared" si="124"/>
        <v>3469</v>
      </c>
      <c r="AK1240">
        <f t="shared" si="125"/>
        <v>3469</v>
      </c>
    </row>
    <row r="1241" spans="30:37">
      <c r="AD1241" s="154">
        <v>205904</v>
      </c>
      <c r="AE1241" s="155">
        <v>113043</v>
      </c>
      <c r="AF1241">
        <f t="shared" si="122"/>
        <v>59</v>
      </c>
      <c r="AG1241">
        <f t="shared" si="127"/>
        <v>4</v>
      </c>
      <c r="AH1241" t="str">
        <f t="shared" si="126"/>
        <v>困难</v>
      </c>
      <c r="AI1241">
        <f t="shared" si="123"/>
        <v>7654</v>
      </c>
      <c r="AJ1241">
        <f t="shared" si="124"/>
        <v>3469</v>
      </c>
      <c r="AK1241">
        <f t="shared" si="125"/>
        <v>3469</v>
      </c>
    </row>
    <row r="1242" spans="30:37">
      <c r="AD1242" s="154">
        <v>205904</v>
      </c>
      <c r="AE1242" s="155">
        <v>121186</v>
      </c>
      <c r="AF1242">
        <f t="shared" si="122"/>
        <v>59</v>
      </c>
      <c r="AG1242">
        <f t="shared" si="127"/>
        <v>4</v>
      </c>
      <c r="AH1242" t="str">
        <f t="shared" si="126"/>
        <v>困难</v>
      </c>
      <c r="AI1242">
        <f t="shared" si="123"/>
        <v>7654</v>
      </c>
      <c r="AJ1242">
        <f t="shared" si="124"/>
        <v>3469</v>
      </c>
      <c r="AK1242">
        <f t="shared" si="125"/>
        <v>3469</v>
      </c>
    </row>
    <row r="1243" spans="30:37">
      <c r="AD1243" s="154">
        <v>205904</v>
      </c>
      <c r="AE1243" s="155">
        <v>121186</v>
      </c>
      <c r="AF1243">
        <f t="shared" si="122"/>
        <v>59</v>
      </c>
      <c r="AG1243">
        <f t="shared" si="127"/>
        <v>4</v>
      </c>
      <c r="AH1243" t="str">
        <f t="shared" si="126"/>
        <v>困难</v>
      </c>
      <c r="AI1243">
        <f t="shared" si="123"/>
        <v>7654</v>
      </c>
      <c r="AJ1243">
        <f t="shared" si="124"/>
        <v>3469</v>
      </c>
      <c r="AK1243">
        <f t="shared" si="125"/>
        <v>3469</v>
      </c>
    </row>
    <row r="1244" spans="30:37">
      <c r="AD1244" s="154">
        <v>205904</v>
      </c>
      <c r="AE1244" s="155">
        <v>121187</v>
      </c>
      <c r="AF1244">
        <f t="shared" si="122"/>
        <v>59</v>
      </c>
      <c r="AG1244">
        <f t="shared" si="127"/>
        <v>4</v>
      </c>
      <c r="AH1244" t="str">
        <f t="shared" si="126"/>
        <v>困难</v>
      </c>
      <c r="AI1244">
        <f t="shared" si="123"/>
        <v>7654</v>
      </c>
      <c r="AJ1244">
        <f t="shared" si="124"/>
        <v>3469</v>
      </c>
      <c r="AK1244">
        <f t="shared" si="125"/>
        <v>3469</v>
      </c>
    </row>
    <row r="1245" spans="30:37">
      <c r="AD1245" s="154">
        <v>205904</v>
      </c>
      <c r="AE1245" s="155">
        <v>121109</v>
      </c>
      <c r="AF1245">
        <f t="shared" si="122"/>
        <v>59</v>
      </c>
      <c r="AG1245">
        <f t="shared" si="127"/>
        <v>4</v>
      </c>
      <c r="AH1245" t="str">
        <f t="shared" si="126"/>
        <v>困难</v>
      </c>
      <c r="AI1245">
        <f t="shared" si="123"/>
        <v>7654</v>
      </c>
      <c r="AJ1245">
        <f t="shared" si="124"/>
        <v>3469</v>
      </c>
      <c r="AK1245">
        <f t="shared" si="125"/>
        <v>3469</v>
      </c>
    </row>
    <row r="1246" spans="30:37">
      <c r="AD1246" s="156">
        <v>205904</v>
      </c>
      <c r="AE1246" s="157">
        <v>121109</v>
      </c>
      <c r="AF1246">
        <f t="shared" ref="AF1246:AF1277" si="128">MOD(ROUNDDOWN(AD1246/100,0),100)</f>
        <v>59</v>
      </c>
      <c r="AG1246">
        <f t="shared" si="127"/>
        <v>4</v>
      </c>
      <c r="AH1246" t="str">
        <f t="shared" si="126"/>
        <v>困难</v>
      </c>
      <c r="AI1246">
        <f t="shared" si="123"/>
        <v>7654</v>
      </c>
      <c r="AJ1246">
        <f t="shared" si="124"/>
        <v>3469</v>
      </c>
      <c r="AK1246">
        <f t="shared" si="125"/>
        <v>3469</v>
      </c>
    </row>
    <row r="1247" spans="30:37">
      <c r="AD1247" s="154">
        <v>206001</v>
      </c>
      <c r="AE1247" s="155">
        <v>121281</v>
      </c>
      <c r="AF1247">
        <f t="shared" si="128"/>
        <v>60</v>
      </c>
      <c r="AG1247">
        <f t="shared" si="127"/>
        <v>1</v>
      </c>
      <c r="AH1247" t="str">
        <f t="shared" si="126"/>
        <v>简单</v>
      </c>
      <c r="AI1247">
        <f t="shared" ref="AI1247:AI1277" si="129">IF($AH1247="简单",IF(AE1247&lt;122000,VLOOKUP($AF1247,$N:$T,2,0),VLOOKUP($AF1247,$N:$T,5,0)),IF(AE1247&lt;122000,VLOOKUP($AF1247,$V:$AB,2,0),VLOOKUP($AF1247,$V:$AB,5,0)))</f>
        <v>5418</v>
      </c>
      <c r="AJ1247">
        <f t="shared" ref="AJ1247:AJ1277" si="130">IF($AH1247="简单",IF(AF1247&lt;122000,VLOOKUP($AF1247,$N:$T,3,0),VLOOKUP($AF1247,$N:$T,6,0)),IF(AF1247&lt;122000,VLOOKUP($AF1247,$V:$AB,3,0),VLOOKUP($AF1247,$V:$AB,6,0)))</f>
        <v>2393</v>
      </c>
      <c r="AK1247">
        <f t="shared" ref="AK1247:AK1277" si="131">IF($AH1247="简单",IF(AG1247&lt;122000,VLOOKUP($AF1247,$N:$T,4,0),VLOOKUP($AF1247,$N:$T,7,0)),IF(AG1247&lt;122000,VLOOKUP($AF1247,$V:$AB,3,0),VLOOKUP($AF1247,$V:$AB,6,0)))</f>
        <v>45141</v>
      </c>
    </row>
    <row r="1248" spans="30:37">
      <c r="AD1248" s="154">
        <v>206001</v>
      </c>
      <c r="AE1248" s="155">
        <v>121270</v>
      </c>
      <c r="AF1248">
        <f t="shared" si="128"/>
        <v>60</v>
      </c>
      <c r="AG1248">
        <f t="shared" si="127"/>
        <v>1</v>
      </c>
      <c r="AH1248" t="str">
        <f t="shared" si="126"/>
        <v>简单</v>
      </c>
      <c r="AI1248">
        <f t="shared" si="129"/>
        <v>5418</v>
      </c>
      <c r="AJ1248">
        <f t="shared" si="130"/>
        <v>2393</v>
      </c>
      <c r="AK1248">
        <f t="shared" si="131"/>
        <v>45141</v>
      </c>
    </row>
    <row r="1249" spans="30:37">
      <c r="AD1249" s="154">
        <v>206001</v>
      </c>
      <c r="AE1249" s="155">
        <v>121270</v>
      </c>
      <c r="AF1249">
        <f t="shared" si="128"/>
        <v>60</v>
      </c>
      <c r="AG1249">
        <f t="shared" si="127"/>
        <v>1</v>
      </c>
      <c r="AH1249" t="str">
        <f t="shared" si="126"/>
        <v>简单</v>
      </c>
      <c r="AI1249">
        <f t="shared" si="129"/>
        <v>5418</v>
      </c>
      <c r="AJ1249">
        <f t="shared" si="130"/>
        <v>2393</v>
      </c>
      <c r="AK1249">
        <f t="shared" si="131"/>
        <v>45141</v>
      </c>
    </row>
    <row r="1250" spans="30:37">
      <c r="AD1250" s="154">
        <v>206001</v>
      </c>
      <c r="AE1250" s="155">
        <v>121271</v>
      </c>
      <c r="AF1250">
        <f t="shared" si="128"/>
        <v>60</v>
      </c>
      <c r="AG1250">
        <f t="shared" si="127"/>
        <v>1</v>
      </c>
      <c r="AH1250" t="str">
        <f t="shared" si="126"/>
        <v>简单</v>
      </c>
      <c r="AI1250">
        <f t="shared" si="129"/>
        <v>5418</v>
      </c>
      <c r="AJ1250">
        <f t="shared" si="130"/>
        <v>2393</v>
      </c>
      <c r="AK1250">
        <f t="shared" si="131"/>
        <v>45141</v>
      </c>
    </row>
    <row r="1251" spans="30:37">
      <c r="AD1251" s="154">
        <v>206001</v>
      </c>
      <c r="AE1251" s="155">
        <v>121271</v>
      </c>
      <c r="AF1251">
        <f t="shared" si="128"/>
        <v>60</v>
      </c>
      <c r="AG1251">
        <f t="shared" si="127"/>
        <v>1</v>
      </c>
      <c r="AH1251" t="str">
        <f t="shared" si="126"/>
        <v>简单</v>
      </c>
      <c r="AI1251">
        <f t="shared" si="129"/>
        <v>5418</v>
      </c>
      <c r="AJ1251">
        <f t="shared" si="130"/>
        <v>2393</v>
      </c>
      <c r="AK1251">
        <f t="shared" si="131"/>
        <v>45141</v>
      </c>
    </row>
    <row r="1252" spans="30:37">
      <c r="AD1252" s="154">
        <v>206002</v>
      </c>
      <c r="AE1252" s="155">
        <v>121272</v>
      </c>
      <c r="AF1252">
        <f t="shared" si="128"/>
        <v>60</v>
      </c>
      <c r="AG1252">
        <f t="shared" si="127"/>
        <v>2</v>
      </c>
      <c r="AH1252" t="str">
        <f t="shared" si="126"/>
        <v>简单</v>
      </c>
      <c r="AI1252">
        <f t="shared" si="129"/>
        <v>5418</v>
      </c>
      <c r="AJ1252">
        <f t="shared" si="130"/>
        <v>2393</v>
      </c>
      <c r="AK1252">
        <f t="shared" si="131"/>
        <v>45141</v>
      </c>
    </row>
    <row r="1253" spans="30:37">
      <c r="AD1253" s="154">
        <v>206002</v>
      </c>
      <c r="AE1253" s="155">
        <v>121270</v>
      </c>
      <c r="AF1253">
        <f t="shared" si="128"/>
        <v>60</v>
      </c>
      <c r="AG1253">
        <f t="shared" si="127"/>
        <v>2</v>
      </c>
      <c r="AH1253" t="str">
        <f t="shared" si="126"/>
        <v>简单</v>
      </c>
      <c r="AI1253">
        <f t="shared" si="129"/>
        <v>5418</v>
      </c>
      <c r="AJ1253">
        <f t="shared" si="130"/>
        <v>2393</v>
      </c>
      <c r="AK1253">
        <f t="shared" si="131"/>
        <v>45141</v>
      </c>
    </row>
    <row r="1254" spans="30:37">
      <c r="AD1254" s="154">
        <v>206002</v>
      </c>
      <c r="AE1254" s="155">
        <v>121270</v>
      </c>
      <c r="AF1254">
        <f t="shared" si="128"/>
        <v>60</v>
      </c>
      <c r="AG1254">
        <f t="shared" si="127"/>
        <v>2</v>
      </c>
      <c r="AH1254" t="str">
        <f t="shared" si="126"/>
        <v>简单</v>
      </c>
      <c r="AI1254">
        <f t="shared" si="129"/>
        <v>5418</v>
      </c>
      <c r="AJ1254">
        <f t="shared" si="130"/>
        <v>2393</v>
      </c>
      <c r="AK1254">
        <f t="shared" si="131"/>
        <v>45141</v>
      </c>
    </row>
    <row r="1255" spans="30:37">
      <c r="AD1255" s="154">
        <v>206002</v>
      </c>
      <c r="AE1255" s="155">
        <v>121271</v>
      </c>
      <c r="AF1255">
        <f t="shared" si="128"/>
        <v>60</v>
      </c>
      <c r="AG1255">
        <f t="shared" si="127"/>
        <v>2</v>
      </c>
      <c r="AH1255" t="str">
        <f t="shared" si="126"/>
        <v>简单</v>
      </c>
      <c r="AI1255">
        <f t="shared" si="129"/>
        <v>5418</v>
      </c>
      <c r="AJ1255">
        <f t="shared" si="130"/>
        <v>2393</v>
      </c>
      <c r="AK1255">
        <f t="shared" si="131"/>
        <v>45141</v>
      </c>
    </row>
    <row r="1256" spans="30:37">
      <c r="AD1256" s="154">
        <v>206002</v>
      </c>
      <c r="AE1256" s="155">
        <v>121271</v>
      </c>
      <c r="AF1256">
        <f t="shared" si="128"/>
        <v>60</v>
      </c>
      <c r="AG1256">
        <f t="shared" si="127"/>
        <v>2</v>
      </c>
      <c r="AH1256" t="str">
        <f t="shared" si="126"/>
        <v>简单</v>
      </c>
      <c r="AI1256">
        <f t="shared" si="129"/>
        <v>5418</v>
      </c>
      <c r="AJ1256">
        <f t="shared" si="130"/>
        <v>2393</v>
      </c>
      <c r="AK1256">
        <f t="shared" si="131"/>
        <v>45141</v>
      </c>
    </row>
    <row r="1257" spans="30:37">
      <c r="AD1257" s="154">
        <v>206003</v>
      </c>
      <c r="AE1257" s="155">
        <v>121275</v>
      </c>
      <c r="AF1257">
        <f t="shared" si="128"/>
        <v>60</v>
      </c>
      <c r="AG1257">
        <f t="shared" si="127"/>
        <v>3</v>
      </c>
      <c r="AH1257" t="str">
        <f t="shared" si="126"/>
        <v>简单</v>
      </c>
      <c r="AI1257">
        <f t="shared" si="129"/>
        <v>5418</v>
      </c>
      <c r="AJ1257">
        <f t="shared" si="130"/>
        <v>2393</v>
      </c>
      <c r="AK1257">
        <f t="shared" si="131"/>
        <v>45141</v>
      </c>
    </row>
    <row r="1258" spans="30:37">
      <c r="AD1258" s="154">
        <v>206003</v>
      </c>
      <c r="AE1258" s="155">
        <v>121270</v>
      </c>
      <c r="AF1258">
        <f t="shared" si="128"/>
        <v>60</v>
      </c>
      <c r="AG1258">
        <f t="shared" si="127"/>
        <v>3</v>
      </c>
      <c r="AH1258" t="str">
        <f t="shared" si="126"/>
        <v>简单</v>
      </c>
      <c r="AI1258">
        <f t="shared" si="129"/>
        <v>5418</v>
      </c>
      <c r="AJ1258">
        <f t="shared" si="130"/>
        <v>2393</v>
      </c>
      <c r="AK1258">
        <f t="shared" si="131"/>
        <v>45141</v>
      </c>
    </row>
    <row r="1259" spans="30:37">
      <c r="AD1259" s="154">
        <v>206003</v>
      </c>
      <c r="AE1259" s="155">
        <v>121270</v>
      </c>
      <c r="AF1259">
        <f t="shared" si="128"/>
        <v>60</v>
      </c>
      <c r="AG1259">
        <f t="shared" si="127"/>
        <v>3</v>
      </c>
      <c r="AH1259" t="str">
        <f t="shared" si="126"/>
        <v>简单</v>
      </c>
      <c r="AI1259">
        <f t="shared" si="129"/>
        <v>5418</v>
      </c>
      <c r="AJ1259">
        <f t="shared" si="130"/>
        <v>2393</v>
      </c>
      <c r="AK1259">
        <f t="shared" si="131"/>
        <v>45141</v>
      </c>
    </row>
    <row r="1260" spans="30:37">
      <c r="AD1260" s="154">
        <v>206003</v>
      </c>
      <c r="AE1260" s="155">
        <v>121271</v>
      </c>
      <c r="AF1260">
        <f t="shared" si="128"/>
        <v>60</v>
      </c>
      <c r="AG1260">
        <f t="shared" si="127"/>
        <v>3</v>
      </c>
      <c r="AH1260" t="str">
        <f t="shared" ref="AH1260:AH1277" si="132">IF(VLOOKUP(AF1260,AF:AG,2,1)=4,IF(AG1260&lt;3,"简单","困难"),IF(AG1260&lt;4,"简单","困难"))</f>
        <v>简单</v>
      </c>
      <c r="AI1260">
        <f t="shared" si="129"/>
        <v>5418</v>
      </c>
      <c r="AJ1260">
        <f t="shared" si="130"/>
        <v>2393</v>
      </c>
      <c r="AK1260">
        <f t="shared" si="131"/>
        <v>45141</v>
      </c>
    </row>
    <row r="1261" spans="30:37">
      <c r="AD1261" s="154">
        <v>206003</v>
      </c>
      <c r="AE1261" s="155">
        <v>121271</v>
      </c>
      <c r="AF1261">
        <f t="shared" si="128"/>
        <v>60</v>
      </c>
      <c r="AG1261">
        <f t="shared" si="127"/>
        <v>3</v>
      </c>
      <c r="AH1261" t="str">
        <f t="shared" si="132"/>
        <v>简单</v>
      </c>
      <c r="AI1261">
        <f t="shared" si="129"/>
        <v>5418</v>
      </c>
      <c r="AJ1261">
        <f t="shared" si="130"/>
        <v>2393</v>
      </c>
      <c r="AK1261">
        <f t="shared" si="131"/>
        <v>45141</v>
      </c>
    </row>
    <row r="1262" spans="30:37">
      <c r="AD1262" s="154">
        <v>206004</v>
      </c>
      <c r="AE1262" s="155">
        <v>121276</v>
      </c>
      <c r="AF1262">
        <f t="shared" si="128"/>
        <v>60</v>
      </c>
      <c r="AG1262">
        <f t="shared" si="127"/>
        <v>4</v>
      </c>
      <c r="AH1262" t="str">
        <f t="shared" si="132"/>
        <v>困难</v>
      </c>
      <c r="AI1262">
        <f t="shared" si="129"/>
        <v>8263</v>
      </c>
      <c r="AJ1262">
        <f t="shared" si="130"/>
        <v>3767</v>
      </c>
      <c r="AK1262">
        <f t="shared" si="131"/>
        <v>3767</v>
      </c>
    </row>
    <row r="1263" spans="30:37">
      <c r="AD1263" s="154">
        <v>206004</v>
      </c>
      <c r="AE1263" s="155">
        <v>121277</v>
      </c>
      <c r="AF1263">
        <f t="shared" si="128"/>
        <v>60</v>
      </c>
      <c r="AG1263">
        <f t="shared" si="127"/>
        <v>4</v>
      </c>
      <c r="AH1263" t="str">
        <f t="shared" si="132"/>
        <v>困难</v>
      </c>
      <c r="AI1263">
        <f t="shared" si="129"/>
        <v>8263</v>
      </c>
      <c r="AJ1263">
        <f t="shared" si="130"/>
        <v>3767</v>
      </c>
      <c r="AK1263">
        <f t="shared" si="131"/>
        <v>3767</v>
      </c>
    </row>
    <row r="1264" spans="30:37">
      <c r="AD1264" s="154">
        <v>206004</v>
      </c>
      <c r="AE1264" s="155">
        <v>121277</v>
      </c>
      <c r="AF1264">
        <f t="shared" si="128"/>
        <v>60</v>
      </c>
      <c r="AG1264">
        <f t="shared" si="127"/>
        <v>4</v>
      </c>
      <c r="AH1264" t="str">
        <f t="shared" si="132"/>
        <v>困难</v>
      </c>
      <c r="AI1264">
        <f t="shared" si="129"/>
        <v>8263</v>
      </c>
      <c r="AJ1264">
        <f t="shared" si="130"/>
        <v>3767</v>
      </c>
      <c r="AK1264">
        <f t="shared" si="131"/>
        <v>3767</v>
      </c>
    </row>
    <row r="1265" spans="30:37">
      <c r="AD1265" s="154">
        <v>206004</v>
      </c>
      <c r="AE1265" s="155">
        <v>121278</v>
      </c>
      <c r="AF1265">
        <f t="shared" si="128"/>
        <v>60</v>
      </c>
      <c r="AG1265">
        <f t="shared" si="127"/>
        <v>4</v>
      </c>
      <c r="AH1265" t="str">
        <f t="shared" si="132"/>
        <v>困难</v>
      </c>
      <c r="AI1265">
        <f t="shared" si="129"/>
        <v>8263</v>
      </c>
      <c r="AJ1265">
        <f t="shared" si="130"/>
        <v>3767</v>
      </c>
      <c r="AK1265">
        <f t="shared" si="131"/>
        <v>3767</v>
      </c>
    </row>
    <row r="1266" spans="30:37">
      <c r="AD1266" s="154">
        <v>206004</v>
      </c>
      <c r="AE1266" s="155">
        <v>121278</v>
      </c>
      <c r="AF1266">
        <f t="shared" si="128"/>
        <v>60</v>
      </c>
      <c r="AG1266">
        <f t="shared" si="127"/>
        <v>4</v>
      </c>
      <c r="AH1266" t="str">
        <f t="shared" si="132"/>
        <v>困难</v>
      </c>
      <c r="AI1266">
        <f t="shared" si="129"/>
        <v>8263</v>
      </c>
      <c r="AJ1266">
        <f t="shared" si="130"/>
        <v>3767</v>
      </c>
      <c r="AK1266">
        <f t="shared" si="131"/>
        <v>3767</v>
      </c>
    </row>
    <row r="1267" spans="30:37">
      <c r="AD1267" s="154">
        <v>206004</v>
      </c>
      <c r="AE1267" s="155">
        <v>121278</v>
      </c>
      <c r="AF1267">
        <f t="shared" si="128"/>
        <v>60</v>
      </c>
      <c r="AG1267">
        <f t="shared" si="127"/>
        <v>4</v>
      </c>
      <c r="AH1267" t="str">
        <f t="shared" si="132"/>
        <v>困难</v>
      </c>
      <c r="AI1267">
        <f t="shared" si="129"/>
        <v>8263</v>
      </c>
      <c r="AJ1267">
        <f t="shared" si="130"/>
        <v>3767</v>
      </c>
      <c r="AK1267">
        <f t="shared" si="131"/>
        <v>3767</v>
      </c>
    </row>
    <row r="1268" spans="30:37">
      <c r="AD1268" s="154">
        <v>206005</v>
      </c>
      <c r="AE1268" s="155">
        <v>121279</v>
      </c>
      <c r="AF1268">
        <f t="shared" si="128"/>
        <v>60</v>
      </c>
      <c r="AG1268">
        <f t="shared" si="127"/>
        <v>5</v>
      </c>
      <c r="AH1268" t="str">
        <f t="shared" si="132"/>
        <v>困难</v>
      </c>
      <c r="AI1268">
        <f t="shared" si="129"/>
        <v>8263</v>
      </c>
      <c r="AJ1268">
        <f t="shared" si="130"/>
        <v>3767</v>
      </c>
      <c r="AK1268">
        <f t="shared" si="131"/>
        <v>3767</v>
      </c>
    </row>
    <row r="1269" spans="30:37">
      <c r="AD1269" s="154">
        <v>206005</v>
      </c>
      <c r="AE1269" s="155">
        <v>121270</v>
      </c>
      <c r="AF1269">
        <f t="shared" si="128"/>
        <v>60</v>
      </c>
      <c r="AG1269">
        <f t="shared" si="127"/>
        <v>5</v>
      </c>
      <c r="AH1269" t="str">
        <f t="shared" si="132"/>
        <v>困难</v>
      </c>
      <c r="AI1269">
        <f t="shared" si="129"/>
        <v>8263</v>
      </c>
      <c r="AJ1269">
        <f t="shared" si="130"/>
        <v>3767</v>
      </c>
      <c r="AK1269">
        <f t="shared" si="131"/>
        <v>3767</v>
      </c>
    </row>
    <row r="1270" spans="30:37">
      <c r="AD1270" s="154">
        <v>206005</v>
      </c>
      <c r="AE1270" s="155">
        <v>121270</v>
      </c>
      <c r="AF1270">
        <f t="shared" si="128"/>
        <v>60</v>
      </c>
      <c r="AG1270">
        <f t="shared" si="127"/>
        <v>5</v>
      </c>
      <c r="AH1270" t="str">
        <f t="shared" si="132"/>
        <v>困难</v>
      </c>
      <c r="AI1270">
        <f t="shared" si="129"/>
        <v>8263</v>
      </c>
      <c r="AJ1270">
        <f t="shared" si="130"/>
        <v>3767</v>
      </c>
      <c r="AK1270">
        <f t="shared" si="131"/>
        <v>3767</v>
      </c>
    </row>
    <row r="1271" spans="30:37">
      <c r="AD1271" s="154">
        <v>206005</v>
      </c>
      <c r="AE1271" s="155">
        <v>121271</v>
      </c>
      <c r="AF1271">
        <f t="shared" si="128"/>
        <v>60</v>
      </c>
      <c r="AG1271">
        <f t="shared" si="127"/>
        <v>5</v>
      </c>
      <c r="AH1271" t="str">
        <f t="shared" si="132"/>
        <v>困难</v>
      </c>
      <c r="AI1271">
        <f t="shared" si="129"/>
        <v>8263</v>
      </c>
      <c r="AJ1271">
        <f t="shared" si="130"/>
        <v>3767</v>
      </c>
      <c r="AK1271">
        <f t="shared" si="131"/>
        <v>3767</v>
      </c>
    </row>
    <row r="1272" spans="30:37">
      <c r="AD1272" s="154">
        <v>206005</v>
      </c>
      <c r="AE1272" s="155">
        <v>121271</v>
      </c>
      <c r="AF1272">
        <f t="shared" si="128"/>
        <v>60</v>
      </c>
      <c r="AG1272">
        <f t="shared" si="127"/>
        <v>5</v>
      </c>
      <c r="AH1272" t="str">
        <f t="shared" si="132"/>
        <v>困难</v>
      </c>
      <c r="AI1272">
        <f t="shared" si="129"/>
        <v>8263</v>
      </c>
      <c r="AJ1272">
        <f t="shared" si="130"/>
        <v>3767</v>
      </c>
      <c r="AK1272">
        <f t="shared" si="131"/>
        <v>3767</v>
      </c>
    </row>
    <row r="1273" spans="30:37">
      <c r="AD1273" s="154">
        <v>206006</v>
      </c>
      <c r="AE1273" s="155">
        <v>121280</v>
      </c>
      <c r="AF1273">
        <f t="shared" si="128"/>
        <v>60</v>
      </c>
      <c r="AG1273">
        <f t="shared" si="127"/>
        <v>6</v>
      </c>
      <c r="AH1273" t="str">
        <f t="shared" si="132"/>
        <v>困难</v>
      </c>
      <c r="AI1273">
        <f t="shared" si="129"/>
        <v>8263</v>
      </c>
      <c r="AJ1273">
        <f t="shared" si="130"/>
        <v>3767</v>
      </c>
      <c r="AK1273">
        <f t="shared" si="131"/>
        <v>3767</v>
      </c>
    </row>
    <row r="1274" spans="30:37">
      <c r="AD1274" s="154">
        <v>206006</v>
      </c>
      <c r="AE1274" s="155">
        <v>121270</v>
      </c>
      <c r="AF1274">
        <f t="shared" si="128"/>
        <v>60</v>
      </c>
      <c r="AG1274">
        <f t="shared" si="127"/>
        <v>6</v>
      </c>
      <c r="AH1274" t="str">
        <f t="shared" si="132"/>
        <v>困难</v>
      </c>
      <c r="AI1274">
        <f t="shared" si="129"/>
        <v>8263</v>
      </c>
      <c r="AJ1274">
        <f t="shared" si="130"/>
        <v>3767</v>
      </c>
      <c r="AK1274">
        <f t="shared" si="131"/>
        <v>3767</v>
      </c>
    </row>
    <row r="1275" spans="30:37">
      <c r="AD1275" s="154">
        <v>206006</v>
      </c>
      <c r="AE1275" s="155">
        <v>121270</v>
      </c>
      <c r="AF1275">
        <f t="shared" si="128"/>
        <v>60</v>
      </c>
      <c r="AG1275">
        <f t="shared" si="127"/>
        <v>6</v>
      </c>
      <c r="AH1275" t="str">
        <f t="shared" si="132"/>
        <v>困难</v>
      </c>
      <c r="AI1275">
        <f t="shared" si="129"/>
        <v>8263</v>
      </c>
      <c r="AJ1275">
        <f t="shared" si="130"/>
        <v>3767</v>
      </c>
      <c r="AK1275">
        <f t="shared" si="131"/>
        <v>3767</v>
      </c>
    </row>
    <row r="1276" spans="30:37">
      <c r="AD1276" s="154">
        <v>206006</v>
      </c>
      <c r="AE1276" s="155">
        <v>121271</v>
      </c>
      <c r="AF1276">
        <f t="shared" si="128"/>
        <v>60</v>
      </c>
      <c r="AG1276">
        <f t="shared" si="127"/>
        <v>6</v>
      </c>
      <c r="AH1276" t="str">
        <f t="shared" si="132"/>
        <v>困难</v>
      </c>
      <c r="AI1276">
        <f t="shared" si="129"/>
        <v>8263</v>
      </c>
      <c r="AJ1276">
        <f t="shared" si="130"/>
        <v>3767</v>
      </c>
      <c r="AK1276">
        <f t="shared" si="131"/>
        <v>3767</v>
      </c>
    </row>
    <row r="1277" spans="30:37">
      <c r="AD1277" s="156">
        <v>206006</v>
      </c>
      <c r="AE1277" s="157">
        <v>121271</v>
      </c>
      <c r="AF1277">
        <f t="shared" si="128"/>
        <v>60</v>
      </c>
      <c r="AG1277">
        <f t="shared" si="127"/>
        <v>6</v>
      </c>
      <c r="AH1277" t="str">
        <f t="shared" si="132"/>
        <v>困难</v>
      </c>
      <c r="AI1277">
        <f t="shared" si="129"/>
        <v>8263</v>
      </c>
      <c r="AJ1277">
        <f t="shared" si="130"/>
        <v>3767</v>
      </c>
      <c r="AK1277">
        <f t="shared" si="131"/>
        <v>3767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806"/>
  <sheetViews>
    <sheetView workbookViewId="0">
      <selection activeCell="AD32285" sqref="AD32285"/>
    </sheetView>
  </sheetViews>
  <sheetFormatPr defaultColWidth="9" defaultRowHeight="14"/>
  <cols>
    <col min="1" max="1" width="8.62727272727273" customWidth="1"/>
    <col min="2" max="2" width="12.3727272727273" style="103" customWidth="1"/>
    <col min="3" max="3" width="10.6272727272727" customWidth="1"/>
    <col min="4" max="4" width="8.12727272727273" customWidth="1"/>
    <col min="5" max="6" width="7" customWidth="1"/>
    <col min="7" max="7" width="13.7545454545455" customWidth="1"/>
    <col min="8" max="8" width="22" customWidth="1"/>
    <col min="9" max="9" width="15.5090909090909" customWidth="1"/>
    <col min="10" max="10" width="8.62727272727273" customWidth="1"/>
    <col min="11" max="11" width="15.6272727272727" customWidth="1"/>
    <col min="12" max="12" width="15.7545454545455" customWidth="1"/>
    <col min="13" max="13" width="9.75454545454545" customWidth="1"/>
    <col min="14" max="14" width="15.6272727272727" customWidth="1"/>
    <col min="15" max="15" width="17.6272727272727" customWidth="1"/>
    <col min="16" max="17" width="12.8818181818182" customWidth="1"/>
    <col min="18" max="18" width="18" customWidth="1"/>
    <col min="19" max="20" width="20.3727272727273" customWidth="1"/>
    <col min="21" max="22" width="20.3727272727273" hidden="1" customWidth="1"/>
    <col min="23" max="23" width="15" customWidth="1"/>
    <col min="24" max="24" width="10.5090909090909" customWidth="1"/>
    <col min="26" max="26" width="11.2545454545455" customWidth="1"/>
    <col min="27" max="27" width="10.2545454545455" customWidth="1"/>
    <col min="28" max="28" width="11.2545454545455" customWidth="1"/>
    <col min="29" max="29" width="10.2545454545455" customWidth="1"/>
    <col min="30" max="30" width="11.8818181818182" customWidth="1"/>
    <col min="31" max="31" width="15.1272727272727" customWidth="1"/>
  </cols>
  <sheetData>
    <row r="1" s="119" customFormat="1" spans="1:29">
      <c r="A1" s="119">
        <f>ROW(A1)</f>
        <v>1</v>
      </c>
      <c r="B1" s="103">
        <v>100101</v>
      </c>
      <c r="C1" s="121">
        <v>121008</v>
      </c>
      <c r="D1" s="119">
        <v>1</v>
      </c>
      <c r="E1" s="119">
        <v>2</v>
      </c>
      <c r="F1" s="119">
        <v>1</v>
      </c>
      <c r="G1" s="119">
        <v>10009</v>
      </c>
      <c r="H1" s="119">
        <v>1</v>
      </c>
      <c r="W1" s="119">
        <v>37</v>
      </c>
      <c r="X1" s="119">
        <v>9</v>
      </c>
      <c r="Y1" s="119">
        <v>80</v>
      </c>
      <c r="AC1" s="119">
        <v>1</v>
      </c>
    </row>
    <row r="2" s="119" customFormat="1" spans="1:29">
      <c r="A2" s="119">
        <f t="shared" ref="A2:A65" si="0">ROW(A2)</f>
        <v>2</v>
      </c>
      <c r="B2" s="103">
        <v>100101</v>
      </c>
      <c r="C2" s="121">
        <v>121009</v>
      </c>
      <c r="D2" s="119">
        <v>1</v>
      </c>
      <c r="E2" s="119">
        <v>1</v>
      </c>
      <c r="F2" s="119">
        <v>0</v>
      </c>
      <c r="G2" s="119">
        <v>10010</v>
      </c>
      <c r="H2" s="119">
        <v>1</v>
      </c>
      <c r="W2" s="119">
        <v>37</v>
      </c>
      <c r="X2" s="119">
        <v>9</v>
      </c>
      <c r="Y2" s="119">
        <v>80</v>
      </c>
      <c r="AC2" s="119">
        <v>1</v>
      </c>
    </row>
    <row r="3" s="119" customFormat="1" spans="1:29">
      <c r="A3" s="119">
        <f t="shared" si="0"/>
        <v>3</v>
      </c>
      <c r="B3" s="103">
        <v>100101</v>
      </c>
      <c r="C3" s="121">
        <v>121009</v>
      </c>
      <c r="D3" s="119">
        <v>1</v>
      </c>
      <c r="E3" s="119">
        <v>3</v>
      </c>
      <c r="F3" s="119">
        <v>0</v>
      </c>
      <c r="G3" s="119">
        <v>10010</v>
      </c>
      <c r="H3" s="119">
        <v>1</v>
      </c>
      <c r="W3" s="119">
        <v>37</v>
      </c>
      <c r="X3" s="119">
        <v>9</v>
      </c>
      <c r="Y3" s="119">
        <v>80</v>
      </c>
      <c r="AC3" s="119">
        <v>1</v>
      </c>
    </row>
    <row r="4" s="119" customFormat="1" spans="1:29">
      <c r="A4" s="119">
        <f t="shared" si="0"/>
        <v>4</v>
      </c>
      <c r="B4" s="103">
        <v>100102</v>
      </c>
      <c r="C4" s="119">
        <v>121008</v>
      </c>
      <c r="D4" s="119">
        <v>1</v>
      </c>
      <c r="E4" s="119">
        <v>2</v>
      </c>
      <c r="F4" s="119">
        <v>1</v>
      </c>
      <c r="G4" s="119">
        <v>10009</v>
      </c>
      <c r="H4" s="119">
        <v>1</v>
      </c>
      <c r="W4" s="119">
        <v>31</v>
      </c>
      <c r="X4" s="119">
        <v>10</v>
      </c>
      <c r="Y4" s="119">
        <v>90</v>
      </c>
      <c r="AC4" s="119">
        <v>1</v>
      </c>
    </row>
    <row r="5" s="119" customFormat="1" spans="1:29">
      <c r="A5" s="119">
        <f t="shared" si="0"/>
        <v>5</v>
      </c>
      <c r="B5" s="103">
        <v>100102</v>
      </c>
      <c r="C5" s="119">
        <v>121009</v>
      </c>
      <c r="D5" s="119">
        <v>1</v>
      </c>
      <c r="E5" s="119">
        <v>1</v>
      </c>
      <c r="F5" s="119">
        <v>0</v>
      </c>
      <c r="G5" s="119">
        <v>10010</v>
      </c>
      <c r="H5" s="119">
        <v>1</v>
      </c>
      <c r="W5" s="119">
        <v>31</v>
      </c>
      <c r="X5" s="119">
        <v>10</v>
      </c>
      <c r="Y5" s="119">
        <v>90</v>
      </c>
      <c r="AC5" s="119">
        <v>1</v>
      </c>
    </row>
    <row r="6" s="119" customFormat="1" spans="1:29">
      <c r="A6" s="119">
        <f t="shared" si="0"/>
        <v>6</v>
      </c>
      <c r="B6" s="103">
        <v>100102</v>
      </c>
      <c r="C6" s="119">
        <v>121009</v>
      </c>
      <c r="D6" s="119">
        <v>1</v>
      </c>
      <c r="E6" s="119">
        <v>3</v>
      </c>
      <c r="F6" s="119">
        <v>0</v>
      </c>
      <c r="G6" s="119">
        <v>10010</v>
      </c>
      <c r="H6" s="119">
        <v>1</v>
      </c>
      <c r="W6" s="119">
        <v>31</v>
      </c>
      <c r="X6" s="119">
        <v>10</v>
      </c>
      <c r="Y6" s="119">
        <v>90</v>
      </c>
      <c r="AC6" s="119">
        <v>1</v>
      </c>
    </row>
    <row r="7" s="119" customFormat="1" spans="1:29">
      <c r="A7" s="119">
        <f t="shared" si="0"/>
        <v>7</v>
      </c>
      <c r="B7" s="103">
        <v>100103</v>
      </c>
      <c r="C7" s="121">
        <v>121010</v>
      </c>
      <c r="D7" s="119">
        <v>1</v>
      </c>
      <c r="E7" s="119">
        <v>5</v>
      </c>
      <c r="F7" s="119">
        <v>1</v>
      </c>
      <c r="G7" s="119">
        <v>10012</v>
      </c>
      <c r="H7" s="119">
        <v>1</v>
      </c>
      <c r="W7" s="123">
        <v>50</v>
      </c>
      <c r="X7" s="123">
        <v>12</v>
      </c>
      <c r="Y7" s="123">
        <v>179</v>
      </c>
      <c r="AC7" s="119">
        <v>1</v>
      </c>
    </row>
    <row r="8" s="119" customFormat="1" spans="1:29">
      <c r="A8" s="119">
        <f t="shared" si="0"/>
        <v>8</v>
      </c>
      <c r="B8" s="103">
        <v>100103</v>
      </c>
      <c r="C8" s="119">
        <v>121008</v>
      </c>
      <c r="D8" s="119">
        <v>1</v>
      </c>
      <c r="E8" s="119">
        <v>1</v>
      </c>
      <c r="F8" s="119">
        <v>0</v>
      </c>
      <c r="G8" s="119">
        <v>10009</v>
      </c>
      <c r="H8" s="119">
        <v>1</v>
      </c>
      <c r="W8" s="119">
        <v>31</v>
      </c>
      <c r="X8" s="119">
        <v>10</v>
      </c>
      <c r="Y8" s="119">
        <v>90</v>
      </c>
      <c r="AC8" s="119">
        <v>1</v>
      </c>
    </row>
    <row r="9" s="119" customFormat="1" spans="1:29">
      <c r="A9" s="119">
        <f t="shared" si="0"/>
        <v>9</v>
      </c>
      <c r="B9" s="103">
        <v>100103</v>
      </c>
      <c r="C9" s="119">
        <v>121009</v>
      </c>
      <c r="D9" s="119">
        <v>1</v>
      </c>
      <c r="E9" s="119">
        <v>3</v>
      </c>
      <c r="F9" s="119">
        <v>0</v>
      </c>
      <c r="G9" s="119">
        <v>10010</v>
      </c>
      <c r="H9" s="119">
        <v>1</v>
      </c>
      <c r="W9" s="119">
        <v>31</v>
      </c>
      <c r="X9" s="119">
        <v>10</v>
      </c>
      <c r="Y9" s="119">
        <v>90</v>
      </c>
      <c r="AC9" s="119">
        <v>1</v>
      </c>
    </row>
    <row r="10" s="120" customFormat="1" spans="1:29">
      <c r="A10" s="120">
        <f t="shared" si="0"/>
        <v>10</v>
      </c>
      <c r="B10" s="103">
        <v>100104</v>
      </c>
      <c r="C10" s="121">
        <v>121008</v>
      </c>
      <c r="D10" s="120">
        <v>1</v>
      </c>
      <c r="E10" s="120">
        <v>1</v>
      </c>
      <c r="F10" s="120">
        <v>1</v>
      </c>
      <c r="G10" s="120">
        <v>10009</v>
      </c>
      <c r="H10" s="120">
        <v>1</v>
      </c>
      <c r="W10" s="123">
        <v>38</v>
      </c>
      <c r="X10" s="123">
        <v>13</v>
      </c>
      <c r="Y10" s="123">
        <v>145</v>
      </c>
      <c r="AC10" s="120">
        <v>1</v>
      </c>
    </row>
    <row r="11" s="120" customFormat="1" spans="1:29">
      <c r="A11" s="120">
        <f t="shared" si="0"/>
        <v>11</v>
      </c>
      <c r="B11" s="103">
        <v>100104</v>
      </c>
      <c r="C11" s="121">
        <v>121009</v>
      </c>
      <c r="D11" s="120">
        <v>1</v>
      </c>
      <c r="E11" s="120">
        <v>2</v>
      </c>
      <c r="F11" s="120">
        <v>0</v>
      </c>
      <c r="G11" s="120">
        <v>10010</v>
      </c>
      <c r="H11" s="120">
        <v>1</v>
      </c>
      <c r="W11" s="123">
        <v>38</v>
      </c>
      <c r="X11" s="123">
        <v>13</v>
      </c>
      <c r="Y11" s="123">
        <v>145</v>
      </c>
      <c r="AC11" s="120">
        <v>1</v>
      </c>
    </row>
    <row r="12" s="120" customFormat="1" spans="1:29">
      <c r="A12" s="120">
        <f t="shared" si="0"/>
        <v>12</v>
      </c>
      <c r="B12" s="103">
        <v>100104</v>
      </c>
      <c r="C12" s="121">
        <v>121009</v>
      </c>
      <c r="D12" s="120">
        <v>1</v>
      </c>
      <c r="E12" s="120">
        <v>3</v>
      </c>
      <c r="F12" s="120">
        <v>0</v>
      </c>
      <c r="G12" s="120">
        <v>10010</v>
      </c>
      <c r="H12" s="120">
        <v>1</v>
      </c>
      <c r="W12" s="123">
        <v>38</v>
      </c>
      <c r="X12" s="123">
        <v>13</v>
      </c>
      <c r="Y12" s="123">
        <v>145</v>
      </c>
      <c r="AC12" s="120">
        <v>1</v>
      </c>
    </row>
    <row r="13" s="120" customFormat="1" spans="1:29">
      <c r="A13" s="120">
        <f t="shared" si="0"/>
        <v>13</v>
      </c>
      <c r="B13" s="103">
        <v>100104</v>
      </c>
      <c r="C13" s="120">
        <v>111002</v>
      </c>
      <c r="D13" s="120">
        <v>1</v>
      </c>
      <c r="E13" s="120">
        <v>5</v>
      </c>
      <c r="F13" s="120">
        <v>0</v>
      </c>
      <c r="G13" s="120">
        <v>164</v>
      </c>
      <c r="H13" s="120">
        <v>1</v>
      </c>
      <c r="I13" s="120">
        <v>25</v>
      </c>
      <c r="J13" s="120">
        <v>165</v>
      </c>
      <c r="K13" s="120">
        <v>1</v>
      </c>
      <c r="L13" s="120">
        <v>25</v>
      </c>
      <c r="M13" s="120">
        <v>166</v>
      </c>
      <c r="N13" s="120">
        <v>1</v>
      </c>
      <c r="W13" s="123">
        <v>52</v>
      </c>
      <c r="X13" s="123">
        <v>16</v>
      </c>
      <c r="Y13" s="123">
        <v>202</v>
      </c>
      <c r="AC13" s="120">
        <v>1</v>
      </c>
    </row>
    <row r="14" s="120" customFormat="1" spans="1:29">
      <c r="A14" s="120">
        <f t="shared" si="0"/>
        <v>14</v>
      </c>
      <c r="B14" s="103">
        <v>100201</v>
      </c>
      <c r="C14" s="122">
        <v>121008</v>
      </c>
      <c r="D14" s="120">
        <v>1</v>
      </c>
      <c r="E14" s="120">
        <v>1</v>
      </c>
      <c r="F14" s="120">
        <v>1</v>
      </c>
      <c r="G14" s="120">
        <v>10009</v>
      </c>
      <c r="H14" s="120">
        <v>1</v>
      </c>
      <c r="W14" s="124">
        <v>42</v>
      </c>
      <c r="X14" s="124">
        <v>14</v>
      </c>
      <c r="Y14" s="124">
        <v>157</v>
      </c>
      <c r="AC14" s="120">
        <v>1</v>
      </c>
    </row>
    <row r="15" s="120" customFormat="1" spans="1:29">
      <c r="A15" s="120">
        <f t="shared" si="0"/>
        <v>15</v>
      </c>
      <c r="B15" s="103">
        <v>100201</v>
      </c>
      <c r="C15" s="122">
        <v>121008</v>
      </c>
      <c r="D15" s="120">
        <v>1</v>
      </c>
      <c r="E15" s="120">
        <v>2</v>
      </c>
      <c r="F15" s="120">
        <v>0</v>
      </c>
      <c r="G15" s="120">
        <v>10009</v>
      </c>
      <c r="H15" s="120">
        <v>1</v>
      </c>
      <c r="W15" s="124">
        <v>42</v>
      </c>
      <c r="X15" s="124">
        <v>14</v>
      </c>
      <c r="Y15" s="124">
        <v>157</v>
      </c>
      <c r="AC15" s="120">
        <v>1</v>
      </c>
    </row>
    <row r="16" s="120" customFormat="1" spans="1:29">
      <c r="A16" s="120">
        <f t="shared" si="0"/>
        <v>16</v>
      </c>
      <c r="B16" s="103">
        <v>100201</v>
      </c>
      <c r="C16" s="122">
        <v>121008</v>
      </c>
      <c r="D16" s="120">
        <v>1</v>
      </c>
      <c r="E16" s="120">
        <v>3</v>
      </c>
      <c r="F16" s="120">
        <v>0</v>
      </c>
      <c r="G16" s="120">
        <v>10009</v>
      </c>
      <c r="H16" s="120">
        <v>1</v>
      </c>
      <c r="W16" s="124">
        <v>42</v>
      </c>
      <c r="X16" s="124">
        <v>14</v>
      </c>
      <c r="Y16" s="124">
        <v>157</v>
      </c>
      <c r="AC16" s="120">
        <v>1</v>
      </c>
    </row>
    <row r="17" s="120" customFormat="1" spans="1:29">
      <c r="A17" s="120">
        <f t="shared" si="0"/>
        <v>17</v>
      </c>
      <c r="B17" s="103">
        <v>100202</v>
      </c>
      <c r="C17" s="120">
        <v>112010</v>
      </c>
      <c r="D17" s="120">
        <v>1</v>
      </c>
      <c r="E17" s="120">
        <v>5</v>
      </c>
      <c r="F17" s="120">
        <v>1</v>
      </c>
      <c r="G17" s="120">
        <v>91</v>
      </c>
      <c r="H17" s="120">
        <v>1</v>
      </c>
      <c r="I17" s="120">
        <v>25</v>
      </c>
      <c r="J17" s="120">
        <v>92</v>
      </c>
      <c r="K17" s="120">
        <v>1</v>
      </c>
      <c r="L17" s="120">
        <v>25</v>
      </c>
      <c r="M17" s="120">
        <v>93</v>
      </c>
      <c r="N17" s="120">
        <v>1</v>
      </c>
      <c r="O17" s="120">
        <v>25</v>
      </c>
      <c r="P17" s="120">
        <v>94</v>
      </c>
      <c r="Q17" s="120">
        <v>1</v>
      </c>
      <c r="R17" s="120">
        <v>20</v>
      </c>
      <c r="S17" s="120">
        <v>95</v>
      </c>
      <c r="T17" s="120">
        <v>1</v>
      </c>
      <c r="W17" s="124">
        <v>60</v>
      </c>
      <c r="X17" s="124">
        <v>19</v>
      </c>
      <c r="Y17" s="124">
        <v>237</v>
      </c>
      <c r="AC17" s="120">
        <v>1</v>
      </c>
    </row>
    <row r="18" s="120" customFormat="1" spans="1:29">
      <c r="A18" s="120">
        <f t="shared" si="0"/>
        <v>18</v>
      </c>
      <c r="B18" s="103">
        <v>100202</v>
      </c>
      <c r="C18" s="122">
        <v>121008</v>
      </c>
      <c r="D18" s="120">
        <v>1</v>
      </c>
      <c r="E18" s="120">
        <v>1</v>
      </c>
      <c r="F18" s="120">
        <v>0</v>
      </c>
      <c r="G18" s="120">
        <v>10009</v>
      </c>
      <c r="H18" s="120">
        <v>1</v>
      </c>
      <c r="W18" s="124">
        <v>45</v>
      </c>
      <c r="X18" s="124">
        <v>15</v>
      </c>
      <c r="Y18" s="124">
        <v>170</v>
      </c>
      <c r="AC18" s="120">
        <v>1</v>
      </c>
    </row>
    <row r="19" s="120" customFormat="1" spans="1:29">
      <c r="A19" s="120">
        <f t="shared" si="0"/>
        <v>19</v>
      </c>
      <c r="B19" s="103">
        <v>100202</v>
      </c>
      <c r="C19" s="122">
        <v>121008</v>
      </c>
      <c r="D19" s="120">
        <v>1</v>
      </c>
      <c r="E19" s="120">
        <v>3</v>
      </c>
      <c r="F19" s="120">
        <v>0</v>
      </c>
      <c r="G19" s="120">
        <v>10009</v>
      </c>
      <c r="H19" s="120">
        <v>1</v>
      </c>
      <c r="W19" s="124">
        <v>45</v>
      </c>
      <c r="X19" s="124">
        <v>15</v>
      </c>
      <c r="Y19" s="124">
        <v>170</v>
      </c>
      <c r="AC19" s="120">
        <v>1</v>
      </c>
    </row>
    <row r="20" s="120" customFormat="1" spans="1:29">
      <c r="A20" s="120">
        <f t="shared" si="0"/>
        <v>20</v>
      </c>
      <c r="B20" s="103">
        <v>100203</v>
      </c>
      <c r="C20" s="122">
        <v>121008</v>
      </c>
      <c r="D20" s="120">
        <v>1</v>
      </c>
      <c r="E20" s="120">
        <v>2</v>
      </c>
      <c r="F20" s="120">
        <v>0</v>
      </c>
      <c r="G20" s="120">
        <v>10009</v>
      </c>
      <c r="H20" s="120">
        <v>1</v>
      </c>
      <c r="W20" s="124">
        <v>90</v>
      </c>
      <c r="X20" s="124">
        <v>30</v>
      </c>
      <c r="Y20" s="124">
        <v>322</v>
      </c>
      <c r="AC20" s="120">
        <v>1</v>
      </c>
    </row>
    <row r="21" s="120" customFormat="1" spans="1:29">
      <c r="A21" s="120">
        <f t="shared" si="0"/>
        <v>21</v>
      </c>
      <c r="B21" s="103">
        <v>100204</v>
      </c>
      <c r="C21" s="120">
        <v>111003</v>
      </c>
      <c r="D21" s="120">
        <v>1</v>
      </c>
      <c r="E21" s="120">
        <v>5</v>
      </c>
      <c r="F21" s="120">
        <v>0</v>
      </c>
      <c r="G21" s="120">
        <v>186</v>
      </c>
      <c r="H21" s="120">
        <v>1</v>
      </c>
      <c r="I21" s="120">
        <v>25</v>
      </c>
      <c r="J21" s="120">
        <v>187</v>
      </c>
      <c r="K21" s="120">
        <v>1</v>
      </c>
      <c r="L21" s="120">
        <v>25</v>
      </c>
      <c r="M21" s="120">
        <v>188</v>
      </c>
      <c r="N21" s="120">
        <v>1</v>
      </c>
      <c r="W21" s="124">
        <v>76</v>
      </c>
      <c r="X21" s="124">
        <v>34</v>
      </c>
      <c r="Y21" s="124">
        <v>342</v>
      </c>
      <c r="AC21" s="120">
        <v>1</v>
      </c>
    </row>
    <row r="22" s="120" customFormat="1" spans="1:29">
      <c r="A22" s="120">
        <f t="shared" si="0"/>
        <v>22</v>
      </c>
      <c r="B22" s="103">
        <v>100204</v>
      </c>
      <c r="C22" s="122">
        <v>121008</v>
      </c>
      <c r="D22" s="120">
        <v>1</v>
      </c>
      <c r="E22" s="120">
        <v>1</v>
      </c>
      <c r="F22" s="120">
        <v>0</v>
      </c>
      <c r="G22" s="120">
        <v>10009</v>
      </c>
      <c r="H22" s="120">
        <v>1</v>
      </c>
      <c r="W22" s="124">
        <v>76</v>
      </c>
      <c r="X22" s="124">
        <v>24</v>
      </c>
      <c r="Y22" s="124">
        <v>213</v>
      </c>
      <c r="AC22" s="120">
        <v>1</v>
      </c>
    </row>
    <row r="23" s="120" customFormat="1" spans="1:29">
      <c r="A23" s="120">
        <f t="shared" si="0"/>
        <v>23</v>
      </c>
      <c r="B23" s="103">
        <v>100204</v>
      </c>
      <c r="C23" s="122">
        <v>121008</v>
      </c>
      <c r="D23" s="120">
        <v>1</v>
      </c>
      <c r="E23" s="120">
        <v>3</v>
      </c>
      <c r="F23" s="120">
        <v>0</v>
      </c>
      <c r="G23" s="120">
        <v>10009</v>
      </c>
      <c r="H23" s="120">
        <v>1</v>
      </c>
      <c r="W23" s="124">
        <v>76</v>
      </c>
      <c r="X23" s="124">
        <v>24</v>
      </c>
      <c r="Y23" s="124">
        <v>213</v>
      </c>
      <c r="AC23" s="120">
        <v>1</v>
      </c>
    </row>
    <row r="24" s="120" customFormat="1" spans="1:31">
      <c r="A24" s="120">
        <f t="shared" si="0"/>
        <v>24</v>
      </c>
      <c r="B24" s="103">
        <v>100205</v>
      </c>
      <c r="C24" s="120">
        <v>112010</v>
      </c>
      <c r="D24" s="120">
        <v>1</v>
      </c>
      <c r="E24" s="120">
        <v>5</v>
      </c>
      <c r="F24" s="120">
        <v>0</v>
      </c>
      <c r="G24" s="120">
        <v>91</v>
      </c>
      <c r="H24" s="120">
        <v>1</v>
      </c>
      <c r="I24" s="120">
        <v>25</v>
      </c>
      <c r="J24" s="120">
        <v>92</v>
      </c>
      <c r="K24" s="120">
        <v>1</v>
      </c>
      <c r="L24" s="120">
        <v>25</v>
      </c>
      <c r="M24" s="120">
        <v>97</v>
      </c>
      <c r="N24" s="120">
        <v>1</v>
      </c>
      <c r="O24" s="120">
        <v>25</v>
      </c>
      <c r="P24" s="120">
        <v>96</v>
      </c>
      <c r="Q24" s="120">
        <v>1</v>
      </c>
      <c r="R24" s="120">
        <v>20</v>
      </c>
      <c r="S24" s="120">
        <v>98</v>
      </c>
      <c r="T24" s="120">
        <v>1</v>
      </c>
      <c r="W24" s="124">
        <v>120</v>
      </c>
      <c r="X24" s="124">
        <v>41</v>
      </c>
      <c r="Y24" s="124">
        <v>353</v>
      </c>
      <c r="AA24" s="120">
        <v>0.048</v>
      </c>
      <c r="AC24" s="120">
        <v>1</v>
      </c>
      <c r="AE24" s="120">
        <v>1.5</v>
      </c>
    </row>
    <row r="25" s="120" customFormat="1" spans="1:29">
      <c r="A25" s="120">
        <f t="shared" si="0"/>
        <v>25</v>
      </c>
      <c r="B25" s="103">
        <v>100205</v>
      </c>
      <c r="C25" s="122">
        <v>121008</v>
      </c>
      <c r="D25" s="120">
        <v>1</v>
      </c>
      <c r="E25" s="120">
        <v>1</v>
      </c>
      <c r="F25" s="120">
        <v>0</v>
      </c>
      <c r="G25" s="120">
        <v>10009</v>
      </c>
      <c r="H25" s="120">
        <v>1</v>
      </c>
      <c r="W25" s="124">
        <v>96</v>
      </c>
      <c r="X25" s="124">
        <v>27</v>
      </c>
      <c r="Y25" s="124">
        <v>235</v>
      </c>
      <c r="AC25" s="120">
        <v>1</v>
      </c>
    </row>
    <row r="26" s="120" customFormat="1" spans="1:29">
      <c r="A26" s="120">
        <f t="shared" si="0"/>
        <v>26</v>
      </c>
      <c r="B26" s="103">
        <v>100205</v>
      </c>
      <c r="C26" s="122">
        <v>121008</v>
      </c>
      <c r="D26" s="120">
        <v>1</v>
      </c>
      <c r="E26" s="120">
        <v>3</v>
      </c>
      <c r="F26" s="120">
        <v>0</v>
      </c>
      <c r="G26" s="120">
        <v>10009</v>
      </c>
      <c r="H26" s="120">
        <v>1</v>
      </c>
      <c r="W26" s="124">
        <v>96</v>
      </c>
      <c r="X26" s="124">
        <v>27</v>
      </c>
      <c r="Y26" s="124">
        <v>235</v>
      </c>
      <c r="AC26" s="120">
        <v>1</v>
      </c>
    </row>
    <row r="27" s="120" customFormat="1" spans="1:31">
      <c r="A27" s="120">
        <f t="shared" si="0"/>
        <v>27</v>
      </c>
      <c r="B27" s="103">
        <v>100301</v>
      </c>
      <c r="C27" s="120">
        <v>112004</v>
      </c>
      <c r="D27" s="120">
        <v>1</v>
      </c>
      <c r="E27" s="120">
        <v>8</v>
      </c>
      <c r="F27" s="120">
        <v>0</v>
      </c>
      <c r="G27" s="120">
        <v>55</v>
      </c>
      <c r="H27" s="120">
        <v>1</v>
      </c>
      <c r="I27" s="120">
        <v>25</v>
      </c>
      <c r="J27" s="120">
        <v>56</v>
      </c>
      <c r="K27" s="120">
        <v>1</v>
      </c>
      <c r="L27" s="120">
        <v>25</v>
      </c>
      <c r="M27" s="120">
        <v>59</v>
      </c>
      <c r="N27" s="120">
        <v>1</v>
      </c>
      <c r="O27" s="120">
        <v>25</v>
      </c>
      <c r="P27" s="120">
        <v>60</v>
      </c>
      <c r="Q27" s="120">
        <v>1</v>
      </c>
      <c r="R27" s="120">
        <v>20</v>
      </c>
      <c r="S27" s="120">
        <v>62</v>
      </c>
      <c r="T27" s="120">
        <v>1</v>
      </c>
      <c r="W27" s="123">
        <v>131</v>
      </c>
      <c r="X27" s="123">
        <v>51</v>
      </c>
      <c r="Y27" s="123">
        <v>466</v>
      </c>
      <c r="AA27" s="120">
        <v>0.048</v>
      </c>
      <c r="AC27" s="120">
        <v>1</v>
      </c>
      <c r="AE27" s="120">
        <v>1.5</v>
      </c>
    </row>
    <row r="28" s="119" customFormat="1" spans="1:29">
      <c r="A28" s="119">
        <f t="shared" si="0"/>
        <v>28</v>
      </c>
      <c r="B28" s="103">
        <v>100302</v>
      </c>
      <c r="C28" s="121">
        <v>121001</v>
      </c>
      <c r="D28" s="119">
        <v>1</v>
      </c>
      <c r="E28" s="119">
        <v>1</v>
      </c>
      <c r="F28" s="119">
        <v>0</v>
      </c>
      <c r="G28" s="119">
        <v>10003</v>
      </c>
      <c r="H28" s="119">
        <v>1</v>
      </c>
      <c r="W28" s="123">
        <v>100</v>
      </c>
      <c r="X28" s="123">
        <v>30</v>
      </c>
      <c r="Y28" s="123">
        <v>231</v>
      </c>
      <c r="AC28" s="119">
        <v>1</v>
      </c>
    </row>
    <row r="29" s="119" customFormat="1" spans="1:29">
      <c r="A29" s="119">
        <f t="shared" si="0"/>
        <v>29</v>
      </c>
      <c r="B29" s="103">
        <v>100302</v>
      </c>
      <c r="C29" s="121">
        <v>121001</v>
      </c>
      <c r="D29" s="119">
        <v>1</v>
      </c>
      <c r="E29" s="119">
        <v>3</v>
      </c>
      <c r="F29" s="119">
        <v>0</v>
      </c>
      <c r="G29" s="119">
        <v>10003</v>
      </c>
      <c r="H29" s="119">
        <v>1</v>
      </c>
      <c r="W29" s="123">
        <v>100</v>
      </c>
      <c r="X29" s="123">
        <v>30</v>
      </c>
      <c r="Y29" s="123">
        <v>231</v>
      </c>
      <c r="AC29" s="119">
        <v>1</v>
      </c>
    </row>
    <row r="30" s="119" customFormat="1" spans="1:31">
      <c r="A30" s="119">
        <f t="shared" si="0"/>
        <v>30</v>
      </c>
      <c r="B30" s="103">
        <v>100302</v>
      </c>
      <c r="C30" s="119">
        <v>111005</v>
      </c>
      <c r="D30" s="119">
        <v>1</v>
      </c>
      <c r="E30" s="119">
        <v>5</v>
      </c>
      <c r="F30" s="119">
        <v>0</v>
      </c>
      <c r="G30" s="119">
        <v>88</v>
      </c>
      <c r="H30" s="119">
        <v>1</v>
      </c>
      <c r="I30" s="119">
        <v>25</v>
      </c>
      <c r="J30" s="119">
        <v>89</v>
      </c>
      <c r="K30" s="119">
        <v>1</v>
      </c>
      <c r="L30" s="119">
        <v>25</v>
      </c>
      <c r="M30" s="119">
        <v>90</v>
      </c>
      <c r="N30" s="119">
        <v>1</v>
      </c>
      <c r="W30" s="123">
        <v>136</v>
      </c>
      <c r="X30" s="123">
        <v>53</v>
      </c>
      <c r="Y30" s="123">
        <v>496</v>
      </c>
      <c r="AA30" s="119">
        <v>0.048</v>
      </c>
      <c r="AC30" s="119">
        <v>1</v>
      </c>
      <c r="AE30" s="119">
        <v>1.5</v>
      </c>
    </row>
    <row r="31" s="119" customFormat="1" spans="1:29">
      <c r="A31" s="119">
        <f t="shared" si="0"/>
        <v>31</v>
      </c>
      <c r="B31" s="103">
        <v>100303</v>
      </c>
      <c r="C31" s="121">
        <v>121001</v>
      </c>
      <c r="D31" s="119">
        <v>1</v>
      </c>
      <c r="E31" s="119">
        <v>1</v>
      </c>
      <c r="F31" s="119">
        <v>0</v>
      </c>
      <c r="G31" s="119">
        <v>10003</v>
      </c>
      <c r="H31" s="119">
        <v>1</v>
      </c>
      <c r="W31" s="123">
        <v>114</v>
      </c>
      <c r="X31" s="123">
        <v>41</v>
      </c>
      <c r="Y31" s="123">
        <v>272</v>
      </c>
      <c r="AC31" s="119">
        <v>1</v>
      </c>
    </row>
    <row r="32" s="119" customFormat="1" spans="1:29">
      <c r="A32" s="119">
        <f t="shared" si="0"/>
        <v>32</v>
      </c>
      <c r="B32" s="103">
        <v>100303</v>
      </c>
      <c r="C32" s="121">
        <v>121002</v>
      </c>
      <c r="D32" s="119">
        <v>1</v>
      </c>
      <c r="E32" s="119">
        <v>2</v>
      </c>
      <c r="F32" s="119">
        <v>0</v>
      </c>
      <c r="G32" s="119">
        <v>10004</v>
      </c>
      <c r="H32" s="119">
        <v>1</v>
      </c>
      <c r="W32" s="123">
        <v>114</v>
      </c>
      <c r="X32" s="123">
        <v>41</v>
      </c>
      <c r="Y32" s="123">
        <v>272</v>
      </c>
      <c r="AC32" s="119">
        <v>1</v>
      </c>
    </row>
    <row r="33" s="119" customFormat="1" spans="1:29">
      <c r="A33" s="119">
        <f t="shared" si="0"/>
        <v>33</v>
      </c>
      <c r="B33" s="103">
        <v>100303</v>
      </c>
      <c r="C33" s="121">
        <v>121001</v>
      </c>
      <c r="D33" s="119">
        <v>1</v>
      </c>
      <c r="E33" s="119">
        <v>3</v>
      </c>
      <c r="F33" s="119">
        <v>0</v>
      </c>
      <c r="G33" s="119">
        <v>10003</v>
      </c>
      <c r="H33" s="119">
        <v>1</v>
      </c>
      <c r="W33" s="123">
        <v>114</v>
      </c>
      <c r="X33" s="123">
        <v>41</v>
      </c>
      <c r="Y33" s="123">
        <v>272</v>
      </c>
      <c r="AC33" s="119">
        <v>1</v>
      </c>
    </row>
    <row r="34" s="119" customFormat="1" spans="1:29">
      <c r="A34" s="119">
        <f t="shared" si="0"/>
        <v>34</v>
      </c>
      <c r="B34" s="103">
        <v>100304</v>
      </c>
      <c r="C34" s="119">
        <v>121003</v>
      </c>
      <c r="D34" s="119">
        <v>1</v>
      </c>
      <c r="E34" s="119">
        <v>1</v>
      </c>
      <c r="F34" s="119">
        <v>0</v>
      </c>
      <c r="G34" s="119">
        <v>10001</v>
      </c>
      <c r="H34" s="119">
        <v>1</v>
      </c>
      <c r="W34" s="123">
        <v>114</v>
      </c>
      <c r="X34" s="123">
        <v>41</v>
      </c>
      <c r="Y34" s="123">
        <v>362</v>
      </c>
      <c r="AC34" s="119">
        <v>1</v>
      </c>
    </row>
    <row r="35" s="119" customFormat="1" spans="1:29">
      <c r="A35" s="119">
        <f t="shared" si="0"/>
        <v>35</v>
      </c>
      <c r="B35" s="103">
        <v>100304</v>
      </c>
      <c r="C35" s="119">
        <v>121004</v>
      </c>
      <c r="D35" s="119">
        <v>1</v>
      </c>
      <c r="E35" s="119">
        <v>3</v>
      </c>
      <c r="F35" s="119">
        <v>0</v>
      </c>
      <c r="G35" s="119">
        <v>10002</v>
      </c>
      <c r="H35" s="119">
        <v>1</v>
      </c>
      <c r="W35" s="123">
        <v>120</v>
      </c>
      <c r="X35" s="123">
        <v>41</v>
      </c>
      <c r="Y35" s="123">
        <v>272</v>
      </c>
      <c r="AC35" s="119">
        <v>1</v>
      </c>
    </row>
    <row r="36" s="119" customFormat="1" spans="1:31">
      <c r="A36" s="119">
        <f t="shared" si="0"/>
        <v>36</v>
      </c>
      <c r="B36" s="103">
        <v>100304</v>
      </c>
      <c r="C36" s="119">
        <v>111005</v>
      </c>
      <c r="D36" s="119">
        <v>1</v>
      </c>
      <c r="E36" s="119">
        <v>5</v>
      </c>
      <c r="F36" s="119">
        <v>0</v>
      </c>
      <c r="G36" s="119">
        <v>88</v>
      </c>
      <c r="H36" s="119">
        <v>1</v>
      </c>
      <c r="I36" s="119">
        <v>25</v>
      </c>
      <c r="J36" s="119">
        <v>89</v>
      </c>
      <c r="K36" s="119">
        <v>1</v>
      </c>
      <c r="L36" s="119">
        <v>25</v>
      </c>
      <c r="M36" s="119">
        <v>90</v>
      </c>
      <c r="N36" s="119">
        <v>1</v>
      </c>
      <c r="W36" s="123">
        <v>152</v>
      </c>
      <c r="X36" s="123">
        <v>52</v>
      </c>
      <c r="Y36" s="123">
        <v>499</v>
      </c>
      <c r="AA36" s="119">
        <v>0.048</v>
      </c>
      <c r="AC36" s="119">
        <v>1</v>
      </c>
      <c r="AE36" s="119">
        <v>1.5</v>
      </c>
    </row>
    <row r="37" s="119" customFormat="1" spans="1:31">
      <c r="A37" s="119">
        <f t="shared" si="0"/>
        <v>37</v>
      </c>
      <c r="B37" s="103">
        <v>100305</v>
      </c>
      <c r="C37" s="119">
        <v>111005</v>
      </c>
      <c r="D37" s="119">
        <v>1</v>
      </c>
      <c r="E37" s="119">
        <v>2</v>
      </c>
      <c r="F37" s="119">
        <v>0</v>
      </c>
      <c r="G37" s="119">
        <v>88</v>
      </c>
      <c r="H37" s="119">
        <v>1</v>
      </c>
      <c r="I37" s="119">
        <v>25</v>
      </c>
      <c r="J37" s="119">
        <v>89</v>
      </c>
      <c r="K37" s="119">
        <v>1</v>
      </c>
      <c r="L37" s="119">
        <v>25</v>
      </c>
      <c r="M37" s="119">
        <v>90</v>
      </c>
      <c r="N37" s="119">
        <v>1</v>
      </c>
      <c r="W37" s="123">
        <v>152</v>
      </c>
      <c r="X37" s="123">
        <v>52</v>
      </c>
      <c r="Y37" s="123">
        <v>499</v>
      </c>
      <c r="AA37" s="119">
        <v>0.048</v>
      </c>
      <c r="AC37" s="119">
        <v>1</v>
      </c>
      <c r="AE37" s="119">
        <v>1.5</v>
      </c>
    </row>
    <row r="38" s="119" customFormat="1" spans="1:31">
      <c r="A38" s="119">
        <f t="shared" si="0"/>
        <v>38</v>
      </c>
      <c r="B38" s="103">
        <v>100305</v>
      </c>
      <c r="C38" s="119">
        <v>111004</v>
      </c>
      <c r="D38" s="119">
        <v>1</v>
      </c>
      <c r="E38" s="119">
        <v>5</v>
      </c>
      <c r="F38" s="119">
        <v>0</v>
      </c>
      <c r="G38" s="119">
        <v>167</v>
      </c>
      <c r="H38" s="119">
        <v>1</v>
      </c>
      <c r="I38" s="119">
        <v>25</v>
      </c>
      <c r="J38" s="119">
        <v>168</v>
      </c>
      <c r="K38" s="119">
        <v>1</v>
      </c>
      <c r="L38" s="119">
        <v>25</v>
      </c>
      <c r="M38" s="119">
        <v>169</v>
      </c>
      <c r="N38" s="119">
        <v>1</v>
      </c>
      <c r="R38" s="119">
        <v>20</v>
      </c>
      <c r="S38" s="119">
        <v>170</v>
      </c>
      <c r="T38" s="119">
        <v>1</v>
      </c>
      <c r="W38" s="123">
        <v>171</v>
      </c>
      <c r="X38" s="123">
        <v>57</v>
      </c>
      <c r="Y38" s="123">
        <v>544</v>
      </c>
      <c r="AA38" s="119">
        <v>0.048</v>
      </c>
      <c r="AC38" s="119">
        <v>1</v>
      </c>
      <c r="AE38" s="119">
        <v>1.5</v>
      </c>
    </row>
    <row r="39" s="119" customFormat="1" spans="1:31">
      <c r="A39" s="119">
        <f t="shared" si="0"/>
        <v>39</v>
      </c>
      <c r="B39" s="103">
        <v>100401</v>
      </c>
      <c r="C39" s="119">
        <v>111006</v>
      </c>
      <c r="D39" s="119">
        <v>1</v>
      </c>
      <c r="E39" s="119">
        <v>2</v>
      </c>
      <c r="F39" s="119">
        <v>0</v>
      </c>
      <c r="G39" s="119">
        <v>175</v>
      </c>
      <c r="H39" s="119">
        <v>1</v>
      </c>
      <c r="I39" s="119">
        <v>25</v>
      </c>
      <c r="J39" s="119">
        <v>176</v>
      </c>
      <c r="K39" s="119">
        <v>1</v>
      </c>
      <c r="L39" s="119">
        <v>25</v>
      </c>
      <c r="M39" s="119">
        <v>177</v>
      </c>
      <c r="N39" s="119">
        <v>1</v>
      </c>
      <c r="R39" s="119">
        <v>20</v>
      </c>
      <c r="S39" s="119">
        <v>178</v>
      </c>
      <c r="T39" s="119">
        <v>1</v>
      </c>
      <c r="W39" s="124">
        <v>196</v>
      </c>
      <c r="X39" s="124">
        <v>63</v>
      </c>
      <c r="Y39" s="124">
        <v>652</v>
      </c>
      <c r="AA39" s="119">
        <v>0.048</v>
      </c>
      <c r="AC39" s="119">
        <v>1</v>
      </c>
      <c r="AD39" s="119">
        <v>0.042</v>
      </c>
      <c r="AE39" s="119">
        <v>1.5</v>
      </c>
    </row>
    <row r="40" s="119" customFormat="1" spans="1:31">
      <c r="A40" s="119">
        <f t="shared" si="0"/>
        <v>40</v>
      </c>
      <c r="B40" s="103">
        <v>100402</v>
      </c>
      <c r="C40" s="122">
        <v>121008</v>
      </c>
      <c r="D40" s="119">
        <v>1</v>
      </c>
      <c r="E40" s="119">
        <v>2</v>
      </c>
      <c r="F40" s="119">
        <v>0</v>
      </c>
      <c r="G40" s="115">
        <v>10009</v>
      </c>
      <c r="H40" s="119">
        <v>1</v>
      </c>
      <c r="W40" s="124">
        <v>201</v>
      </c>
      <c r="X40" s="124">
        <v>65</v>
      </c>
      <c r="Y40" s="124">
        <v>669</v>
      </c>
      <c r="AA40" s="119">
        <v>0.048</v>
      </c>
      <c r="AC40" s="119">
        <v>1</v>
      </c>
      <c r="AD40" s="119">
        <v>0.042</v>
      </c>
      <c r="AE40" s="119">
        <v>1.5</v>
      </c>
    </row>
    <row r="41" s="119" customFormat="1" spans="1:34">
      <c r="A41" s="119">
        <f t="shared" si="0"/>
        <v>41</v>
      </c>
      <c r="B41" s="103">
        <v>100403</v>
      </c>
      <c r="C41" s="119">
        <v>111006</v>
      </c>
      <c r="D41" s="119">
        <v>1</v>
      </c>
      <c r="E41" s="119">
        <v>5</v>
      </c>
      <c r="F41" s="119">
        <v>0</v>
      </c>
      <c r="G41" s="119">
        <v>175</v>
      </c>
      <c r="H41" s="119">
        <v>1</v>
      </c>
      <c r="I41" s="119">
        <v>25</v>
      </c>
      <c r="J41" s="119">
        <v>176</v>
      </c>
      <c r="K41" s="119">
        <v>1</v>
      </c>
      <c r="L41" s="119">
        <v>25</v>
      </c>
      <c r="M41" s="119">
        <v>177</v>
      </c>
      <c r="N41" s="119">
        <v>1</v>
      </c>
      <c r="W41" s="124">
        <v>201</v>
      </c>
      <c r="X41" s="124">
        <v>65</v>
      </c>
      <c r="Y41" s="124">
        <v>669</v>
      </c>
      <c r="AA41" s="119">
        <v>0.048</v>
      </c>
      <c r="AC41" s="119">
        <v>1</v>
      </c>
      <c r="AD41" s="119">
        <v>0.042</v>
      </c>
      <c r="AE41" s="119">
        <v>1.5</v>
      </c>
      <c r="AH41" s="119">
        <v>0.053</v>
      </c>
    </row>
    <row r="42" s="119" customFormat="1" spans="1:29">
      <c r="A42" s="119">
        <f t="shared" si="0"/>
        <v>42</v>
      </c>
      <c r="B42" s="103">
        <v>100403</v>
      </c>
      <c r="C42" s="122">
        <v>121008</v>
      </c>
      <c r="D42" s="119">
        <v>1</v>
      </c>
      <c r="E42" s="119">
        <v>1</v>
      </c>
      <c r="F42" s="119">
        <v>0</v>
      </c>
      <c r="G42" s="119">
        <v>10009</v>
      </c>
      <c r="H42" s="119">
        <v>1</v>
      </c>
      <c r="W42" s="124">
        <v>120</v>
      </c>
      <c r="X42" s="124">
        <v>54</v>
      </c>
      <c r="Y42" s="124">
        <v>286</v>
      </c>
      <c r="AC42" s="119">
        <v>1</v>
      </c>
    </row>
    <row r="43" s="120" customFormat="1" spans="1:29">
      <c r="A43" s="120">
        <f t="shared" si="0"/>
        <v>43</v>
      </c>
      <c r="B43" s="103">
        <v>100403</v>
      </c>
      <c r="C43" s="122">
        <v>121008</v>
      </c>
      <c r="D43" s="120">
        <v>1</v>
      </c>
      <c r="E43" s="120">
        <v>3</v>
      </c>
      <c r="F43" s="120">
        <v>0</v>
      </c>
      <c r="G43" s="120">
        <v>10009</v>
      </c>
      <c r="H43" s="120">
        <v>1</v>
      </c>
      <c r="W43" s="124">
        <v>120</v>
      </c>
      <c r="X43" s="124">
        <v>54</v>
      </c>
      <c r="Y43" s="124">
        <v>286</v>
      </c>
      <c r="AC43" s="120">
        <v>1</v>
      </c>
    </row>
    <row r="44" s="120" customFormat="1" spans="1:34">
      <c r="A44" s="120">
        <f t="shared" si="0"/>
        <v>44</v>
      </c>
      <c r="B44" s="103">
        <v>100404</v>
      </c>
      <c r="C44" s="122">
        <v>121008</v>
      </c>
      <c r="D44" s="120">
        <v>1</v>
      </c>
      <c r="E44" s="120">
        <v>5</v>
      </c>
      <c r="F44" s="120">
        <v>0</v>
      </c>
      <c r="G44" s="115">
        <v>10009</v>
      </c>
      <c r="H44" s="120">
        <v>1</v>
      </c>
      <c r="W44" s="124">
        <v>231</v>
      </c>
      <c r="X44" s="124">
        <v>74</v>
      </c>
      <c r="Y44" s="124">
        <v>662</v>
      </c>
      <c r="AA44" s="120">
        <v>0.048</v>
      </c>
      <c r="AC44" s="120">
        <v>1</v>
      </c>
      <c r="AD44" s="120">
        <v>0.042</v>
      </c>
      <c r="AE44" s="120">
        <v>1.5</v>
      </c>
      <c r="AH44" s="120">
        <v>0.053</v>
      </c>
    </row>
    <row r="45" s="120" customFormat="1" spans="1:29">
      <c r="A45" s="120">
        <f t="shared" si="0"/>
        <v>45</v>
      </c>
      <c r="B45" s="103">
        <v>100404</v>
      </c>
      <c r="C45" s="122">
        <v>121008</v>
      </c>
      <c r="D45" s="120">
        <v>1</v>
      </c>
      <c r="E45" s="120">
        <v>1</v>
      </c>
      <c r="F45" s="120">
        <v>0</v>
      </c>
      <c r="G45" s="120">
        <v>10009</v>
      </c>
      <c r="H45" s="120">
        <v>1</v>
      </c>
      <c r="W45" s="124">
        <v>126</v>
      </c>
      <c r="X45" s="124">
        <v>58</v>
      </c>
      <c r="Y45" s="124">
        <v>331</v>
      </c>
      <c r="AC45" s="120">
        <v>1</v>
      </c>
    </row>
    <row r="46" s="120" customFormat="1" spans="1:29">
      <c r="A46" s="120">
        <f t="shared" si="0"/>
        <v>46</v>
      </c>
      <c r="B46" s="103">
        <v>100404</v>
      </c>
      <c r="C46" s="122">
        <v>121008</v>
      </c>
      <c r="D46" s="120">
        <v>1</v>
      </c>
      <c r="E46" s="120">
        <v>3</v>
      </c>
      <c r="F46" s="120">
        <v>0</v>
      </c>
      <c r="G46" s="120">
        <v>10009</v>
      </c>
      <c r="H46" s="120">
        <v>1</v>
      </c>
      <c r="W46" s="124">
        <v>126</v>
      </c>
      <c r="X46" s="124">
        <v>58</v>
      </c>
      <c r="Y46" s="124">
        <v>331</v>
      </c>
      <c r="AC46" s="120">
        <v>1</v>
      </c>
    </row>
    <row r="47" s="120" customFormat="1" spans="1:30">
      <c r="A47" s="120">
        <f t="shared" si="0"/>
        <v>47</v>
      </c>
      <c r="B47" s="103">
        <v>100405</v>
      </c>
      <c r="C47" s="120">
        <v>111007</v>
      </c>
      <c r="D47" s="120">
        <v>1</v>
      </c>
      <c r="E47" s="120">
        <v>5</v>
      </c>
      <c r="F47" s="120">
        <v>0</v>
      </c>
      <c r="G47" s="120">
        <v>179</v>
      </c>
      <c r="H47" s="120">
        <v>1</v>
      </c>
      <c r="I47" s="120">
        <v>25</v>
      </c>
      <c r="J47" s="120">
        <v>180</v>
      </c>
      <c r="K47" s="120">
        <v>1</v>
      </c>
      <c r="L47" s="120">
        <v>25</v>
      </c>
      <c r="M47" s="120">
        <v>181</v>
      </c>
      <c r="N47" s="120">
        <v>1</v>
      </c>
      <c r="O47" s="120">
        <v>25</v>
      </c>
      <c r="P47" s="120">
        <v>182</v>
      </c>
      <c r="Q47" s="120">
        <v>1</v>
      </c>
      <c r="W47" s="124">
        <v>231</v>
      </c>
      <c r="X47" s="124">
        <v>74</v>
      </c>
      <c r="Y47" s="124">
        <v>662</v>
      </c>
      <c r="AC47" s="120">
        <v>1</v>
      </c>
      <c r="AD47" s="120">
        <v>0.1</v>
      </c>
    </row>
    <row r="48" s="120" customFormat="1" spans="1:29">
      <c r="A48" s="120">
        <f t="shared" si="0"/>
        <v>48</v>
      </c>
      <c r="B48" s="103">
        <v>100405</v>
      </c>
      <c r="C48" s="122">
        <v>121008</v>
      </c>
      <c r="D48" s="120">
        <v>1</v>
      </c>
      <c r="E48" s="120">
        <v>1</v>
      </c>
      <c r="F48" s="120">
        <v>0</v>
      </c>
      <c r="G48" s="120">
        <v>10009</v>
      </c>
      <c r="W48" s="124">
        <v>126</v>
      </c>
      <c r="X48" s="124">
        <v>58</v>
      </c>
      <c r="Y48" s="124">
        <v>331</v>
      </c>
      <c r="AC48" s="120">
        <v>1</v>
      </c>
    </row>
    <row r="49" s="120" customFormat="1" spans="1:29">
      <c r="A49" s="120">
        <f t="shared" si="0"/>
        <v>49</v>
      </c>
      <c r="B49" s="103">
        <v>100405</v>
      </c>
      <c r="C49" s="122">
        <v>121008</v>
      </c>
      <c r="D49" s="120">
        <v>1</v>
      </c>
      <c r="E49" s="120">
        <v>3</v>
      </c>
      <c r="F49" s="120">
        <v>0</v>
      </c>
      <c r="G49" s="120">
        <v>10009</v>
      </c>
      <c r="H49" s="120">
        <v>1</v>
      </c>
      <c r="W49" s="124">
        <v>126</v>
      </c>
      <c r="X49" s="124">
        <v>58</v>
      </c>
      <c r="Y49" s="124">
        <v>331</v>
      </c>
      <c r="AC49" s="120">
        <v>1</v>
      </c>
    </row>
    <row r="50" s="120" customFormat="1" spans="1:29">
      <c r="A50" s="120">
        <f t="shared" si="0"/>
        <v>50</v>
      </c>
      <c r="B50" s="103">
        <v>100406</v>
      </c>
      <c r="C50" s="122">
        <v>121008</v>
      </c>
      <c r="D50" s="120">
        <v>1</v>
      </c>
      <c r="E50" s="120">
        <v>1</v>
      </c>
      <c r="F50" s="120">
        <v>0</v>
      </c>
      <c r="G50" s="120">
        <v>10009</v>
      </c>
      <c r="H50" s="120">
        <v>1</v>
      </c>
      <c r="W50" s="124">
        <v>154</v>
      </c>
      <c r="X50" s="124">
        <v>60</v>
      </c>
      <c r="Y50" s="124">
        <v>348</v>
      </c>
      <c r="AC50" s="120">
        <v>1</v>
      </c>
    </row>
    <row r="51" s="120" customFormat="1" spans="1:29">
      <c r="A51" s="120">
        <f t="shared" si="0"/>
        <v>51</v>
      </c>
      <c r="B51" s="103">
        <v>100406</v>
      </c>
      <c r="C51" s="122">
        <v>121008</v>
      </c>
      <c r="D51" s="120">
        <v>1</v>
      </c>
      <c r="E51" s="120">
        <v>2</v>
      </c>
      <c r="F51" s="120">
        <v>0</v>
      </c>
      <c r="G51" s="120">
        <v>10009</v>
      </c>
      <c r="H51" s="120">
        <v>1</v>
      </c>
      <c r="W51" s="124">
        <v>154</v>
      </c>
      <c r="X51" s="124">
        <v>60</v>
      </c>
      <c r="Y51" s="124">
        <v>348</v>
      </c>
      <c r="AC51" s="120">
        <v>1</v>
      </c>
    </row>
    <row r="52" s="120" customFormat="1" spans="1:29">
      <c r="A52" s="120">
        <f t="shared" si="0"/>
        <v>52</v>
      </c>
      <c r="B52" s="103">
        <v>100406</v>
      </c>
      <c r="C52" s="122">
        <v>121008</v>
      </c>
      <c r="D52" s="120">
        <v>1</v>
      </c>
      <c r="E52" s="120">
        <v>4</v>
      </c>
      <c r="F52" s="120">
        <v>0</v>
      </c>
      <c r="G52" s="120">
        <v>10009</v>
      </c>
      <c r="H52" s="120">
        <v>1</v>
      </c>
      <c r="W52" s="124">
        <v>154</v>
      </c>
      <c r="X52" s="124">
        <v>60</v>
      </c>
      <c r="Y52" s="124">
        <v>348</v>
      </c>
      <c r="AC52" s="120">
        <v>1</v>
      </c>
    </row>
    <row r="53" s="120" customFormat="1" spans="1:29">
      <c r="A53" s="120">
        <f t="shared" si="0"/>
        <v>53</v>
      </c>
      <c r="B53" s="103">
        <v>100406</v>
      </c>
      <c r="C53" s="122">
        <v>121008</v>
      </c>
      <c r="D53" s="120">
        <v>1</v>
      </c>
      <c r="E53" s="120">
        <v>5</v>
      </c>
      <c r="F53" s="120">
        <v>0</v>
      </c>
      <c r="G53" s="120">
        <v>10009</v>
      </c>
      <c r="H53" s="120">
        <v>1</v>
      </c>
      <c r="W53" s="124">
        <v>154</v>
      </c>
      <c r="X53" s="124">
        <v>60</v>
      </c>
      <c r="Y53" s="124">
        <v>348</v>
      </c>
      <c r="AC53" s="120">
        <v>1</v>
      </c>
    </row>
    <row r="54" s="120" customFormat="1" spans="1:29">
      <c r="A54" s="120">
        <f t="shared" si="0"/>
        <v>54</v>
      </c>
      <c r="B54" s="103">
        <v>100407</v>
      </c>
      <c r="C54" s="122">
        <v>121008</v>
      </c>
      <c r="D54" s="120">
        <v>1</v>
      </c>
      <c r="E54" s="120">
        <v>1</v>
      </c>
      <c r="F54" s="120">
        <v>0</v>
      </c>
      <c r="G54" s="120">
        <v>10009</v>
      </c>
      <c r="H54" s="120">
        <v>1</v>
      </c>
      <c r="W54" s="124">
        <v>154</v>
      </c>
      <c r="X54" s="124">
        <v>60</v>
      </c>
      <c r="Y54" s="124">
        <v>348</v>
      </c>
      <c r="AC54" s="120">
        <v>1</v>
      </c>
    </row>
    <row r="55" s="120" customFormat="1" spans="1:29">
      <c r="A55" s="120">
        <f t="shared" si="0"/>
        <v>55</v>
      </c>
      <c r="B55" s="103">
        <v>100407</v>
      </c>
      <c r="C55" s="122">
        <v>121008</v>
      </c>
      <c r="D55" s="120">
        <v>1</v>
      </c>
      <c r="E55" s="120">
        <v>2</v>
      </c>
      <c r="F55" s="120">
        <v>0</v>
      </c>
      <c r="G55" s="120">
        <v>10009</v>
      </c>
      <c r="H55" s="120">
        <v>1</v>
      </c>
      <c r="W55" s="124">
        <v>154</v>
      </c>
      <c r="X55" s="124">
        <v>60</v>
      </c>
      <c r="Y55" s="124">
        <v>348</v>
      </c>
      <c r="AC55" s="120">
        <v>1</v>
      </c>
    </row>
    <row r="56" s="120" customFormat="1" spans="1:29">
      <c r="A56" s="120">
        <f t="shared" si="0"/>
        <v>56</v>
      </c>
      <c r="B56" s="103">
        <v>100407</v>
      </c>
      <c r="C56" s="122">
        <v>121008</v>
      </c>
      <c r="D56" s="120">
        <v>1</v>
      </c>
      <c r="E56" s="120">
        <v>4</v>
      </c>
      <c r="F56" s="120">
        <v>0</v>
      </c>
      <c r="G56" s="120">
        <v>10009</v>
      </c>
      <c r="H56" s="120">
        <v>1</v>
      </c>
      <c r="W56" s="124">
        <v>154</v>
      </c>
      <c r="X56" s="124">
        <v>60</v>
      </c>
      <c r="Y56" s="124">
        <v>348</v>
      </c>
      <c r="AC56" s="120">
        <v>1</v>
      </c>
    </row>
    <row r="57" s="120" customFormat="1" spans="1:29">
      <c r="A57" s="120">
        <f t="shared" si="0"/>
        <v>57</v>
      </c>
      <c r="B57" s="103">
        <v>100407</v>
      </c>
      <c r="C57" s="122">
        <v>121008</v>
      </c>
      <c r="D57" s="120">
        <v>1</v>
      </c>
      <c r="E57" s="120">
        <v>5</v>
      </c>
      <c r="F57" s="120">
        <v>0</v>
      </c>
      <c r="G57" s="120">
        <v>10009</v>
      </c>
      <c r="H57" s="120">
        <v>1</v>
      </c>
      <c r="W57" s="124">
        <v>154</v>
      </c>
      <c r="X57" s="124">
        <v>60</v>
      </c>
      <c r="Y57" s="124">
        <v>348</v>
      </c>
      <c r="AC57" s="120">
        <v>1</v>
      </c>
    </row>
    <row r="58" s="120" customFormat="1" spans="1:29">
      <c r="A58" s="120">
        <f t="shared" si="0"/>
        <v>58</v>
      </c>
      <c r="B58" s="103">
        <v>100408</v>
      </c>
      <c r="C58" s="122">
        <v>121008</v>
      </c>
      <c r="D58" s="120">
        <v>1</v>
      </c>
      <c r="E58" s="120">
        <v>1</v>
      </c>
      <c r="F58" s="120">
        <v>0</v>
      </c>
      <c r="G58" s="120">
        <v>10009</v>
      </c>
      <c r="H58" s="120">
        <v>1</v>
      </c>
      <c r="W58" s="124">
        <v>154</v>
      </c>
      <c r="X58" s="124">
        <v>60</v>
      </c>
      <c r="Y58" s="124">
        <v>348</v>
      </c>
      <c r="AC58" s="120">
        <v>1</v>
      </c>
    </row>
    <row r="59" s="120" customFormat="1" spans="1:29">
      <c r="A59" s="120">
        <f t="shared" si="0"/>
        <v>59</v>
      </c>
      <c r="B59" s="103">
        <v>100408</v>
      </c>
      <c r="C59" s="122">
        <v>121008</v>
      </c>
      <c r="D59" s="120">
        <v>1</v>
      </c>
      <c r="E59" s="120">
        <v>2</v>
      </c>
      <c r="F59" s="120">
        <v>0</v>
      </c>
      <c r="G59" s="120">
        <v>10009</v>
      </c>
      <c r="H59" s="120">
        <v>1</v>
      </c>
      <c r="W59" s="124">
        <v>154</v>
      </c>
      <c r="X59" s="124">
        <v>60</v>
      </c>
      <c r="Y59" s="124">
        <v>348</v>
      </c>
      <c r="AC59" s="120">
        <v>1</v>
      </c>
    </row>
    <row r="60" s="120" customFormat="1" spans="1:29">
      <c r="A60" s="120">
        <f t="shared" si="0"/>
        <v>60</v>
      </c>
      <c r="B60" s="103">
        <v>100408</v>
      </c>
      <c r="C60" s="122">
        <v>121008</v>
      </c>
      <c r="D60" s="120">
        <v>1</v>
      </c>
      <c r="E60" s="120">
        <v>3</v>
      </c>
      <c r="F60" s="120">
        <v>0</v>
      </c>
      <c r="G60" s="120">
        <v>10009</v>
      </c>
      <c r="H60" s="120">
        <v>1</v>
      </c>
      <c r="W60" s="124">
        <v>154</v>
      </c>
      <c r="X60" s="124">
        <v>60</v>
      </c>
      <c r="Y60" s="124">
        <v>348</v>
      </c>
      <c r="AC60" s="120">
        <v>1</v>
      </c>
    </row>
    <row r="61" s="120" customFormat="1" spans="1:34">
      <c r="A61" s="120">
        <f t="shared" si="0"/>
        <v>61</v>
      </c>
      <c r="B61" s="103">
        <v>100408</v>
      </c>
      <c r="C61" s="120">
        <v>111006</v>
      </c>
      <c r="D61" s="120">
        <v>1</v>
      </c>
      <c r="E61" s="120">
        <v>5</v>
      </c>
      <c r="F61" s="120">
        <v>0</v>
      </c>
      <c r="G61" s="120">
        <v>175</v>
      </c>
      <c r="H61" s="120">
        <v>1</v>
      </c>
      <c r="I61" s="120">
        <v>25</v>
      </c>
      <c r="J61" s="120">
        <v>176</v>
      </c>
      <c r="K61" s="120">
        <v>1</v>
      </c>
      <c r="L61" s="120">
        <v>25</v>
      </c>
      <c r="M61" s="120">
        <v>177</v>
      </c>
      <c r="N61" s="120">
        <v>1</v>
      </c>
      <c r="R61" s="120">
        <v>20</v>
      </c>
      <c r="S61" s="120">
        <v>178</v>
      </c>
      <c r="T61" s="120">
        <v>1</v>
      </c>
      <c r="W61" s="124">
        <v>243</v>
      </c>
      <c r="X61" s="124">
        <v>77</v>
      </c>
      <c r="Y61" s="124">
        <v>696</v>
      </c>
      <c r="AA61" s="120">
        <v>0.048</v>
      </c>
      <c r="AC61" s="120">
        <v>1</v>
      </c>
      <c r="AD61" s="120">
        <v>0.1</v>
      </c>
      <c r="AE61" s="120">
        <v>1.5</v>
      </c>
      <c r="AH61" s="120">
        <v>0.053</v>
      </c>
    </row>
    <row r="62" s="120" customFormat="1" spans="1:29">
      <c r="A62" s="120">
        <f t="shared" si="0"/>
        <v>62</v>
      </c>
      <c r="B62" s="103">
        <v>100501</v>
      </c>
      <c r="C62" s="115">
        <v>121008</v>
      </c>
      <c r="D62" s="120">
        <v>1</v>
      </c>
      <c r="E62" s="120">
        <v>1</v>
      </c>
      <c r="F62" s="120">
        <v>0</v>
      </c>
      <c r="G62" s="120">
        <v>10009</v>
      </c>
      <c r="H62" s="120">
        <v>1</v>
      </c>
      <c r="W62" s="123">
        <v>154</v>
      </c>
      <c r="X62" s="123">
        <v>60</v>
      </c>
      <c r="Y62" s="123">
        <v>348</v>
      </c>
      <c r="AC62" s="120">
        <v>1</v>
      </c>
    </row>
    <row r="63" s="120" customFormat="1" spans="1:29">
      <c r="A63" s="120">
        <f t="shared" si="0"/>
        <v>63</v>
      </c>
      <c r="B63" s="103">
        <v>100501</v>
      </c>
      <c r="C63" s="115">
        <v>121008</v>
      </c>
      <c r="D63" s="120">
        <v>1</v>
      </c>
      <c r="E63" s="120">
        <v>2</v>
      </c>
      <c r="F63" s="120">
        <v>0</v>
      </c>
      <c r="G63" s="120">
        <v>10009</v>
      </c>
      <c r="H63" s="120">
        <v>1</v>
      </c>
      <c r="W63" s="123">
        <v>154</v>
      </c>
      <c r="X63" s="123">
        <v>60</v>
      </c>
      <c r="Y63" s="123">
        <v>348</v>
      </c>
      <c r="AC63" s="120">
        <v>1</v>
      </c>
    </row>
    <row r="64" s="120" customFormat="1" spans="1:29">
      <c r="A64" s="120">
        <f t="shared" si="0"/>
        <v>64</v>
      </c>
      <c r="B64" s="103">
        <v>100501</v>
      </c>
      <c r="C64" s="115">
        <v>121008</v>
      </c>
      <c r="D64" s="120">
        <v>1</v>
      </c>
      <c r="E64" s="120">
        <v>3</v>
      </c>
      <c r="F64" s="120">
        <v>0</v>
      </c>
      <c r="G64" s="120">
        <v>10009</v>
      </c>
      <c r="H64" s="120">
        <v>1</v>
      </c>
      <c r="W64" s="123">
        <v>154</v>
      </c>
      <c r="X64" s="123">
        <v>60</v>
      </c>
      <c r="Y64" s="123">
        <v>348</v>
      </c>
      <c r="AC64" s="120">
        <v>1</v>
      </c>
    </row>
    <row r="65" s="119" customFormat="1" spans="1:29">
      <c r="A65" s="119">
        <f t="shared" si="0"/>
        <v>65</v>
      </c>
      <c r="B65" s="103">
        <v>100502</v>
      </c>
      <c r="C65" s="115">
        <v>121008</v>
      </c>
      <c r="D65" s="119">
        <v>1</v>
      </c>
      <c r="E65" s="119">
        <v>1</v>
      </c>
      <c r="F65" s="119">
        <v>0</v>
      </c>
      <c r="G65" s="119">
        <v>10009</v>
      </c>
      <c r="H65" s="119">
        <v>1</v>
      </c>
      <c r="W65" s="123">
        <v>154</v>
      </c>
      <c r="X65" s="123">
        <v>60</v>
      </c>
      <c r="Y65" s="123">
        <v>348</v>
      </c>
      <c r="AC65" s="119">
        <v>1</v>
      </c>
    </row>
    <row r="66" s="119" customFormat="1" spans="1:29">
      <c r="A66" s="119">
        <f t="shared" ref="A66:A129" si="1">ROW(A66)</f>
        <v>66</v>
      </c>
      <c r="B66" s="103">
        <v>100502</v>
      </c>
      <c r="C66" s="115">
        <v>121008</v>
      </c>
      <c r="D66" s="119">
        <v>1</v>
      </c>
      <c r="E66" s="119">
        <v>2</v>
      </c>
      <c r="F66" s="119">
        <v>0</v>
      </c>
      <c r="G66" s="119">
        <v>10009</v>
      </c>
      <c r="H66" s="119">
        <v>1</v>
      </c>
      <c r="W66" s="123">
        <v>154</v>
      </c>
      <c r="X66" s="123">
        <v>60</v>
      </c>
      <c r="Y66" s="123">
        <v>348</v>
      </c>
      <c r="AC66" s="119">
        <v>1</v>
      </c>
    </row>
    <row r="67" s="119" customFormat="1" spans="1:29">
      <c r="A67" s="119">
        <f t="shared" si="1"/>
        <v>67</v>
      </c>
      <c r="B67" s="103">
        <v>100502</v>
      </c>
      <c r="C67" s="115">
        <v>121008</v>
      </c>
      <c r="D67" s="119">
        <v>1</v>
      </c>
      <c r="E67" s="119">
        <v>3</v>
      </c>
      <c r="F67" s="119">
        <v>0</v>
      </c>
      <c r="G67" s="119">
        <v>10009</v>
      </c>
      <c r="H67" s="119">
        <v>1</v>
      </c>
      <c r="W67" s="123">
        <v>154</v>
      </c>
      <c r="X67" s="123">
        <v>60</v>
      </c>
      <c r="Y67" s="123">
        <v>348</v>
      </c>
      <c r="AC67" s="119">
        <v>1</v>
      </c>
    </row>
    <row r="68" s="119" customFormat="1" spans="1:29">
      <c r="A68" s="119">
        <f t="shared" si="1"/>
        <v>68</v>
      </c>
      <c r="B68" s="103">
        <v>100503</v>
      </c>
      <c r="C68" s="115">
        <v>121008</v>
      </c>
      <c r="D68" s="119">
        <v>1</v>
      </c>
      <c r="E68" s="119">
        <v>1</v>
      </c>
      <c r="F68" s="119">
        <v>0</v>
      </c>
      <c r="G68" s="119">
        <v>10009</v>
      </c>
      <c r="H68" s="119">
        <v>1</v>
      </c>
      <c r="W68" s="123">
        <v>154</v>
      </c>
      <c r="X68" s="123">
        <v>60</v>
      </c>
      <c r="Y68" s="123">
        <v>348</v>
      </c>
      <c r="AC68" s="119">
        <v>1</v>
      </c>
    </row>
    <row r="69" s="119" customFormat="1" spans="1:29">
      <c r="A69" s="119">
        <f t="shared" si="1"/>
        <v>69</v>
      </c>
      <c r="B69" s="103">
        <v>100503</v>
      </c>
      <c r="C69" s="115">
        <v>121008</v>
      </c>
      <c r="D69" s="119">
        <v>1</v>
      </c>
      <c r="E69" s="119">
        <v>2</v>
      </c>
      <c r="F69" s="119">
        <v>0</v>
      </c>
      <c r="G69" s="119">
        <v>10009</v>
      </c>
      <c r="H69" s="119">
        <v>1</v>
      </c>
      <c r="W69" s="123">
        <v>154</v>
      </c>
      <c r="X69" s="123">
        <v>60</v>
      </c>
      <c r="Y69" s="123">
        <v>348</v>
      </c>
      <c r="AC69" s="119">
        <v>1</v>
      </c>
    </row>
    <row r="70" s="119" customFormat="1" spans="1:29">
      <c r="A70" s="119">
        <f t="shared" si="1"/>
        <v>70</v>
      </c>
      <c r="B70" s="103">
        <v>100503</v>
      </c>
      <c r="C70" s="115">
        <v>121008</v>
      </c>
      <c r="D70" s="119">
        <v>1</v>
      </c>
      <c r="E70" s="119">
        <v>3</v>
      </c>
      <c r="F70" s="119">
        <v>0</v>
      </c>
      <c r="G70" s="119">
        <v>10009</v>
      </c>
      <c r="H70" s="119">
        <v>1</v>
      </c>
      <c r="W70" s="123">
        <v>154</v>
      </c>
      <c r="X70" s="123">
        <v>60</v>
      </c>
      <c r="Y70" s="123">
        <v>348</v>
      </c>
      <c r="AC70" s="119">
        <v>1</v>
      </c>
    </row>
    <row r="71" s="119" customFormat="1" spans="1:29">
      <c r="A71" s="119">
        <f t="shared" si="1"/>
        <v>71</v>
      </c>
      <c r="B71" s="103">
        <v>100504</v>
      </c>
      <c r="C71" s="115">
        <v>121008</v>
      </c>
      <c r="D71" s="119">
        <v>1</v>
      </c>
      <c r="E71" s="119">
        <v>1</v>
      </c>
      <c r="F71" s="119">
        <v>0</v>
      </c>
      <c r="G71" s="119">
        <v>10009</v>
      </c>
      <c r="H71" s="119">
        <v>1</v>
      </c>
      <c r="W71" s="123">
        <v>154</v>
      </c>
      <c r="X71" s="123">
        <v>60</v>
      </c>
      <c r="Y71" s="123">
        <v>348</v>
      </c>
      <c r="AC71" s="119">
        <v>1</v>
      </c>
    </row>
    <row r="72" s="119" customFormat="1" spans="1:29">
      <c r="A72" s="119">
        <f t="shared" si="1"/>
        <v>72</v>
      </c>
      <c r="B72" s="103">
        <v>100504</v>
      </c>
      <c r="C72" s="115">
        <v>121008</v>
      </c>
      <c r="D72" s="119">
        <v>1</v>
      </c>
      <c r="E72" s="119">
        <v>2</v>
      </c>
      <c r="F72" s="119">
        <v>0</v>
      </c>
      <c r="G72" s="119">
        <v>10009</v>
      </c>
      <c r="H72" s="119">
        <v>1</v>
      </c>
      <c r="W72" s="123">
        <v>154</v>
      </c>
      <c r="X72" s="123">
        <v>60</v>
      </c>
      <c r="Y72" s="123">
        <v>348</v>
      </c>
      <c r="AC72" s="119">
        <v>1</v>
      </c>
    </row>
    <row r="73" s="119" customFormat="1" spans="1:29">
      <c r="A73" s="119">
        <f t="shared" si="1"/>
        <v>73</v>
      </c>
      <c r="B73" s="103">
        <v>100504</v>
      </c>
      <c r="C73" s="115">
        <v>121008</v>
      </c>
      <c r="D73" s="119">
        <v>1</v>
      </c>
      <c r="E73" s="119">
        <v>3</v>
      </c>
      <c r="F73" s="119">
        <v>0</v>
      </c>
      <c r="G73" s="119">
        <v>10009</v>
      </c>
      <c r="H73" s="119">
        <v>1</v>
      </c>
      <c r="W73" s="123">
        <v>154</v>
      </c>
      <c r="X73" s="123">
        <v>60</v>
      </c>
      <c r="Y73" s="123">
        <v>348</v>
      </c>
      <c r="AC73" s="119">
        <v>1</v>
      </c>
    </row>
    <row r="74" s="119" customFormat="1" spans="1:29">
      <c r="A74" s="119">
        <f t="shared" si="1"/>
        <v>74</v>
      </c>
      <c r="B74" s="103">
        <v>100505</v>
      </c>
      <c r="C74" s="115">
        <v>121008</v>
      </c>
      <c r="D74" s="119">
        <v>1</v>
      </c>
      <c r="E74" s="119">
        <v>1</v>
      </c>
      <c r="F74" s="119">
        <v>0</v>
      </c>
      <c r="G74" s="119">
        <v>10009</v>
      </c>
      <c r="H74" s="119">
        <v>1</v>
      </c>
      <c r="W74" s="123">
        <v>154</v>
      </c>
      <c r="X74" s="123">
        <v>60</v>
      </c>
      <c r="Y74" s="123">
        <v>348</v>
      </c>
      <c r="AC74" s="119">
        <v>1</v>
      </c>
    </row>
    <row r="75" s="119" customFormat="1" spans="1:29">
      <c r="A75" s="119">
        <f t="shared" si="1"/>
        <v>75</v>
      </c>
      <c r="B75" s="103">
        <v>100505</v>
      </c>
      <c r="C75" s="115">
        <v>121008</v>
      </c>
      <c r="D75" s="119">
        <v>1</v>
      </c>
      <c r="E75" s="119">
        <v>2</v>
      </c>
      <c r="F75" s="119">
        <v>0</v>
      </c>
      <c r="G75" s="119">
        <v>10009</v>
      </c>
      <c r="H75" s="119">
        <v>1</v>
      </c>
      <c r="W75" s="123">
        <v>154</v>
      </c>
      <c r="X75" s="123">
        <v>60</v>
      </c>
      <c r="Y75" s="123">
        <v>348</v>
      </c>
      <c r="AC75" s="119">
        <v>1</v>
      </c>
    </row>
    <row r="76" s="119" customFormat="1" spans="1:29">
      <c r="A76" s="119">
        <f t="shared" si="1"/>
        <v>76</v>
      </c>
      <c r="B76" s="103">
        <v>100505</v>
      </c>
      <c r="C76" s="115">
        <v>121008</v>
      </c>
      <c r="D76" s="119">
        <v>1</v>
      </c>
      <c r="E76" s="119">
        <v>3</v>
      </c>
      <c r="F76" s="119">
        <v>0</v>
      </c>
      <c r="G76" s="119">
        <v>10009</v>
      </c>
      <c r="H76" s="119">
        <v>1</v>
      </c>
      <c r="W76" s="123">
        <v>154</v>
      </c>
      <c r="X76" s="123">
        <v>60</v>
      </c>
      <c r="Y76" s="123">
        <v>348</v>
      </c>
      <c r="AC76" s="119">
        <v>1</v>
      </c>
    </row>
    <row r="77" s="119" customFormat="1" spans="1:29">
      <c r="A77" s="119">
        <f t="shared" si="1"/>
        <v>77</v>
      </c>
      <c r="B77" s="103">
        <v>100506</v>
      </c>
      <c r="C77" s="115">
        <v>121008</v>
      </c>
      <c r="D77" s="119">
        <v>1</v>
      </c>
      <c r="E77" s="119">
        <v>1</v>
      </c>
      <c r="F77" s="119">
        <v>0</v>
      </c>
      <c r="G77" s="119">
        <v>10009</v>
      </c>
      <c r="H77" s="119">
        <v>1</v>
      </c>
      <c r="W77" s="123">
        <v>154</v>
      </c>
      <c r="X77" s="123">
        <v>60</v>
      </c>
      <c r="Y77" s="123">
        <v>348</v>
      </c>
      <c r="AC77" s="119">
        <v>1</v>
      </c>
    </row>
    <row r="78" s="119" customFormat="1" spans="1:29">
      <c r="A78" s="119">
        <f t="shared" si="1"/>
        <v>78</v>
      </c>
      <c r="B78" s="103">
        <v>100506</v>
      </c>
      <c r="C78" s="115">
        <v>121008</v>
      </c>
      <c r="D78" s="119">
        <v>1</v>
      </c>
      <c r="E78" s="119">
        <v>2</v>
      </c>
      <c r="F78" s="119">
        <v>0</v>
      </c>
      <c r="G78" s="119">
        <v>10009</v>
      </c>
      <c r="H78" s="119">
        <v>1</v>
      </c>
      <c r="W78" s="123">
        <v>154</v>
      </c>
      <c r="X78" s="123">
        <v>60</v>
      </c>
      <c r="Y78" s="123">
        <v>348</v>
      </c>
      <c r="AC78" s="119">
        <v>1</v>
      </c>
    </row>
    <row r="79" s="119" customFormat="1" spans="1:29">
      <c r="A79" s="119">
        <f t="shared" si="1"/>
        <v>79</v>
      </c>
      <c r="B79" s="103">
        <v>100506</v>
      </c>
      <c r="C79" s="115">
        <v>121008</v>
      </c>
      <c r="D79" s="119">
        <v>1</v>
      </c>
      <c r="E79" s="119">
        <v>3</v>
      </c>
      <c r="F79" s="119">
        <v>0</v>
      </c>
      <c r="G79" s="119">
        <v>10009</v>
      </c>
      <c r="H79" s="119">
        <v>1</v>
      </c>
      <c r="W79" s="123">
        <v>154</v>
      </c>
      <c r="X79" s="123">
        <v>60</v>
      </c>
      <c r="Y79" s="123">
        <v>348</v>
      </c>
      <c r="AC79" s="119">
        <v>1</v>
      </c>
    </row>
    <row r="80" s="119" customFormat="1" spans="1:29">
      <c r="A80" s="119">
        <f t="shared" si="1"/>
        <v>80</v>
      </c>
      <c r="B80" s="103">
        <v>100507</v>
      </c>
      <c r="C80" s="115">
        <v>121008</v>
      </c>
      <c r="D80" s="119">
        <v>1</v>
      </c>
      <c r="E80" s="119">
        <v>1</v>
      </c>
      <c r="F80" s="119">
        <v>0</v>
      </c>
      <c r="G80" s="119">
        <v>10009</v>
      </c>
      <c r="H80" s="119">
        <v>1</v>
      </c>
      <c r="W80" s="123">
        <v>154</v>
      </c>
      <c r="X80" s="123">
        <v>60</v>
      </c>
      <c r="Y80" s="123">
        <v>348</v>
      </c>
      <c r="AC80" s="119">
        <v>1</v>
      </c>
    </row>
    <row r="81" s="119" customFormat="1" spans="1:29">
      <c r="A81" s="119">
        <f t="shared" si="1"/>
        <v>81</v>
      </c>
      <c r="B81" s="103">
        <v>100507</v>
      </c>
      <c r="C81" s="115">
        <v>121008</v>
      </c>
      <c r="D81" s="119">
        <v>1</v>
      </c>
      <c r="E81" s="119">
        <v>2</v>
      </c>
      <c r="F81" s="119">
        <v>0</v>
      </c>
      <c r="G81" s="119">
        <v>10009</v>
      </c>
      <c r="H81" s="119">
        <v>1</v>
      </c>
      <c r="W81" s="123">
        <v>154</v>
      </c>
      <c r="X81" s="123">
        <v>60</v>
      </c>
      <c r="Y81" s="123">
        <v>348</v>
      </c>
      <c r="AC81" s="119">
        <v>1</v>
      </c>
    </row>
    <row r="82" s="119" customFormat="1" spans="1:29">
      <c r="A82" s="119">
        <f t="shared" si="1"/>
        <v>82</v>
      </c>
      <c r="B82" s="103">
        <v>100507</v>
      </c>
      <c r="C82" s="115">
        <v>121008</v>
      </c>
      <c r="D82" s="119">
        <v>1</v>
      </c>
      <c r="E82" s="119">
        <v>3</v>
      </c>
      <c r="F82" s="119">
        <v>0</v>
      </c>
      <c r="G82" s="119">
        <v>10009</v>
      </c>
      <c r="H82" s="119">
        <v>1</v>
      </c>
      <c r="W82" s="123">
        <v>154</v>
      </c>
      <c r="X82" s="123">
        <v>60</v>
      </c>
      <c r="Y82" s="123">
        <v>348</v>
      </c>
      <c r="AC82" s="119">
        <v>1</v>
      </c>
    </row>
    <row r="83" s="119" customFormat="1" spans="1:29">
      <c r="A83" s="119">
        <f t="shared" si="1"/>
        <v>83</v>
      </c>
      <c r="B83" s="103">
        <v>100508</v>
      </c>
      <c r="C83" s="115">
        <v>121008</v>
      </c>
      <c r="D83" s="119">
        <v>1</v>
      </c>
      <c r="E83" s="119">
        <v>1</v>
      </c>
      <c r="F83" s="119">
        <v>0</v>
      </c>
      <c r="G83" s="119">
        <v>10009</v>
      </c>
      <c r="H83" s="119">
        <v>1</v>
      </c>
      <c r="W83" s="123">
        <v>202</v>
      </c>
      <c r="X83" s="123">
        <v>63</v>
      </c>
      <c r="Y83" s="123">
        <v>568</v>
      </c>
      <c r="AC83" s="119">
        <v>1</v>
      </c>
    </row>
    <row r="84" s="119" customFormat="1" spans="1:29">
      <c r="A84" s="119">
        <f t="shared" si="1"/>
        <v>84</v>
      </c>
      <c r="B84" s="103">
        <v>100508</v>
      </c>
      <c r="C84" s="115">
        <v>121008</v>
      </c>
      <c r="D84" s="119">
        <v>1</v>
      </c>
      <c r="E84" s="119">
        <v>2</v>
      </c>
      <c r="F84" s="119">
        <v>0</v>
      </c>
      <c r="G84" s="119">
        <v>10009</v>
      </c>
      <c r="H84" s="119">
        <v>1</v>
      </c>
      <c r="W84" s="123">
        <v>202</v>
      </c>
      <c r="X84" s="123">
        <v>63</v>
      </c>
      <c r="Y84" s="123">
        <v>568</v>
      </c>
      <c r="AC84" s="119">
        <v>1</v>
      </c>
    </row>
    <row r="85" s="119" customFormat="1" spans="1:29">
      <c r="A85" s="119">
        <f t="shared" si="1"/>
        <v>85</v>
      </c>
      <c r="B85" s="103">
        <v>100508</v>
      </c>
      <c r="C85" s="115">
        <v>121008</v>
      </c>
      <c r="D85" s="119">
        <v>1</v>
      </c>
      <c r="E85" s="119">
        <v>3</v>
      </c>
      <c r="F85" s="119">
        <v>0</v>
      </c>
      <c r="G85" s="119">
        <v>10009</v>
      </c>
      <c r="H85" s="119">
        <v>1</v>
      </c>
      <c r="W85" s="123">
        <v>202</v>
      </c>
      <c r="X85" s="123">
        <v>63</v>
      </c>
      <c r="Y85" s="123">
        <v>568</v>
      </c>
      <c r="AC85" s="119">
        <v>1</v>
      </c>
    </row>
    <row r="86" s="119" customFormat="1" spans="1:29">
      <c r="A86" s="119">
        <f t="shared" si="1"/>
        <v>86</v>
      </c>
      <c r="B86" s="103">
        <v>100509</v>
      </c>
      <c r="C86" s="115">
        <v>121008</v>
      </c>
      <c r="D86" s="119">
        <v>1</v>
      </c>
      <c r="E86" s="119">
        <v>1</v>
      </c>
      <c r="F86" s="119">
        <v>0</v>
      </c>
      <c r="G86" s="119">
        <v>10009</v>
      </c>
      <c r="H86" s="119">
        <v>1</v>
      </c>
      <c r="W86" s="123">
        <v>154</v>
      </c>
      <c r="X86" s="123">
        <v>60</v>
      </c>
      <c r="Y86" s="123">
        <v>348</v>
      </c>
      <c r="AC86" s="119">
        <v>1</v>
      </c>
    </row>
    <row r="87" s="119" customFormat="1" spans="1:29">
      <c r="A87" s="119">
        <f t="shared" si="1"/>
        <v>87</v>
      </c>
      <c r="B87" s="103">
        <v>100509</v>
      </c>
      <c r="C87" s="115">
        <v>121008</v>
      </c>
      <c r="D87" s="119">
        <v>1</v>
      </c>
      <c r="E87" s="119">
        <v>2</v>
      </c>
      <c r="F87" s="119">
        <v>0</v>
      </c>
      <c r="G87" s="119">
        <v>10009</v>
      </c>
      <c r="H87" s="119">
        <v>1</v>
      </c>
      <c r="W87" s="123">
        <v>154</v>
      </c>
      <c r="X87" s="123">
        <v>60</v>
      </c>
      <c r="Y87" s="123">
        <v>348</v>
      </c>
      <c r="AC87" s="119">
        <v>1</v>
      </c>
    </row>
    <row r="88" s="119" customFormat="1" spans="1:29">
      <c r="A88" s="119">
        <f t="shared" si="1"/>
        <v>88</v>
      </c>
      <c r="B88" s="103">
        <v>100509</v>
      </c>
      <c r="C88" s="115">
        <v>121008</v>
      </c>
      <c r="D88" s="119">
        <v>1</v>
      </c>
      <c r="E88" s="119">
        <v>3</v>
      </c>
      <c r="F88" s="119">
        <v>0</v>
      </c>
      <c r="G88" s="119">
        <v>10009</v>
      </c>
      <c r="H88" s="119">
        <v>1</v>
      </c>
      <c r="W88" s="123">
        <v>154</v>
      </c>
      <c r="X88" s="123">
        <v>60</v>
      </c>
      <c r="Y88" s="123">
        <v>348</v>
      </c>
      <c r="AC88" s="119">
        <v>1</v>
      </c>
    </row>
    <row r="89" s="119" customFormat="1" spans="1:29">
      <c r="A89" s="119">
        <f t="shared" si="1"/>
        <v>89</v>
      </c>
      <c r="B89" s="103">
        <v>100510</v>
      </c>
      <c r="C89" s="115">
        <v>121008</v>
      </c>
      <c r="D89" s="119">
        <v>1</v>
      </c>
      <c r="E89" s="119">
        <v>1</v>
      </c>
      <c r="F89" s="119">
        <v>0</v>
      </c>
      <c r="G89" s="119">
        <v>10009</v>
      </c>
      <c r="H89" s="119">
        <v>1</v>
      </c>
      <c r="W89" s="123">
        <v>202</v>
      </c>
      <c r="X89" s="123">
        <v>63</v>
      </c>
      <c r="Y89" s="123">
        <v>568</v>
      </c>
      <c r="AC89" s="119">
        <v>1</v>
      </c>
    </row>
    <row r="90" s="119" customFormat="1" spans="1:29">
      <c r="A90" s="119">
        <f t="shared" si="1"/>
        <v>90</v>
      </c>
      <c r="B90" s="103">
        <v>100510</v>
      </c>
      <c r="C90" s="115">
        <v>121008</v>
      </c>
      <c r="D90" s="119">
        <v>1</v>
      </c>
      <c r="E90" s="119">
        <v>3</v>
      </c>
      <c r="F90" s="119">
        <v>0</v>
      </c>
      <c r="G90" s="119">
        <v>10009</v>
      </c>
      <c r="H90" s="119">
        <v>1</v>
      </c>
      <c r="W90" s="123">
        <v>202</v>
      </c>
      <c r="X90" s="123">
        <v>63</v>
      </c>
      <c r="Y90" s="123">
        <v>568</v>
      </c>
      <c r="AC90" s="119">
        <v>1</v>
      </c>
    </row>
    <row r="91" s="119" customFormat="1" spans="1:36">
      <c r="A91" s="119">
        <f t="shared" si="1"/>
        <v>91</v>
      </c>
      <c r="B91" s="103">
        <v>100510</v>
      </c>
      <c r="C91" s="115">
        <v>121008</v>
      </c>
      <c r="D91" s="119">
        <v>1</v>
      </c>
      <c r="E91" s="119">
        <v>5</v>
      </c>
      <c r="F91" s="119">
        <v>0</v>
      </c>
      <c r="G91" s="119">
        <v>10009</v>
      </c>
      <c r="H91" s="119">
        <v>1</v>
      </c>
      <c r="W91" s="123">
        <v>253</v>
      </c>
      <c r="X91" s="123">
        <v>88</v>
      </c>
      <c r="Y91" s="123">
        <v>796</v>
      </c>
      <c r="AA91" s="119">
        <v>0.04</v>
      </c>
      <c r="AB91" s="119">
        <v>0.04</v>
      </c>
      <c r="AC91" s="125">
        <v>1</v>
      </c>
      <c r="AD91" s="119">
        <v>0.04</v>
      </c>
      <c r="AE91" s="119">
        <v>1.5</v>
      </c>
      <c r="AH91" s="119">
        <v>0.04</v>
      </c>
      <c r="AJ91" s="119">
        <v>0.04</v>
      </c>
    </row>
    <row r="92" s="119" customFormat="1" spans="1:29">
      <c r="A92" s="119">
        <f t="shared" si="1"/>
        <v>92</v>
      </c>
      <c r="B92" s="103">
        <v>100511</v>
      </c>
      <c r="C92" s="115">
        <v>121008</v>
      </c>
      <c r="D92" s="119">
        <v>1</v>
      </c>
      <c r="E92" s="119">
        <v>1</v>
      </c>
      <c r="F92" s="119">
        <v>0</v>
      </c>
      <c r="G92" s="119">
        <v>10009</v>
      </c>
      <c r="H92" s="119">
        <v>1</v>
      </c>
      <c r="W92" s="123">
        <v>211</v>
      </c>
      <c r="X92" s="123">
        <v>79</v>
      </c>
      <c r="Y92" s="123">
        <v>711</v>
      </c>
      <c r="AC92" s="119">
        <v>1</v>
      </c>
    </row>
    <row r="93" s="119" customFormat="1" spans="1:29">
      <c r="A93" s="119">
        <f t="shared" si="1"/>
        <v>93</v>
      </c>
      <c r="B93" s="103">
        <v>100511</v>
      </c>
      <c r="C93" s="115">
        <v>121008</v>
      </c>
      <c r="D93" s="119">
        <v>1</v>
      </c>
      <c r="E93" s="119">
        <v>3</v>
      </c>
      <c r="F93" s="119">
        <v>0</v>
      </c>
      <c r="G93" s="119">
        <v>10009</v>
      </c>
      <c r="H93" s="119">
        <v>1</v>
      </c>
      <c r="W93" s="123">
        <v>211</v>
      </c>
      <c r="X93" s="123">
        <v>79</v>
      </c>
      <c r="Y93" s="123">
        <v>711</v>
      </c>
      <c r="AC93" s="119">
        <v>1</v>
      </c>
    </row>
    <row r="94" s="119" customFormat="1" spans="1:29">
      <c r="A94" s="119">
        <f t="shared" si="1"/>
        <v>94</v>
      </c>
      <c r="B94" s="103">
        <v>100511</v>
      </c>
      <c r="C94" s="119">
        <v>111010</v>
      </c>
      <c r="D94" s="119">
        <v>1</v>
      </c>
      <c r="E94" s="119">
        <v>5</v>
      </c>
      <c r="F94" s="119">
        <v>0</v>
      </c>
      <c r="G94" s="119">
        <v>221</v>
      </c>
      <c r="H94" s="119">
        <v>1</v>
      </c>
      <c r="I94" s="119">
        <v>25</v>
      </c>
      <c r="J94" s="119">
        <v>222</v>
      </c>
      <c r="K94" s="119">
        <v>1</v>
      </c>
      <c r="L94" s="119">
        <v>25</v>
      </c>
      <c r="M94" s="119">
        <v>223</v>
      </c>
      <c r="N94" s="119">
        <v>1</v>
      </c>
      <c r="W94" s="123">
        <v>264</v>
      </c>
      <c r="X94" s="123">
        <v>92</v>
      </c>
      <c r="Y94" s="123">
        <v>830</v>
      </c>
      <c r="AC94" s="119">
        <v>1</v>
      </c>
    </row>
    <row r="95" s="119" customFormat="1" spans="1:29">
      <c r="A95" s="119">
        <f t="shared" si="1"/>
        <v>95</v>
      </c>
      <c r="B95" s="103">
        <v>100512</v>
      </c>
      <c r="C95" s="115">
        <v>121008</v>
      </c>
      <c r="D95" s="119">
        <v>1</v>
      </c>
      <c r="E95" s="119">
        <v>1</v>
      </c>
      <c r="F95" s="119">
        <v>0</v>
      </c>
      <c r="G95" s="119">
        <v>10009</v>
      </c>
      <c r="H95" s="119">
        <v>1</v>
      </c>
      <c r="W95" s="123">
        <v>211</v>
      </c>
      <c r="X95" s="123">
        <v>79</v>
      </c>
      <c r="Y95" s="123">
        <v>711</v>
      </c>
      <c r="AC95" s="119">
        <v>1</v>
      </c>
    </row>
    <row r="96" s="119" customFormat="1" spans="1:29">
      <c r="A96" s="119">
        <f t="shared" si="1"/>
        <v>96</v>
      </c>
      <c r="B96" s="103">
        <v>100512</v>
      </c>
      <c r="C96" s="115">
        <v>121008</v>
      </c>
      <c r="D96" s="119">
        <v>1</v>
      </c>
      <c r="E96" s="119">
        <v>3</v>
      </c>
      <c r="F96" s="119">
        <v>0</v>
      </c>
      <c r="G96" s="119">
        <v>10009</v>
      </c>
      <c r="H96" s="119">
        <v>1</v>
      </c>
      <c r="W96" s="123">
        <v>211</v>
      </c>
      <c r="X96" s="123">
        <v>79</v>
      </c>
      <c r="Y96" s="123">
        <v>711</v>
      </c>
      <c r="AC96" s="119">
        <v>1</v>
      </c>
    </row>
    <row r="97" s="119" customFormat="1" spans="1:29">
      <c r="A97" s="119">
        <f t="shared" si="1"/>
        <v>97</v>
      </c>
      <c r="B97" s="103">
        <v>100512</v>
      </c>
      <c r="C97" s="115">
        <v>121008</v>
      </c>
      <c r="D97" s="119">
        <v>1</v>
      </c>
      <c r="E97" s="119">
        <v>5</v>
      </c>
      <c r="F97" s="119">
        <v>0</v>
      </c>
      <c r="G97" s="119">
        <v>10009</v>
      </c>
      <c r="H97" s="119">
        <v>1</v>
      </c>
      <c r="W97" s="123">
        <v>317</v>
      </c>
      <c r="X97" s="123">
        <v>92</v>
      </c>
      <c r="Y97" s="123">
        <v>830</v>
      </c>
      <c r="AC97" s="119">
        <v>1</v>
      </c>
    </row>
    <row r="98" s="119" customFormat="1" spans="1:29">
      <c r="A98" s="119">
        <f t="shared" si="1"/>
        <v>98</v>
      </c>
      <c r="B98" s="103">
        <v>100513</v>
      </c>
      <c r="C98" s="115">
        <v>121008</v>
      </c>
      <c r="D98" s="119">
        <v>1</v>
      </c>
      <c r="E98" s="119">
        <v>1</v>
      </c>
      <c r="F98" s="119">
        <v>0</v>
      </c>
      <c r="G98" s="119">
        <v>10009</v>
      </c>
      <c r="H98" s="119">
        <v>1</v>
      </c>
      <c r="W98" s="123">
        <v>313</v>
      </c>
      <c r="X98" s="123">
        <v>93</v>
      </c>
      <c r="Y98" s="123">
        <v>703</v>
      </c>
      <c r="AC98" s="119">
        <v>1</v>
      </c>
    </row>
    <row r="99" s="119" customFormat="1" spans="1:29">
      <c r="A99" s="119">
        <f t="shared" si="1"/>
        <v>99</v>
      </c>
      <c r="B99" s="103">
        <v>100513</v>
      </c>
      <c r="C99" s="115">
        <v>121008</v>
      </c>
      <c r="D99" s="119">
        <v>1</v>
      </c>
      <c r="E99" s="119">
        <v>3</v>
      </c>
      <c r="F99" s="119">
        <v>0</v>
      </c>
      <c r="G99" s="119">
        <v>10009</v>
      </c>
      <c r="H99" s="119">
        <v>1</v>
      </c>
      <c r="W99" s="123">
        <v>313</v>
      </c>
      <c r="X99" s="123">
        <v>93</v>
      </c>
      <c r="Y99" s="123">
        <v>703</v>
      </c>
      <c r="AC99" s="119">
        <v>1</v>
      </c>
    </row>
    <row r="100" s="119" customFormat="1" spans="1:31">
      <c r="A100" s="119">
        <f t="shared" si="1"/>
        <v>100</v>
      </c>
      <c r="B100" s="103">
        <v>100513</v>
      </c>
      <c r="C100" s="119">
        <v>111009</v>
      </c>
      <c r="D100" s="119">
        <v>1</v>
      </c>
      <c r="E100" s="119">
        <v>5</v>
      </c>
      <c r="F100" s="119">
        <v>0</v>
      </c>
      <c r="G100" s="119">
        <v>171</v>
      </c>
      <c r="H100" s="119">
        <v>1</v>
      </c>
      <c r="I100" s="119">
        <v>25</v>
      </c>
      <c r="J100" s="119">
        <v>172</v>
      </c>
      <c r="K100" s="119">
        <v>1</v>
      </c>
      <c r="L100" s="119">
        <v>25</v>
      </c>
      <c r="M100" s="119">
        <v>173</v>
      </c>
      <c r="N100" s="119">
        <v>1</v>
      </c>
      <c r="R100" s="119">
        <v>20</v>
      </c>
      <c r="S100" s="119">
        <v>174</v>
      </c>
      <c r="T100" s="119">
        <v>1</v>
      </c>
      <c r="W100" s="123">
        <v>375</v>
      </c>
      <c r="X100" s="123">
        <v>109</v>
      </c>
      <c r="Y100" s="123">
        <v>984</v>
      </c>
      <c r="AA100" s="119">
        <v>0.04</v>
      </c>
      <c r="AC100" s="119">
        <v>1</v>
      </c>
      <c r="AE100" s="119">
        <v>1.5</v>
      </c>
    </row>
    <row r="101" s="119" customFormat="1" spans="1:29">
      <c r="A101" s="119">
        <f t="shared" si="1"/>
        <v>101</v>
      </c>
      <c r="B101" s="103">
        <v>100701</v>
      </c>
      <c r="C101" s="115">
        <v>121008</v>
      </c>
      <c r="D101" s="119">
        <v>1</v>
      </c>
      <c r="E101" s="119">
        <v>1</v>
      </c>
      <c r="F101" s="119">
        <v>0</v>
      </c>
      <c r="G101" s="119">
        <v>10009</v>
      </c>
      <c r="H101" s="119">
        <v>1</v>
      </c>
      <c r="W101" s="124">
        <v>301</v>
      </c>
      <c r="X101" s="124">
        <v>100</v>
      </c>
      <c r="Y101" s="124">
        <v>677</v>
      </c>
      <c r="AC101" s="119">
        <v>1</v>
      </c>
    </row>
    <row r="102" s="119" customFormat="1" spans="1:29">
      <c r="A102" s="119">
        <f t="shared" si="1"/>
        <v>102</v>
      </c>
      <c r="B102" s="103">
        <v>100701</v>
      </c>
      <c r="C102" s="115">
        <v>121008</v>
      </c>
      <c r="D102" s="119">
        <v>1</v>
      </c>
      <c r="E102" s="119">
        <v>2</v>
      </c>
      <c r="F102" s="119">
        <v>0</v>
      </c>
      <c r="G102" s="119">
        <v>10009</v>
      </c>
      <c r="H102" s="119">
        <v>1</v>
      </c>
      <c r="W102" s="124">
        <v>301</v>
      </c>
      <c r="X102" s="124">
        <v>100</v>
      </c>
      <c r="Y102" s="124">
        <v>677</v>
      </c>
      <c r="AC102" s="119">
        <v>1</v>
      </c>
    </row>
    <row r="103" s="119" customFormat="1" spans="1:34">
      <c r="A103" s="119">
        <f t="shared" si="1"/>
        <v>103</v>
      </c>
      <c r="B103" s="103">
        <v>100701</v>
      </c>
      <c r="C103" s="119">
        <v>111003</v>
      </c>
      <c r="D103" s="119">
        <v>1</v>
      </c>
      <c r="E103" s="119">
        <v>3</v>
      </c>
      <c r="F103" s="119">
        <v>0</v>
      </c>
      <c r="G103" s="119">
        <v>186</v>
      </c>
      <c r="H103" s="119">
        <v>1</v>
      </c>
      <c r="I103" s="119">
        <v>25</v>
      </c>
      <c r="J103" s="119">
        <v>187</v>
      </c>
      <c r="K103" s="119">
        <v>1</v>
      </c>
      <c r="L103" s="119">
        <v>25</v>
      </c>
      <c r="M103" s="119">
        <v>188</v>
      </c>
      <c r="N103" s="119">
        <v>1</v>
      </c>
      <c r="W103" s="124">
        <v>335</v>
      </c>
      <c r="X103" s="124">
        <v>100</v>
      </c>
      <c r="Y103" s="124">
        <v>902</v>
      </c>
      <c r="AA103" s="119">
        <v>0.04</v>
      </c>
      <c r="AC103" s="119">
        <v>1</v>
      </c>
      <c r="AD103" s="119">
        <v>0.04</v>
      </c>
      <c r="AE103" s="119">
        <v>1.5</v>
      </c>
      <c r="AH103" s="119">
        <v>0.04</v>
      </c>
    </row>
    <row r="104" s="119" customFormat="1" spans="1:34">
      <c r="A104" s="119">
        <f t="shared" si="1"/>
        <v>104</v>
      </c>
      <c r="B104" s="103">
        <v>100701</v>
      </c>
      <c r="C104" s="119">
        <v>112010</v>
      </c>
      <c r="D104" s="119">
        <v>1</v>
      </c>
      <c r="E104" s="119">
        <v>5</v>
      </c>
      <c r="F104" s="119">
        <v>0</v>
      </c>
      <c r="G104" s="119">
        <v>91</v>
      </c>
      <c r="H104" s="119">
        <v>1</v>
      </c>
      <c r="I104" s="119">
        <v>25</v>
      </c>
      <c r="J104" s="119">
        <v>92</v>
      </c>
      <c r="K104" s="119">
        <v>1</v>
      </c>
      <c r="L104" s="119">
        <v>25</v>
      </c>
      <c r="M104" s="119">
        <v>93</v>
      </c>
      <c r="N104" s="119">
        <v>1</v>
      </c>
      <c r="O104" s="119">
        <v>25</v>
      </c>
      <c r="P104" s="119">
        <v>94</v>
      </c>
      <c r="Q104" s="119">
        <v>1</v>
      </c>
      <c r="R104" s="119">
        <v>20</v>
      </c>
      <c r="S104" s="119">
        <v>98</v>
      </c>
      <c r="T104" s="119">
        <v>1</v>
      </c>
      <c r="W104" s="124">
        <v>335</v>
      </c>
      <c r="X104" s="124">
        <v>117</v>
      </c>
      <c r="Y104" s="124">
        <v>1053</v>
      </c>
      <c r="AA104" s="119">
        <v>0.04</v>
      </c>
      <c r="AC104" s="119">
        <v>1</v>
      </c>
      <c r="AD104" s="119">
        <v>0.04</v>
      </c>
      <c r="AE104" s="119">
        <v>1.5</v>
      </c>
      <c r="AH104" s="119">
        <v>0.04</v>
      </c>
    </row>
    <row r="105" s="119" customFormat="1" spans="1:29">
      <c r="A105" s="119">
        <f t="shared" si="1"/>
        <v>105</v>
      </c>
      <c r="B105" s="103">
        <v>100702</v>
      </c>
      <c r="C105" s="115">
        <v>121008</v>
      </c>
      <c r="D105" s="119">
        <v>1</v>
      </c>
      <c r="E105" s="119">
        <v>4</v>
      </c>
      <c r="F105" s="119">
        <v>0</v>
      </c>
      <c r="G105" s="119">
        <v>10009</v>
      </c>
      <c r="H105" s="119">
        <v>1</v>
      </c>
      <c r="W105" s="124">
        <v>294</v>
      </c>
      <c r="X105" s="124">
        <v>73</v>
      </c>
      <c r="Y105" s="124">
        <v>660</v>
      </c>
      <c r="AC105" s="119">
        <v>1</v>
      </c>
    </row>
    <row r="106" s="119" customFormat="1" spans="1:29">
      <c r="A106" s="119">
        <f t="shared" si="1"/>
        <v>106</v>
      </c>
      <c r="B106" s="103">
        <v>100702</v>
      </c>
      <c r="C106" s="119">
        <v>121009</v>
      </c>
      <c r="D106" s="119">
        <v>1</v>
      </c>
      <c r="E106" s="119">
        <v>1</v>
      </c>
      <c r="F106" s="119">
        <v>0</v>
      </c>
      <c r="G106" s="119">
        <v>10010</v>
      </c>
      <c r="H106" s="119">
        <v>1</v>
      </c>
      <c r="W106" s="124">
        <v>294</v>
      </c>
      <c r="X106" s="124">
        <v>73</v>
      </c>
      <c r="Y106" s="124">
        <v>660</v>
      </c>
      <c r="AC106" s="119">
        <v>1</v>
      </c>
    </row>
    <row r="107" s="120" customFormat="1" spans="1:29">
      <c r="A107" s="120">
        <f t="shared" si="1"/>
        <v>107</v>
      </c>
      <c r="B107" s="103">
        <v>100702</v>
      </c>
      <c r="C107" s="115">
        <v>121008</v>
      </c>
      <c r="D107" s="120">
        <v>1</v>
      </c>
      <c r="E107" s="120">
        <v>5</v>
      </c>
      <c r="F107" s="120">
        <v>0</v>
      </c>
      <c r="G107" s="120">
        <v>10009</v>
      </c>
      <c r="H107" s="120">
        <v>1</v>
      </c>
      <c r="W107" s="124">
        <v>294</v>
      </c>
      <c r="X107" s="124">
        <v>73</v>
      </c>
      <c r="Y107" s="124">
        <v>660</v>
      </c>
      <c r="AC107" s="120">
        <v>1</v>
      </c>
    </row>
    <row r="108" s="120" customFormat="1" spans="1:29">
      <c r="A108" s="120">
        <f t="shared" si="1"/>
        <v>108</v>
      </c>
      <c r="B108" s="103">
        <v>100702</v>
      </c>
      <c r="C108" s="120">
        <v>121009</v>
      </c>
      <c r="D108" s="120">
        <v>1</v>
      </c>
      <c r="E108" s="120">
        <v>2</v>
      </c>
      <c r="F108" s="120">
        <v>0</v>
      </c>
      <c r="G108" s="120">
        <v>10010</v>
      </c>
      <c r="H108" s="120">
        <v>1</v>
      </c>
      <c r="W108" s="124">
        <v>294</v>
      </c>
      <c r="X108" s="124">
        <v>73</v>
      </c>
      <c r="Y108" s="124">
        <v>660</v>
      </c>
      <c r="AC108" s="120">
        <v>1</v>
      </c>
    </row>
    <row r="109" s="119" customFormat="1" spans="1:29">
      <c r="A109" s="119">
        <f t="shared" si="1"/>
        <v>109</v>
      </c>
      <c r="B109" s="103">
        <v>100703</v>
      </c>
      <c r="C109" s="115">
        <v>121008</v>
      </c>
      <c r="D109" s="119">
        <v>1</v>
      </c>
      <c r="E109" s="119">
        <v>4</v>
      </c>
      <c r="F109" s="119">
        <v>0</v>
      </c>
      <c r="G109" s="119">
        <v>10009</v>
      </c>
      <c r="H109" s="119">
        <v>1</v>
      </c>
      <c r="W109" s="124">
        <v>294</v>
      </c>
      <c r="X109" s="124">
        <v>73</v>
      </c>
      <c r="Y109" s="124">
        <v>660</v>
      </c>
      <c r="AC109" s="119">
        <v>1</v>
      </c>
    </row>
    <row r="110" s="119" customFormat="1" spans="1:29">
      <c r="A110" s="119">
        <f t="shared" si="1"/>
        <v>110</v>
      </c>
      <c r="B110" s="103">
        <v>100703</v>
      </c>
      <c r="C110" s="119">
        <v>121009</v>
      </c>
      <c r="D110" s="119">
        <v>1</v>
      </c>
      <c r="E110" s="119">
        <v>1</v>
      </c>
      <c r="F110" s="119">
        <v>0</v>
      </c>
      <c r="G110" s="119">
        <v>10010</v>
      </c>
      <c r="H110" s="119">
        <v>1</v>
      </c>
      <c r="W110" s="124">
        <v>294</v>
      </c>
      <c r="X110" s="124">
        <v>73</v>
      </c>
      <c r="Y110" s="124">
        <v>660</v>
      </c>
      <c r="AC110" s="119">
        <v>1</v>
      </c>
    </row>
    <row r="111" s="120" customFormat="1" spans="1:29">
      <c r="A111" s="120">
        <f t="shared" si="1"/>
        <v>111</v>
      </c>
      <c r="B111" s="103">
        <v>100703</v>
      </c>
      <c r="C111" s="115">
        <v>121008</v>
      </c>
      <c r="D111" s="120">
        <v>1</v>
      </c>
      <c r="E111" s="120">
        <v>5</v>
      </c>
      <c r="F111" s="120">
        <v>0</v>
      </c>
      <c r="G111" s="120">
        <v>10009</v>
      </c>
      <c r="H111" s="120">
        <v>1</v>
      </c>
      <c r="W111" s="124">
        <v>294</v>
      </c>
      <c r="X111" s="124">
        <v>73</v>
      </c>
      <c r="Y111" s="124">
        <v>660</v>
      </c>
      <c r="AC111" s="120">
        <v>1</v>
      </c>
    </row>
    <row r="112" s="120" customFormat="1" spans="1:29">
      <c r="A112" s="120">
        <f t="shared" si="1"/>
        <v>112</v>
      </c>
      <c r="B112" s="103">
        <v>100703</v>
      </c>
      <c r="C112" s="120">
        <v>121009</v>
      </c>
      <c r="D112" s="120">
        <v>1</v>
      </c>
      <c r="E112" s="120">
        <v>2</v>
      </c>
      <c r="F112" s="120">
        <v>0</v>
      </c>
      <c r="G112" s="120">
        <v>10010</v>
      </c>
      <c r="H112" s="120">
        <v>1</v>
      </c>
      <c r="W112" s="124">
        <v>294</v>
      </c>
      <c r="X112" s="124">
        <v>73</v>
      </c>
      <c r="Y112" s="124">
        <v>660</v>
      </c>
      <c r="AC112" s="120">
        <v>1</v>
      </c>
    </row>
    <row r="113" s="119" customFormat="1" spans="1:29">
      <c r="A113" s="119">
        <f t="shared" si="1"/>
        <v>113</v>
      </c>
      <c r="B113" s="103">
        <v>100704</v>
      </c>
      <c r="C113" s="115">
        <v>121008</v>
      </c>
      <c r="D113" s="119">
        <v>1</v>
      </c>
      <c r="E113" s="119">
        <v>4</v>
      </c>
      <c r="F113" s="119">
        <v>0</v>
      </c>
      <c r="G113" s="119">
        <v>10009</v>
      </c>
      <c r="H113" s="119">
        <v>1</v>
      </c>
      <c r="W113" s="124">
        <v>294</v>
      </c>
      <c r="X113" s="124">
        <v>73</v>
      </c>
      <c r="Y113" s="124">
        <v>660</v>
      </c>
      <c r="AC113" s="119">
        <v>1</v>
      </c>
    </row>
    <row r="114" s="119" customFormat="1" spans="1:29">
      <c r="A114" s="119">
        <f t="shared" si="1"/>
        <v>114</v>
      </c>
      <c r="B114" s="103">
        <v>100704</v>
      </c>
      <c r="C114" s="119">
        <v>121009</v>
      </c>
      <c r="D114" s="119">
        <v>1</v>
      </c>
      <c r="E114" s="119">
        <v>1</v>
      </c>
      <c r="F114" s="119">
        <v>0</v>
      </c>
      <c r="G114" s="119">
        <v>10010</v>
      </c>
      <c r="H114" s="119">
        <v>1</v>
      </c>
      <c r="W114" s="124">
        <v>294</v>
      </c>
      <c r="X114" s="124">
        <v>73</v>
      </c>
      <c r="Y114" s="124">
        <v>660</v>
      </c>
      <c r="AC114" s="119">
        <v>1</v>
      </c>
    </row>
    <row r="115" s="120" customFormat="1" spans="1:29">
      <c r="A115" s="120">
        <f t="shared" si="1"/>
        <v>115</v>
      </c>
      <c r="B115" s="103">
        <v>100704</v>
      </c>
      <c r="C115" s="115">
        <v>121008</v>
      </c>
      <c r="D115" s="120">
        <v>1</v>
      </c>
      <c r="E115" s="120">
        <v>5</v>
      </c>
      <c r="F115" s="120">
        <v>0</v>
      </c>
      <c r="G115" s="120">
        <v>10009</v>
      </c>
      <c r="H115" s="120">
        <v>1</v>
      </c>
      <c r="W115" s="124">
        <v>294</v>
      </c>
      <c r="X115" s="124">
        <v>73</v>
      </c>
      <c r="Y115" s="124">
        <v>660</v>
      </c>
      <c r="AC115" s="120">
        <v>1</v>
      </c>
    </row>
    <row r="116" s="120" customFormat="1" spans="1:29">
      <c r="A116" s="120">
        <f t="shared" si="1"/>
        <v>116</v>
      </c>
      <c r="B116" s="103">
        <v>100704</v>
      </c>
      <c r="C116" s="120">
        <v>121009</v>
      </c>
      <c r="D116" s="120">
        <v>1</v>
      </c>
      <c r="E116" s="120">
        <v>2</v>
      </c>
      <c r="F116" s="120">
        <v>0</v>
      </c>
      <c r="G116" s="120">
        <v>10010</v>
      </c>
      <c r="H116" s="120">
        <v>1</v>
      </c>
      <c r="W116" s="124">
        <v>294</v>
      </c>
      <c r="X116" s="124">
        <v>73</v>
      </c>
      <c r="Y116" s="124">
        <v>660</v>
      </c>
      <c r="AC116" s="120">
        <v>1</v>
      </c>
    </row>
    <row r="117" s="119" customFormat="1" spans="1:29">
      <c r="A117" s="119">
        <f t="shared" si="1"/>
        <v>117</v>
      </c>
      <c r="B117" s="103">
        <v>100705</v>
      </c>
      <c r="C117" s="115">
        <v>121008</v>
      </c>
      <c r="D117" s="119">
        <v>1</v>
      </c>
      <c r="E117" s="119">
        <v>4</v>
      </c>
      <c r="F117" s="119">
        <v>0</v>
      </c>
      <c r="G117" s="119">
        <v>10009</v>
      </c>
      <c r="H117" s="119">
        <v>1</v>
      </c>
      <c r="W117" s="124">
        <v>294</v>
      </c>
      <c r="X117" s="124">
        <v>73</v>
      </c>
      <c r="Y117" s="124">
        <v>660</v>
      </c>
      <c r="AC117" s="119">
        <v>1</v>
      </c>
    </row>
    <row r="118" s="119" customFormat="1" spans="1:29">
      <c r="A118" s="119">
        <f t="shared" si="1"/>
        <v>118</v>
      </c>
      <c r="B118" s="103">
        <v>100705</v>
      </c>
      <c r="C118" s="119">
        <v>121009</v>
      </c>
      <c r="D118" s="119">
        <v>1</v>
      </c>
      <c r="E118" s="119">
        <v>1</v>
      </c>
      <c r="F118" s="119">
        <v>0</v>
      </c>
      <c r="G118" s="119">
        <v>10010</v>
      </c>
      <c r="H118" s="119">
        <v>1</v>
      </c>
      <c r="W118" s="124">
        <v>294</v>
      </c>
      <c r="X118" s="124">
        <v>73</v>
      </c>
      <c r="Y118" s="124">
        <v>660</v>
      </c>
      <c r="AC118" s="119">
        <v>1</v>
      </c>
    </row>
    <row r="119" s="120" customFormat="1" spans="1:29">
      <c r="A119" s="120">
        <f t="shared" si="1"/>
        <v>119</v>
      </c>
      <c r="B119" s="103">
        <v>100705</v>
      </c>
      <c r="C119" s="115">
        <v>121008</v>
      </c>
      <c r="D119" s="120">
        <v>1</v>
      </c>
      <c r="E119" s="120">
        <v>5</v>
      </c>
      <c r="F119" s="120">
        <v>0</v>
      </c>
      <c r="G119" s="120">
        <v>10009</v>
      </c>
      <c r="H119" s="120">
        <v>1</v>
      </c>
      <c r="W119" s="124">
        <v>294</v>
      </c>
      <c r="X119" s="124">
        <v>73</v>
      </c>
      <c r="Y119" s="124">
        <v>660</v>
      </c>
      <c r="AC119" s="120">
        <v>1</v>
      </c>
    </row>
    <row r="120" s="120" customFormat="1" spans="1:29">
      <c r="A120" s="120">
        <f t="shared" si="1"/>
        <v>120</v>
      </c>
      <c r="B120" s="103">
        <v>100705</v>
      </c>
      <c r="C120" s="120">
        <v>121009</v>
      </c>
      <c r="D120" s="120">
        <v>1</v>
      </c>
      <c r="E120" s="120">
        <v>2</v>
      </c>
      <c r="F120" s="120">
        <v>0</v>
      </c>
      <c r="G120" s="120">
        <v>10010</v>
      </c>
      <c r="H120" s="120">
        <v>1</v>
      </c>
      <c r="W120" s="124">
        <v>294</v>
      </c>
      <c r="X120" s="124">
        <v>73</v>
      </c>
      <c r="Y120" s="124">
        <v>660</v>
      </c>
      <c r="AC120" s="120">
        <v>1</v>
      </c>
    </row>
    <row r="121" s="119" customFormat="1" spans="1:29">
      <c r="A121" s="119">
        <f t="shared" si="1"/>
        <v>121</v>
      </c>
      <c r="B121" s="103">
        <v>100706</v>
      </c>
      <c r="C121" s="115">
        <v>121008</v>
      </c>
      <c r="D121" s="119">
        <v>1</v>
      </c>
      <c r="E121" s="119">
        <v>4</v>
      </c>
      <c r="F121" s="119">
        <v>0</v>
      </c>
      <c r="G121" s="119">
        <v>10009</v>
      </c>
      <c r="H121" s="119">
        <v>1</v>
      </c>
      <c r="W121" s="124">
        <v>294</v>
      </c>
      <c r="X121" s="124">
        <v>73</v>
      </c>
      <c r="Y121" s="124">
        <v>660</v>
      </c>
      <c r="AC121" s="119">
        <v>1</v>
      </c>
    </row>
    <row r="122" s="119" customFormat="1" spans="1:29">
      <c r="A122" s="119">
        <f t="shared" si="1"/>
        <v>122</v>
      </c>
      <c r="B122" s="103">
        <v>100706</v>
      </c>
      <c r="C122" s="119">
        <v>121009</v>
      </c>
      <c r="D122" s="119">
        <v>1</v>
      </c>
      <c r="E122" s="119">
        <v>1</v>
      </c>
      <c r="F122" s="119">
        <v>0</v>
      </c>
      <c r="G122" s="119">
        <v>10010</v>
      </c>
      <c r="H122" s="119">
        <v>1</v>
      </c>
      <c r="W122" s="124">
        <v>294</v>
      </c>
      <c r="X122" s="124">
        <v>73</v>
      </c>
      <c r="Y122" s="124">
        <v>660</v>
      </c>
      <c r="AC122" s="119">
        <v>1</v>
      </c>
    </row>
    <row r="123" s="120" customFormat="1" spans="1:29">
      <c r="A123" s="120">
        <f t="shared" si="1"/>
        <v>123</v>
      </c>
      <c r="B123" s="103">
        <v>100706</v>
      </c>
      <c r="C123" s="115">
        <v>121008</v>
      </c>
      <c r="D123" s="120">
        <v>1</v>
      </c>
      <c r="E123" s="120">
        <v>5</v>
      </c>
      <c r="F123" s="120">
        <v>0</v>
      </c>
      <c r="G123" s="120">
        <v>10009</v>
      </c>
      <c r="H123" s="120">
        <v>1</v>
      </c>
      <c r="W123" s="124">
        <v>294</v>
      </c>
      <c r="X123" s="124">
        <v>73</v>
      </c>
      <c r="Y123" s="124">
        <v>660</v>
      </c>
      <c r="AC123" s="120">
        <v>1</v>
      </c>
    </row>
    <row r="124" s="120" customFormat="1" spans="1:29">
      <c r="A124" s="120">
        <f t="shared" si="1"/>
        <v>124</v>
      </c>
      <c r="B124" s="103">
        <v>100706</v>
      </c>
      <c r="C124" s="120">
        <v>121009</v>
      </c>
      <c r="D124" s="120">
        <v>1</v>
      </c>
      <c r="E124" s="120">
        <v>2</v>
      </c>
      <c r="F124" s="120">
        <v>0</v>
      </c>
      <c r="G124" s="120">
        <v>10010</v>
      </c>
      <c r="H124" s="120">
        <v>1</v>
      </c>
      <c r="W124" s="124">
        <v>294</v>
      </c>
      <c r="X124" s="124">
        <v>73</v>
      </c>
      <c r="Y124" s="124">
        <v>660</v>
      </c>
      <c r="AC124" s="120">
        <v>1</v>
      </c>
    </row>
    <row r="125" s="120" customFormat="1" spans="1:29">
      <c r="A125" s="120">
        <f t="shared" si="1"/>
        <v>125</v>
      </c>
      <c r="B125" s="103">
        <v>100707</v>
      </c>
      <c r="C125" s="115">
        <v>121008</v>
      </c>
      <c r="D125" s="120">
        <v>1</v>
      </c>
      <c r="E125" s="120">
        <v>1</v>
      </c>
      <c r="F125" s="120">
        <v>0</v>
      </c>
      <c r="G125" s="120">
        <v>10009</v>
      </c>
      <c r="H125" s="120">
        <v>1</v>
      </c>
      <c r="W125" s="124">
        <v>294</v>
      </c>
      <c r="X125" s="124">
        <v>73</v>
      </c>
      <c r="Y125" s="124">
        <v>660</v>
      </c>
      <c r="AC125" s="120">
        <v>1</v>
      </c>
    </row>
    <row r="126" s="120" customFormat="1" spans="1:29">
      <c r="A126" s="120">
        <f t="shared" si="1"/>
        <v>126</v>
      </c>
      <c r="B126" s="103">
        <v>100707</v>
      </c>
      <c r="C126" s="115">
        <v>121008</v>
      </c>
      <c r="D126" s="120">
        <v>1</v>
      </c>
      <c r="E126" s="120">
        <v>3</v>
      </c>
      <c r="F126" s="120">
        <v>0</v>
      </c>
      <c r="G126" s="120">
        <v>10009</v>
      </c>
      <c r="H126" s="120">
        <v>1</v>
      </c>
      <c r="W126" s="124">
        <v>294</v>
      </c>
      <c r="X126" s="124">
        <v>73</v>
      </c>
      <c r="Y126" s="124">
        <v>660</v>
      </c>
      <c r="AC126" s="120">
        <v>1</v>
      </c>
    </row>
    <row r="127" s="120" customFormat="1" spans="1:34">
      <c r="A127" s="120">
        <f t="shared" si="1"/>
        <v>127</v>
      </c>
      <c r="B127" s="103">
        <v>100707</v>
      </c>
      <c r="C127" s="120">
        <v>112012</v>
      </c>
      <c r="D127" s="120">
        <v>1</v>
      </c>
      <c r="E127" s="120">
        <v>5</v>
      </c>
      <c r="F127" s="120">
        <v>0</v>
      </c>
      <c r="G127" s="120">
        <v>124</v>
      </c>
      <c r="H127" s="120">
        <v>1</v>
      </c>
      <c r="I127" s="120">
        <v>25</v>
      </c>
      <c r="J127" s="120">
        <v>125</v>
      </c>
      <c r="K127" s="120">
        <v>1</v>
      </c>
      <c r="L127" s="120">
        <v>25</v>
      </c>
      <c r="M127" s="120">
        <v>126</v>
      </c>
      <c r="N127" s="120">
        <v>1</v>
      </c>
      <c r="O127" s="120">
        <v>25</v>
      </c>
      <c r="P127" s="120">
        <v>127</v>
      </c>
      <c r="Q127" s="120">
        <v>1</v>
      </c>
      <c r="R127" s="120">
        <v>20</v>
      </c>
      <c r="S127" s="120">
        <v>131</v>
      </c>
      <c r="T127" s="120">
        <v>1</v>
      </c>
      <c r="W127" s="124">
        <v>441</v>
      </c>
      <c r="X127" s="124">
        <v>128</v>
      </c>
      <c r="Y127" s="124">
        <v>1155</v>
      </c>
      <c r="AA127" s="120">
        <v>0.04</v>
      </c>
      <c r="AC127" s="120">
        <v>1</v>
      </c>
      <c r="AD127" s="120">
        <v>0.04</v>
      </c>
      <c r="AE127" s="120">
        <v>1.5</v>
      </c>
      <c r="AH127" s="120">
        <v>0.04</v>
      </c>
    </row>
    <row r="128" spans="1:64">
      <c r="A128">
        <f t="shared" si="1"/>
        <v>128</v>
      </c>
      <c r="B128" s="103">
        <v>100708</v>
      </c>
      <c r="C128" s="115">
        <v>121008</v>
      </c>
      <c r="D128">
        <v>1</v>
      </c>
      <c r="E128">
        <v>1</v>
      </c>
      <c r="F128">
        <v>0</v>
      </c>
      <c r="G128">
        <v>10009</v>
      </c>
      <c r="H128">
        <v>1</v>
      </c>
      <c r="W128" s="124">
        <v>294</v>
      </c>
      <c r="X128" s="124">
        <v>73</v>
      </c>
      <c r="Y128" s="124">
        <v>660</v>
      </c>
      <c r="AC128">
        <v>1</v>
      </c>
      <c r="AI128" s="120"/>
      <c r="AJ128" s="120"/>
      <c r="AK128" s="120"/>
      <c r="AL128" s="120"/>
      <c r="AM128" s="126"/>
      <c r="AN128" s="126"/>
      <c r="AO128" s="126"/>
      <c r="AP128" s="126"/>
      <c r="AQ128" s="126"/>
      <c r="AR128" s="126"/>
      <c r="AS128" s="126"/>
      <c r="AT128" s="126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</row>
    <row r="129" spans="1:64">
      <c r="A129">
        <f t="shared" si="1"/>
        <v>129</v>
      </c>
      <c r="B129" s="103">
        <v>100708</v>
      </c>
      <c r="C129" s="115">
        <v>121008</v>
      </c>
      <c r="D129">
        <v>1</v>
      </c>
      <c r="E129">
        <v>3</v>
      </c>
      <c r="F129">
        <v>0</v>
      </c>
      <c r="G129">
        <v>10009</v>
      </c>
      <c r="H129">
        <v>1</v>
      </c>
      <c r="W129" s="124">
        <v>294</v>
      </c>
      <c r="X129" s="124">
        <v>73</v>
      </c>
      <c r="Y129" s="124">
        <v>660</v>
      </c>
      <c r="AC129">
        <v>1</v>
      </c>
      <c r="AI129" s="120"/>
      <c r="AJ129" s="120"/>
      <c r="AK129" s="120"/>
      <c r="AL129" s="120"/>
      <c r="AM129" s="126"/>
      <c r="AN129" s="126"/>
      <c r="AO129" s="126"/>
      <c r="AP129" s="126"/>
      <c r="AQ129" s="126"/>
      <c r="AR129" s="126"/>
      <c r="AS129" s="126"/>
      <c r="AT129" s="126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</row>
    <row r="130" spans="1:64">
      <c r="A130">
        <f t="shared" ref="A130:A193" si="2">ROW(A130)</f>
        <v>130</v>
      </c>
      <c r="B130" s="103">
        <v>100708</v>
      </c>
      <c r="C130">
        <v>112011</v>
      </c>
      <c r="D130">
        <v>1</v>
      </c>
      <c r="E130">
        <v>5</v>
      </c>
      <c r="F130">
        <v>0</v>
      </c>
      <c r="G130">
        <v>107</v>
      </c>
      <c r="H130">
        <v>1</v>
      </c>
      <c r="I130">
        <v>25</v>
      </c>
      <c r="J130">
        <v>108</v>
      </c>
      <c r="K130">
        <v>1</v>
      </c>
      <c r="L130">
        <v>25</v>
      </c>
      <c r="M130">
        <v>109</v>
      </c>
      <c r="N130">
        <v>1</v>
      </c>
      <c r="O130">
        <v>25</v>
      </c>
      <c r="P130">
        <v>110</v>
      </c>
      <c r="Q130">
        <v>1</v>
      </c>
      <c r="R130">
        <v>20</v>
      </c>
      <c r="S130">
        <v>115</v>
      </c>
      <c r="T130">
        <v>1</v>
      </c>
      <c r="W130" s="124">
        <v>441</v>
      </c>
      <c r="X130" s="124">
        <v>128</v>
      </c>
      <c r="Y130" s="124">
        <v>1155</v>
      </c>
      <c r="AA130">
        <v>0.04</v>
      </c>
      <c r="AC130">
        <v>1</v>
      </c>
      <c r="AD130">
        <v>0.04</v>
      </c>
      <c r="AE130">
        <v>1.5</v>
      </c>
      <c r="AH130">
        <v>0.04</v>
      </c>
      <c r="AI130" s="120"/>
      <c r="AJ130" s="120"/>
      <c r="AK130" s="120"/>
      <c r="AL130" s="120"/>
      <c r="AM130" s="126"/>
      <c r="AN130" s="126"/>
      <c r="AO130" s="126"/>
      <c r="AP130" s="126"/>
      <c r="AQ130" s="126"/>
      <c r="AR130" s="126"/>
      <c r="AS130" s="126"/>
      <c r="AT130" s="126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</row>
    <row r="131" s="106" customFormat="1" spans="1:29">
      <c r="A131" s="106">
        <f t="shared" si="2"/>
        <v>131</v>
      </c>
      <c r="B131" s="127" t="s">
        <v>105</v>
      </c>
      <c r="C131" s="121">
        <v>121010</v>
      </c>
      <c r="D131" s="106">
        <v>1</v>
      </c>
      <c r="E131" s="106">
        <v>5</v>
      </c>
      <c r="F131" s="106">
        <v>0</v>
      </c>
      <c r="G131" s="106">
        <v>10012</v>
      </c>
      <c r="H131" s="106">
        <v>1</v>
      </c>
      <c r="W131" s="123">
        <v>60</v>
      </c>
      <c r="X131" s="123">
        <v>14</v>
      </c>
      <c r="Y131" s="123">
        <v>215</v>
      </c>
      <c r="AC131" s="106">
        <v>1</v>
      </c>
    </row>
    <row r="132" s="106" customFormat="1" spans="1:29">
      <c r="A132" s="106">
        <f t="shared" si="2"/>
        <v>132</v>
      </c>
      <c r="B132" s="127" t="s">
        <v>105</v>
      </c>
      <c r="C132" s="121">
        <v>121008</v>
      </c>
      <c r="D132" s="106">
        <v>1</v>
      </c>
      <c r="E132" s="106">
        <v>1</v>
      </c>
      <c r="F132" s="106">
        <v>0</v>
      </c>
      <c r="G132" s="106">
        <v>10009</v>
      </c>
      <c r="H132" s="106">
        <v>1</v>
      </c>
      <c r="W132" s="106">
        <v>37</v>
      </c>
      <c r="X132" s="106">
        <v>12</v>
      </c>
      <c r="Y132" s="106">
        <v>108</v>
      </c>
      <c r="AC132" s="106">
        <v>1</v>
      </c>
    </row>
    <row r="133" s="106" customFormat="1" spans="1:29">
      <c r="A133" s="106">
        <f t="shared" si="2"/>
        <v>133</v>
      </c>
      <c r="B133" s="127" t="s">
        <v>105</v>
      </c>
      <c r="C133" s="121">
        <v>121009</v>
      </c>
      <c r="D133" s="106">
        <v>1</v>
      </c>
      <c r="E133" s="106">
        <v>3</v>
      </c>
      <c r="F133" s="106">
        <v>0</v>
      </c>
      <c r="G133" s="106">
        <v>10010</v>
      </c>
      <c r="H133" s="106">
        <v>1</v>
      </c>
      <c r="W133" s="106">
        <v>37</v>
      </c>
      <c r="X133" s="106">
        <v>12</v>
      </c>
      <c r="Y133" s="106">
        <v>108</v>
      </c>
      <c r="AC133" s="106">
        <v>1</v>
      </c>
    </row>
    <row r="134" s="106" customFormat="1" spans="1:29">
      <c r="A134" s="106">
        <f t="shared" si="2"/>
        <v>134</v>
      </c>
      <c r="B134" s="127" t="s">
        <v>173</v>
      </c>
      <c r="C134" s="121">
        <v>121008</v>
      </c>
      <c r="D134" s="106">
        <v>1</v>
      </c>
      <c r="E134" s="106">
        <v>1</v>
      </c>
      <c r="F134" s="106">
        <v>0</v>
      </c>
      <c r="G134" s="106">
        <v>10009</v>
      </c>
      <c r="H134" s="106">
        <v>1</v>
      </c>
      <c r="W134" s="123">
        <v>57</v>
      </c>
      <c r="X134" s="123">
        <v>20</v>
      </c>
      <c r="Y134" s="123">
        <v>218</v>
      </c>
      <c r="AC134" s="106">
        <v>1</v>
      </c>
    </row>
    <row r="135" s="106" customFormat="1" spans="1:29">
      <c r="A135" s="106">
        <f t="shared" si="2"/>
        <v>135</v>
      </c>
      <c r="B135" s="127" t="s">
        <v>173</v>
      </c>
      <c r="C135" s="121">
        <v>121009</v>
      </c>
      <c r="D135" s="106">
        <v>1</v>
      </c>
      <c r="E135" s="106">
        <v>2</v>
      </c>
      <c r="F135" s="106">
        <v>0</v>
      </c>
      <c r="G135" s="106">
        <v>10010</v>
      </c>
      <c r="H135" s="106">
        <v>1</v>
      </c>
      <c r="W135" s="123">
        <v>57</v>
      </c>
      <c r="X135" s="123">
        <v>20</v>
      </c>
      <c r="Y135" s="123">
        <v>218</v>
      </c>
      <c r="AC135" s="106">
        <v>1</v>
      </c>
    </row>
    <row r="136" s="106" customFormat="1" spans="1:29">
      <c r="A136" s="106">
        <f t="shared" si="2"/>
        <v>136</v>
      </c>
      <c r="B136" s="127" t="s">
        <v>173</v>
      </c>
      <c r="C136" s="121">
        <v>121009</v>
      </c>
      <c r="D136" s="106">
        <v>1</v>
      </c>
      <c r="E136" s="106">
        <v>3</v>
      </c>
      <c r="F136" s="106">
        <v>0</v>
      </c>
      <c r="G136" s="106">
        <v>10010</v>
      </c>
      <c r="H136" s="106">
        <v>1</v>
      </c>
      <c r="W136" s="123">
        <v>57</v>
      </c>
      <c r="X136" s="123">
        <v>20</v>
      </c>
      <c r="Y136" s="123">
        <v>218</v>
      </c>
      <c r="AC136" s="106">
        <v>1</v>
      </c>
    </row>
    <row r="137" s="106" customFormat="1" spans="1:29">
      <c r="A137" s="106">
        <f t="shared" si="2"/>
        <v>137</v>
      </c>
      <c r="B137" s="127" t="s">
        <v>173</v>
      </c>
      <c r="C137" s="106">
        <v>111002</v>
      </c>
      <c r="D137" s="106">
        <v>1</v>
      </c>
      <c r="E137" s="106">
        <v>5</v>
      </c>
      <c r="F137" s="106">
        <v>0</v>
      </c>
      <c r="G137" s="106">
        <v>164</v>
      </c>
      <c r="H137" s="106">
        <v>1</v>
      </c>
      <c r="I137" s="106">
        <v>25</v>
      </c>
      <c r="J137" s="106">
        <v>165</v>
      </c>
      <c r="K137" s="106">
        <v>1</v>
      </c>
      <c r="L137" s="106">
        <v>25</v>
      </c>
      <c r="M137" s="106">
        <v>166</v>
      </c>
      <c r="N137" s="106">
        <v>1</v>
      </c>
      <c r="W137" s="123">
        <v>78</v>
      </c>
      <c r="X137" s="123">
        <v>24</v>
      </c>
      <c r="Y137" s="123">
        <v>303</v>
      </c>
      <c r="AC137" s="106">
        <v>1</v>
      </c>
    </row>
    <row r="138" s="106" customFormat="1" spans="1:29">
      <c r="A138" s="106">
        <f t="shared" si="2"/>
        <v>138</v>
      </c>
      <c r="B138" s="127" t="s">
        <v>124</v>
      </c>
      <c r="C138" s="106">
        <v>111003</v>
      </c>
      <c r="D138" s="106">
        <v>1</v>
      </c>
      <c r="E138" s="106">
        <v>5</v>
      </c>
      <c r="F138" s="106">
        <v>0</v>
      </c>
      <c r="G138" s="106">
        <v>186</v>
      </c>
      <c r="H138" s="106">
        <v>1</v>
      </c>
      <c r="I138" s="106">
        <v>25</v>
      </c>
      <c r="J138" s="106">
        <v>187</v>
      </c>
      <c r="K138" s="106">
        <v>1</v>
      </c>
      <c r="L138" s="106">
        <v>25</v>
      </c>
      <c r="M138" s="106">
        <v>188</v>
      </c>
      <c r="N138" s="106">
        <v>1</v>
      </c>
      <c r="W138" s="124">
        <v>91</v>
      </c>
      <c r="X138" s="124">
        <v>41</v>
      </c>
      <c r="Y138" s="124">
        <v>410</v>
      </c>
      <c r="AC138" s="106">
        <v>1</v>
      </c>
    </row>
    <row r="139" s="106" customFormat="1" spans="1:29">
      <c r="A139" s="106">
        <f t="shared" si="2"/>
        <v>139</v>
      </c>
      <c r="B139" s="127" t="s">
        <v>124</v>
      </c>
      <c r="C139" s="122">
        <v>121008</v>
      </c>
      <c r="D139" s="106">
        <v>1</v>
      </c>
      <c r="E139" s="106">
        <v>1</v>
      </c>
      <c r="F139" s="106">
        <v>0</v>
      </c>
      <c r="G139" s="106">
        <v>10009</v>
      </c>
      <c r="H139" s="106">
        <v>1</v>
      </c>
      <c r="W139" s="124">
        <v>91</v>
      </c>
      <c r="X139" s="124">
        <v>29</v>
      </c>
      <c r="Y139" s="124">
        <v>256</v>
      </c>
      <c r="AC139" s="106">
        <v>1</v>
      </c>
    </row>
    <row r="140" s="106" customFormat="1" spans="1:29">
      <c r="A140" s="106">
        <f t="shared" si="2"/>
        <v>140</v>
      </c>
      <c r="B140" s="127" t="s">
        <v>124</v>
      </c>
      <c r="C140" s="122">
        <v>121008</v>
      </c>
      <c r="D140" s="106">
        <v>1</v>
      </c>
      <c r="E140" s="106">
        <v>3</v>
      </c>
      <c r="F140" s="106">
        <v>0</v>
      </c>
      <c r="G140" s="106">
        <v>10009</v>
      </c>
      <c r="H140" s="106">
        <v>1</v>
      </c>
      <c r="W140" s="124">
        <v>91</v>
      </c>
      <c r="X140" s="124">
        <v>29</v>
      </c>
      <c r="Y140" s="124">
        <v>256</v>
      </c>
      <c r="AC140" s="106">
        <v>1</v>
      </c>
    </row>
    <row r="141" s="106" customFormat="1" spans="1:31">
      <c r="A141" s="106">
        <f t="shared" si="2"/>
        <v>141</v>
      </c>
      <c r="B141" s="127" t="s">
        <v>174</v>
      </c>
      <c r="C141" s="106">
        <v>112010</v>
      </c>
      <c r="D141" s="106">
        <v>1</v>
      </c>
      <c r="E141" s="106">
        <v>5</v>
      </c>
      <c r="F141" s="106">
        <v>0</v>
      </c>
      <c r="G141" s="106">
        <v>91</v>
      </c>
      <c r="H141" s="106">
        <v>1</v>
      </c>
      <c r="I141" s="106">
        <v>25</v>
      </c>
      <c r="J141" s="106">
        <v>92</v>
      </c>
      <c r="K141" s="106">
        <v>1</v>
      </c>
      <c r="L141" s="106">
        <v>25</v>
      </c>
      <c r="M141" s="106">
        <v>97</v>
      </c>
      <c r="N141" s="106">
        <v>1</v>
      </c>
      <c r="O141" s="106">
        <v>25</v>
      </c>
      <c r="P141" s="106">
        <v>96</v>
      </c>
      <c r="Q141" s="106">
        <v>1</v>
      </c>
      <c r="R141" s="106">
        <v>20</v>
      </c>
      <c r="S141" s="106">
        <v>98</v>
      </c>
      <c r="T141" s="106">
        <v>1</v>
      </c>
      <c r="W141" s="124">
        <v>180</v>
      </c>
      <c r="X141" s="124">
        <v>62</v>
      </c>
      <c r="Y141" s="124">
        <v>530</v>
      </c>
      <c r="AA141" s="106">
        <v>0.048</v>
      </c>
      <c r="AC141" s="106">
        <v>1</v>
      </c>
      <c r="AE141" s="106">
        <v>1.5</v>
      </c>
    </row>
    <row r="142" s="106" customFormat="1" spans="1:29">
      <c r="A142" s="106">
        <f t="shared" si="2"/>
        <v>142</v>
      </c>
      <c r="B142" s="127" t="s">
        <v>174</v>
      </c>
      <c r="C142" s="122">
        <v>121008</v>
      </c>
      <c r="D142" s="106">
        <v>1</v>
      </c>
      <c r="E142" s="106">
        <v>1</v>
      </c>
      <c r="F142" s="106">
        <v>0</v>
      </c>
      <c r="G142" s="106">
        <v>10009</v>
      </c>
      <c r="H142" s="106">
        <v>1</v>
      </c>
      <c r="W142" s="124">
        <v>144</v>
      </c>
      <c r="X142" s="124">
        <v>41</v>
      </c>
      <c r="Y142" s="124">
        <v>353</v>
      </c>
      <c r="AC142" s="106">
        <v>1</v>
      </c>
    </row>
    <row r="143" s="106" customFormat="1" spans="1:29">
      <c r="A143" s="106">
        <f t="shared" si="2"/>
        <v>143</v>
      </c>
      <c r="B143" s="127" t="s">
        <v>174</v>
      </c>
      <c r="C143" s="122">
        <v>121008</v>
      </c>
      <c r="D143" s="106">
        <v>1</v>
      </c>
      <c r="E143" s="106">
        <v>3</v>
      </c>
      <c r="F143" s="106">
        <v>0</v>
      </c>
      <c r="G143" s="106">
        <v>10009</v>
      </c>
      <c r="H143" s="106">
        <v>1</v>
      </c>
      <c r="W143" s="124">
        <v>144</v>
      </c>
      <c r="X143" s="124">
        <v>41</v>
      </c>
      <c r="Y143" s="124">
        <v>353</v>
      </c>
      <c r="AC143" s="106">
        <v>1</v>
      </c>
    </row>
    <row r="144" s="106" customFormat="1" spans="1:29">
      <c r="A144" s="106">
        <f t="shared" si="2"/>
        <v>144</v>
      </c>
      <c r="B144" s="127" t="s">
        <v>153</v>
      </c>
      <c r="C144" s="106">
        <v>121003</v>
      </c>
      <c r="D144" s="106">
        <v>1</v>
      </c>
      <c r="E144" s="106">
        <v>1</v>
      </c>
      <c r="F144" s="106">
        <v>0</v>
      </c>
      <c r="G144" s="106">
        <v>10001</v>
      </c>
      <c r="H144" s="106">
        <v>1</v>
      </c>
      <c r="W144" s="123">
        <v>137</v>
      </c>
      <c r="X144" s="123">
        <v>49</v>
      </c>
      <c r="Y144" s="123">
        <v>434</v>
      </c>
      <c r="AC144" s="106">
        <v>1</v>
      </c>
    </row>
    <row r="145" s="106" customFormat="1" spans="1:29">
      <c r="A145" s="106">
        <f t="shared" si="2"/>
        <v>145</v>
      </c>
      <c r="B145" s="127" t="s">
        <v>153</v>
      </c>
      <c r="C145" s="106">
        <v>121004</v>
      </c>
      <c r="D145" s="106">
        <v>1</v>
      </c>
      <c r="E145" s="106">
        <v>3</v>
      </c>
      <c r="F145" s="106">
        <v>0</v>
      </c>
      <c r="G145" s="106">
        <v>10002</v>
      </c>
      <c r="H145" s="106">
        <v>1</v>
      </c>
      <c r="W145" s="123">
        <v>144</v>
      </c>
      <c r="X145" s="123">
        <v>49</v>
      </c>
      <c r="Y145" s="123">
        <v>326</v>
      </c>
      <c r="AC145" s="106">
        <v>1</v>
      </c>
    </row>
    <row r="146" s="106" customFormat="1" spans="1:31">
      <c r="A146" s="106">
        <f t="shared" si="2"/>
        <v>146</v>
      </c>
      <c r="B146" s="127" t="s">
        <v>153</v>
      </c>
      <c r="C146" s="106">
        <v>111005</v>
      </c>
      <c r="D146" s="106">
        <v>1</v>
      </c>
      <c r="E146" s="106">
        <v>5</v>
      </c>
      <c r="F146" s="106">
        <v>0</v>
      </c>
      <c r="G146" s="106">
        <v>88</v>
      </c>
      <c r="H146" s="106">
        <v>1</v>
      </c>
      <c r="I146" s="106">
        <v>25</v>
      </c>
      <c r="J146" s="106">
        <v>89</v>
      </c>
      <c r="K146" s="106">
        <v>1</v>
      </c>
      <c r="L146" s="106">
        <v>25</v>
      </c>
      <c r="M146" s="106">
        <v>90</v>
      </c>
      <c r="N146" s="106">
        <v>1</v>
      </c>
      <c r="W146" s="123">
        <v>182</v>
      </c>
      <c r="X146" s="123">
        <v>62</v>
      </c>
      <c r="Y146" s="123">
        <v>599</v>
      </c>
      <c r="AA146" s="106">
        <v>0.048</v>
      </c>
      <c r="AC146" s="106">
        <v>1</v>
      </c>
      <c r="AE146" s="106">
        <v>1.5</v>
      </c>
    </row>
    <row r="147" s="106" customFormat="1" spans="1:31">
      <c r="A147" s="106">
        <f t="shared" si="2"/>
        <v>147</v>
      </c>
      <c r="B147" s="127" t="s">
        <v>156</v>
      </c>
      <c r="C147" s="106">
        <v>111005</v>
      </c>
      <c r="D147" s="106">
        <v>1</v>
      </c>
      <c r="E147" s="106">
        <v>2</v>
      </c>
      <c r="F147" s="106">
        <v>0</v>
      </c>
      <c r="G147" s="106">
        <v>88</v>
      </c>
      <c r="H147" s="106">
        <v>1</v>
      </c>
      <c r="I147" s="106">
        <v>25</v>
      </c>
      <c r="J147" s="106">
        <v>89</v>
      </c>
      <c r="K147" s="106">
        <v>1</v>
      </c>
      <c r="L147" s="106">
        <v>25</v>
      </c>
      <c r="M147" s="106">
        <v>90</v>
      </c>
      <c r="N147" s="106">
        <v>1</v>
      </c>
      <c r="W147" s="123">
        <v>228</v>
      </c>
      <c r="X147" s="123">
        <v>78</v>
      </c>
      <c r="Y147" s="123">
        <v>749</v>
      </c>
      <c r="AA147" s="106">
        <v>0.048</v>
      </c>
      <c r="AC147" s="106">
        <v>1</v>
      </c>
      <c r="AE147" s="106">
        <v>1.5</v>
      </c>
    </row>
    <row r="148" s="106" customFormat="1" spans="1:31">
      <c r="A148" s="106">
        <f t="shared" si="2"/>
        <v>148</v>
      </c>
      <c r="B148" s="127" t="s">
        <v>156</v>
      </c>
      <c r="C148" s="106">
        <v>111004</v>
      </c>
      <c r="D148" s="106">
        <v>1</v>
      </c>
      <c r="E148" s="106">
        <v>5</v>
      </c>
      <c r="F148" s="106">
        <v>0</v>
      </c>
      <c r="G148" s="106">
        <v>167</v>
      </c>
      <c r="H148" s="106">
        <v>1</v>
      </c>
      <c r="I148" s="106">
        <v>25</v>
      </c>
      <c r="J148" s="106">
        <v>168</v>
      </c>
      <c r="K148" s="106">
        <v>1</v>
      </c>
      <c r="L148" s="106">
        <v>25</v>
      </c>
      <c r="M148" s="106">
        <v>169</v>
      </c>
      <c r="N148" s="106">
        <v>1</v>
      </c>
      <c r="R148" s="106">
        <v>20</v>
      </c>
      <c r="S148" s="106">
        <v>170</v>
      </c>
      <c r="T148" s="106">
        <v>1</v>
      </c>
      <c r="W148" s="123">
        <v>257</v>
      </c>
      <c r="X148" s="123">
        <v>86</v>
      </c>
      <c r="Y148" s="123">
        <v>816</v>
      </c>
      <c r="AA148" s="106">
        <v>0.048</v>
      </c>
      <c r="AC148" s="106">
        <v>1</v>
      </c>
      <c r="AE148" s="106">
        <v>1.5</v>
      </c>
    </row>
    <row r="149" s="106" customFormat="1" spans="1:30">
      <c r="A149" s="106">
        <f t="shared" si="2"/>
        <v>149</v>
      </c>
      <c r="B149" s="127" t="s">
        <v>157</v>
      </c>
      <c r="C149" s="106">
        <v>111007</v>
      </c>
      <c r="D149" s="106">
        <v>1</v>
      </c>
      <c r="E149" s="106">
        <v>5</v>
      </c>
      <c r="F149" s="106">
        <v>0</v>
      </c>
      <c r="G149" s="106">
        <v>179</v>
      </c>
      <c r="H149" s="106">
        <v>1</v>
      </c>
      <c r="I149" s="106">
        <v>25</v>
      </c>
      <c r="J149" s="106">
        <v>180</v>
      </c>
      <c r="K149" s="106">
        <v>1</v>
      </c>
      <c r="L149" s="106">
        <v>25</v>
      </c>
      <c r="M149" s="106">
        <v>181</v>
      </c>
      <c r="N149" s="106">
        <v>1</v>
      </c>
      <c r="O149" s="106">
        <v>25</v>
      </c>
      <c r="P149" s="106">
        <v>182</v>
      </c>
      <c r="Q149" s="106">
        <v>1</v>
      </c>
      <c r="W149" s="124">
        <v>277</v>
      </c>
      <c r="X149" s="124">
        <v>89</v>
      </c>
      <c r="Y149" s="124">
        <v>794</v>
      </c>
      <c r="AC149" s="106">
        <v>1</v>
      </c>
      <c r="AD149" s="106">
        <v>0.1</v>
      </c>
    </row>
    <row r="150" s="106" customFormat="1" spans="1:29">
      <c r="A150" s="106">
        <f t="shared" si="2"/>
        <v>150</v>
      </c>
      <c r="B150" s="127" t="s">
        <v>157</v>
      </c>
      <c r="C150" s="106">
        <v>121008</v>
      </c>
      <c r="D150" s="106">
        <v>1</v>
      </c>
      <c r="E150" s="106">
        <v>1</v>
      </c>
      <c r="F150" s="106">
        <v>0</v>
      </c>
      <c r="G150" s="106">
        <v>10009</v>
      </c>
      <c r="W150" s="124">
        <v>151</v>
      </c>
      <c r="X150" s="124">
        <v>70</v>
      </c>
      <c r="Y150" s="124">
        <v>397</v>
      </c>
      <c r="AC150" s="106">
        <v>1</v>
      </c>
    </row>
    <row r="151" s="106" customFormat="1" spans="1:29">
      <c r="A151" s="106">
        <f t="shared" si="2"/>
        <v>151</v>
      </c>
      <c r="B151" s="127" t="s">
        <v>157</v>
      </c>
      <c r="C151" s="106">
        <v>121008</v>
      </c>
      <c r="D151" s="106">
        <v>1</v>
      </c>
      <c r="E151" s="106">
        <v>3</v>
      </c>
      <c r="F151" s="106">
        <v>0</v>
      </c>
      <c r="G151" s="106">
        <v>10009</v>
      </c>
      <c r="H151" s="106">
        <v>1</v>
      </c>
      <c r="W151" s="124">
        <v>151</v>
      </c>
      <c r="X151" s="124">
        <v>70</v>
      </c>
      <c r="Y151" s="124">
        <v>397</v>
      </c>
      <c r="AC151" s="106">
        <v>1</v>
      </c>
    </row>
    <row r="152" s="106" customFormat="1" spans="1:29">
      <c r="A152" s="106">
        <f t="shared" si="2"/>
        <v>152</v>
      </c>
      <c r="B152" s="127" t="s">
        <v>158</v>
      </c>
      <c r="C152" s="122">
        <v>121008</v>
      </c>
      <c r="D152" s="106">
        <v>1</v>
      </c>
      <c r="E152" s="106">
        <v>1</v>
      </c>
      <c r="F152" s="106">
        <v>0</v>
      </c>
      <c r="G152" s="106">
        <v>10009</v>
      </c>
      <c r="H152" s="106">
        <v>1</v>
      </c>
      <c r="W152" s="124">
        <v>231</v>
      </c>
      <c r="X152" s="124">
        <v>90</v>
      </c>
      <c r="Y152" s="124">
        <v>522</v>
      </c>
      <c r="AC152" s="106">
        <v>1</v>
      </c>
    </row>
    <row r="153" s="106" customFormat="1" spans="1:29">
      <c r="A153" s="106">
        <f t="shared" si="2"/>
        <v>153</v>
      </c>
      <c r="B153" s="127" t="s">
        <v>158</v>
      </c>
      <c r="C153" s="122">
        <v>121008</v>
      </c>
      <c r="D153" s="106">
        <v>1</v>
      </c>
      <c r="E153" s="106">
        <v>2</v>
      </c>
      <c r="F153" s="106">
        <v>0</v>
      </c>
      <c r="G153" s="106">
        <v>10009</v>
      </c>
      <c r="H153" s="106">
        <v>1</v>
      </c>
      <c r="W153" s="124">
        <v>231</v>
      </c>
      <c r="X153" s="124">
        <v>90</v>
      </c>
      <c r="Y153" s="124">
        <v>522</v>
      </c>
      <c r="AC153" s="106">
        <v>1</v>
      </c>
    </row>
    <row r="154" s="106" customFormat="1" spans="1:29">
      <c r="A154" s="106">
        <f t="shared" si="2"/>
        <v>154</v>
      </c>
      <c r="B154" s="127" t="s">
        <v>158</v>
      </c>
      <c r="C154" s="122">
        <v>121008</v>
      </c>
      <c r="D154" s="106">
        <v>1</v>
      </c>
      <c r="E154" s="106">
        <v>3</v>
      </c>
      <c r="F154" s="106">
        <v>0</v>
      </c>
      <c r="G154" s="106">
        <v>10009</v>
      </c>
      <c r="H154" s="106">
        <v>1</v>
      </c>
      <c r="W154" s="124">
        <v>231</v>
      </c>
      <c r="X154" s="124">
        <v>90</v>
      </c>
      <c r="Y154" s="124">
        <v>522</v>
      </c>
      <c r="AC154" s="106">
        <v>1</v>
      </c>
    </row>
    <row r="155" s="106" customFormat="1" spans="1:34">
      <c r="A155" s="106">
        <f t="shared" si="2"/>
        <v>155</v>
      </c>
      <c r="B155" s="127" t="s">
        <v>158</v>
      </c>
      <c r="C155" s="106">
        <v>111006</v>
      </c>
      <c r="D155" s="106">
        <v>1</v>
      </c>
      <c r="E155" s="106">
        <v>5</v>
      </c>
      <c r="F155" s="106">
        <v>0</v>
      </c>
      <c r="G155" s="106">
        <v>175</v>
      </c>
      <c r="H155" s="106">
        <v>1</v>
      </c>
      <c r="I155" s="106">
        <v>25</v>
      </c>
      <c r="J155" s="106">
        <v>176</v>
      </c>
      <c r="K155" s="106">
        <v>1</v>
      </c>
      <c r="L155" s="106">
        <v>25</v>
      </c>
      <c r="M155" s="106">
        <v>177</v>
      </c>
      <c r="N155" s="106">
        <v>1</v>
      </c>
      <c r="R155" s="106">
        <v>20</v>
      </c>
      <c r="S155" s="106">
        <v>178</v>
      </c>
      <c r="T155" s="106">
        <v>1</v>
      </c>
      <c r="W155" s="124">
        <v>365</v>
      </c>
      <c r="X155" s="124">
        <v>116</v>
      </c>
      <c r="Y155" s="124">
        <v>1044</v>
      </c>
      <c r="AA155" s="106">
        <v>0.048</v>
      </c>
      <c r="AC155" s="106">
        <v>1</v>
      </c>
      <c r="AD155" s="106">
        <v>0.1</v>
      </c>
      <c r="AE155" s="106">
        <v>1.5</v>
      </c>
      <c r="AH155" s="106">
        <v>0.053</v>
      </c>
    </row>
    <row r="156" s="106" customFormat="1" spans="1:29">
      <c r="A156" s="106">
        <f t="shared" si="2"/>
        <v>156</v>
      </c>
      <c r="B156" s="127" t="s">
        <v>159</v>
      </c>
      <c r="C156" s="106">
        <v>121008</v>
      </c>
      <c r="D156" s="106">
        <v>1</v>
      </c>
      <c r="E156" s="106">
        <v>1</v>
      </c>
      <c r="F156" s="106">
        <v>0</v>
      </c>
      <c r="G156" s="106">
        <v>10009</v>
      </c>
      <c r="H156" s="106">
        <v>1</v>
      </c>
      <c r="W156" s="123">
        <v>242</v>
      </c>
      <c r="X156" s="123">
        <v>76</v>
      </c>
      <c r="Y156" s="123">
        <v>682</v>
      </c>
      <c r="AC156" s="106">
        <v>1</v>
      </c>
    </row>
    <row r="157" s="106" customFormat="1" spans="1:29">
      <c r="A157" s="106">
        <f t="shared" si="2"/>
        <v>157</v>
      </c>
      <c r="B157" s="127" t="s">
        <v>159</v>
      </c>
      <c r="C157" s="122">
        <v>121008</v>
      </c>
      <c r="D157" s="106">
        <v>1</v>
      </c>
      <c r="E157" s="106">
        <v>3</v>
      </c>
      <c r="F157" s="106">
        <v>0</v>
      </c>
      <c r="G157" s="106">
        <v>10009</v>
      </c>
      <c r="H157" s="106">
        <v>1</v>
      </c>
      <c r="W157" s="123">
        <v>242</v>
      </c>
      <c r="X157" s="123">
        <v>76</v>
      </c>
      <c r="Y157" s="123">
        <v>682</v>
      </c>
      <c r="AC157" s="106">
        <v>1</v>
      </c>
    </row>
    <row r="158" s="106" customFormat="1" spans="1:29">
      <c r="A158" s="106">
        <f t="shared" si="2"/>
        <v>158</v>
      </c>
      <c r="B158" s="127" t="s">
        <v>159</v>
      </c>
      <c r="C158" s="122">
        <v>111010</v>
      </c>
      <c r="D158" s="106">
        <v>1</v>
      </c>
      <c r="E158" s="106">
        <v>5</v>
      </c>
      <c r="F158" s="106">
        <v>0</v>
      </c>
      <c r="G158" s="106">
        <v>221</v>
      </c>
      <c r="H158" s="106">
        <v>1</v>
      </c>
      <c r="I158" s="106">
        <v>25</v>
      </c>
      <c r="J158" s="106">
        <v>222</v>
      </c>
      <c r="K158" s="106">
        <v>1</v>
      </c>
      <c r="L158" s="106">
        <v>25</v>
      </c>
      <c r="M158" s="106">
        <v>223</v>
      </c>
      <c r="N158" s="106">
        <v>1</v>
      </c>
      <c r="W158" s="123">
        <v>304</v>
      </c>
      <c r="X158" s="123">
        <v>106</v>
      </c>
      <c r="Y158" s="123">
        <v>955</v>
      </c>
      <c r="AC158" s="106">
        <v>1</v>
      </c>
    </row>
    <row r="159" s="106" customFormat="1" spans="1:29">
      <c r="A159" s="106">
        <f t="shared" si="2"/>
        <v>159</v>
      </c>
      <c r="B159" s="127" t="s">
        <v>160</v>
      </c>
      <c r="C159" s="115">
        <v>121008</v>
      </c>
      <c r="D159" s="106">
        <v>1</v>
      </c>
      <c r="E159" s="106">
        <v>1</v>
      </c>
      <c r="F159" s="106">
        <v>0</v>
      </c>
      <c r="G159" s="106">
        <v>10009</v>
      </c>
      <c r="H159" s="106">
        <v>1</v>
      </c>
      <c r="W159" s="123">
        <v>470</v>
      </c>
      <c r="X159" s="123">
        <v>140</v>
      </c>
      <c r="Y159" s="123">
        <v>1055</v>
      </c>
      <c r="AC159" s="106">
        <v>1</v>
      </c>
    </row>
    <row r="160" s="106" customFormat="1" spans="1:29">
      <c r="A160" s="106">
        <f t="shared" si="2"/>
        <v>160</v>
      </c>
      <c r="B160" s="127" t="s">
        <v>160</v>
      </c>
      <c r="C160" s="115">
        <v>121008</v>
      </c>
      <c r="D160" s="106">
        <v>1</v>
      </c>
      <c r="E160" s="106">
        <v>3</v>
      </c>
      <c r="F160" s="106">
        <v>0</v>
      </c>
      <c r="G160" s="106">
        <v>10009</v>
      </c>
      <c r="H160" s="106">
        <v>1</v>
      </c>
      <c r="W160" s="123">
        <v>470</v>
      </c>
      <c r="X160" s="123">
        <v>140</v>
      </c>
      <c r="Y160" s="123">
        <v>1055</v>
      </c>
      <c r="AC160" s="106">
        <v>1</v>
      </c>
    </row>
    <row r="161" s="106" customFormat="1" spans="1:31">
      <c r="A161" s="106">
        <f t="shared" si="2"/>
        <v>161</v>
      </c>
      <c r="B161" s="127" t="s">
        <v>160</v>
      </c>
      <c r="C161" s="106">
        <v>111009</v>
      </c>
      <c r="D161" s="106">
        <v>1</v>
      </c>
      <c r="E161" s="106">
        <v>5</v>
      </c>
      <c r="F161" s="106">
        <v>0</v>
      </c>
      <c r="G161" s="106">
        <v>171</v>
      </c>
      <c r="H161" s="106">
        <v>1</v>
      </c>
      <c r="I161" s="106">
        <v>25</v>
      </c>
      <c r="J161" s="106">
        <v>172</v>
      </c>
      <c r="K161" s="106">
        <v>1</v>
      </c>
      <c r="L161" s="106">
        <v>25</v>
      </c>
      <c r="M161" s="106">
        <v>173</v>
      </c>
      <c r="N161" s="106">
        <v>1</v>
      </c>
      <c r="R161" s="106">
        <v>20</v>
      </c>
      <c r="S161" s="106">
        <v>174</v>
      </c>
      <c r="T161" s="106">
        <v>1</v>
      </c>
      <c r="W161" s="123">
        <v>563</v>
      </c>
      <c r="X161" s="123">
        <v>164</v>
      </c>
      <c r="Y161" s="123">
        <v>1476</v>
      </c>
      <c r="AA161" s="106">
        <v>0.04</v>
      </c>
      <c r="AC161" s="106">
        <v>1</v>
      </c>
      <c r="AE161" s="106">
        <v>1.5</v>
      </c>
    </row>
    <row r="162" s="106" customFormat="1" spans="1:29">
      <c r="A162" s="106">
        <f t="shared" si="2"/>
        <v>162</v>
      </c>
      <c r="B162" s="127" t="s">
        <v>161</v>
      </c>
      <c r="C162" s="115">
        <v>121008</v>
      </c>
      <c r="D162" s="106">
        <v>1</v>
      </c>
      <c r="E162" s="106">
        <v>4</v>
      </c>
      <c r="F162" s="106">
        <v>0</v>
      </c>
      <c r="G162" s="106">
        <v>10009</v>
      </c>
      <c r="H162" s="106">
        <v>1</v>
      </c>
      <c r="W162" s="124">
        <v>353</v>
      </c>
      <c r="X162" s="124">
        <v>88</v>
      </c>
      <c r="Y162" s="124">
        <v>792</v>
      </c>
      <c r="AC162" s="106">
        <v>1</v>
      </c>
    </row>
    <row r="163" s="106" customFormat="1" spans="1:29">
      <c r="A163" s="106">
        <f t="shared" si="2"/>
        <v>163</v>
      </c>
      <c r="B163" s="127" t="s">
        <v>161</v>
      </c>
      <c r="C163" s="106">
        <v>121009</v>
      </c>
      <c r="D163" s="106">
        <v>1</v>
      </c>
      <c r="E163" s="106">
        <v>1</v>
      </c>
      <c r="F163" s="106">
        <v>0</v>
      </c>
      <c r="G163" s="106">
        <v>10010</v>
      </c>
      <c r="H163" s="106">
        <v>1</v>
      </c>
      <c r="W163" s="124">
        <v>353</v>
      </c>
      <c r="X163" s="124">
        <v>88</v>
      </c>
      <c r="Y163" s="124">
        <v>792</v>
      </c>
      <c r="AC163" s="106">
        <v>1</v>
      </c>
    </row>
    <row r="164" s="106" customFormat="1" spans="1:29">
      <c r="A164" s="106">
        <f t="shared" si="2"/>
        <v>164</v>
      </c>
      <c r="B164" s="127" t="s">
        <v>161</v>
      </c>
      <c r="C164" s="115">
        <v>121008</v>
      </c>
      <c r="D164" s="106">
        <v>1</v>
      </c>
      <c r="E164" s="106">
        <v>5</v>
      </c>
      <c r="F164" s="106">
        <v>0</v>
      </c>
      <c r="G164" s="106">
        <v>10009</v>
      </c>
      <c r="H164" s="106">
        <v>1</v>
      </c>
      <c r="W164" s="124">
        <v>353</v>
      </c>
      <c r="X164" s="124">
        <v>88</v>
      </c>
      <c r="Y164" s="124">
        <v>792</v>
      </c>
      <c r="AC164" s="106">
        <v>1</v>
      </c>
    </row>
    <row r="165" s="106" customFormat="1" spans="1:29">
      <c r="A165" s="106">
        <f t="shared" si="2"/>
        <v>165</v>
      </c>
      <c r="B165" s="127" t="s">
        <v>161</v>
      </c>
      <c r="C165" s="106">
        <v>121009</v>
      </c>
      <c r="D165" s="106">
        <v>1</v>
      </c>
      <c r="E165" s="106">
        <v>2</v>
      </c>
      <c r="F165" s="106">
        <v>0</v>
      </c>
      <c r="G165" s="106">
        <v>10010</v>
      </c>
      <c r="H165" s="106">
        <v>1</v>
      </c>
      <c r="W165" s="124">
        <v>353</v>
      </c>
      <c r="X165" s="124">
        <v>88</v>
      </c>
      <c r="Y165" s="124">
        <v>792</v>
      </c>
      <c r="AC165" s="106">
        <v>1</v>
      </c>
    </row>
    <row r="166" s="106" customFormat="1" spans="1:29">
      <c r="A166" s="106">
        <f t="shared" si="2"/>
        <v>166</v>
      </c>
      <c r="B166" s="127" t="s">
        <v>162</v>
      </c>
      <c r="C166" s="115">
        <v>121008</v>
      </c>
      <c r="D166" s="106">
        <v>1</v>
      </c>
      <c r="E166" s="106">
        <v>4</v>
      </c>
      <c r="F166" s="106">
        <v>0</v>
      </c>
      <c r="G166" s="106">
        <v>10009</v>
      </c>
      <c r="H166" s="106">
        <v>1</v>
      </c>
      <c r="W166" s="124">
        <v>441</v>
      </c>
      <c r="X166" s="124">
        <v>110</v>
      </c>
      <c r="Y166" s="124">
        <v>990</v>
      </c>
      <c r="AC166" s="106">
        <v>1</v>
      </c>
    </row>
    <row r="167" s="106" customFormat="1" spans="1:29">
      <c r="A167" s="106">
        <f t="shared" si="2"/>
        <v>167</v>
      </c>
      <c r="B167" s="127" t="s">
        <v>162</v>
      </c>
      <c r="C167" s="106">
        <v>121009</v>
      </c>
      <c r="D167" s="106">
        <v>1</v>
      </c>
      <c r="E167" s="106">
        <v>1</v>
      </c>
      <c r="F167" s="106">
        <v>0</v>
      </c>
      <c r="G167" s="106">
        <v>10010</v>
      </c>
      <c r="H167" s="106">
        <v>1</v>
      </c>
      <c r="W167" s="124">
        <v>441</v>
      </c>
      <c r="X167" s="124">
        <v>110</v>
      </c>
      <c r="Y167" s="124">
        <v>990</v>
      </c>
      <c r="AC167" s="106">
        <v>1</v>
      </c>
    </row>
    <row r="168" s="106" customFormat="1" spans="1:29">
      <c r="A168" s="106">
        <f t="shared" si="2"/>
        <v>168</v>
      </c>
      <c r="B168" s="127" t="s">
        <v>162</v>
      </c>
      <c r="C168" s="115">
        <v>121008</v>
      </c>
      <c r="D168" s="106">
        <v>1</v>
      </c>
      <c r="E168" s="106">
        <v>5</v>
      </c>
      <c r="F168" s="106">
        <v>0</v>
      </c>
      <c r="G168" s="106">
        <v>10009</v>
      </c>
      <c r="H168" s="106">
        <v>1</v>
      </c>
      <c r="W168" s="124">
        <v>441</v>
      </c>
      <c r="X168" s="124">
        <v>110</v>
      </c>
      <c r="Y168" s="124">
        <v>990</v>
      </c>
      <c r="AC168" s="106">
        <v>1</v>
      </c>
    </row>
    <row r="169" s="106" customFormat="1" spans="1:29">
      <c r="A169" s="106">
        <f t="shared" si="2"/>
        <v>169</v>
      </c>
      <c r="B169" s="127" t="s">
        <v>162</v>
      </c>
      <c r="C169" s="106">
        <v>121009</v>
      </c>
      <c r="D169" s="106">
        <v>1</v>
      </c>
      <c r="E169" s="106">
        <v>2</v>
      </c>
      <c r="F169" s="106">
        <v>0</v>
      </c>
      <c r="G169" s="106">
        <v>10010</v>
      </c>
      <c r="H169" s="106">
        <v>1</v>
      </c>
      <c r="W169" s="124">
        <v>441</v>
      </c>
      <c r="X169" s="124">
        <v>110</v>
      </c>
      <c r="Y169" s="124">
        <v>990</v>
      </c>
      <c r="AC169" s="106">
        <v>1</v>
      </c>
    </row>
    <row r="170" s="106" customFormat="1" spans="1:29">
      <c r="A170" s="106">
        <f t="shared" si="2"/>
        <v>170</v>
      </c>
      <c r="B170" s="127" t="s">
        <v>163</v>
      </c>
      <c r="C170" s="115">
        <v>121008</v>
      </c>
      <c r="D170" s="106">
        <v>1</v>
      </c>
      <c r="E170" s="106">
        <v>4</v>
      </c>
      <c r="F170" s="106">
        <v>0</v>
      </c>
      <c r="G170" s="106">
        <v>10009</v>
      </c>
      <c r="H170" s="106">
        <v>1</v>
      </c>
      <c r="W170" s="124">
        <v>353</v>
      </c>
      <c r="X170" s="124">
        <v>88</v>
      </c>
      <c r="Y170" s="124">
        <v>792</v>
      </c>
      <c r="AC170" s="106">
        <v>1</v>
      </c>
    </row>
    <row r="171" s="106" customFormat="1" spans="1:29">
      <c r="A171" s="106">
        <f t="shared" si="2"/>
        <v>171</v>
      </c>
      <c r="B171" s="127" t="s">
        <v>163</v>
      </c>
      <c r="C171" s="106">
        <v>121009</v>
      </c>
      <c r="D171" s="106">
        <v>1</v>
      </c>
      <c r="E171" s="106">
        <v>1</v>
      </c>
      <c r="F171" s="106">
        <v>0</v>
      </c>
      <c r="G171" s="106">
        <v>10010</v>
      </c>
      <c r="H171" s="106">
        <v>1</v>
      </c>
      <c r="W171" s="124">
        <v>353</v>
      </c>
      <c r="X171" s="124">
        <v>88</v>
      </c>
      <c r="Y171" s="124">
        <v>792</v>
      </c>
      <c r="AC171" s="106">
        <v>1</v>
      </c>
    </row>
    <row r="172" s="106" customFormat="1" spans="1:29">
      <c r="A172" s="106">
        <f t="shared" si="2"/>
        <v>172</v>
      </c>
      <c r="B172" s="127" t="s">
        <v>163</v>
      </c>
      <c r="C172" s="115">
        <v>121008</v>
      </c>
      <c r="D172" s="106">
        <v>1</v>
      </c>
      <c r="E172" s="106">
        <v>5</v>
      </c>
      <c r="F172" s="106">
        <v>0</v>
      </c>
      <c r="G172" s="106">
        <v>10009</v>
      </c>
      <c r="H172" s="106">
        <v>1</v>
      </c>
      <c r="W172" s="124">
        <v>353</v>
      </c>
      <c r="X172" s="124">
        <v>88</v>
      </c>
      <c r="Y172" s="124">
        <v>792</v>
      </c>
      <c r="AC172" s="106">
        <v>1</v>
      </c>
    </row>
    <row r="173" s="106" customFormat="1" spans="1:29">
      <c r="A173" s="106">
        <f t="shared" si="2"/>
        <v>173</v>
      </c>
      <c r="B173" s="127" t="s">
        <v>163</v>
      </c>
      <c r="C173" s="106">
        <v>121009</v>
      </c>
      <c r="D173" s="106">
        <v>1</v>
      </c>
      <c r="E173" s="106">
        <v>2</v>
      </c>
      <c r="F173" s="106">
        <v>0</v>
      </c>
      <c r="G173" s="106">
        <v>10010</v>
      </c>
      <c r="H173" s="106">
        <v>1</v>
      </c>
      <c r="W173" s="124">
        <v>353</v>
      </c>
      <c r="X173" s="124">
        <v>88</v>
      </c>
      <c r="Y173" s="124">
        <v>792</v>
      </c>
      <c r="AC173" s="106">
        <v>1</v>
      </c>
    </row>
    <row r="174" s="106" customFormat="1" spans="1:29">
      <c r="A174" s="106">
        <f t="shared" si="2"/>
        <v>174</v>
      </c>
      <c r="B174" s="127" t="s">
        <v>164</v>
      </c>
      <c r="C174" s="115">
        <v>121008</v>
      </c>
      <c r="D174" s="106">
        <v>1</v>
      </c>
      <c r="E174" s="106">
        <v>1</v>
      </c>
      <c r="F174" s="106">
        <v>0</v>
      </c>
      <c r="G174" s="106">
        <v>10009</v>
      </c>
      <c r="H174" s="106">
        <v>1</v>
      </c>
      <c r="W174" s="124">
        <v>441</v>
      </c>
      <c r="X174" s="124">
        <v>110</v>
      </c>
      <c r="Y174" s="124">
        <v>990</v>
      </c>
      <c r="AC174" s="106">
        <v>1</v>
      </c>
    </row>
    <row r="175" s="106" customFormat="1" spans="1:29">
      <c r="A175" s="106">
        <f t="shared" si="2"/>
        <v>175</v>
      </c>
      <c r="B175" s="127" t="s">
        <v>164</v>
      </c>
      <c r="C175" s="115">
        <v>121008</v>
      </c>
      <c r="D175" s="106">
        <v>1</v>
      </c>
      <c r="E175" s="106">
        <v>3</v>
      </c>
      <c r="F175" s="106">
        <v>0</v>
      </c>
      <c r="G175" s="106">
        <v>10009</v>
      </c>
      <c r="H175" s="106">
        <v>1</v>
      </c>
      <c r="W175" s="124">
        <v>441</v>
      </c>
      <c r="X175" s="124">
        <v>110</v>
      </c>
      <c r="Y175" s="124">
        <v>990</v>
      </c>
      <c r="AC175" s="106">
        <v>1</v>
      </c>
    </row>
    <row r="176" s="106" customFormat="1" spans="1:34">
      <c r="A176" s="106">
        <f t="shared" si="2"/>
        <v>176</v>
      </c>
      <c r="B176" s="127" t="s">
        <v>164</v>
      </c>
      <c r="C176" s="106">
        <v>112012</v>
      </c>
      <c r="D176" s="106">
        <v>1</v>
      </c>
      <c r="E176" s="106">
        <v>5</v>
      </c>
      <c r="F176" s="106">
        <v>0</v>
      </c>
      <c r="G176" s="106">
        <v>124</v>
      </c>
      <c r="H176" s="106">
        <v>1</v>
      </c>
      <c r="I176" s="106">
        <v>25</v>
      </c>
      <c r="J176" s="106">
        <v>125</v>
      </c>
      <c r="K176" s="106">
        <v>1</v>
      </c>
      <c r="L176" s="106">
        <v>25</v>
      </c>
      <c r="M176" s="106">
        <v>126</v>
      </c>
      <c r="N176" s="106">
        <v>1</v>
      </c>
      <c r="O176" s="106">
        <v>25</v>
      </c>
      <c r="P176" s="106">
        <v>127</v>
      </c>
      <c r="Q176" s="106">
        <v>1</v>
      </c>
      <c r="R176" s="106">
        <v>20</v>
      </c>
      <c r="S176" s="106">
        <v>131</v>
      </c>
      <c r="T176" s="106">
        <v>1</v>
      </c>
      <c r="W176" s="124">
        <v>662</v>
      </c>
      <c r="X176" s="124">
        <v>192</v>
      </c>
      <c r="Y176" s="124">
        <v>1733</v>
      </c>
      <c r="AA176" s="106">
        <v>0.04</v>
      </c>
      <c r="AC176" s="106">
        <v>1</v>
      </c>
      <c r="AD176" s="106">
        <v>0.04</v>
      </c>
      <c r="AE176" s="106">
        <v>1.5</v>
      </c>
      <c r="AH176" s="106">
        <v>0.04</v>
      </c>
    </row>
    <row r="177" s="106" customFormat="1" spans="1:29">
      <c r="A177" s="106">
        <f t="shared" si="2"/>
        <v>177</v>
      </c>
      <c r="B177" s="127" t="s">
        <v>165</v>
      </c>
      <c r="C177" s="115">
        <v>121008</v>
      </c>
      <c r="D177" s="106">
        <v>1</v>
      </c>
      <c r="E177" s="106">
        <v>4</v>
      </c>
      <c r="F177" s="106">
        <v>0</v>
      </c>
      <c r="G177" s="106">
        <v>10009</v>
      </c>
      <c r="H177" s="106">
        <v>1</v>
      </c>
      <c r="W177" s="124">
        <v>353</v>
      </c>
      <c r="X177" s="124">
        <v>88</v>
      </c>
      <c r="Y177" s="124">
        <v>792</v>
      </c>
      <c r="AC177" s="106">
        <v>1</v>
      </c>
    </row>
    <row r="178" s="106" customFormat="1" spans="1:29">
      <c r="A178" s="106">
        <f t="shared" si="2"/>
        <v>178</v>
      </c>
      <c r="B178" s="127" t="s">
        <v>165</v>
      </c>
      <c r="C178" s="106">
        <v>121009</v>
      </c>
      <c r="D178" s="106">
        <v>1</v>
      </c>
      <c r="E178" s="106">
        <v>1</v>
      </c>
      <c r="F178" s="106">
        <v>0</v>
      </c>
      <c r="G178" s="106">
        <v>10010</v>
      </c>
      <c r="H178" s="106">
        <v>1</v>
      </c>
      <c r="W178" s="124">
        <v>353</v>
      </c>
      <c r="X178" s="124">
        <v>88</v>
      </c>
      <c r="Y178" s="124">
        <v>792</v>
      </c>
      <c r="AC178" s="106">
        <v>1</v>
      </c>
    </row>
    <row r="179" s="106" customFormat="1" spans="1:29">
      <c r="A179" s="106">
        <f t="shared" si="2"/>
        <v>179</v>
      </c>
      <c r="B179" s="127" t="s">
        <v>165</v>
      </c>
      <c r="C179" s="115">
        <v>121008</v>
      </c>
      <c r="D179" s="106">
        <v>1</v>
      </c>
      <c r="E179" s="106">
        <v>5</v>
      </c>
      <c r="F179" s="106">
        <v>0</v>
      </c>
      <c r="G179" s="106">
        <v>10009</v>
      </c>
      <c r="H179" s="106">
        <v>1</v>
      </c>
      <c r="W179" s="124">
        <v>353</v>
      </c>
      <c r="X179" s="124">
        <v>88</v>
      </c>
      <c r="Y179" s="124">
        <v>792</v>
      </c>
      <c r="AC179" s="106">
        <v>1</v>
      </c>
    </row>
    <row r="180" s="106" customFormat="1" spans="1:29">
      <c r="A180" s="106">
        <f t="shared" si="2"/>
        <v>180</v>
      </c>
      <c r="B180" s="127" t="s">
        <v>165</v>
      </c>
      <c r="C180" s="106">
        <v>121009</v>
      </c>
      <c r="D180" s="106">
        <v>1</v>
      </c>
      <c r="E180" s="106">
        <v>2</v>
      </c>
      <c r="F180" s="106">
        <v>0</v>
      </c>
      <c r="G180" s="106">
        <v>10010</v>
      </c>
      <c r="H180" s="106">
        <v>1</v>
      </c>
      <c r="W180" s="124">
        <v>353</v>
      </c>
      <c r="X180" s="124">
        <v>88</v>
      </c>
      <c r="Y180" s="124">
        <v>792</v>
      </c>
      <c r="AC180" s="106">
        <v>1</v>
      </c>
    </row>
    <row r="181" s="106" customFormat="1" spans="1:29">
      <c r="A181" s="106">
        <f t="shared" si="2"/>
        <v>181</v>
      </c>
      <c r="B181" s="127" t="s">
        <v>166</v>
      </c>
      <c r="C181" s="115">
        <v>121008</v>
      </c>
      <c r="D181" s="106">
        <v>1</v>
      </c>
      <c r="E181" s="106">
        <v>1</v>
      </c>
      <c r="F181" s="106">
        <v>0</v>
      </c>
      <c r="G181" s="106">
        <v>10009</v>
      </c>
      <c r="H181" s="106">
        <v>1</v>
      </c>
      <c r="W181" s="124">
        <v>441</v>
      </c>
      <c r="X181" s="124">
        <v>110</v>
      </c>
      <c r="Y181" s="124">
        <v>990</v>
      </c>
      <c r="AC181" s="106">
        <v>1</v>
      </c>
    </row>
    <row r="182" s="106" customFormat="1" spans="1:29">
      <c r="A182" s="106">
        <f t="shared" si="2"/>
        <v>182</v>
      </c>
      <c r="B182" s="127" t="s">
        <v>166</v>
      </c>
      <c r="C182" s="115">
        <v>121008</v>
      </c>
      <c r="D182" s="106">
        <v>1</v>
      </c>
      <c r="E182" s="106">
        <v>3</v>
      </c>
      <c r="F182" s="106">
        <v>0</v>
      </c>
      <c r="G182" s="106">
        <v>10009</v>
      </c>
      <c r="H182" s="106">
        <v>1</v>
      </c>
      <c r="W182" s="124">
        <v>441</v>
      </c>
      <c r="X182" s="124">
        <v>110</v>
      </c>
      <c r="Y182" s="124">
        <v>990</v>
      </c>
      <c r="AC182" s="106">
        <v>1</v>
      </c>
    </row>
    <row r="183" s="106" customFormat="1" spans="1:34">
      <c r="A183" s="106">
        <f t="shared" si="2"/>
        <v>183</v>
      </c>
      <c r="B183" s="127" t="s">
        <v>166</v>
      </c>
      <c r="C183" s="106">
        <v>112011</v>
      </c>
      <c r="D183" s="106">
        <v>1</v>
      </c>
      <c r="E183" s="106">
        <v>5</v>
      </c>
      <c r="F183" s="106">
        <v>0</v>
      </c>
      <c r="G183" s="106">
        <v>107</v>
      </c>
      <c r="H183" s="106">
        <v>1</v>
      </c>
      <c r="I183" s="106">
        <v>25</v>
      </c>
      <c r="J183" s="106">
        <v>108</v>
      </c>
      <c r="K183" s="106">
        <v>1</v>
      </c>
      <c r="L183" s="106">
        <v>25</v>
      </c>
      <c r="M183" s="106">
        <v>109</v>
      </c>
      <c r="N183" s="106">
        <v>1</v>
      </c>
      <c r="O183" s="106">
        <v>25</v>
      </c>
      <c r="P183" s="106">
        <v>110</v>
      </c>
      <c r="Q183" s="106">
        <v>1</v>
      </c>
      <c r="R183" s="106">
        <v>20</v>
      </c>
      <c r="S183" s="106">
        <v>115</v>
      </c>
      <c r="T183" s="106">
        <v>1</v>
      </c>
      <c r="W183" s="124">
        <v>662</v>
      </c>
      <c r="X183" s="124">
        <v>192</v>
      </c>
      <c r="Y183" s="124">
        <v>1733</v>
      </c>
      <c r="AA183" s="106">
        <v>0.04</v>
      </c>
      <c r="AC183" s="106">
        <v>1</v>
      </c>
      <c r="AD183" s="106">
        <v>0.04</v>
      </c>
      <c r="AE183" s="106">
        <v>1.5</v>
      </c>
      <c r="AH183" s="106">
        <v>0.04</v>
      </c>
    </row>
    <row r="184" s="106" customFormat="1" spans="1:29">
      <c r="A184" s="106">
        <f t="shared" si="2"/>
        <v>184</v>
      </c>
      <c r="B184" s="127" t="s">
        <v>167</v>
      </c>
      <c r="C184" s="122">
        <v>121008</v>
      </c>
      <c r="D184" s="106">
        <v>1</v>
      </c>
      <c r="E184" s="106">
        <v>1</v>
      </c>
      <c r="F184" s="106">
        <v>0</v>
      </c>
      <c r="G184" s="106">
        <v>10009</v>
      </c>
      <c r="H184" s="106">
        <v>1</v>
      </c>
      <c r="W184" s="124">
        <v>226</v>
      </c>
      <c r="X184" s="124">
        <v>132</v>
      </c>
      <c r="Y184" s="124">
        <v>2153</v>
      </c>
      <c r="AC184" s="106">
        <v>1</v>
      </c>
    </row>
    <row r="185" s="106" customFormat="1" spans="1:29">
      <c r="A185" s="106">
        <f t="shared" si="2"/>
        <v>185</v>
      </c>
      <c r="B185" s="127" t="s">
        <v>167</v>
      </c>
      <c r="C185" s="122">
        <v>121008</v>
      </c>
      <c r="D185" s="106">
        <v>1</v>
      </c>
      <c r="E185" s="106">
        <v>2</v>
      </c>
      <c r="F185" s="106">
        <v>0</v>
      </c>
      <c r="G185" s="106">
        <v>10009</v>
      </c>
      <c r="H185" s="106">
        <v>1</v>
      </c>
      <c r="W185" s="124">
        <v>226</v>
      </c>
      <c r="X185" s="124">
        <v>132</v>
      </c>
      <c r="Y185" s="124">
        <v>2153</v>
      </c>
      <c r="AC185" s="106">
        <v>1</v>
      </c>
    </row>
    <row r="186" s="106" customFormat="1" spans="1:29">
      <c r="A186" s="106">
        <f t="shared" si="2"/>
        <v>186</v>
      </c>
      <c r="B186" s="127" t="s">
        <v>167</v>
      </c>
      <c r="C186" s="122">
        <v>121008</v>
      </c>
      <c r="D186" s="106">
        <v>1</v>
      </c>
      <c r="E186" s="106">
        <v>3</v>
      </c>
      <c r="F186" s="106">
        <v>0</v>
      </c>
      <c r="G186" s="106">
        <v>10009</v>
      </c>
      <c r="H186" s="106">
        <v>1</v>
      </c>
      <c r="W186" s="124">
        <v>226</v>
      </c>
      <c r="X186" s="124">
        <v>132</v>
      </c>
      <c r="Y186" s="124">
        <v>2153</v>
      </c>
      <c r="AC186" s="106">
        <v>1</v>
      </c>
    </row>
    <row r="187" s="106" customFormat="1" spans="1:29">
      <c r="A187" s="106">
        <f t="shared" si="2"/>
        <v>187</v>
      </c>
      <c r="B187" s="127" t="s">
        <v>168</v>
      </c>
      <c r="C187" s="122">
        <v>121008</v>
      </c>
      <c r="D187" s="106">
        <v>1</v>
      </c>
      <c r="E187" s="106">
        <v>1</v>
      </c>
      <c r="F187" s="106">
        <v>0</v>
      </c>
      <c r="G187" s="106">
        <v>10009</v>
      </c>
      <c r="H187" s="106">
        <v>1</v>
      </c>
      <c r="W187" s="124">
        <v>798</v>
      </c>
      <c r="X187" s="124">
        <v>266</v>
      </c>
      <c r="Y187" s="124">
        <v>2393</v>
      </c>
      <c r="AC187" s="106">
        <v>1</v>
      </c>
    </row>
    <row r="188" s="106" customFormat="1" spans="1:29">
      <c r="A188" s="106">
        <f t="shared" si="2"/>
        <v>188</v>
      </c>
      <c r="B188" s="127" t="s">
        <v>168</v>
      </c>
      <c r="C188" s="122">
        <v>121008</v>
      </c>
      <c r="D188" s="106">
        <v>1</v>
      </c>
      <c r="E188" s="106">
        <v>2</v>
      </c>
      <c r="F188" s="106">
        <v>0</v>
      </c>
      <c r="G188" s="106">
        <v>10009</v>
      </c>
      <c r="H188" s="106">
        <v>1</v>
      </c>
      <c r="W188" s="124">
        <v>798</v>
      </c>
      <c r="X188" s="124">
        <v>266</v>
      </c>
      <c r="Y188" s="124">
        <v>2393</v>
      </c>
      <c r="AC188" s="106">
        <v>1</v>
      </c>
    </row>
    <row r="189" s="106" customFormat="1" spans="1:29">
      <c r="A189" s="106">
        <f t="shared" si="2"/>
        <v>189</v>
      </c>
      <c r="B189" s="127" t="s">
        <v>168</v>
      </c>
      <c r="C189" s="122">
        <v>121008</v>
      </c>
      <c r="D189" s="106">
        <v>1</v>
      </c>
      <c r="E189" s="106">
        <v>3</v>
      </c>
      <c r="F189" s="106">
        <v>0</v>
      </c>
      <c r="G189" s="106">
        <v>10009</v>
      </c>
      <c r="H189" s="106">
        <v>1</v>
      </c>
      <c r="W189" s="124">
        <v>798</v>
      </c>
      <c r="X189" s="124">
        <v>266</v>
      </c>
      <c r="Y189" s="124">
        <v>2393</v>
      </c>
      <c r="AC189" s="106">
        <v>1</v>
      </c>
    </row>
    <row r="190" s="106" customFormat="1" spans="1:29">
      <c r="A190" s="106">
        <f t="shared" si="2"/>
        <v>190</v>
      </c>
      <c r="B190" s="127" t="s">
        <v>169</v>
      </c>
      <c r="C190" s="122">
        <v>121008</v>
      </c>
      <c r="D190" s="106">
        <v>1</v>
      </c>
      <c r="E190" s="106">
        <v>1</v>
      </c>
      <c r="F190" s="106">
        <v>0</v>
      </c>
      <c r="G190" s="106">
        <v>10009</v>
      </c>
      <c r="H190" s="106">
        <v>1</v>
      </c>
      <c r="W190" s="124">
        <v>226</v>
      </c>
      <c r="X190" s="124">
        <v>132</v>
      </c>
      <c r="Y190" s="124">
        <v>2153</v>
      </c>
      <c r="AC190" s="106">
        <v>1</v>
      </c>
    </row>
    <row r="191" s="106" customFormat="1" spans="1:29">
      <c r="A191" s="106">
        <f t="shared" si="2"/>
        <v>191</v>
      </c>
      <c r="B191" s="127" t="s">
        <v>169</v>
      </c>
      <c r="C191" s="122">
        <v>121008</v>
      </c>
      <c r="D191" s="106">
        <v>1</v>
      </c>
      <c r="E191" s="106">
        <v>2</v>
      </c>
      <c r="F191" s="106">
        <v>0</v>
      </c>
      <c r="G191" s="106">
        <v>10009</v>
      </c>
      <c r="H191" s="106">
        <v>1</v>
      </c>
      <c r="W191" s="124">
        <v>226</v>
      </c>
      <c r="X191" s="124">
        <v>132</v>
      </c>
      <c r="Y191" s="124">
        <v>2153</v>
      </c>
      <c r="AC191" s="106">
        <v>1</v>
      </c>
    </row>
    <row r="192" s="106" customFormat="1" spans="1:29">
      <c r="A192" s="106">
        <f t="shared" si="2"/>
        <v>192</v>
      </c>
      <c r="B192" s="127" t="s">
        <v>169</v>
      </c>
      <c r="C192" s="128">
        <v>121008</v>
      </c>
      <c r="D192" s="106">
        <v>1</v>
      </c>
      <c r="E192" s="106">
        <v>3</v>
      </c>
      <c r="F192" s="106">
        <v>0</v>
      </c>
      <c r="G192" s="106">
        <v>10009</v>
      </c>
      <c r="H192" s="106">
        <v>1</v>
      </c>
      <c r="W192" s="124">
        <v>226</v>
      </c>
      <c r="X192" s="124">
        <v>132</v>
      </c>
      <c r="Y192" s="124">
        <v>2153</v>
      </c>
      <c r="AC192" s="106">
        <v>1</v>
      </c>
    </row>
    <row r="193" s="106" customFormat="1" spans="1:29">
      <c r="A193" s="106">
        <f t="shared" si="2"/>
        <v>193</v>
      </c>
      <c r="B193" s="127" t="s">
        <v>170</v>
      </c>
      <c r="C193" s="122">
        <v>121008</v>
      </c>
      <c r="D193" s="106">
        <v>1</v>
      </c>
      <c r="E193" s="106">
        <v>1</v>
      </c>
      <c r="F193" s="106">
        <v>0</v>
      </c>
      <c r="G193" s="106">
        <v>10009</v>
      </c>
      <c r="H193" s="106">
        <v>1</v>
      </c>
      <c r="W193" s="124">
        <v>798</v>
      </c>
      <c r="X193" s="124">
        <v>266</v>
      </c>
      <c r="Y193" s="124">
        <v>2393</v>
      </c>
      <c r="AC193" s="106">
        <v>1</v>
      </c>
    </row>
    <row r="194" s="106" customFormat="1" spans="1:29">
      <c r="A194" s="106">
        <f t="shared" ref="A194:A257" si="3">ROW(A194)</f>
        <v>194</v>
      </c>
      <c r="B194" s="127" t="s">
        <v>170</v>
      </c>
      <c r="C194" s="122">
        <v>121008</v>
      </c>
      <c r="D194" s="106">
        <v>1</v>
      </c>
      <c r="E194" s="106">
        <v>2</v>
      </c>
      <c r="F194" s="106">
        <v>0</v>
      </c>
      <c r="G194" s="106">
        <v>10009</v>
      </c>
      <c r="H194" s="106">
        <v>1</v>
      </c>
      <c r="W194" s="124">
        <v>798</v>
      </c>
      <c r="X194" s="124">
        <v>266</v>
      </c>
      <c r="Y194" s="124">
        <v>2393</v>
      </c>
      <c r="AC194" s="106">
        <v>1</v>
      </c>
    </row>
    <row r="195" s="106" customFormat="1" spans="1:29">
      <c r="A195" s="106">
        <f t="shared" si="3"/>
        <v>195</v>
      </c>
      <c r="B195" s="127" t="s">
        <v>170</v>
      </c>
      <c r="C195" s="128">
        <v>121008</v>
      </c>
      <c r="D195" s="106">
        <v>1</v>
      </c>
      <c r="E195" s="106">
        <v>3</v>
      </c>
      <c r="F195" s="106">
        <v>0</v>
      </c>
      <c r="G195" s="106">
        <v>10009</v>
      </c>
      <c r="H195" s="106">
        <v>1</v>
      </c>
      <c r="W195" s="124">
        <v>798</v>
      </c>
      <c r="X195" s="124">
        <v>266</v>
      </c>
      <c r="Y195" s="124">
        <v>2393</v>
      </c>
      <c r="AC195" s="106">
        <v>1</v>
      </c>
    </row>
    <row r="196" spans="1:29">
      <c r="A196">
        <f t="shared" si="3"/>
        <v>196</v>
      </c>
      <c r="B196" s="103" t="s">
        <v>175</v>
      </c>
      <c r="C196">
        <v>113010</v>
      </c>
      <c r="D196">
        <v>1</v>
      </c>
      <c r="E196">
        <v>1</v>
      </c>
      <c r="F196">
        <v>0</v>
      </c>
      <c r="G196">
        <v>299</v>
      </c>
      <c r="H196">
        <v>1</v>
      </c>
      <c r="I196">
        <v>25</v>
      </c>
      <c r="J196">
        <v>300</v>
      </c>
      <c r="K196">
        <v>1</v>
      </c>
      <c r="L196">
        <v>25</v>
      </c>
      <c r="M196">
        <v>301</v>
      </c>
      <c r="N196">
        <v>1</v>
      </c>
      <c r="O196">
        <v>25</v>
      </c>
      <c r="P196">
        <v>302</v>
      </c>
      <c r="Q196">
        <v>1</v>
      </c>
      <c r="R196">
        <v>20</v>
      </c>
      <c r="S196">
        <v>303</v>
      </c>
      <c r="T196">
        <v>1</v>
      </c>
      <c r="W196">
        <v>152</v>
      </c>
      <c r="X196">
        <v>38</v>
      </c>
      <c r="Y196">
        <v>516</v>
      </c>
      <c r="AC196">
        <v>1</v>
      </c>
    </row>
    <row r="197" spans="1:29">
      <c r="A197">
        <f t="shared" si="3"/>
        <v>197</v>
      </c>
      <c r="B197" s="103" t="s">
        <v>175</v>
      </c>
      <c r="C197">
        <v>113001</v>
      </c>
      <c r="D197">
        <v>1</v>
      </c>
      <c r="E197">
        <v>2</v>
      </c>
      <c r="F197">
        <v>0</v>
      </c>
      <c r="G197">
        <v>239</v>
      </c>
      <c r="H197">
        <v>1</v>
      </c>
      <c r="I197">
        <v>25</v>
      </c>
      <c r="J197">
        <v>240</v>
      </c>
      <c r="K197">
        <v>1</v>
      </c>
      <c r="L197">
        <v>25</v>
      </c>
      <c r="M197">
        <v>241</v>
      </c>
      <c r="N197">
        <v>1</v>
      </c>
      <c r="O197">
        <v>25</v>
      </c>
      <c r="P197">
        <v>242</v>
      </c>
      <c r="Q197">
        <v>1</v>
      </c>
      <c r="R197">
        <v>20</v>
      </c>
      <c r="S197">
        <v>243</v>
      </c>
      <c r="T197">
        <v>1</v>
      </c>
      <c r="W197">
        <v>152</v>
      </c>
      <c r="X197">
        <v>38</v>
      </c>
      <c r="Y197">
        <v>516</v>
      </c>
      <c r="AC197">
        <v>1</v>
      </c>
    </row>
    <row r="198" spans="1:29">
      <c r="A198">
        <f t="shared" si="3"/>
        <v>198</v>
      </c>
      <c r="B198" s="103" t="s">
        <v>175</v>
      </c>
      <c r="C198">
        <v>112001</v>
      </c>
      <c r="D198">
        <v>1</v>
      </c>
      <c r="E198">
        <v>3</v>
      </c>
      <c r="F198">
        <v>0</v>
      </c>
      <c r="G198">
        <v>1</v>
      </c>
      <c r="H198">
        <v>1</v>
      </c>
      <c r="I198">
        <v>25</v>
      </c>
      <c r="J198">
        <v>2</v>
      </c>
      <c r="K198">
        <v>1</v>
      </c>
      <c r="L198">
        <v>25</v>
      </c>
      <c r="M198">
        <v>6</v>
      </c>
      <c r="N198">
        <v>1</v>
      </c>
      <c r="O198">
        <v>25</v>
      </c>
      <c r="P198">
        <v>8</v>
      </c>
      <c r="Q198">
        <v>1</v>
      </c>
      <c r="R198">
        <v>20</v>
      </c>
      <c r="S198">
        <v>3</v>
      </c>
      <c r="T198">
        <v>1</v>
      </c>
      <c r="W198">
        <v>152</v>
      </c>
      <c r="X198">
        <v>38</v>
      </c>
      <c r="Y198">
        <v>516</v>
      </c>
      <c r="AC198">
        <v>1</v>
      </c>
    </row>
    <row r="199" spans="1:29">
      <c r="A199">
        <f t="shared" si="3"/>
        <v>199</v>
      </c>
      <c r="B199" s="103" t="s">
        <v>175</v>
      </c>
      <c r="C199">
        <v>112002</v>
      </c>
      <c r="D199">
        <v>1</v>
      </c>
      <c r="E199">
        <v>4</v>
      </c>
      <c r="F199">
        <v>0</v>
      </c>
      <c r="G199">
        <v>24</v>
      </c>
      <c r="H199">
        <v>1</v>
      </c>
      <c r="I199">
        <v>25</v>
      </c>
      <c r="J199">
        <v>25</v>
      </c>
      <c r="K199">
        <v>1</v>
      </c>
      <c r="L199">
        <v>25</v>
      </c>
      <c r="M199">
        <v>26</v>
      </c>
      <c r="N199">
        <v>1</v>
      </c>
      <c r="O199">
        <v>25</v>
      </c>
      <c r="P199">
        <v>29</v>
      </c>
      <c r="Q199">
        <v>1</v>
      </c>
      <c r="R199">
        <v>20</v>
      </c>
      <c r="S199">
        <v>31</v>
      </c>
      <c r="T199">
        <v>1</v>
      </c>
      <c r="W199">
        <v>152</v>
      </c>
      <c r="X199">
        <v>38</v>
      </c>
      <c r="Y199">
        <v>516</v>
      </c>
      <c r="AC199">
        <v>1</v>
      </c>
    </row>
    <row r="200" spans="1:29">
      <c r="A200">
        <f t="shared" si="3"/>
        <v>200</v>
      </c>
      <c r="B200" s="103" t="s">
        <v>175</v>
      </c>
      <c r="C200">
        <v>112005</v>
      </c>
      <c r="D200">
        <v>1</v>
      </c>
      <c r="E200">
        <v>5</v>
      </c>
      <c r="F200">
        <v>0</v>
      </c>
      <c r="G200">
        <v>47</v>
      </c>
      <c r="H200">
        <v>1</v>
      </c>
      <c r="I200">
        <v>25</v>
      </c>
      <c r="J200">
        <v>48</v>
      </c>
      <c r="K200">
        <v>1</v>
      </c>
      <c r="L200">
        <v>25</v>
      </c>
      <c r="M200">
        <v>50</v>
      </c>
      <c r="N200">
        <v>1</v>
      </c>
      <c r="O200">
        <v>25</v>
      </c>
      <c r="P200">
        <v>53</v>
      </c>
      <c r="Q200">
        <v>1</v>
      </c>
      <c r="R200">
        <v>20</v>
      </c>
      <c r="S200">
        <v>51</v>
      </c>
      <c r="T200">
        <v>1</v>
      </c>
      <c r="W200">
        <v>152</v>
      </c>
      <c r="X200">
        <v>38</v>
      </c>
      <c r="Y200">
        <v>516</v>
      </c>
      <c r="AC200">
        <v>1</v>
      </c>
    </row>
    <row r="201" spans="1:29">
      <c r="A201">
        <f t="shared" si="3"/>
        <v>201</v>
      </c>
      <c r="B201" s="103" t="s">
        <v>176</v>
      </c>
      <c r="C201">
        <v>112003</v>
      </c>
      <c r="D201">
        <v>1</v>
      </c>
      <c r="E201">
        <v>1</v>
      </c>
      <c r="F201">
        <v>0</v>
      </c>
      <c r="G201">
        <v>63</v>
      </c>
      <c r="H201">
        <v>1</v>
      </c>
      <c r="I201">
        <v>25</v>
      </c>
      <c r="J201">
        <v>65</v>
      </c>
      <c r="K201">
        <v>1</v>
      </c>
      <c r="L201">
        <v>25</v>
      </c>
      <c r="M201">
        <v>66</v>
      </c>
      <c r="N201">
        <v>1</v>
      </c>
      <c r="O201">
        <v>25</v>
      </c>
      <c r="P201">
        <v>68</v>
      </c>
      <c r="Q201">
        <v>1</v>
      </c>
      <c r="R201">
        <v>20</v>
      </c>
      <c r="S201">
        <v>67</v>
      </c>
      <c r="T201">
        <v>1</v>
      </c>
      <c r="W201">
        <v>419</v>
      </c>
      <c r="X201">
        <v>113</v>
      </c>
      <c r="Y201">
        <v>1012</v>
      </c>
      <c r="AC201">
        <v>1</v>
      </c>
    </row>
    <row r="202" spans="1:29">
      <c r="A202">
        <f t="shared" si="3"/>
        <v>202</v>
      </c>
      <c r="B202" s="103" t="s">
        <v>176</v>
      </c>
      <c r="C202">
        <v>112004</v>
      </c>
      <c r="D202">
        <v>1</v>
      </c>
      <c r="E202">
        <v>2</v>
      </c>
      <c r="F202">
        <v>0</v>
      </c>
      <c r="G202">
        <v>55</v>
      </c>
      <c r="H202">
        <v>1</v>
      </c>
      <c r="I202">
        <v>25</v>
      </c>
      <c r="J202">
        <v>58</v>
      </c>
      <c r="K202">
        <v>1</v>
      </c>
      <c r="L202">
        <v>25</v>
      </c>
      <c r="M202">
        <v>59</v>
      </c>
      <c r="N202">
        <v>1</v>
      </c>
      <c r="O202">
        <v>25</v>
      </c>
      <c r="P202">
        <v>60</v>
      </c>
      <c r="Q202">
        <v>1</v>
      </c>
      <c r="R202">
        <v>20</v>
      </c>
      <c r="S202">
        <v>62</v>
      </c>
      <c r="T202">
        <v>1</v>
      </c>
      <c r="W202">
        <v>419</v>
      </c>
      <c r="X202">
        <v>113</v>
      </c>
      <c r="Y202">
        <v>1012</v>
      </c>
      <c r="AC202">
        <v>1</v>
      </c>
    </row>
    <row r="203" spans="1:29">
      <c r="A203">
        <f t="shared" si="3"/>
        <v>203</v>
      </c>
      <c r="B203" s="103" t="s">
        <v>176</v>
      </c>
      <c r="C203">
        <v>112010</v>
      </c>
      <c r="D203">
        <v>1</v>
      </c>
      <c r="E203">
        <v>3</v>
      </c>
      <c r="F203">
        <v>0</v>
      </c>
      <c r="G203">
        <v>91</v>
      </c>
      <c r="H203">
        <v>1</v>
      </c>
      <c r="I203">
        <v>25</v>
      </c>
      <c r="J203">
        <v>92</v>
      </c>
      <c r="K203">
        <v>1</v>
      </c>
      <c r="L203">
        <v>25</v>
      </c>
      <c r="M203">
        <v>97</v>
      </c>
      <c r="N203">
        <v>1</v>
      </c>
      <c r="O203">
        <v>25</v>
      </c>
      <c r="P203">
        <v>96</v>
      </c>
      <c r="Q203">
        <v>1</v>
      </c>
      <c r="R203">
        <v>20</v>
      </c>
      <c r="S203">
        <v>98</v>
      </c>
      <c r="T203">
        <v>1</v>
      </c>
      <c r="W203">
        <v>419</v>
      </c>
      <c r="X203">
        <v>113</v>
      </c>
      <c r="Y203">
        <v>1012</v>
      </c>
      <c r="AC203">
        <v>1</v>
      </c>
    </row>
    <row r="204" spans="1:29">
      <c r="A204">
        <f t="shared" si="3"/>
        <v>204</v>
      </c>
      <c r="B204" s="103" t="s">
        <v>176</v>
      </c>
      <c r="C204">
        <v>112011</v>
      </c>
      <c r="D204">
        <v>1</v>
      </c>
      <c r="E204">
        <v>4</v>
      </c>
      <c r="F204">
        <v>0</v>
      </c>
      <c r="G204">
        <v>107</v>
      </c>
      <c r="H204">
        <v>1</v>
      </c>
      <c r="I204">
        <v>25</v>
      </c>
      <c r="J204">
        <v>108</v>
      </c>
      <c r="K204">
        <v>1</v>
      </c>
      <c r="L204">
        <v>25</v>
      </c>
      <c r="M204">
        <v>109</v>
      </c>
      <c r="N204">
        <v>1</v>
      </c>
      <c r="O204">
        <v>25</v>
      </c>
      <c r="P204">
        <v>110</v>
      </c>
      <c r="Q204">
        <v>1</v>
      </c>
      <c r="R204">
        <v>20</v>
      </c>
      <c r="S204">
        <v>115</v>
      </c>
      <c r="T204">
        <v>1</v>
      </c>
      <c r="W204">
        <v>419</v>
      </c>
      <c r="X204">
        <v>113</v>
      </c>
      <c r="Y204">
        <v>1012</v>
      </c>
      <c r="AC204">
        <v>1</v>
      </c>
    </row>
    <row r="205" spans="1:29">
      <c r="A205">
        <f t="shared" si="3"/>
        <v>205</v>
      </c>
      <c r="B205" s="103" t="s">
        <v>176</v>
      </c>
      <c r="C205">
        <v>112012</v>
      </c>
      <c r="D205">
        <v>1</v>
      </c>
      <c r="E205">
        <v>5</v>
      </c>
      <c r="F205">
        <v>0</v>
      </c>
      <c r="G205">
        <v>124</v>
      </c>
      <c r="H205">
        <v>1</v>
      </c>
      <c r="I205">
        <v>25</v>
      </c>
      <c r="J205">
        <v>125</v>
      </c>
      <c r="K205">
        <v>1</v>
      </c>
      <c r="L205">
        <v>25</v>
      </c>
      <c r="M205">
        <v>126</v>
      </c>
      <c r="N205">
        <v>1</v>
      </c>
      <c r="O205">
        <v>25</v>
      </c>
      <c r="P205">
        <v>127</v>
      </c>
      <c r="Q205">
        <v>1</v>
      </c>
      <c r="R205">
        <v>20</v>
      </c>
      <c r="S205">
        <v>131</v>
      </c>
      <c r="T205">
        <v>1</v>
      </c>
      <c r="W205">
        <v>419</v>
      </c>
      <c r="X205">
        <v>113</v>
      </c>
      <c r="Y205">
        <v>1012</v>
      </c>
      <c r="AC205">
        <v>1</v>
      </c>
    </row>
    <row r="206" spans="1:29">
      <c r="A206">
        <f t="shared" si="3"/>
        <v>206</v>
      </c>
      <c r="B206" s="103" t="s">
        <v>177</v>
      </c>
      <c r="C206">
        <v>111001</v>
      </c>
      <c r="D206">
        <v>1</v>
      </c>
      <c r="E206">
        <v>1</v>
      </c>
      <c r="F206">
        <v>0</v>
      </c>
      <c r="G206">
        <v>183</v>
      </c>
      <c r="H206">
        <v>1</v>
      </c>
      <c r="I206">
        <v>25</v>
      </c>
      <c r="J206">
        <v>184</v>
      </c>
      <c r="K206">
        <v>1</v>
      </c>
      <c r="L206">
        <v>25</v>
      </c>
      <c r="M206">
        <v>185</v>
      </c>
      <c r="N206">
        <v>1</v>
      </c>
      <c r="W206">
        <v>720</v>
      </c>
      <c r="X206">
        <v>176</v>
      </c>
      <c r="Y206">
        <v>1853</v>
      </c>
      <c r="AC206">
        <v>1</v>
      </c>
    </row>
    <row r="207" spans="1:29">
      <c r="A207">
        <f t="shared" si="3"/>
        <v>207</v>
      </c>
      <c r="B207" s="103" t="s">
        <v>177</v>
      </c>
      <c r="C207">
        <v>111002</v>
      </c>
      <c r="D207">
        <v>1</v>
      </c>
      <c r="E207">
        <v>2</v>
      </c>
      <c r="F207">
        <v>0</v>
      </c>
      <c r="G207">
        <v>164</v>
      </c>
      <c r="H207">
        <v>1</v>
      </c>
      <c r="I207">
        <v>25</v>
      </c>
      <c r="J207">
        <v>165</v>
      </c>
      <c r="K207">
        <v>1</v>
      </c>
      <c r="L207">
        <v>25</v>
      </c>
      <c r="M207">
        <v>166</v>
      </c>
      <c r="N207">
        <v>1</v>
      </c>
      <c r="W207">
        <v>720</v>
      </c>
      <c r="X207">
        <v>176</v>
      </c>
      <c r="Y207">
        <v>1853</v>
      </c>
      <c r="AC207">
        <v>1</v>
      </c>
    </row>
    <row r="208" spans="1:29">
      <c r="A208">
        <f t="shared" si="3"/>
        <v>208</v>
      </c>
      <c r="B208" s="103" t="s">
        <v>177</v>
      </c>
      <c r="C208">
        <v>111003</v>
      </c>
      <c r="D208">
        <v>1</v>
      </c>
      <c r="E208">
        <v>3</v>
      </c>
      <c r="F208">
        <v>0</v>
      </c>
      <c r="G208">
        <v>186</v>
      </c>
      <c r="H208">
        <v>1</v>
      </c>
      <c r="I208">
        <v>25</v>
      </c>
      <c r="J208">
        <v>187</v>
      </c>
      <c r="K208">
        <v>1</v>
      </c>
      <c r="L208">
        <v>25</v>
      </c>
      <c r="M208">
        <v>188</v>
      </c>
      <c r="N208">
        <v>1</v>
      </c>
      <c r="W208">
        <v>720</v>
      </c>
      <c r="X208">
        <v>176</v>
      </c>
      <c r="Y208">
        <v>1853</v>
      </c>
      <c r="AC208">
        <v>1</v>
      </c>
    </row>
    <row r="209" spans="1:29">
      <c r="A209">
        <f t="shared" si="3"/>
        <v>209</v>
      </c>
      <c r="B209" s="103" t="s">
        <v>177</v>
      </c>
      <c r="C209">
        <v>111004</v>
      </c>
      <c r="D209">
        <v>1</v>
      </c>
      <c r="E209">
        <v>4</v>
      </c>
      <c r="F209">
        <v>0</v>
      </c>
      <c r="G209">
        <v>167</v>
      </c>
      <c r="H209">
        <v>1</v>
      </c>
      <c r="I209">
        <v>25</v>
      </c>
      <c r="J209">
        <v>168</v>
      </c>
      <c r="K209">
        <v>1</v>
      </c>
      <c r="L209">
        <v>25</v>
      </c>
      <c r="M209">
        <v>169</v>
      </c>
      <c r="N209">
        <v>1</v>
      </c>
      <c r="R209">
        <v>20</v>
      </c>
      <c r="S209">
        <v>170</v>
      </c>
      <c r="T209">
        <v>1</v>
      </c>
      <c r="W209">
        <v>720</v>
      </c>
      <c r="X209">
        <v>176</v>
      </c>
      <c r="Y209">
        <v>1853</v>
      </c>
      <c r="AC209">
        <v>1</v>
      </c>
    </row>
    <row r="210" spans="1:29">
      <c r="A210">
        <f t="shared" si="3"/>
        <v>210</v>
      </c>
      <c r="B210" s="103" t="s">
        <v>177</v>
      </c>
      <c r="C210">
        <v>111005</v>
      </c>
      <c r="D210">
        <v>1</v>
      </c>
      <c r="E210">
        <v>5</v>
      </c>
      <c r="F210">
        <v>0</v>
      </c>
      <c r="G210">
        <v>88</v>
      </c>
      <c r="H210">
        <v>1</v>
      </c>
      <c r="I210">
        <v>25</v>
      </c>
      <c r="J210">
        <v>89</v>
      </c>
      <c r="K210">
        <v>1</v>
      </c>
      <c r="L210">
        <v>25</v>
      </c>
      <c r="M210">
        <v>90</v>
      </c>
      <c r="N210">
        <v>1</v>
      </c>
      <c r="W210">
        <v>720</v>
      </c>
      <c r="X210">
        <v>176</v>
      </c>
      <c r="Y210">
        <v>1853</v>
      </c>
      <c r="AC210">
        <v>1</v>
      </c>
    </row>
    <row r="211" spans="1:29">
      <c r="A211">
        <f t="shared" si="3"/>
        <v>211</v>
      </c>
      <c r="B211" s="103" t="s">
        <v>178</v>
      </c>
      <c r="C211">
        <v>111006</v>
      </c>
      <c r="D211">
        <v>1</v>
      </c>
      <c r="E211">
        <v>1</v>
      </c>
      <c r="F211">
        <v>0</v>
      </c>
      <c r="G211">
        <v>175</v>
      </c>
      <c r="H211">
        <v>1</v>
      </c>
      <c r="I211">
        <v>25</v>
      </c>
      <c r="J211">
        <v>176</v>
      </c>
      <c r="K211">
        <v>1</v>
      </c>
      <c r="L211">
        <v>25</v>
      </c>
      <c r="M211">
        <v>177</v>
      </c>
      <c r="N211">
        <v>1</v>
      </c>
      <c r="R211" s="106">
        <v>20</v>
      </c>
      <c r="S211" s="106">
        <v>178</v>
      </c>
      <c r="T211" s="106">
        <v>1</v>
      </c>
      <c r="W211">
        <v>675</v>
      </c>
      <c r="X211">
        <v>196</v>
      </c>
      <c r="Y211">
        <v>1771</v>
      </c>
      <c r="AC211">
        <v>1</v>
      </c>
    </row>
    <row r="212" spans="1:29">
      <c r="A212">
        <f t="shared" si="3"/>
        <v>212</v>
      </c>
      <c r="B212" s="103" t="s">
        <v>178</v>
      </c>
      <c r="C212">
        <v>111007</v>
      </c>
      <c r="D212">
        <v>1</v>
      </c>
      <c r="E212">
        <v>2</v>
      </c>
      <c r="F212">
        <v>0</v>
      </c>
      <c r="G212" s="106">
        <v>179</v>
      </c>
      <c r="H212" s="106">
        <v>1</v>
      </c>
      <c r="I212">
        <v>25</v>
      </c>
      <c r="J212" s="106">
        <v>180</v>
      </c>
      <c r="K212" s="106">
        <v>1</v>
      </c>
      <c r="L212">
        <v>25</v>
      </c>
      <c r="M212" s="106">
        <v>181</v>
      </c>
      <c r="N212" s="106">
        <v>1</v>
      </c>
      <c r="O212">
        <v>25</v>
      </c>
      <c r="P212" s="106">
        <v>182</v>
      </c>
      <c r="Q212" s="106">
        <v>1</v>
      </c>
      <c r="W212">
        <v>675</v>
      </c>
      <c r="X212">
        <v>196</v>
      </c>
      <c r="Y212">
        <v>1771</v>
      </c>
      <c r="AC212">
        <v>1</v>
      </c>
    </row>
    <row r="213" spans="1:29">
      <c r="A213">
        <f t="shared" si="3"/>
        <v>213</v>
      </c>
      <c r="B213" s="103" t="s">
        <v>178</v>
      </c>
      <c r="C213">
        <v>111008</v>
      </c>
      <c r="D213">
        <v>1</v>
      </c>
      <c r="E213">
        <v>3</v>
      </c>
      <c r="F213">
        <v>0</v>
      </c>
      <c r="G213">
        <v>296</v>
      </c>
      <c r="H213">
        <v>1</v>
      </c>
      <c r="I213">
        <v>25</v>
      </c>
      <c r="J213">
        <v>297</v>
      </c>
      <c r="K213">
        <v>1</v>
      </c>
      <c r="L213">
        <v>25</v>
      </c>
      <c r="M213">
        <v>298</v>
      </c>
      <c r="N213">
        <v>1</v>
      </c>
      <c r="W213">
        <v>675</v>
      </c>
      <c r="X213">
        <v>196</v>
      </c>
      <c r="Y213">
        <v>1771</v>
      </c>
      <c r="AC213">
        <v>1</v>
      </c>
    </row>
    <row r="214" spans="1:29">
      <c r="A214">
        <f t="shared" si="3"/>
        <v>214</v>
      </c>
      <c r="B214" s="103" t="s">
        <v>178</v>
      </c>
      <c r="C214">
        <v>111009</v>
      </c>
      <c r="D214">
        <v>1</v>
      </c>
      <c r="E214">
        <v>4</v>
      </c>
      <c r="F214">
        <v>0</v>
      </c>
      <c r="G214">
        <v>171</v>
      </c>
      <c r="H214">
        <v>1</v>
      </c>
      <c r="I214">
        <v>25</v>
      </c>
      <c r="J214">
        <v>172</v>
      </c>
      <c r="K214">
        <v>1</v>
      </c>
      <c r="L214">
        <v>25</v>
      </c>
      <c r="M214">
        <v>173</v>
      </c>
      <c r="N214">
        <v>1</v>
      </c>
      <c r="R214">
        <v>20</v>
      </c>
      <c r="S214">
        <v>174</v>
      </c>
      <c r="T214">
        <v>1</v>
      </c>
      <c r="W214">
        <v>675</v>
      </c>
      <c r="X214">
        <v>196</v>
      </c>
      <c r="Y214">
        <v>1771</v>
      </c>
      <c r="AC214">
        <v>1</v>
      </c>
    </row>
    <row r="215" spans="1:29">
      <c r="A215">
        <f t="shared" si="3"/>
        <v>215</v>
      </c>
      <c r="B215" s="103" t="s">
        <v>178</v>
      </c>
      <c r="C215">
        <v>111010</v>
      </c>
      <c r="D215">
        <v>1</v>
      </c>
      <c r="E215">
        <v>5</v>
      </c>
      <c r="F215">
        <v>0</v>
      </c>
      <c r="G215">
        <v>221</v>
      </c>
      <c r="H215">
        <v>1</v>
      </c>
      <c r="I215">
        <v>25</v>
      </c>
      <c r="J215">
        <v>222</v>
      </c>
      <c r="K215">
        <v>1</v>
      </c>
      <c r="L215">
        <v>25</v>
      </c>
      <c r="M215">
        <v>223</v>
      </c>
      <c r="N215">
        <v>1</v>
      </c>
      <c r="W215">
        <v>675</v>
      </c>
      <c r="X215">
        <v>196</v>
      </c>
      <c r="Y215">
        <v>1771</v>
      </c>
      <c r="AC215">
        <v>1</v>
      </c>
    </row>
    <row r="216" spans="1:29">
      <c r="A216">
        <f t="shared" si="3"/>
        <v>216</v>
      </c>
      <c r="B216" s="103" t="s">
        <v>179</v>
      </c>
      <c r="C216">
        <v>113002</v>
      </c>
      <c r="D216">
        <v>1</v>
      </c>
      <c r="E216">
        <v>1</v>
      </c>
      <c r="F216">
        <v>0</v>
      </c>
      <c r="G216">
        <v>247</v>
      </c>
      <c r="H216">
        <v>1</v>
      </c>
      <c r="I216">
        <v>25</v>
      </c>
      <c r="J216">
        <v>248</v>
      </c>
      <c r="K216">
        <v>1</v>
      </c>
      <c r="L216">
        <v>25</v>
      </c>
      <c r="M216">
        <v>251</v>
      </c>
      <c r="N216">
        <v>1</v>
      </c>
      <c r="O216">
        <v>25</v>
      </c>
      <c r="P216">
        <v>254</v>
      </c>
      <c r="Q216">
        <v>1</v>
      </c>
      <c r="R216">
        <v>20</v>
      </c>
      <c r="S216">
        <v>252</v>
      </c>
      <c r="T216">
        <v>1</v>
      </c>
      <c r="W216">
        <v>152</v>
      </c>
      <c r="X216">
        <v>38</v>
      </c>
      <c r="Y216">
        <v>516</v>
      </c>
      <c r="AC216">
        <v>1</v>
      </c>
    </row>
    <row r="217" spans="1:29">
      <c r="A217">
        <f t="shared" si="3"/>
        <v>217</v>
      </c>
      <c r="B217" s="103" t="s">
        <v>179</v>
      </c>
      <c r="C217">
        <v>113006</v>
      </c>
      <c r="D217">
        <v>1</v>
      </c>
      <c r="E217">
        <v>2</v>
      </c>
      <c r="F217">
        <v>0</v>
      </c>
      <c r="G217">
        <v>263</v>
      </c>
      <c r="H217">
        <v>1</v>
      </c>
      <c r="I217">
        <v>25</v>
      </c>
      <c r="J217">
        <v>264</v>
      </c>
      <c r="K217">
        <v>1</v>
      </c>
      <c r="L217">
        <v>25</v>
      </c>
      <c r="M217">
        <v>265</v>
      </c>
      <c r="N217">
        <v>1</v>
      </c>
      <c r="O217">
        <v>25</v>
      </c>
      <c r="P217">
        <v>266</v>
      </c>
      <c r="Q217">
        <v>1</v>
      </c>
      <c r="R217">
        <v>20</v>
      </c>
      <c r="S217">
        <v>267</v>
      </c>
      <c r="T217">
        <v>1</v>
      </c>
      <c r="W217">
        <v>152</v>
      </c>
      <c r="X217">
        <v>38</v>
      </c>
      <c r="Y217">
        <v>516</v>
      </c>
      <c r="AC217">
        <v>1</v>
      </c>
    </row>
    <row r="218" spans="1:29">
      <c r="A218">
        <f t="shared" si="3"/>
        <v>218</v>
      </c>
      <c r="B218" s="103" t="s">
        <v>179</v>
      </c>
      <c r="C218">
        <v>112008</v>
      </c>
      <c r="D218">
        <v>1</v>
      </c>
      <c r="E218">
        <v>3</v>
      </c>
      <c r="F218">
        <v>0</v>
      </c>
      <c r="G218">
        <v>73</v>
      </c>
      <c r="H218">
        <v>1</v>
      </c>
      <c r="I218">
        <v>25</v>
      </c>
      <c r="J218">
        <v>74</v>
      </c>
      <c r="K218">
        <v>1</v>
      </c>
      <c r="L218">
        <v>25</v>
      </c>
      <c r="M218">
        <v>75</v>
      </c>
      <c r="N218">
        <v>1</v>
      </c>
      <c r="O218">
        <v>25</v>
      </c>
      <c r="P218">
        <v>76</v>
      </c>
      <c r="Q218">
        <v>1</v>
      </c>
      <c r="R218">
        <v>20</v>
      </c>
      <c r="S218">
        <v>77</v>
      </c>
      <c r="T218">
        <v>1</v>
      </c>
      <c r="W218">
        <v>152</v>
      </c>
      <c r="X218">
        <v>38</v>
      </c>
      <c r="Y218">
        <v>516</v>
      </c>
      <c r="AC218">
        <v>1</v>
      </c>
    </row>
    <row r="219" spans="1:29">
      <c r="A219">
        <f t="shared" si="3"/>
        <v>219</v>
      </c>
      <c r="B219" s="103" t="s">
        <v>179</v>
      </c>
      <c r="C219">
        <v>112013</v>
      </c>
      <c r="D219">
        <v>1</v>
      </c>
      <c r="E219">
        <v>4</v>
      </c>
      <c r="F219">
        <v>0</v>
      </c>
      <c r="G219">
        <v>116</v>
      </c>
      <c r="H219">
        <v>1</v>
      </c>
      <c r="I219">
        <v>25</v>
      </c>
      <c r="J219">
        <v>117</v>
      </c>
      <c r="K219">
        <v>1</v>
      </c>
      <c r="L219">
        <v>25</v>
      </c>
      <c r="M219">
        <v>118</v>
      </c>
      <c r="N219">
        <v>1</v>
      </c>
      <c r="O219">
        <v>25</v>
      </c>
      <c r="P219">
        <v>119</v>
      </c>
      <c r="Q219">
        <v>1</v>
      </c>
      <c r="R219">
        <v>20</v>
      </c>
      <c r="S219">
        <v>123</v>
      </c>
      <c r="T219">
        <v>1</v>
      </c>
      <c r="W219">
        <v>152</v>
      </c>
      <c r="X219">
        <v>38</v>
      </c>
      <c r="Y219">
        <v>516</v>
      </c>
      <c r="AC219">
        <v>1</v>
      </c>
    </row>
    <row r="220" spans="1:29">
      <c r="A220">
        <f t="shared" si="3"/>
        <v>220</v>
      </c>
      <c r="B220" s="103" t="s">
        <v>179</v>
      </c>
      <c r="C220">
        <v>112014</v>
      </c>
      <c r="D220">
        <v>1</v>
      </c>
      <c r="E220">
        <v>5</v>
      </c>
      <c r="F220">
        <v>0</v>
      </c>
      <c r="G220">
        <v>140</v>
      </c>
      <c r="H220">
        <v>1</v>
      </c>
      <c r="I220">
        <v>25</v>
      </c>
      <c r="J220">
        <v>142</v>
      </c>
      <c r="K220">
        <v>1</v>
      </c>
      <c r="L220">
        <v>25</v>
      </c>
      <c r="M220">
        <v>143</v>
      </c>
      <c r="N220">
        <v>1</v>
      </c>
      <c r="O220">
        <v>25</v>
      </c>
      <c r="P220">
        <v>144</v>
      </c>
      <c r="Q220">
        <v>1</v>
      </c>
      <c r="R220">
        <v>20</v>
      </c>
      <c r="S220">
        <v>147</v>
      </c>
      <c r="T220">
        <v>1</v>
      </c>
      <c r="W220">
        <v>152</v>
      </c>
      <c r="X220">
        <v>38</v>
      </c>
      <c r="Y220">
        <v>516</v>
      </c>
      <c r="AC220">
        <v>1</v>
      </c>
    </row>
    <row r="221" spans="1:29">
      <c r="A221">
        <f t="shared" si="3"/>
        <v>221</v>
      </c>
      <c r="B221" s="103" t="s">
        <v>180</v>
      </c>
      <c r="C221">
        <v>112015</v>
      </c>
      <c r="D221">
        <v>1</v>
      </c>
      <c r="E221">
        <v>1</v>
      </c>
      <c r="F221">
        <v>0</v>
      </c>
      <c r="G221">
        <v>132</v>
      </c>
      <c r="H221">
        <v>1</v>
      </c>
      <c r="I221">
        <v>25</v>
      </c>
      <c r="J221">
        <v>133</v>
      </c>
      <c r="K221">
        <v>1</v>
      </c>
      <c r="L221">
        <v>25</v>
      </c>
      <c r="M221">
        <v>134</v>
      </c>
      <c r="N221">
        <v>1</v>
      </c>
      <c r="O221">
        <v>25</v>
      </c>
      <c r="P221">
        <v>136</v>
      </c>
      <c r="Q221">
        <v>1</v>
      </c>
      <c r="R221">
        <v>20</v>
      </c>
      <c r="S221">
        <v>139</v>
      </c>
      <c r="T221">
        <v>1</v>
      </c>
      <c r="W221">
        <v>419</v>
      </c>
      <c r="X221">
        <v>113</v>
      </c>
      <c r="Y221">
        <v>1012</v>
      </c>
      <c r="AC221">
        <v>1</v>
      </c>
    </row>
    <row r="222" spans="1:29">
      <c r="A222">
        <f t="shared" si="3"/>
        <v>222</v>
      </c>
      <c r="B222" s="103" t="s">
        <v>180</v>
      </c>
      <c r="C222">
        <v>112017</v>
      </c>
      <c r="D222">
        <v>1</v>
      </c>
      <c r="E222">
        <v>2</v>
      </c>
      <c r="F222">
        <v>0</v>
      </c>
      <c r="G222">
        <v>213</v>
      </c>
      <c r="H222">
        <v>1</v>
      </c>
      <c r="I222">
        <v>25</v>
      </c>
      <c r="J222">
        <v>214</v>
      </c>
      <c r="K222">
        <v>1</v>
      </c>
      <c r="L222">
        <v>25</v>
      </c>
      <c r="M222">
        <v>215</v>
      </c>
      <c r="N222">
        <v>1</v>
      </c>
      <c r="O222">
        <v>25</v>
      </c>
      <c r="P222">
        <v>216</v>
      </c>
      <c r="Q222">
        <v>1</v>
      </c>
      <c r="R222">
        <v>20</v>
      </c>
      <c r="S222">
        <v>217</v>
      </c>
      <c r="T222">
        <v>1</v>
      </c>
      <c r="W222">
        <v>419</v>
      </c>
      <c r="X222">
        <v>113</v>
      </c>
      <c r="Y222">
        <v>1012</v>
      </c>
      <c r="AC222">
        <v>1</v>
      </c>
    </row>
    <row r="223" spans="1:29">
      <c r="A223">
        <f t="shared" si="3"/>
        <v>223</v>
      </c>
      <c r="B223" s="103" t="s">
        <v>180</v>
      </c>
      <c r="C223">
        <v>112019</v>
      </c>
      <c r="D223">
        <v>1</v>
      </c>
      <c r="E223">
        <v>3</v>
      </c>
      <c r="F223">
        <v>0</v>
      </c>
      <c r="G223">
        <v>255</v>
      </c>
      <c r="H223">
        <v>1</v>
      </c>
      <c r="I223">
        <v>25</v>
      </c>
      <c r="J223">
        <v>256</v>
      </c>
      <c r="K223">
        <v>1</v>
      </c>
      <c r="L223">
        <v>25</v>
      </c>
      <c r="M223">
        <v>258</v>
      </c>
      <c r="N223">
        <v>1</v>
      </c>
      <c r="O223">
        <v>25</v>
      </c>
      <c r="P223">
        <v>259</v>
      </c>
      <c r="Q223">
        <v>1</v>
      </c>
      <c r="R223">
        <v>20</v>
      </c>
      <c r="S223">
        <v>260</v>
      </c>
      <c r="T223">
        <v>1</v>
      </c>
      <c r="W223">
        <v>419</v>
      </c>
      <c r="X223">
        <v>113</v>
      </c>
      <c r="Y223">
        <v>1012</v>
      </c>
      <c r="AC223">
        <v>1</v>
      </c>
    </row>
    <row r="224" spans="1:29">
      <c r="A224">
        <f t="shared" si="3"/>
        <v>224</v>
      </c>
      <c r="B224" s="103" t="s">
        <v>180</v>
      </c>
      <c r="C224">
        <v>113010</v>
      </c>
      <c r="D224">
        <v>1</v>
      </c>
      <c r="E224">
        <v>4</v>
      </c>
      <c r="F224">
        <v>0</v>
      </c>
      <c r="G224">
        <v>299</v>
      </c>
      <c r="H224">
        <v>1</v>
      </c>
      <c r="I224">
        <v>25</v>
      </c>
      <c r="J224">
        <v>300</v>
      </c>
      <c r="K224">
        <v>1</v>
      </c>
      <c r="L224">
        <v>25</v>
      </c>
      <c r="M224">
        <v>301</v>
      </c>
      <c r="N224">
        <v>1</v>
      </c>
      <c r="O224">
        <v>25</v>
      </c>
      <c r="P224">
        <v>302</v>
      </c>
      <c r="Q224">
        <v>1</v>
      </c>
      <c r="R224">
        <v>20</v>
      </c>
      <c r="S224">
        <v>303</v>
      </c>
      <c r="T224">
        <v>1</v>
      </c>
      <c r="W224">
        <v>419</v>
      </c>
      <c r="X224">
        <v>113</v>
      </c>
      <c r="Y224">
        <v>1012</v>
      </c>
      <c r="AC224">
        <v>1</v>
      </c>
    </row>
    <row r="225" spans="1:29">
      <c r="A225">
        <f t="shared" si="3"/>
        <v>225</v>
      </c>
      <c r="B225" s="103" t="s">
        <v>180</v>
      </c>
      <c r="C225">
        <v>113001</v>
      </c>
      <c r="D225">
        <v>1</v>
      </c>
      <c r="E225">
        <v>5</v>
      </c>
      <c r="F225">
        <v>0</v>
      </c>
      <c r="G225">
        <v>239</v>
      </c>
      <c r="H225">
        <v>1</v>
      </c>
      <c r="I225">
        <v>25</v>
      </c>
      <c r="J225">
        <v>240</v>
      </c>
      <c r="K225">
        <v>1</v>
      </c>
      <c r="L225">
        <v>25</v>
      </c>
      <c r="M225">
        <v>241</v>
      </c>
      <c r="N225">
        <v>1</v>
      </c>
      <c r="O225">
        <v>25</v>
      </c>
      <c r="P225">
        <v>242</v>
      </c>
      <c r="Q225">
        <v>1</v>
      </c>
      <c r="R225">
        <v>20</v>
      </c>
      <c r="S225">
        <v>243</v>
      </c>
      <c r="T225">
        <v>1</v>
      </c>
      <c r="W225">
        <v>419</v>
      </c>
      <c r="X225">
        <v>113</v>
      </c>
      <c r="Y225">
        <v>1012</v>
      </c>
      <c r="AC225">
        <v>1</v>
      </c>
    </row>
    <row r="226" spans="1:29">
      <c r="A226">
        <f t="shared" si="3"/>
        <v>226</v>
      </c>
      <c r="B226" s="103" t="s">
        <v>181</v>
      </c>
      <c r="C226">
        <v>112001</v>
      </c>
      <c r="D226">
        <v>1</v>
      </c>
      <c r="E226">
        <v>1</v>
      </c>
      <c r="F226">
        <v>0</v>
      </c>
      <c r="G226">
        <v>1</v>
      </c>
      <c r="H226">
        <v>1</v>
      </c>
      <c r="I226">
        <v>25</v>
      </c>
      <c r="J226">
        <v>2</v>
      </c>
      <c r="K226">
        <v>1</v>
      </c>
      <c r="L226">
        <v>25</v>
      </c>
      <c r="M226">
        <v>6</v>
      </c>
      <c r="N226">
        <v>1</v>
      </c>
      <c r="O226">
        <v>25</v>
      </c>
      <c r="P226">
        <v>8</v>
      </c>
      <c r="Q226">
        <v>1</v>
      </c>
      <c r="R226">
        <v>20</v>
      </c>
      <c r="S226">
        <v>3</v>
      </c>
      <c r="T226">
        <v>1</v>
      </c>
      <c r="W226">
        <v>720</v>
      </c>
      <c r="X226">
        <v>176</v>
      </c>
      <c r="Y226">
        <v>1853</v>
      </c>
      <c r="AC226">
        <v>1</v>
      </c>
    </row>
    <row r="227" spans="1:29">
      <c r="A227">
        <f t="shared" si="3"/>
        <v>227</v>
      </c>
      <c r="B227" s="103" t="s">
        <v>181</v>
      </c>
      <c r="C227">
        <v>112002</v>
      </c>
      <c r="D227">
        <v>1</v>
      </c>
      <c r="E227">
        <v>2</v>
      </c>
      <c r="F227">
        <v>0</v>
      </c>
      <c r="G227">
        <v>24</v>
      </c>
      <c r="H227">
        <v>1</v>
      </c>
      <c r="I227">
        <v>25</v>
      </c>
      <c r="J227">
        <v>25</v>
      </c>
      <c r="K227">
        <v>1</v>
      </c>
      <c r="L227">
        <v>25</v>
      </c>
      <c r="M227">
        <v>26</v>
      </c>
      <c r="N227">
        <v>1</v>
      </c>
      <c r="O227">
        <v>25</v>
      </c>
      <c r="P227">
        <v>29</v>
      </c>
      <c r="Q227">
        <v>1</v>
      </c>
      <c r="R227">
        <v>20</v>
      </c>
      <c r="S227">
        <v>31</v>
      </c>
      <c r="T227">
        <v>1</v>
      </c>
      <c r="W227">
        <v>720</v>
      </c>
      <c r="X227">
        <v>176</v>
      </c>
      <c r="Y227">
        <v>1853</v>
      </c>
      <c r="AC227">
        <v>1</v>
      </c>
    </row>
    <row r="228" spans="1:29">
      <c r="A228">
        <f t="shared" si="3"/>
        <v>228</v>
      </c>
      <c r="B228" s="103" t="s">
        <v>181</v>
      </c>
      <c r="C228">
        <v>112005</v>
      </c>
      <c r="D228">
        <v>1</v>
      </c>
      <c r="E228">
        <v>3</v>
      </c>
      <c r="F228">
        <v>0</v>
      </c>
      <c r="G228">
        <v>47</v>
      </c>
      <c r="H228">
        <v>1</v>
      </c>
      <c r="I228">
        <v>25</v>
      </c>
      <c r="J228">
        <v>48</v>
      </c>
      <c r="K228">
        <v>1</v>
      </c>
      <c r="L228">
        <v>25</v>
      </c>
      <c r="M228">
        <v>50</v>
      </c>
      <c r="N228">
        <v>1</v>
      </c>
      <c r="O228">
        <v>25</v>
      </c>
      <c r="P228">
        <v>53</v>
      </c>
      <c r="Q228">
        <v>1</v>
      </c>
      <c r="R228">
        <v>20</v>
      </c>
      <c r="S228">
        <v>51</v>
      </c>
      <c r="T228">
        <v>1</v>
      </c>
      <c r="W228">
        <v>720</v>
      </c>
      <c r="X228">
        <v>176</v>
      </c>
      <c r="Y228">
        <v>1853</v>
      </c>
      <c r="AC228">
        <v>1</v>
      </c>
    </row>
    <row r="229" spans="1:29">
      <c r="A229">
        <f t="shared" si="3"/>
        <v>229</v>
      </c>
      <c r="B229" s="103" t="s">
        <v>181</v>
      </c>
      <c r="C229">
        <v>112003</v>
      </c>
      <c r="D229">
        <v>1</v>
      </c>
      <c r="E229">
        <v>4</v>
      </c>
      <c r="F229">
        <v>0</v>
      </c>
      <c r="G229">
        <v>63</v>
      </c>
      <c r="H229">
        <v>1</v>
      </c>
      <c r="I229">
        <v>25</v>
      </c>
      <c r="J229">
        <v>65</v>
      </c>
      <c r="K229">
        <v>1</v>
      </c>
      <c r="L229">
        <v>25</v>
      </c>
      <c r="M229">
        <v>66</v>
      </c>
      <c r="N229">
        <v>1</v>
      </c>
      <c r="O229">
        <v>25</v>
      </c>
      <c r="P229">
        <v>68</v>
      </c>
      <c r="Q229">
        <v>1</v>
      </c>
      <c r="R229">
        <v>20</v>
      </c>
      <c r="S229">
        <v>67</v>
      </c>
      <c r="T229">
        <v>1</v>
      </c>
      <c r="W229">
        <v>720</v>
      </c>
      <c r="X229">
        <v>176</v>
      </c>
      <c r="Y229">
        <v>1853</v>
      </c>
      <c r="AC229">
        <v>1</v>
      </c>
    </row>
    <row r="230" spans="1:29">
      <c r="A230">
        <f t="shared" si="3"/>
        <v>230</v>
      </c>
      <c r="B230" s="103" t="s">
        <v>181</v>
      </c>
      <c r="C230">
        <v>112004</v>
      </c>
      <c r="D230">
        <v>1</v>
      </c>
      <c r="E230">
        <v>5</v>
      </c>
      <c r="F230">
        <v>0</v>
      </c>
      <c r="G230">
        <v>55</v>
      </c>
      <c r="H230">
        <v>1</v>
      </c>
      <c r="I230">
        <v>25</v>
      </c>
      <c r="J230">
        <v>58</v>
      </c>
      <c r="K230">
        <v>1</v>
      </c>
      <c r="L230">
        <v>25</v>
      </c>
      <c r="M230">
        <v>59</v>
      </c>
      <c r="N230">
        <v>1</v>
      </c>
      <c r="O230">
        <v>25</v>
      </c>
      <c r="P230">
        <v>60</v>
      </c>
      <c r="Q230">
        <v>1</v>
      </c>
      <c r="R230">
        <v>20</v>
      </c>
      <c r="S230">
        <v>62</v>
      </c>
      <c r="T230">
        <v>1</v>
      </c>
      <c r="W230">
        <v>720</v>
      </c>
      <c r="X230">
        <v>176</v>
      </c>
      <c r="Y230">
        <v>1853</v>
      </c>
      <c r="AC230">
        <v>1</v>
      </c>
    </row>
    <row r="231" spans="1:29">
      <c r="A231">
        <f t="shared" si="3"/>
        <v>231</v>
      </c>
      <c r="B231" s="103" t="s">
        <v>182</v>
      </c>
      <c r="C231">
        <v>112010</v>
      </c>
      <c r="D231">
        <v>1</v>
      </c>
      <c r="E231">
        <v>1</v>
      </c>
      <c r="F231">
        <v>0</v>
      </c>
      <c r="G231">
        <v>91</v>
      </c>
      <c r="H231">
        <v>1</v>
      </c>
      <c r="I231">
        <v>25</v>
      </c>
      <c r="J231">
        <v>92</v>
      </c>
      <c r="K231">
        <v>1</v>
      </c>
      <c r="L231">
        <v>25</v>
      </c>
      <c r="M231">
        <v>97</v>
      </c>
      <c r="N231">
        <v>1</v>
      </c>
      <c r="O231">
        <v>25</v>
      </c>
      <c r="P231">
        <v>96</v>
      </c>
      <c r="Q231">
        <v>1</v>
      </c>
      <c r="R231">
        <v>20</v>
      </c>
      <c r="S231">
        <v>98</v>
      </c>
      <c r="T231">
        <v>1</v>
      </c>
      <c r="W231">
        <v>675</v>
      </c>
      <c r="X231">
        <v>196</v>
      </c>
      <c r="Y231">
        <v>1771</v>
      </c>
      <c r="AC231">
        <v>1</v>
      </c>
    </row>
    <row r="232" spans="1:29">
      <c r="A232">
        <f t="shared" si="3"/>
        <v>232</v>
      </c>
      <c r="B232" s="103" t="s">
        <v>182</v>
      </c>
      <c r="C232">
        <v>112011</v>
      </c>
      <c r="D232">
        <v>1</v>
      </c>
      <c r="E232">
        <v>2</v>
      </c>
      <c r="F232">
        <v>0</v>
      </c>
      <c r="G232">
        <v>107</v>
      </c>
      <c r="H232">
        <v>1</v>
      </c>
      <c r="I232">
        <v>25</v>
      </c>
      <c r="J232">
        <v>108</v>
      </c>
      <c r="K232">
        <v>1</v>
      </c>
      <c r="L232">
        <v>25</v>
      </c>
      <c r="M232">
        <v>109</v>
      </c>
      <c r="N232">
        <v>1</v>
      </c>
      <c r="O232">
        <v>25</v>
      </c>
      <c r="P232">
        <v>110</v>
      </c>
      <c r="Q232">
        <v>1</v>
      </c>
      <c r="R232">
        <v>20</v>
      </c>
      <c r="S232">
        <v>115</v>
      </c>
      <c r="T232">
        <v>1</v>
      </c>
      <c r="W232">
        <v>675</v>
      </c>
      <c r="X232">
        <v>196</v>
      </c>
      <c r="Y232">
        <v>1771</v>
      </c>
      <c r="AC232">
        <v>1</v>
      </c>
    </row>
    <row r="233" spans="1:29">
      <c r="A233">
        <f t="shared" si="3"/>
        <v>233</v>
      </c>
      <c r="B233" s="103" t="s">
        <v>182</v>
      </c>
      <c r="C233">
        <v>112012</v>
      </c>
      <c r="D233">
        <v>1</v>
      </c>
      <c r="E233">
        <v>3</v>
      </c>
      <c r="F233">
        <v>0</v>
      </c>
      <c r="G233">
        <v>124</v>
      </c>
      <c r="H233">
        <v>1</v>
      </c>
      <c r="I233">
        <v>25</v>
      </c>
      <c r="J233">
        <v>125</v>
      </c>
      <c r="K233">
        <v>1</v>
      </c>
      <c r="L233">
        <v>25</v>
      </c>
      <c r="M233">
        <v>126</v>
      </c>
      <c r="N233">
        <v>1</v>
      </c>
      <c r="O233">
        <v>25</v>
      </c>
      <c r="P233">
        <v>127</v>
      </c>
      <c r="Q233">
        <v>1</v>
      </c>
      <c r="R233">
        <v>20</v>
      </c>
      <c r="S233">
        <v>131</v>
      </c>
      <c r="T233">
        <v>1</v>
      </c>
      <c r="W233">
        <v>675</v>
      </c>
      <c r="X233">
        <v>196</v>
      </c>
      <c r="Y233">
        <v>1771</v>
      </c>
      <c r="AC233">
        <v>1</v>
      </c>
    </row>
    <row r="234" spans="1:29">
      <c r="A234">
        <f t="shared" si="3"/>
        <v>234</v>
      </c>
      <c r="B234" s="103" t="s">
        <v>182</v>
      </c>
      <c r="C234">
        <v>111001</v>
      </c>
      <c r="D234">
        <v>1</v>
      </c>
      <c r="E234">
        <v>4</v>
      </c>
      <c r="F234">
        <v>0</v>
      </c>
      <c r="G234">
        <v>183</v>
      </c>
      <c r="H234">
        <v>1</v>
      </c>
      <c r="I234">
        <v>25</v>
      </c>
      <c r="J234">
        <v>184</v>
      </c>
      <c r="K234">
        <v>1</v>
      </c>
      <c r="L234">
        <v>25</v>
      </c>
      <c r="M234">
        <v>185</v>
      </c>
      <c r="N234">
        <v>1</v>
      </c>
      <c r="W234">
        <v>675</v>
      </c>
      <c r="X234">
        <v>196</v>
      </c>
      <c r="Y234">
        <v>1771</v>
      </c>
      <c r="AC234">
        <v>1</v>
      </c>
    </row>
    <row r="235" spans="1:29">
      <c r="A235">
        <f t="shared" si="3"/>
        <v>235</v>
      </c>
      <c r="B235" s="103" t="s">
        <v>182</v>
      </c>
      <c r="C235">
        <v>111002</v>
      </c>
      <c r="D235">
        <v>1</v>
      </c>
      <c r="E235">
        <v>5</v>
      </c>
      <c r="F235">
        <v>0</v>
      </c>
      <c r="G235">
        <v>164</v>
      </c>
      <c r="H235">
        <v>1</v>
      </c>
      <c r="I235">
        <v>25</v>
      </c>
      <c r="J235">
        <v>165</v>
      </c>
      <c r="K235">
        <v>1</v>
      </c>
      <c r="L235">
        <v>25</v>
      </c>
      <c r="M235">
        <v>166</v>
      </c>
      <c r="N235">
        <v>1</v>
      </c>
      <c r="W235">
        <v>675</v>
      </c>
      <c r="X235">
        <v>196</v>
      </c>
      <c r="Y235">
        <v>1771</v>
      </c>
      <c r="AC235">
        <v>1</v>
      </c>
    </row>
    <row r="236" spans="1:29">
      <c r="A236">
        <f t="shared" si="3"/>
        <v>236</v>
      </c>
      <c r="B236" s="103" t="s">
        <v>183</v>
      </c>
      <c r="C236">
        <v>111003</v>
      </c>
      <c r="D236">
        <v>1</v>
      </c>
      <c r="E236">
        <v>1</v>
      </c>
      <c r="F236">
        <v>0</v>
      </c>
      <c r="G236">
        <v>186</v>
      </c>
      <c r="H236">
        <v>1</v>
      </c>
      <c r="I236">
        <v>25</v>
      </c>
      <c r="J236">
        <v>187</v>
      </c>
      <c r="K236">
        <v>1</v>
      </c>
      <c r="L236">
        <v>25</v>
      </c>
      <c r="M236">
        <v>188</v>
      </c>
      <c r="N236">
        <v>1</v>
      </c>
      <c r="W236">
        <v>152</v>
      </c>
      <c r="X236">
        <v>38</v>
      </c>
      <c r="Y236">
        <v>516</v>
      </c>
      <c r="AC236">
        <v>1</v>
      </c>
    </row>
    <row r="237" spans="1:29">
      <c r="A237">
        <f t="shared" si="3"/>
        <v>237</v>
      </c>
      <c r="B237" s="103" t="s">
        <v>183</v>
      </c>
      <c r="C237">
        <v>111004</v>
      </c>
      <c r="D237">
        <v>1</v>
      </c>
      <c r="E237">
        <v>2</v>
      </c>
      <c r="F237">
        <v>0</v>
      </c>
      <c r="G237">
        <v>167</v>
      </c>
      <c r="H237">
        <v>1</v>
      </c>
      <c r="I237">
        <v>25</v>
      </c>
      <c r="J237">
        <v>168</v>
      </c>
      <c r="K237">
        <v>1</v>
      </c>
      <c r="L237">
        <v>25</v>
      </c>
      <c r="M237">
        <v>169</v>
      </c>
      <c r="N237">
        <v>1</v>
      </c>
      <c r="R237">
        <v>20</v>
      </c>
      <c r="S237">
        <v>170</v>
      </c>
      <c r="T237">
        <v>1</v>
      </c>
      <c r="W237">
        <v>152</v>
      </c>
      <c r="X237">
        <v>38</v>
      </c>
      <c r="Y237">
        <v>516</v>
      </c>
      <c r="AC237">
        <v>1</v>
      </c>
    </row>
    <row r="238" spans="1:29">
      <c r="A238">
        <f t="shared" si="3"/>
        <v>238</v>
      </c>
      <c r="B238" s="103" t="s">
        <v>183</v>
      </c>
      <c r="C238">
        <v>111005</v>
      </c>
      <c r="D238">
        <v>1</v>
      </c>
      <c r="E238">
        <v>3</v>
      </c>
      <c r="F238">
        <v>0</v>
      </c>
      <c r="G238">
        <v>88</v>
      </c>
      <c r="H238">
        <v>1</v>
      </c>
      <c r="I238">
        <v>25</v>
      </c>
      <c r="J238">
        <v>89</v>
      </c>
      <c r="K238">
        <v>1</v>
      </c>
      <c r="L238">
        <v>25</v>
      </c>
      <c r="M238">
        <v>90</v>
      </c>
      <c r="N238">
        <v>1</v>
      </c>
      <c r="W238">
        <v>152</v>
      </c>
      <c r="X238">
        <v>38</v>
      </c>
      <c r="Y238">
        <v>516</v>
      </c>
      <c r="AC238">
        <v>1</v>
      </c>
    </row>
    <row r="239" spans="1:29">
      <c r="A239">
        <f t="shared" si="3"/>
        <v>239</v>
      </c>
      <c r="B239" s="103" t="s">
        <v>183</v>
      </c>
      <c r="C239">
        <v>111006</v>
      </c>
      <c r="D239">
        <v>1</v>
      </c>
      <c r="E239">
        <v>4</v>
      </c>
      <c r="F239">
        <v>0</v>
      </c>
      <c r="G239">
        <v>175</v>
      </c>
      <c r="H239">
        <v>1</v>
      </c>
      <c r="I239">
        <v>25</v>
      </c>
      <c r="J239">
        <v>176</v>
      </c>
      <c r="K239">
        <v>1</v>
      </c>
      <c r="L239">
        <v>25</v>
      </c>
      <c r="M239">
        <v>177</v>
      </c>
      <c r="N239">
        <v>1</v>
      </c>
      <c r="R239" s="106">
        <v>20</v>
      </c>
      <c r="S239" s="106">
        <v>178</v>
      </c>
      <c r="T239" s="106">
        <v>1</v>
      </c>
      <c r="W239">
        <v>152</v>
      </c>
      <c r="X239">
        <v>38</v>
      </c>
      <c r="Y239">
        <v>516</v>
      </c>
      <c r="AC239">
        <v>1</v>
      </c>
    </row>
    <row r="240" spans="1:29">
      <c r="A240">
        <f t="shared" si="3"/>
        <v>240</v>
      </c>
      <c r="B240" s="103" t="s">
        <v>183</v>
      </c>
      <c r="C240">
        <v>111007</v>
      </c>
      <c r="D240">
        <v>1</v>
      </c>
      <c r="E240">
        <v>5</v>
      </c>
      <c r="F240">
        <v>0</v>
      </c>
      <c r="G240" s="106">
        <v>179</v>
      </c>
      <c r="H240" s="106">
        <v>1</v>
      </c>
      <c r="I240">
        <v>25</v>
      </c>
      <c r="J240" s="106">
        <v>180</v>
      </c>
      <c r="K240" s="106">
        <v>1</v>
      </c>
      <c r="L240">
        <v>25</v>
      </c>
      <c r="M240" s="106">
        <v>181</v>
      </c>
      <c r="N240" s="106">
        <v>1</v>
      </c>
      <c r="O240">
        <v>25</v>
      </c>
      <c r="P240" s="106">
        <v>182</v>
      </c>
      <c r="Q240" s="106">
        <v>1</v>
      </c>
      <c r="W240">
        <v>152</v>
      </c>
      <c r="X240">
        <v>38</v>
      </c>
      <c r="Y240">
        <v>516</v>
      </c>
      <c r="AC240">
        <v>1</v>
      </c>
    </row>
    <row r="241" spans="1:29">
      <c r="A241">
        <f t="shared" si="3"/>
        <v>241</v>
      </c>
      <c r="B241" s="103" t="s">
        <v>184</v>
      </c>
      <c r="C241">
        <v>111008</v>
      </c>
      <c r="D241">
        <v>1</v>
      </c>
      <c r="E241">
        <v>1</v>
      </c>
      <c r="F241">
        <v>0</v>
      </c>
      <c r="G241">
        <v>296</v>
      </c>
      <c r="H241">
        <v>1</v>
      </c>
      <c r="I241">
        <v>25</v>
      </c>
      <c r="J241">
        <v>297</v>
      </c>
      <c r="K241">
        <v>1</v>
      </c>
      <c r="L241">
        <v>25</v>
      </c>
      <c r="M241">
        <v>298</v>
      </c>
      <c r="N241">
        <v>1</v>
      </c>
      <c r="W241">
        <v>419</v>
      </c>
      <c r="X241">
        <v>113</v>
      </c>
      <c r="Y241">
        <v>1012</v>
      </c>
      <c r="AC241">
        <v>1</v>
      </c>
    </row>
    <row r="242" spans="1:29">
      <c r="A242">
        <f t="shared" si="3"/>
        <v>242</v>
      </c>
      <c r="B242" s="103" t="s">
        <v>184</v>
      </c>
      <c r="C242">
        <v>111009</v>
      </c>
      <c r="D242">
        <v>1</v>
      </c>
      <c r="E242">
        <v>2</v>
      </c>
      <c r="F242">
        <v>0</v>
      </c>
      <c r="G242">
        <v>171</v>
      </c>
      <c r="H242">
        <v>1</v>
      </c>
      <c r="I242">
        <v>25</v>
      </c>
      <c r="J242">
        <v>172</v>
      </c>
      <c r="K242">
        <v>1</v>
      </c>
      <c r="L242">
        <v>25</v>
      </c>
      <c r="M242">
        <v>173</v>
      </c>
      <c r="N242">
        <v>1</v>
      </c>
      <c r="R242">
        <v>20</v>
      </c>
      <c r="S242">
        <v>174</v>
      </c>
      <c r="T242">
        <v>1</v>
      </c>
      <c r="W242">
        <v>419</v>
      </c>
      <c r="X242">
        <v>113</v>
      </c>
      <c r="Y242">
        <v>1012</v>
      </c>
      <c r="AC242">
        <v>1</v>
      </c>
    </row>
    <row r="243" spans="1:29">
      <c r="A243">
        <f t="shared" si="3"/>
        <v>243</v>
      </c>
      <c r="B243" s="103" t="s">
        <v>184</v>
      </c>
      <c r="C243">
        <v>111010</v>
      </c>
      <c r="D243">
        <v>1</v>
      </c>
      <c r="E243">
        <v>3</v>
      </c>
      <c r="F243">
        <v>0</v>
      </c>
      <c r="G243">
        <v>221</v>
      </c>
      <c r="H243">
        <v>1</v>
      </c>
      <c r="I243">
        <v>25</v>
      </c>
      <c r="J243">
        <v>222</v>
      </c>
      <c r="K243">
        <v>1</v>
      </c>
      <c r="L243">
        <v>25</v>
      </c>
      <c r="M243">
        <v>223</v>
      </c>
      <c r="N243">
        <v>1</v>
      </c>
      <c r="W243">
        <v>419</v>
      </c>
      <c r="X243">
        <v>113</v>
      </c>
      <c r="Y243">
        <v>1012</v>
      </c>
      <c r="AC243">
        <v>1</v>
      </c>
    </row>
    <row r="244" spans="1:29">
      <c r="A244">
        <f t="shared" si="3"/>
        <v>244</v>
      </c>
      <c r="B244" s="103" t="s">
        <v>184</v>
      </c>
      <c r="C244">
        <v>113002</v>
      </c>
      <c r="D244">
        <v>1</v>
      </c>
      <c r="E244">
        <v>4</v>
      </c>
      <c r="F244">
        <v>0</v>
      </c>
      <c r="G244">
        <v>247</v>
      </c>
      <c r="H244">
        <v>1</v>
      </c>
      <c r="I244">
        <v>25</v>
      </c>
      <c r="J244">
        <v>248</v>
      </c>
      <c r="K244">
        <v>1</v>
      </c>
      <c r="L244">
        <v>25</v>
      </c>
      <c r="M244">
        <v>251</v>
      </c>
      <c r="N244">
        <v>1</v>
      </c>
      <c r="O244">
        <v>25</v>
      </c>
      <c r="P244">
        <v>254</v>
      </c>
      <c r="Q244">
        <v>1</v>
      </c>
      <c r="R244">
        <v>20</v>
      </c>
      <c r="S244">
        <v>252</v>
      </c>
      <c r="T244">
        <v>1</v>
      </c>
      <c r="W244">
        <v>419</v>
      </c>
      <c r="X244">
        <v>113</v>
      </c>
      <c r="Y244">
        <v>1012</v>
      </c>
      <c r="AC244">
        <v>1</v>
      </c>
    </row>
    <row r="245" spans="1:29">
      <c r="A245">
        <f t="shared" si="3"/>
        <v>245</v>
      </c>
      <c r="B245" s="103" t="s">
        <v>184</v>
      </c>
      <c r="C245">
        <v>113006</v>
      </c>
      <c r="D245">
        <v>1</v>
      </c>
      <c r="E245">
        <v>5</v>
      </c>
      <c r="F245">
        <v>0</v>
      </c>
      <c r="G245">
        <v>263</v>
      </c>
      <c r="H245">
        <v>1</v>
      </c>
      <c r="I245">
        <v>25</v>
      </c>
      <c r="J245">
        <v>264</v>
      </c>
      <c r="K245">
        <v>1</v>
      </c>
      <c r="L245">
        <v>25</v>
      </c>
      <c r="M245">
        <v>265</v>
      </c>
      <c r="N245">
        <v>1</v>
      </c>
      <c r="O245">
        <v>25</v>
      </c>
      <c r="P245">
        <v>266</v>
      </c>
      <c r="Q245">
        <v>1</v>
      </c>
      <c r="R245">
        <v>20</v>
      </c>
      <c r="S245">
        <v>267</v>
      </c>
      <c r="T245">
        <v>1</v>
      </c>
      <c r="W245">
        <v>419</v>
      </c>
      <c r="X245">
        <v>113</v>
      </c>
      <c r="Y245">
        <v>1012</v>
      </c>
      <c r="AC245">
        <v>1</v>
      </c>
    </row>
    <row r="246" spans="1:29">
      <c r="A246">
        <f t="shared" si="3"/>
        <v>246</v>
      </c>
      <c r="B246" s="103" t="s">
        <v>185</v>
      </c>
      <c r="C246">
        <v>112008</v>
      </c>
      <c r="D246">
        <v>1</v>
      </c>
      <c r="E246">
        <v>1</v>
      </c>
      <c r="F246">
        <v>0</v>
      </c>
      <c r="G246">
        <v>73</v>
      </c>
      <c r="H246">
        <v>1</v>
      </c>
      <c r="I246">
        <v>25</v>
      </c>
      <c r="J246">
        <v>74</v>
      </c>
      <c r="K246">
        <v>1</v>
      </c>
      <c r="L246">
        <v>25</v>
      </c>
      <c r="M246">
        <v>75</v>
      </c>
      <c r="N246">
        <v>1</v>
      </c>
      <c r="O246">
        <v>25</v>
      </c>
      <c r="P246">
        <v>76</v>
      </c>
      <c r="Q246">
        <v>1</v>
      </c>
      <c r="R246">
        <v>20</v>
      </c>
      <c r="S246">
        <v>77</v>
      </c>
      <c r="T246">
        <v>1</v>
      </c>
      <c r="W246">
        <v>720</v>
      </c>
      <c r="X246">
        <v>176</v>
      </c>
      <c r="Y246">
        <v>1853</v>
      </c>
      <c r="AC246">
        <v>1</v>
      </c>
    </row>
    <row r="247" spans="1:29">
      <c r="A247">
        <f t="shared" si="3"/>
        <v>247</v>
      </c>
      <c r="B247" s="103" t="s">
        <v>185</v>
      </c>
      <c r="C247">
        <v>112013</v>
      </c>
      <c r="D247">
        <v>1</v>
      </c>
      <c r="E247">
        <v>2</v>
      </c>
      <c r="F247">
        <v>0</v>
      </c>
      <c r="G247">
        <v>116</v>
      </c>
      <c r="H247">
        <v>1</v>
      </c>
      <c r="I247">
        <v>25</v>
      </c>
      <c r="J247">
        <v>117</v>
      </c>
      <c r="K247">
        <v>1</v>
      </c>
      <c r="L247">
        <v>25</v>
      </c>
      <c r="M247">
        <v>118</v>
      </c>
      <c r="N247">
        <v>1</v>
      </c>
      <c r="O247">
        <v>25</v>
      </c>
      <c r="P247">
        <v>119</v>
      </c>
      <c r="Q247">
        <v>1</v>
      </c>
      <c r="R247">
        <v>20</v>
      </c>
      <c r="S247">
        <v>123</v>
      </c>
      <c r="T247">
        <v>1</v>
      </c>
      <c r="W247">
        <v>720</v>
      </c>
      <c r="X247">
        <v>176</v>
      </c>
      <c r="Y247">
        <v>1853</v>
      </c>
      <c r="AC247">
        <v>1</v>
      </c>
    </row>
    <row r="248" spans="1:29">
      <c r="A248">
        <f t="shared" si="3"/>
        <v>248</v>
      </c>
      <c r="B248" s="103" t="s">
        <v>185</v>
      </c>
      <c r="C248">
        <v>112014</v>
      </c>
      <c r="D248">
        <v>1</v>
      </c>
      <c r="E248">
        <v>3</v>
      </c>
      <c r="F248">
        <v>0</v>
      </c>
      <c r="G248">
        <v>140</v>
      </c>
      <c r="H248">
        <v>1</v>
      </c>
      <c r="I248">
        <v>25</v>
      </c>
      <c r="J248">
        <v>142</v>
      </c>
      <c r="K248">
        <v>1</v>
      </c>
      <c r="L248">
        <v>25</v>
      </c>
      <c r="M248">
        <v>143</v>
      </c>
      <c r="N248">
        <v>1</v>
      </c>
      <c r="O248">
        <v>25</v>
      </c>
      <c r="P248">
        <v>144</v>
      </c>
      <c r="Q248">
        <v>1</v>
      </c>
      <c r="R248">
        <v>20</v>
      </c>
      <c r="S248">
        <v>147</v>
      </c>
      <c r="T248">
        <v>1</v>
      </c>
      <c r="W248">
        <v>720</v>
      </c>
      <c r="X248">
        <v>176</v>
      </c>
      <c r="Y248">
        <v>1853</v>
      </c>
      <c r="AC248">
        <v>1</v>
      </c>
    </row>
    <row r="249" spans="1:29">
      <c r="A249">
        <f t="shared" si="3"/>
        <v>249</v>
      </c>
      <c r="B249" s="103" t="s">
        <v>185</v>
      </c>
      <c r="C249">
        <v>112015</v>
      </c>
      <c r="D249">
        <v>1</v>
      </c>
      <c r="E249">
        <v>4</v>
      </c>
      <c r="F249">
        <v>0</v>
      </c>
      <c r="G249">
        <v>132</v>
      </c>
      <c r="H249">
        <v>1</v>
      </c>
      <c r="I249">
        <v>25</v>
      </c>
      <c r="J249">
        <v>133</v>
      </c>
      <c r="K249">
        <v>1</v>
      </c>
      <c r="L249">
        <v>25</v>
      </c>
      <c r="M249">
        <v>134</v>
      </c>
      <c r="N249">
        <v>1</v>
      </c>
      <c r="O249">
        <v>25</v>
      </c>
      <c r="P249">
        <v>136</v>
      </c>
      <c r="Q249">
        <v>1</v>
      </c>
      <c r="R249">
        <v>20</v>
      </c>
      <c r="S249">
        <v>139</v>
      </c>
      <c r="T249">
        <v>1</v>
      </c>
      <c r="W249">
        <v>720</v>
      </c>
      <c r="X249">
        <v>176</v>
      </c>
      <c r="Y249">
        <v>1853</v>
      </c>
      <c r="AC249">
        <v>1</v>
      </c>
    </row>
    <row r="250" spans="1:29">
      <c r="A250">
        <f t="shared" si="3"/>
        <v>250</v>
      </c>
      <c r="B250" s="103" t="s">
        <v>185</v>
      </c>
      <c r="C250">
        <v>112017</v>
      </c>
      <c r="D250">
        <v>1</v>
      </c>
      <c r="E250">
        <v>5</v>
      </c>
      <c r="F250">
        <v>0</v>
      </c>
      <c r="G250">
        <v>213</v>
      </c>
      <c r="H250">
        <v>1</v>
      </c>
      <c r="I250">
        <v>25</v>
      </c>
      <c r="J250">
        <v>214</v>
      </c>
      <c r="K250">
        <v>1</v>
      </c>
      <c r="L250">
        <v>25</v>
      </c>
      <c r="M250">
        <v>215</v>
      </c>
      <c r="N250">
        <v>1</v>
      </c>
      <c r="O250">
        <v>25</v>
      </c>
      <c r="P250">
        <v>216</v>
      </c>
      <c r="Q250">
        <v>1</v>
      </c>
      <c r="R250">
        <v>20</v>
      </c>
      <c r="S250">
        <v>217</v>
      </c>
      <c r="T250">
        <v>1</v>
      </c>
      <c r="W250">
        <v>720</v>
      </c>
      <c r="X250">
        <v>176</v>
      </c>
      <c r="Y250">
        <v>1853</v>
      </c>
      <c r="AC250">
        <v>1</v>
      </c>
    </row>
    <row r="251" spans="1:29">
      <c r="A251">
        <f t="shared" si="3"/>
        <v>251</v>
      </c>
      <c r="B251" s="103" t="s">
        <v>186</v>
      </c>
      <c r="C251">
        <v>112019</v>
      </c>
      <c r="D251">
        <v>1</v>
      </c>
      <c r="E251">
        <v>1</v>
      </c>
      <c r="F251">
        <v>0</v>
      </c>
      <c r="G251">
        <v>255</v>
      </c>
      <c r="H251">
        <v>1</v>
      </c>
      <c r="I251">
        <v>25</v>
      </c>
      <c r="J251">
        <v>256</v>
      </c>
      <c r="K251">
        <v>1</v>
      </c>
      <c r="L251">
        <v>25</v>
      </c>
      <c r="M251">
        <v>258</v>
      </c>
      <c r="N251">
        <v>1</v>
      </c>
      <c r="O251">
        <v>25</v>
      </c>
      <c r="P251">
        <v>259</v>
      </c>
      <c r="Q251">
        <v>1</v>
      </c>
      <c r="R251">
        <v>20</v>
      </c>
      <c r="S251">
        <v>260</v>
      </c>
      <c r="T251">
        <v>1</v>
      </c>
      <c r="W251">
        <v>675</v>
      </c>
      <c r="X251">
        <v>196</v>
      </c>
      <c r="Y251">
        <v>1771</v>
      </c>
      <c r="AC251">
        <v>1</v>
      </c>
    </row>
    <row r="252" spans="1:29">
      <c r="A252">
        <f t="shared" si="3"/>
        <v>252</v>
      </c>
      <c r="B252" s="103" t="s">
        <v>186</v>
      </c>
      <c r="C252">
        <v>113010</v>
      </c>
      <c r="D252">
        <v>1</v>
      </c>
      <c r="E252">
        <v>2</v>
      </c>
      <c r="F252">
        <v>0</v>
      </c>
      <c r="G252">
        <v>299</v>
      </c>
      <c r="H252">
        <v>1</v>
      </c>
      <c r="I252">
        <v>25</v>
      </c>
      <c r="J252">
        <v>300</v>
      </c>
      <c r="K252">
        <v>1</v>
      </c>
      <c r="L252">
        <v>25</v>
      </c>
      <c r="M252">
        <v>301</v>
      </c>
      <c r="N252">
        <v>1</v>
      </c>
      <c r="O252">
        <v>25</v>
      </c>
      <c r="P252">
        <v>302</v>
      </c>
      <c r="Q252">
        <v>1</v>
      </c>
      <c r="R252">
        <v>20</v>
      </c>
      <c r="S252">
        <v>303</v>
      </c>
      <c r="T252">
        <v>1</v>
      </c>
      <c r="W252">
        <v>675</v>
      </c>
      <c r="X252">
        <v>196</v>
      </c>
      <c r="Y252">
        <v>1771</v>
      </c>
      <c r="AC252">
        <v>1</v>
      </c>
    </row>
    <row r="253" spans="1:29">
      <c r="A253">
        <f t="shared" si="3"/>
        <v>253</v>
      </c>
      <c r="B253" s="103" t="s">
        <v>186</v>
      </c>
      <c r="C253">
        <v>113001</v>
      </c>
      <c r="D253">
        <v>1</v>
      </c>
      <c r="E253">
        <v>3</v>
      </c>
      <c r="F253">
        <v>0</v>
      </c>
      <c r="G253">
        <v>239</v>
      </c>
      <c r="H253">
        <v>1</v>
      </c>
      <c r="I253">
        <v>25</v>
      </c>
      <c r="J253">
        <v>240</v>
      </c>
      <c r="K253">
        <v>1</v>
      </c>
      <c r="L253">
        <v>25</v>
      </c>
      <c r="M253">
        <v>241</v>
      </c>
      <c r="N253">
        <v>1</v>
      </c>
      <c r="O253">
        <v>25</v>
      </c>
      <c r="P253">
        <v>242</v>
      </c>
      <c r="Q253">
        <v>1</v>
      </c>
      <c r="R253">
        <v>20</v>
      </c>
      <c r="S253">
        <v>243</v>
      </c>
      <c r="T253">
        <v>1</v>
      </c>
      <c r="W253">
        <v>675</v>
      </c>
      <c r="X253">
        <v>196</v>
      </c>
      <c r="Y253">
        <v>1771</v>
      </c>
      <c r="AC253">
        <v>1</v>
      </c>
    </row>
    <row r="254" spans="1:29">
      <c r="A254">
        <f t="shared" si="3"/>
        <v>254</v>
      </c>
      <c r="B254" s="103" t="s">
        <v>186</v>
      </c>
      <c r="C254">
        <v>112001</v>
      </c>
      <c r="D254">
        <v>1</v>
      </c>
      <c r="E254">
        <v>4</v>
      </c>
      <c r="F254">
        <v>0</v>
      </c>
      <c r="G254">
        <v>1</v>
      </c>
      <c r="H254">
        <v>1</v>
      </c>
      <c r="I254">
        <v>25</v>
      </c>
      <c r="J254">
        <v>2</v>
      </c>
      <c r="K254">
        <v>1</v>
      </c>
      <c r="L254">
        <v>25</v>
      </c>
      <c r="M254">
        <v>6</v>
      </c>
      <c r="N254">
        <v>1</v>
      </c>
      <c r="O254">
        <v>25</v>
      </c>
      <c r="P254">
        <v>8</v>
      </c>
      <c r="Q254">
        <v>1</v>
      </c>
      <c r="R254">
        <v>20</v>
      </c>
      <c r="S254">
        <v>3</v>
      </c>
      <c r="T254">
        <v>1</v>
      </c>
      <c r="W254">
        <v>675</v>
      </c>
      <c r="X254">
        <v>196</v>
      </c>
      <c r="Y254">
        <v>1771</v>
      </c>
      <c r="AC254">
        <v>1</v>
      </c>
    </row>
    <row r="255" spans="1:29">
      <c r="A255">
        <f t="shared" si="3"/>
        <v>255</v>
      </c>
      <c r="B255" s="103" t="s">
        <v>186</v>
      </c>
      <c r="C255">
        <v>112002</v>
      </c>
      <c r="D255">
        <v>1</v>
      </c>
      <c r="E255">
        <v>5</v>
      </c>
      <c r="F255">
        <v>0</v>
      </c>
      <c r="G255">
        <v>24</v>
      </c>
      <c r="H255">
        <v>1</v>
      </c>
      <c r="I255">
        <v>25</v>
      </c>
      <c r="J255">
        <v>25</v>
      </c>
      <c r="K255">
        <v>1</v>
      </c>
      <c r="L255">
        <v>25</v>
      </c>
      <c r="M255">
        <v>26</v>
      </c>
      <c r="N255">
        <v>1</v>
      </c>
      <c r="O255">
        <v>25</v>
      </c>
      <c r="P255">
        <v>29</v>
      </c>
      <c r="Q255">
        <v>1</v>
      </c>
      <c r="R255">
        <v>20</v>
      </c>
      <c r="S255">
        <v>31</v>
      </c>
      <c r="T255">
        <v>1</v>
      </c>
      <c r="W255">
        <v>675</v>
      </c>
      <c r="X255">
        <v>196</v>
      </c>
      <c r="Y255">
        <v>1771</v>
      </c>
      <c r="AC255">
        <v>1</v>
      </c>
    </row>
    <row r="256" spans="1:29">
      <c r="A256">
        <f t="shared" si="3"/>
        <v>256</v>
      </c>
      <c r="B256" s="103" t="s">
        <v>187</v>
      </c>
      <c r="C256">
        <v>112005</v>
      </c>
      <c r="D256">
        <v>1</v>
      </c>
      <c r="E256">
        <v>1</v>
      </c>
      <c r="F256">
        <v>0</v>
      </c>
      <c r="G256">
        <v>47</v>
      </c>
      <c r="H256">
        <v>1</v>
      </c>
      <c r="I256">
        <v>25</v>
      </c>
      <c r="J256">
        <v>48</v>
      </c>
      <c r="K256">
        <v>1</v>
      </c>
      <c r="L256">
        <v>25</v>
      </c>
      <c r="M256">
        <v>50</v>
      </c>
      <c r="N256">
        <v>1</v>
      </c>
      <c r="O256">
        <v>25</v>
      </c>
      <c r="P256">
        <v>53</v>
      </c>
      <c r="Q256">
        <v>1</v>
      </c>
      <c r="R256">
        <v>20</v>
      </c>
      <c r="S256">
        <v>51</v>
      </c>
      <c r="T256">
        <v>1</v>
      </c>
      <c r="W256">
        <v>152</v>
      </c>
      <c r="X256">
        <v>38</v>
      </c>
      <c r="Y256">
        <v>516</v>
      </c>
      <c r="AC256">
        <v>1</v>
      </c>
    </row>
    <row r="257" spans="1:29">
      <c r="A257">
        <f t="shared" si="3"/>
        <v>257</v>
      </c>
      <c r="B257" s="103" t="s">
        <v>187</v>
      </c>
      <c r="C257">
        <v>112003</v>
      </c>
      <c r="D257">
        <v>1</v>
      </c>
      <c r="E257">
        <v>2</v>
      </c>
      <c r="F257">
        <v>0</v>
      </c>
      <c r="G257">
        <v>63</v>
      </c>
      <c r="H257">
        <v>1</v>
      </c>
      <c r="I257">
        <v>25</v>
      </c>
      <c r="J257">
        <v>65</v>
      </c>
      <c r="K257">
        <v>1</v>
      </c>
      <c r="L257">
        <v>25</v>
      </c>
      <c r="M257">
        <v>66</v>
      </c>
      <c r="N257">
        <v>1</v>
      </c>
      <c r="O257">
        <v>25</v>
      </c>
      <c r="P257">
        <v>68</v>
      </c>
      <c r="Q257">
        <v>1</v>
      </c>
      <c r="R257">
        <v>20</v>
      </c>
      <c r="S257">
        <v>67</v>
      </c>
      <c r="T257">
        <v>1</v>
      </c>
      <c r="W257">
        <v>152</v>
      </c>
      <c r="X257">
        <v>38</v>
      </c>
      <c r="Y257">
        <v>516</v>
      </c>
      <c r="AC257">
        <v>1</v>
      </c>
    </row>
    <row r="258" spans="1:29">
      <c r="A258">
        <f t="shared" ref="A258:A321" si="4">ROW(A258)</f>
        <v>258</v>
      </c>
      <c r="B258" s="103" t="s">
        <v>187</v>
      </c>
      <c r="C258">
        <v>112004</v>
      </c>
      <c r="D258">
        <v>1</v>
      </c>
      <c r="E258">
        <v>3</v>
      </c>
      <c r="F258">
        <v>0</v>
      </c>
      <c r="G258">
        <v>55</v>
      </c>
      <c r="H258">
        <v>1</v>
      </c>
      <c r="I258">
        <v>25</v>
      </c>
      <c r="J258">
        <v>58</v>
      </c>
      <c r="K258">
        <v>1</v>
      </c>
      <c r="L258">
        <v>25</v>
      </c>
      <c r="M258">
        <v>59</v>
      </c>
      <c r="N258">
        <v>1</v>
      </c>
      <c r="O258">
        <v>25</v>
      </c>
      <c r="P258">
        <v>60</v>
      </c>
      <c r="Q258">
        <v>1</v>
      </c>
      <c r="R258">
        <v>20</v>
      </c>
      <c r="S258">
        <v>62</v>
      </c>
      <c r="T258">
        <v>1</v>
      </c>
      <c r="W258">
        <v>152</v>
      </c>
      <c r="X258">
        <v>38</v>
      </c>
      <c r="Y258">
        <v>516</v>
      </c>
      <c r="AC258">
        <v>1</v>
      </c>
    </row>
    <row r="259" spans="1:29">
      <c r="A259">
        <f t="shared" si="4"/>
        <v>259</v>
      </c>
      <c r="B259" s="103" t="s">
        <v>187</v>
      </c>
      <c r="C259">
        <v>112010</v>
      </c>
      <c r="D259">
        <v>1</v>
      </c>
      <c r="E259">
        <v>4</v>
      </c>
      <c r="F259">
        <v>0</v>
      </c>
      <c r="G259">
        <v>91</v>
      </c>
      <c r="H259">
        <v>1</v>
      </c>
      <c r="I259">
        <v>25</v>
      </c>
      <c r="J259">
        <v>92</v>
      </c>
      <c r="K259">
        <v>1</v>
      </c>
      <c r="L259">
        <v>25</v>
      </c>
      <c r="M259">
        <v>97</v>
      </c>
      <c r="N259">
        <v>1</v>
      </c>
      <c r="O259">
        <v>25</v>
      </c>
      <c r="P259">
        <v>96</v>
      </c>
      <c r="Q259">
        <v>1</v>
      </c>
      <c r="R259">
        <v>20</v>
      </c>
      <c r="S259">
        <v>98</v>
      </c>
      <c r="T259">
        <v>1</v>
      </c>
      <c r="W259">
        <v>152</v>
      </c>
      <c r="X259">
        <v>38</v>
      </c>
      <c r="Y259">
        <v>516</v>
      </c>
      <c r="AC259">
        <v>1</v>
      </c>
    </row>
    <row r="260" spans="1:29">
      <c r="A260">
        <f t="shared" si="4"/>
        <v>260</v>
      </c>
      <c r="B260" s="103" t="s">
        <v>187</v>
      </c>
      <c r="C260">
        <v>112011</v>
      </c>
      <c r="D260">
        <v>1</v>
      </c>
      <c r="E260">
        <v>5</v>
      </c>
      <c r="F260">
        <v>0</v>
      </c>
      <c r="G260">
        <v>107</v>
      </c>
      <c r="H260">
        <v>1</v>
      </c>
      <c r="I260">
        <v>25</v>
      </c>
      <c r="J260">
        <v>108</v>
      </c>
      <c r="K260">
        <v>1</v>
      </c>
      <c r="L260">
        <v>25</v>
      </c>
      <c r="M260">
        <v>109</v>
      </c>
      <c r="N260">
        <v>1</v>
      </c>
      <c r="O260">
        <v>25</v>
      </c>
      <c r="P260">
        <v>110</v>
      </c>
      <c r="Q260">
        <v>1</v>
      </c>
      <c r="R260">
        <v>20</v>
      </c>
      <c r="S260">
        <v>115</v>
      </c>
      <c r="T260">
        <v>1</v>
      </c>
      <c r="W260">
        <v>152</v>
      </c>
      <c r="X260">
        <v>38</v>
      </c>
      <c r="Y260">
        <v>516</v>
      </c>
      <c r="AC260">
        <v>1</v>
      </c>
    </row>
    <row r="261" spans="1:29">
      <c r="A261">
        <f t="shared" si="4"/>
        <v>261</v>
      </c>
      <c r="B261" s="103" t="s">
        <v>188</v>
      </c>
      <c r="C261">
        <v>112012</v>
      </c>
      <c r="D261">
        <v>1</v>
      </c>
      <c r="E261">
        <v>1</v>
      </c>
      <c r="F261">
        <v>0</v>
      </c>
      <c r="G261">
        <v>124</v>
      </c>
      <c r="H261">
        <v>1</v>
      </c>
      <c r="I261">
        <v>25</v>
      </c>
      <c r="J261">
        <v>125</v>
      </c>
      <c r="K261">
        <v>1</v>
      </c>
      <c r="L261">
        <v>25</v>
      </c>
      <c r="M261">
        <v>126</v>
      </c>
      <c r="N261">
        <v>1</v>
      </c>
      <c r="O261">
        <v>25</v>
      </c>
      <c r="P261">
        <v>127</v>
      </c>
      <c r="Q261">
        <v>1</v>
      </c>
      <c r="R261">
        <v>20</v>
      </c>
      <c r="S261">
        <v>131</v>
      </c>
      <c r="T261">
        <v>1</v>
      </c>
      <c r="W261">
        <v>419</v>
      </c>
      <c r="X261">
        <v>113</v>
      </c>
      <c r="Y261">
        <v>1012</v>
      </c>
      <c r="AC261">
        <v>1</v>
      </c>
    </row>
    <row r="262" spans="1:29">
      <c r="A262">
        <f t="shared" si="4"/>
        <v>262</v>
      </c>
      <c r="B262" s="103" t="s">
        <v>188</v>
      </c>
      <c r="C262">
        <v>111001</v>
      </c>
      <c r="D262">
        <v>1</v>
      </c>
      <c r="E262">
        <v>2</v>
      </c>
      <c r="F262">
        <v>0</v>
      </c>
      <c r="G262">
        <v>183</v>
      </c>
      <c r="H262">
        <v>1</v>
      </c>
      <c r="I262">
        <v>25</v>
      </c>
      <c r="J262">
        <v>184</v>
      </c>
      <c r="K262">
        <v>1</v>
      </c>
      <c r="L262">
        <v>25</v>
      </c>
      <c r="M262">
        <v>185</v>
      </c>
      <c r="N262">
        <v>1</v>
      </c>
      <c r="W262">
        <v>419</v>
      </c>
      <c r="X262">
        <v>113</v>
      </c>
      <c r="Y262">
        <v>1012</v>
      </c>
      <c r="AC262">
        <v>1</v>
      </c>
    </row>
    <row r="263" spans="1:29">
      <c r="A263">
        <f t="shared" si="4"/>
        <v>263</v>
      </c>
      <c r="B263" s="103" t="s">
        <v>188</v>
      </c>
      <c r="C263">
        <v>111002</v>
      </c>
      <c r="D263">
        <v>1</v>
      </c>
      <c r="E263">
        <v>3</v>
      </c>
      <c r="F263">
        <v>0</v>
      </c>
      <c r="G263">
        <v>164</v>
      </c>
      <c r="H263">
        <v>1</v>
      </c>
      <c r="I263">
        <v>25</v>
      </c>
      <c r="J263">
        <v>165</v>
      </c>
      <c r="K263">
        <v>1</v>
      </c>
      <c r="L263">
        <v>25</v>
      </c>
      <c r="M263">
        <v>166</v>
      </c>
      <c r="N263">
        <v>1</v>
      </c>
      <c r="W263">
        <v>419</v>
      </c>
      <c r="X263">
        <v>113</v>
      </c>
      <c r="Y263">
        <v>1012</v>
      </c>
      <c r="AC263">
        <v>1</v>
      </c>
    </row>
    <row r="264" spans="1:29">
      <c r="A264">
        <f t="shared" si="4"/>
        <v>264</v>
      </c>
      <c r="B264" s="103" t="s">
        <v>188</v>
      </c>
      <c r="C264">
        <v>111003</v>
      </c>
      <c r="D264">
        <v>1</v>
      </c>
      <c r="E264">
        <v>4</v>
      </c>
      <c r="F264">
        <v>0</v>
      </c>
      <c r="G264">
        <v>186</v>
      </c>
      <c r="H264">
        <v>1</v>
      </c>
      <c r="I264">
        <v>25</v>
      </c>
      <c r="J264">
        <v>187</v>
      </c>
      <c r="K264">
        <v>1</v>
      </c>
      <c r="L264">
        <v>25</v>
      </c>
      <c r="M264">
        <v>188</v>
      </c>
      <c r="N264">
        <v>1</v>
      </c>
      <c r="W264">
        <v>419</v>
      </c>
      <c r="X264">
        <v>113</v>
      </c>
      <c r="Y264">
        <v>1012</v>
      </c>
      <c r="AC264">
        <v>1</v>
      </c>
    </row>
    <row r="265" spans="1:29">
      <c r="A265">
        <f t="shared" si="4"/>
        <v>265</v>
      </c>
      <c r="B265" s="103" t="s">
        <v>188</v>
      </c>
      <c r="C265">
        <v>111004</v>
      </c>
      <c r="D265">
        <v>1</v>
      </c>
      <c r="E265">
        <v>5</v>
      </c>
      <c r="F265">
        <v>0</v>
      </c>
      <c r="G265">
        <v>167</v>
      </c>
      <c r="H265">
        <v>1</v>
      </c>
      <c r="I265">
        <v>25</v>
      </c>
      <c r="J265">
        <v>168</v>
      </c>
      <c r="K265">
        <v>1</v>
      </c>
      <c r="L265">
        <v>25</v>
      </c>
      <c r="M265">
        <v>169</v>
      </c>
      <c r="N265">
        <v>1</v>
      </c>
      <c r="R265">
        <v>20</v>
      </c>
      <c r="S265">
        <v>170</v>
      </c>
      <c r="T265">
        <v>1</v>
      </c>
      <c r="W265">
        <v>419</v>
      </c>
      <c r="X265">
        <v>113</v>
      </c>
      <c r="Y265">
        <v>1012</v>
      </c>
      <c r="AC265">
        <v>1</v>
      </c>
    </row>
    <row r="266" spans="1:29">
      <c r="A266">
        <f t="shared" si="4"/>
        <v>266</v>
      </c>
      <c r="B266" s="103" t="s">
        <v>189</v>
      </c>
      <c r="C266">
        <v>111005</v>
      </c>
      <c r="D266">
        <v>1</v>
      </c>
      <c r="E266">
        <v>1</v>
      </c>
      <c r="F266">
        <v>0</v>
      </c>
      <c r="G266">
        <v>88</v>
      </c>
      <c r="H266">
        <v>1</v>
      </c>
      <c r="I266">
        <v>25</v>
      </c>
      <c r="J266">
        <v>89</v>
      </c>
      <c r="K266">
        <v>1</v>
      </c>
      <c r="L266">
        <v>25</v>
      </c>
      <c r="M266">
        <v>90</v>
      </c>
      <c r="N266">
        <v>1</v>
      </c>
      <c r="W266">
        <v>720</v>
      </c>
      <c r="X266">
        <v>176</v>
      </c>
      <c r="Y266">
        <v>1853</v>
      </c>
      <c r="AC266">
        <v>1</v>
      </c>
    </row>
    <row r="267" spans="1:29">
      <c r="A267">
        <f t="shared" si="4"/>
        <v>267</v>
      </c>
      <c r="B267" s="103" t="s">
        <v>189</v>
      </c>
      <c r="C267">
        <v>111006</v>
      </c>
      <c r="D267">
        <v>1</v>
      </c>
      <c r="E267">
        <v>2</v>
      </c>
      <c r="F267">
        <v>0</v>
      </c>
      <c r="G267">
        <v>175</v>
      </c>
      <c r="H267">
        <v>1</v>
      </c>
      <c r="I267">
        <v>25</v>
      </c>
      <c r="J267">
        <v>176</v>
      </c>
      <c r="K267">
        <v>1</v>
      </c>
      <c r="L267">
        <v>25</v>
      </c>
      <c r="M267">
        <v>177</v>
      </c>
      <c r="N267">
        <v>1</v>
      </c>
      <c r="R267" s="106">
        <v>20</v>
      </c>
      <c r="S267" s="106">
        <v>178</v>
      </c>
      <c r="T267" s="106">
        <v>1</v>
      </c>
      <c r="W267">
        <v>720</v>
      </c>
      <c r="X267">
        <v>176</v>
      </c>
      <c r="Y267">
        <v>1853</v>
      </c>
      <c r="AC267">
        <v>1</v>
      </c>
    </row>
    <row r="268" spans="1:29">
      <c r="A268">
        <f t="shared" si="4"/>
        <v>268</v>
      </c>
      <c r="B268" s="103" t="s">
        <v>189</v>
      </c>
      <c r="C268">
        <v>111007</v>
      </c>
      <c r="D268">
        <v>1</v>
      </c>
      <c r="E268">
        <v>3</v>
      </c>
      <c r="F268">
        <v>0</v>
      </c>
      <c r="G268" s="106">
        <v>179</v>
      </c>
      <c r="H268" s="106">
        <v>1</v>
      </c>
      <c r="I268">
        <v>25</v>
      </c>
      <c r="J268" s="106">
        <v>180</v>
      </c>
      <c r="K268" s="106">
        <v>1</v>
      </c>
      <c r="L268">
        <v>25</v>
      </c>
      <c r="M268" s="106">
        <v>181</v>
      </c>
      <c r="N268" s="106">
        <v>1</v>
      </c>
      <c r="O268">
        <v>25</v>
      </c>
      <c r="P268" s="106">
        <v>182</v>
      </c>
      <c r="Q268" s="106">
        <v>1</v>
      </c>
      <c r="W268">
        <v>720</v>
      </c>
      <c r="X268">
        <v>176</v>
      </c>
      <c r="Y268">
        <v>1853</v>
      </c>
      <c r="AC268">
        <v>1</v>
      </c>
    </row>
    <row r="269" spans="1:29">
      <c r="A269">
        <f t="shared" si="4"/>
        <v>269</v>
      </c>
      <c r="B269" s="103" t="s">
        <v>189</v>
      </c>
      <c r="C269">
        <v>111008</v>
      </c>
      <c r="D269">
        <v>1</v>
      </c>
      <c r="E269">
        <v>4</v>
      </c>
      <c r="F269">
        <v>0</v>
      </c>
      <c r="G269">
        <v>296</v>
      </c>
      <c r="H269">
        <v>1</v>
      </c>
      <c r="I269">
        <v>25</v>
      </c>
      <c r="J269">
        <v>297</v>
      </c>
      <c r="K269">
        <v>1</v>
      </c>
      <c r="L269">
        <v>25</v>
      </c>
      <c r="M269">
        <v>298</v>
      </c>
      <c r="N269">
        <v>1</v>
      </c>
      <c r="W269">
        <v>720</v>
      </c>
      <c r="X269">
        <v>176</v>
      </c>
      <c r="Y269">
        <v>1853</v>
      </c>
      <c r="AC269">
        <v>1</v>
      </c>
    </row>
    <row r="270" spans="1:29">
      <c r="A270">
        <f t="shared" si="4"/>
        <v>270</v>
      </c>
      <c r="B270" s="103" t="s">
        <v>189</v>
      </c>
      <c r="C270">
        <v>111009</v>
      </c>
      <c r="D270">
        <v>1</v>
      </c>
      <c r="E270">
        <v>5</v>
      </c>
      <c r="F270">
        <v>0</v>
      </c>
      <c r="G270">
        <v>171</v>
      </c>
      <c r="H270">
        <v>1</v>
      </c>
      <c r="I270">
        <v>25</v>
      </c>
      <c r="J270">
        <v>172</v>
      </c>
      <c r="K270">
        <v>1</v>
      </c>
      <c r="L270">
        <v>25</v>
      </c>
      <c r="M270">
        <v>173</v>
      </c>
      <c r="N270">
        <v>1</v>
      </c>
      <c r="R270">
        <v>20</v>
      </c>
      <c r="S270">
        <v>174</v>
      </c>
      <c r="T270">
        <v>1</v>
      </c>
      <c r="W270">
        <v>720</v>
      </c>
      <c r="X270">
        <v>176</v>
      </c>
      <c r="Y270">
        <v>1853</v>
      </c>
      <c r="AC270">
        <v>1</v>
      </c>
    </row>
    <row r="271" spans="1:29">
      <c r="A271">
        <f t="shared" si="4"/>
        <v>271</v>
      </c>
      <c r="B271" s="103" t="s">
        <v>190</v>
      </c>
      <c r="C271">
        <v>111010</v>
      </c>
      <c r="D271">
        <v>1</v>
      </c>
      <c r="E271">
        <v>1</v>
      </c>
      <c r="F271">
        <v>0</v>
      </c>
      <c r="G271">
        <v>221</v>
      </c>
      <c r="H271">
        <v>1</v>
      </c>
      <c r="I271">
        <v>25</v>
      </c>
      <c r="J271">
        <v>222</v>
      </c>
      <c r="K271">
        <v>1</v>
      </c>
      <c r="L271">
        <v>25</v>
      </c>
      <c r="M271">
        <v>223</v>
      </c>
      <c r="N271">
        <v>1</v>
      </c>
      <c r="W271">
        <v>675</v>
      </c>
      <c r="X271">
        <v>196</v>
      </c>
      <c r="Y271">
        <v>1771</v>
      </c>
      <c r="AC271">
        <v>1</v>
      </c>
    </row>
    <row r="272" spans="1:29">
      <c r="A272">
        <f t="shared" si="4"/>
        <v>272</v>
      </c>
      <c r="B272" s="103" t="s">
        <v>190</v>
      </c>
      <c r="C272">
        <v>113002</v>
      </c>
      <c r="D272">
        <v>1</v>
      </c>
      <c r="E272">
        <v>2</v>
      </c>
      <c r="F272">
        <v>0</v>
      </c>
      <c r="G272">
        <v>247</v>
      </c>
      <c r="H272">
        <v>1</v>
      </c>
      <c r="I272">
        <v>25</v>
      </c>
      <c r="J272">
        <v>248</v>
      </c>
      <c r="K272">
        <v>1</v>
      </c>
      <c r="L272">
        <v>25</v>
      </c>
      <c r="M272">
        <v>251</v>
      </c>
      <c r="N272">
        <v>1</v>
      </c>
      <c r="O272">
        <v>25</v>
      </c>
      <c r="P272">
        <v>254</v>
      </c>
      <c r="Q272">
        <v>1</v>
      </c>
      <c r="R272">
        <v>20</v>
      </c>
      <c r="S272">
        <v>252</v>
      </c>
      <c r="T272">
        <v>1</v>
      </c>
      <c r="W272">
        <v>675</v>
      </c>
      <c r="X272">
        <v>196</v>
      </c>
      <c r="Y272">
        <v>1771</v>
      </c>
      <c r="AC272">
        <v>1</v>
      </c>
    </row>
    <row r="273" spans="1:29">
      <c r="A273">
        <f t="shared" si="4"/>
        <v>273</v>
      </c>
      <c r="B273" s="103" t="s">
        <v>190</v>
      </c>
      <c r="C273">
        <v>113006</v>
      </c>
      <c r="D273">
        <v>1</v>
      </c>
      <c r="E273">
        <v>3</v>
      </c>
      <c r="F273">
        <v>0</v>
      </c>
      <c r="G273">
        <v>263</v>
      </c>
      <c r="H273">
        <v>1</v>
      </c>
      <c r="I273">
        <v>25</v>
      </c>
      <c r="J273">
        <v>264</v>
      </c>
      <c r="K273">
        <v>1</v>
      </c>
      <c r="L273">
        <v>25</v>
      </c>
      <c r="M273">
        <v>265</v>
      </c>
      <c r="N273">
        <v>1</v>
      </c>
      <c r="O273">
        <v>25</v>
      </c>
      <c r="P273">
        <v>266</v>
      </c>
      <c r="Q273">
        <v>1</v>
      </c>
      <c r="R273">
        <v>20</v>
      </c>
      <c r="S273">
        <v>267</v>
      </c>
      <c r="T273">
        <v>1</v>
      </c>
      <c r="W273">
        <v>675</v>
      </c>
      <c r="X273">
        <v>196</v>
      </c>
      <c r="Y273">
        <v>1771</v>
      </c>
      <c r="AC273">
        <v>1</v>
      </c>
    </row>
    <row r="274" spans="1:29">
      <c r="A274">
        <f t="shared" si="4"/>
        <v>274</v>
      </c>
      <c r="B274" s="103" t="s">
        <v>190</v>
      </c>
      <c r="C274">
        <v>112008</v>
      </c>
      <c r="D274">
        <v>1</v>
      </c>
      <c r="E274">
        <v>4</v>
      </c>
      <c r="F274">
        <v>0</v>
      </c>
      <c r="G274">
        <v>73</v>
      </c>
      <c r="H274">
        <v>1</v>
      </c>
      <c r="I274">
        <v>25</v>
      </c>
      <c r="J274">
        <v>74</v>
      </c>
      <c r="K274">
        <v>1</v>
      </c>
      <c r="L274">
        <v>25</v>
      </c>
      <c r="M274">
        <v>75</v>
      </c>
      <c r="N274">
        <v>1</v>
      </c>
      <c r="O274">
        <v>25</v>
      </c>
      <c r="P274">
        <v>76</v>
      </c>
      <c r="Q274">
        <v>1</v>
      </c>
      <c r="R274">
        <v>20</v>
      </c>
      <c r="S274">
        <v>77</v>
      </c>
      <c r="T274">
        <v>1</v>
      </c>
      <c r="W274">
        <v>675</v>
      </c>
      <c r="X274">
        <v>196</v>
      </c>
      <c r="Y274">
        <v>1771</v>
      </c>
      <c r="AC274">
        <v>1</v>
      </c>
    </row>
    <row r="275" spans="1:29">
      <c r="A275">
        <f t="shared" si="4"/>
        <v>275</v>
      </c>
      <c r="B275" s="103" t="s">
        <v>190</v>
      </c>
      <c r="C275">
        <v>112013</v>
      </c>
      <c r="D275">
        <v>1</v>
      </c>
      <c r="E275">
        <v>5</v>
      </c>
      <c r="F275">
        <v>0</v>
      </c>
      <c r="G275">
        <v>116</v>
      </c>
      <c r="H275">
        <v>1</v>
      </c>
      <c r="I275">
        <v>25</v>
      </c>
      <c r="J275">
        <v>117</v>
      </c>
      <c r="K275">
        <v>1</v>
      </c>
      <c r="L275">
        <v>25</v>
      </c>
      <c r="M275">
        <v>118</v>
      </c>
      <c r="N275">
        <v>1</v>
      </c>
      <c r="O275">
        <v>25</v>
      </c>
      <c r="P275">
        <v>119</v>
      </c>
      <c r="Q275">
        <v>1</v>
      </c>
      <c r="R275">
        <v>20</v>
      </c>
      <c r="S275">
        <v>123</v>
      </c>
      <c r="T275">
        <v>1</v>
      </c>
      <c r="W275">
        <v>675</v>
      </c>
      <c r="X275">
        <v>196</v>
      </c>
      <c r="Y275">
        <v>1771</v>
      </c>
      <c r="AC275">
        <v>1</v>
      </c>
    </row>
    <row r="276" spans="1:29">
      <c r="A276">
        <f t="shared" si="4"/>
        <v>276</v>
      </c>
      <c r="B276" s="103" t="s">
        <v>191</v>
      </c>
      <c r="C276">
        <v>112014</v>
      </c>
      <c r="D276">
        <v>1</v>
      </c>
      <c r="E276">
        <v>1</v>
      </c>
      <c r="F276">
        <v>0</v>
      </c>
      <c r="G276">
        <v>140</v>
      </c>
      <c r="H276">
        <v>1</v>
      </c>
      <c r="I276">
        <v>25</v>
      </c>
      <c r="J276">
        <v>142</v>
      </c>
      <c r="K276">
        <v>1</v>
      </c>
      <c r="L276">
        <v>25</v>
      </c>
      <c r="M276">
        <v>143</v>
      </c>
      <c r="N276">
        <v>1</v>
      </c>
      <c r="O276">
        <v>25</v>
      </c>
      <c r="P276">
        <v>144</v>
      </c>
      <c r="Q276">
        <v>1</v>
      </c>
      <c r="R276">
        <v>20</v>
      </c>
      <c r="S276">
        <v>147</v>
      </c>
      <c r="T276">
        <v>1</v>
      </c>
      <c r="W276">
        <v>152</v>
      </c>
      <c r="X276">
        <v>38</v>
      </c>
      <c r="Y276">
        <v>516</v>
      </c>
      <c r="AC276">
        <v>1</v>
      </c>
    </row>
    <row r="277" spans="1:29">
      <c r="A277">
        <f t="shared" si="4"/>
        <v>277</v>
      </c>
      <c r="B277" s="103" t="s">
        <v>191</v>
      </c>
      <c r="C277">
        <v>112015</v>
      </c>
      <c r="D277">
        <v>1</v>
      </c>
      <c r="E277">
        <v>2</v>
      </c>
      <c r="F277">
        <v>0</v>
      </c>
      <c r="G277">
        <v>132</v>
      </c>
      <c r="H277">
        <v>1</v>
      </c>
      <c r="I277">
        <v>25</v>
      </c>
      <c r="J277">
        <v>133</v>
      </c>
      <c r="K277">
        <v>1</v>
      </c>
      <c r="L277">
        <v>25</v>
      </c>
      <c r="M277">
        <v>134</v>
      </c>
      <c r="N277">
        <v>1</v>
      </c>
      <c r="O277">
        <v>25</v>
      </c>
      <c r="P277">
        <v>136</v>
      </c>
      <c r="Q277">
        <v>1</v>
      </c>
      <c r="R277">
        <v>20</v>
      </c>
      <c r="S277">
        <v>139</v>
      </c>
      <c r="T277">
        <v>1</v>
      </c>
      <c r="W277">
        <v>152</v>
      </c>
      <c r="X277">
        <v>38</v>
      </c>
      <c r="Y277">
        <v>516</v>
      </c>
      <c r="AC277">
        <v>1</v>
      </c>
    </row>
    <row r="278" spans="1:29">
      <c r="A278">
        <f t="shared" si="4"/>
        <v>278</v>
      </c>
      <c r="B278" s="103" t="s">
        <v>191</v>
      </c>
      <c r="C278">
        <v>112017</v>
      </c>
      <c r="D278">
        <v>1</v>
      </c>
      <c r="E278">
        <v>3</v>
      </c>
      <c r="F278">
        <v>0</v>
      </c>
      <c r="G278">
        <v>213</v>
      </c>
      <c r="H278">
        <v>1</v>
      </c>
      <c r="I278">
        <v>25</v>
      </c>
      <c r="J278">
        <v>214</v>
      </c>
      <c r="K278">
        <v>1</v>
      </c>
      <c r="L278">
        <v>25</v>
      </c>
      <c r="M278">
        <v>215</v>
      </c>
      <c r="N278">
        <v>1</v>
      </c>
      <c r="O278">
        <v>25</v>
      </c>
      <c r="P278">
        <v>216</v>
      </c>
      <c r="Q278">
        <v>1</v>
      </c>
      <c r="R278">
        <v>20</v>
      </c>
      <c r="S278">
        <v>217</v>
      </c>
      <c r="T278">
        <v>1</v>
      </c>
      <c r="W278">
        <v>152</v>
      </c>
      <c r="X278">
        <v>38</v>
      </c>
      <c r="Y278">
        <v>516</v>
      </c>
      <c r="AC278">
        <v>1</v>
      </c>
    </row>
    <row r="279" spans="1:29">
      <c r="A279">
        <f t="shared" si="4"/>
        <v>279</v>
      </c>
      <c r="B279" s="103" t="s">
        <v>191</v>
      </c>
      <c r="C279">
        <v>112019</v>
      </c>
      <c r="D279">
        <v>1</v>
      </c>
      <c r="E279">
        <v>4</v>
      </c>
      <c r="F279">
        <v>0</v>
      </c>
      <c r="G279">
        <v>255</v>
      </c>
      <c r="H279">
        <v>1</v>
      </c>
      <c r="I279">
        <v>25</v>
      </c>
      <c r="J279">
        <v>256</v>
      </c>
      <c r="K279">
        <v>1</v>
      </c>
      <c r="L279">
        <v>25</v>
      </c>
      <c r="M279">
        <v>258</v>
      </c>
      <c r="N279">
        <v>1</v>
      </c>
      <c r="O279">
        <v>25</v>
      </c>
      <c r="P279">
        <v>259</v>
      </c>
      <c r="Q279">
        <v>1</v>
      </c>
      <c r="R279">
        <v>20</v>
      </c>
      <c r="S279">
        <v>260</v>
      </c>
      <c r="T279">
        <v>1</v>
      </c>
      <c r="W279">
        <v>152</v>
      </c>
      <c r="X279">
        <v>38</v>
      </c>
      <c r="Y279">
        <v>516</v>
      </c>
      <c r="AC279">
        <v>1</v>
      </c>
    </row>
    <row r="280" spans="1:29">
      <c r="A280">
        <f t="shared" si="4"/>
        <v>280</v>
      </c>
      <c r="B280" s="103" t="s">
        <v>191</v>
      </c>
      <c r="C280">
        <v>113010</v>
      </c>
      <c r="D280">
        <v>1</v>
      </c>
      <c r="E280">
        <v>5</v>
      </c>
      <c r="F280">
        <v>0</v>
      </c>
      <c r="G280">
        <v>299</v>
      </c>
      <c r="H280">
        <v>1</v>
      </c>
      <c r="I280">
        <v>25</v>
      </c>
      <c r="J280">
        <v>300</v>
      </c>
      <c r="K280">
        <v>1</v>
      </c>
      <c r="L280">
        <v>25</v>
      </c>
      <c r="M280">
        <v>301</v>
      </c>
      <c r="N280">
        <v>1</v>
      </c>
      <c r="O280">
        <v>25</v>
      </c>
      <c r="P280">
        <v>302</v>
      </c>
      <c r="Q280">
        <v>1</v>
      </c>
      <c r="R280">
        <v>20</v>
      </c>
      <c r="S280">
        <v>303</v>
      </c>
      <c r="T280">
        <v>1</v>
      </c>
      <c r="W280">
        <v>152</v>
      </c>
      <c r="X280">
        <v>38</v>
      </c>
      <c r="Y280">
        <v>516</v>
      </c>
      <c r="AC280">
        <v>1</v>
      </c>
    </row>
    <row r="281" spans="1:29">
      <c r="A281">
        <f t="shared" si="4"/>
        <v>281</v>
      </c>
      <c r="B281" s="103" t="s">
        <v>192</v>
      </c>
      <c r="C281">
        <v>113001</v>
      </c>
      <c r="D281">
        <v>1</v>
      </c>
      <c r="E281">
        <v>1</v>
      </c>
      <c r="F281">
        <v>0</v>
      </c>
      <c r="G281">
        <v>239</v>
      </c>
      <c r="H281">
        <v>1</v>
      </c>
      <c r="I281">
        <v>25</v>
      </c>
      <c r="J281">
        <v>240</v>
      </c>
      <c r="K281">
        <v>1</v>
      </c>
      <c r="L281">
        <v>25</v>
      </c>
      <c r="M281">
        <v>241</v>
      </c>
      <c r="N281">
        <v>1</v>
      </c>
      <c r="O281">
        <v>25</v>
      </c>
      <c r="P281">
        <v>242</v>
      </c>
      <c r="Q281">
        <v>1</v>
      </c>
      <c r="R281">
        <v>20</v>
      </c>
      <c r="S281">
        <v>243</v>
      </c>
      <c r="T281">
        <v>1</v>
      </c>
      <c r="W281">
        <v>419</v>
      </c>
      <c r="X281">
        <v>113</v>
      </c>
      <c r="Y281">
        <v>1012</v>
      </c>
      <c r="AC281">
        <v>1</v>
      </c>
    </row>
    <row r="282" spans="1:29">
      <c r="A282">
        <f t="shared" si="4"/>
        <v>282</v>
      </c>
      <c r="B282" s="103" t="s">
        <v>192</v>
      </c>
      <c r="C282">
        <v>112001</v>
      </c>
      <c r="D282">
        <v>1</v>
      </c>
      <c r="E282">
        <v>2</v>
      </c>
      <c r="F282">
        <v>0</v>
      </c>
      <c r="G282">
        <v>1</v>
      </c>
      <c r="H282">
        <v>1</v>
      </c>
      <c r="I282">
        <v>25</v>
      </c>
      <c r="J282">
        <v>2</v>
      </c>
      <c r="K282">
        <v>1</v>
      </c>
      <c r="L282">
        <v>25</v>
      </c>
      <c r="M282">
        <v>6</v>
      </c>
      <c r="N282">
        <v>1</v>
      </c>
      <c r="O282">
        <v>25</v>
      </c>
      <c r="P282">
        <v>8</v>
      </c>
      <c r="Q282">
        <v>1</v>
      </c>
      <c r="R282">
        <v>20</v>
      </c>
      <c r="S282">
        <v>3</v>
      </c>
      <c r="T282">
        <v>1</v>
      </c>
      <c r="W282">
        <v>419</v>
      </c>
      <c r="X282">
        <v>113</v>
      </c>
      <c r="Y282">
        <v>1012</v>
      </c>
      <c r="AC282">
        <v>1</v>
      </c>
    </row>
    <row r="283" spans="1:29">
      <c r="A283">
        <f t="shared" si="4"/>
        <v>283</v>
      </c>
      <c r="B283" s="103" t="s">
        <v>192</v>
      </c>
      <c r="C283">
        <v>112002</v>
      </c>
      <c r="D283">
        <v>1</v>
      </c>
      <c r="E283">
        <v>3</v>
      </c>
      <c r="F283">
        <v>0</v>
      </c>
      <c r="G283">
        <v>24</v>
      </c>
      <c r="H283">
        <v>1</v>
      </c>
      <c r="I283">
        <v>25</v>
      </c>
      <c r="J283">
        <v>25</v>
      </c>
      <c r="K283">
        <v>1</v>
      </c>
      <c r="L283">
        <v>25</v>
      </c>
      <c r="M283">
        <v>26</v>
      </c>
      <c r="N283">
        <v>1</v>
      </c>
      <c r="O283">
        <v>25</v>
      </c>
      <c r="P283">
        <v>29</v>
      </c>
      <c r="Q283">
        <v>1</v>
      </c>
      <c r="R283">
        <v>20</v>
      </c>
      <c r="S283">
        <v>31</v>
      </c>
      <c r="T283">
        <v>1</v>
      </c>
      <c r="W283">
        <v>419</v>
      </c>
      <c r="X283">
        <v>113</v>
      </c>
      <c r="Y283">
        <v>1012</v>
      </c>
      <c r="AC283">
        <v>1</v>
      </c>
    </row>
    <row r="284" spans="1:29">
      <c r="A284">
        <f t="shared" si="4"/>
        <v>284</v>
      </c>
      <c r="B284" s="103" t="s">
        <v>192</v>
      </c>
      <c r="C284">
        <v>112005</v>
      </c>
      <c r="D284">
        <v>1</v>
      </c>
      <c r="E284">
        <v>4</v>
      </c>
      <c r="F284">
        <v>0</v>
      </c>
      <c r="G284">
        <v>47</v>
      </c>
      <c r="H284">
        <v>1</v>
      </c>
      <c r="I284">
        <v>25</v>
      </c>
      <c r="J284">
        <v>48</v>
      </c>
      <c r="K284">
        <v>1</v>
      </c>
      <c r="L284">
        <v>25</v>
      </c>
      <c r="M284">
        <v>50</v>
      </c>
      <c r="N284">
        <v>1</v>
      </c>
      <c r="O284">
        <v>25</v>
      </c>
      <c r="P284">
        <v>53</v>
      </c>
      <c r="Q284">
        <v>1</v>
      </c>
      <c r="R284">
        <v>20</v>
      </c>
      <c r="S284">
        <v>51</v>
      </c>
      <c r="T284">
        <v>1</v>
      </c>
      <c r="W284">
        <v>419</v>
      </c>
      <c r="X284">
        <v>113</v>
      </c>
      <c r="Y284">
        <v>1012</v>
      </c>
      <c r="AC284">
        <v>1</v>
      </c>
    </row>
    <row r="285" spans="1:29">
      <c r="A285">
        <f t="shared" si="4"/>
        <v>285</v>
      </c>
      <c r="B285" s="103" t="s">
        <v>192</v>
      </c>
      <c r="C285">
        <v>112003</v>
      </c>
      <c r="D285">
        <v>1</v>
      </c>
      <c r="E285">
        <v>5</v>
      </c>
      <c r="F285">
        <v>0</v>
      </c>
      <c r="G285">
        <v>63</v>
      </c>
      <c r="H285">
        <v>1</v>
      </c>
      <c r="I285">
        <v>25</v>
      </c>
      <c r="J285">
        <v>65</v>
      </c>
      <c r="K285">
        <v>1</v>
      </c>
      <c r="L285">
        <v>25</v>
      </c>
      <c r="M285">
        <v>66</v>
      </c>
      <c r="N285">
        <v>1</v>
      </c>
      <c r="O285">
        <v>25</v>
      </c>
      <c r="P285">
        <v>68</v>
      </c>
      <c r="Q285">
        <v>1</v>
      </c>
      <c r="R285">
        <v>20</v>
      </c>
      <c r="S285">
        <v>67</v>
      </c>
      <c r="T285">
        <v>1</v>
      </c>
      <c r="W285">
        <v>419</v>
      </c>
      <c r="X285">
        <v>113</v>
      </c>
      <c r="Y285">
        <v>1012</v>
      </c>
      <c r="AC285">
        <v>1</v>
      </c>
    </row>
    <row r="286" spans="1:29">
      <c r="A286">
        <f t="shared" si="4"/>
        <v>286</v>
      </c>
      <c r="B286" s="103" t="s">
        <v>193</v>
      </c>
      <c r="C286">
        <v>112004</v>
      </c>
      <c r="D286">
        <v>1</v>
      </c>
      <c r="E286">
        <v>1</v>
      </c>
      <c r="F286">
        <v>0</v>
      </c>
      <c r="G286">
        <v>55</v>
      </c>
      <c r="H286">
        <v>1</v>
      </c>
      <c r="I286">
        <v>25</v>
      </c>
      <c r="J286">
        <v>58</v>
      </c>
      <c r="K286">
        <v>1</v>
      </c>
      <c r="L286">
        <v>25</v>
      </c>
      <c r="M286">
        <v>59</v>
      </c>
      <c r="N286">
        <v>1</v>
      </c>
      <c r="O286">
        <v>25</v>
      </c>
      <c r="P286">
        <v>60</v>
      </c>
      <c r="Q286">
        <v>1</v>
      </c>
      <c r="R286">
        <v>20</v>
      </c>
      <c r="S286">
        <v>62</v>
      </c>
      <c r="T286">
        <v>1</v>
      </c>
      <c r="W286">
        <v>720</v>
      </c>
      <c r="X286">
        <v>176</v>
      </c>
      <c r="Y286">
        <v>1853</v>
      </c>
      <c r="AC286">
        <v>1</v>
      </c>
    </row>
    <row r="287" spans="1:29">
      <c r="A287">
        <f t="shared" si="4"/>
        <v>287</v>
      </c>
      <c r="B287" s="103" t="s">
        <v>193</v>
      </c>
      <c r="C287">
        <v>112010</v>
      </c>
      <c r="D287">
        <v>1</v>
      </c>
      <c r="E287">
        <v>2</v>
      </c>
      <c r="F287">
        <v>0</v>
      </c>
      <c r="G287">
        <v>91</v>
      </c>
      <c r="H287">
        <v>1</v>
      </c>
      <c r="I287">
        <v>25</v>
      </c>
      <c r="J287">
        <v>92</v>
      </c>
      <c r="K287">
        <v>1</v>
      </c>
      <c r="L287">
        <v>25</v>
      </c>
      <c r="M287">
        <v>97</v>
      </c>
      <c r="N287">
        <v>1</v>
      </c>
      <c r="O287">
        <v>25</v>
      </c>
      <c r="P287">
        <v>96</v>
      </c>
      <c r="Q287">
        <v>1</v>
      </c>
      <c r="R287">
        <v>20</v>
      </c>
      <c r="S287">
        <v>98</v>
      </c>
      <c r="T287">
        <v>1</v>
      </c>
      <c r="W287">
        <v>720</v>
      </c>
      <c r="X287">
        <v>176</v>
      </c>
      <c r="Y287">
        <v>1853</v>
      </c>
      <c r="AC287">
        <v>1</v>
      </c>
    </row>
    <row r="288" spans="1:29">
      <c r="A288">
        <f t="shared" si="4"/>
        <v>288</v>
      </c>
      <c r="B288" s="103" t="s">
        <v>193</v>
      </c>
      <c r="C288">
        <v>112011</v>
      </c>
      <c r="D288">
        <v>1</v>
      </c>
      <c r="E288">
        <v>3</v>
      </c>
      <c r="F288">
        <v>0</v>
      </c>
      <c r="G288">
        <v>107</v>
      </c>
      <c r="H288">
        <v>1</v>
      </c>
      <c r="I288">
        <v>25</v>
      </c>
      <c r="J288">
        <v>108</v>
      </c>
      <c r="K288">
        <v>1</v>
      </c>
      <c r="L288">
        <v>25</v>
      </c>
      <c r="M288">
        <v>109</v>
      </c>
      <c r="N288">
        <v>1</v>
      </c>
      <c r="O288">
        <v>25</v>
      </c>
      <c r="P288">
        <v>110</v>
      </c>
      <c r="Q288">
        <v>1</v>
      </c>
      <c r="R288">
        <v>20</v>
      </c>
      <c r="S288">
        <v>115</v>
      </c>
      <c r="T288">
        <v>1</v>
      </c>
      <c r="W288">
        <v>720</v>
      </c>
      <c r="X288">
        <v>176</v>
      </c>
      <c r="Y288">
        <v>1853</v>
      </c>
      <c r="AC288">
        <v>1</v>
      </c>
    </row>
    <row r="289" spans="1:29">
      <c r="A289">
        <f t="shared" si="4"/>
        <v>289</v>
      </c>
      <c r="B289" s="103" t="s">
        <v>193</v>
      </c>
      <c r="C289">
        <v>112012</v>
      </c>
      <c r="D289">
        <v>1</v>
      </c>
      <c r="E289">
        <v>4</v>
      </c>
      <c r="F289">
        <v>0</v>
      </c>
      <c r="G289">
        <v>124</v>
      </c>
      <c r="H289">
        <v>1</v>
      </c>
      <c r="I289">
        <v>25</v>
      </c>
      <c r="J289">
        <v>125</v>
      </c>
      <c r="K289">
        <v>1</v>
      </c>
      <c r="L289">
        <v>25</v>
      </c>
      <c r="M289">
        <v>126</v>
      </c>
      <c r="N289">
        <v>1</v>
      </c>
      <c r="O289">
        <v>25</v>
      </c>
      <c r="P289">
        <v>127</v>
      </c>
      <c r="Q289">
        <v>1</v>
      </c>
      <c r="R289">
        <v>20</v>
      </c>
      <c r="S289">
        <v>131</v>
      </c>
      <c r="T289">
        <v>1</v>
      </c>
      <c r="W289">
        <v>720</v>
      </c>
      <c r="X289">
        <v>176</v>
      </c>
      <c r="Y289">
        <v>1853</v>
      </c>
      <c r="AC289">
        <v>1</v>
      </c>
    </row>
    <row r="290" spans="1:29">
      <c r="A290">
        <f t="shared" si="4"/>
        <v>290</v>
      </c>
      <c r="B290" s="103" t="s">
        <v>193</v>
      </c>
      <c r="C290">
        <v>111001</v>
      </c>
      <c r="D290">
        <v>1</v>
      </c>
      <c r="E290">
        <v>5</v>
      </c>
      <c r="F290">
        <v>0</v>
      </c>
      <c r="G290">
        <v>183</v>
      </c>
      <c r="H290">
        <v>1</v>
      </c>
      <c r="I290">
        <v>25</v>
      </c>
      <c r="J290">
        <v>184</v>
      </c>
      <c r="K290">
        <v>1</v>
      </c>
      <c r="L290">
        <v>25</v>
      </c>
      <c r="M290">
        <v>185</v>
      </c>
      <c r="N290">
        <v>1</v>
      </c>
      <c r="W290">
        <v>720</v>
      </c>
      <c r="X290">
        <v>176</v>
      </c>
      <c r="Y290">
        <v>1853</v>
      </c>
      <c r="AC290">
        <v>1</v>
      </c>
    </row>
    <row r="291" spans="1:29">
      <c r="A291">
        <f t="shared" si="4"/>
        <v>291</v>
      </c>
      <c r="B291" s="103" t="s">
        <v>194</v>
      </c>
      <c r="C291">
        <v>111002</v>
      </c>
      <c r="D291">
        <v>1</v>
      </c>
      <c r="E291">
        <v>1</v>
      </c>
      <c r="F291">
        <v>0</v>
      </c>
      <c r="G291">
        <v>164</v>
      </c>
      <c r="H291">
        <v>1</v>
      </c>
      <c r="I291">
        <v>25</v>
      </c>
      <c r="J291">
        <v>165</v>
      </c>
      <c r="K291">
        <v>1</v>
      </c>
      <c r="L291">
        <v>25</v>
      </c>
      <c r="M291">
        <v>166</v>
      </c>
      <c r="N291">
        <v>1</v>
      </c>
      <c r="W291">
        <v>675</v>
      </c>
      <c r="X291">
        <v>196</v>
      </c>
      <c r="Y291">
        <v>1771</v>
      </c>
      <c r="AC291">
        <v>1</v>
      </c>
    </row>
    <row r="292" spans="1:29">
      <c r="A292">
        <f t="shared" si="4"/>
        <v>292</v>
      </c>
      <c r="B292" s="103" t="s">
        <v>194</v>
      </c>
      <c r="C292">
        <v>111003</v>
      </c>
      <c r="D292">
        <v>1</v>
      </c>
      <c r="E292">
        <v>2</v>
      </c>
      <c r="F292">
        <v>0</v>
      </c>
      <c r="G292">
        <v>186</v>
      </c>
      <c r="H292">
        <v>1</v>
      </c>
      <c r="I292">
        <v>25</v>
      </c>
      <c r="J292">
        <v>187</v>
      </c>
      <c r="K292">
        <v>1</v>
      </c>
      <c r="L292">
        <v>25</v>
      </c>
      <c r="M292">
        <v>188</v>
      </c>
      <c r="N292">
        <v>1</v>
      </c>
      <c r="W292">
        <v>675</v>
      </c>
      <c r="X292">
        <v>196</v>
      </c>
      <c r="Y292">
        <v>1771</v>
      </c>
      <c r="AC292">
        <v>1</v>
      </c>
    </row>
    <row r="293" spans="1:29">
      <c r="A293">
        <f t="shared" si="4"/>
        <v>293</v>
      </c>
      <c r="B293" s="103" t="s">
        <v>194</v>
      </c>
      <c r="C293">
        <v>111004</v>
      </c>
      <c r="D293">
        <v>1</v>
      </c>
      <c r="E293">
        <v>3</v>
      </c>
      <c r="F293">
        <v>0</v>
      </c>
      <c r="G293">
        <v>167</v>
      </c>
      <c r="H293">
        <v>1</v>
      </c>
      <c r="I293">
        <v>25</v>
      </c>
      <c r="J293">
        <v>168</v>
      </c>
      <c r="K293">
        <v>1</v>
      </c>
      <c r="L293">
        <v>25</v>
      </c>
      <c r="M293">
        <v>169</v>
      </c>
      <c r="N293">
        <v>1</v>
      </c>
      <c r="R293">
        <v>20</v>
      </c>
      <c r="S293">
        <v>170</v>
      </c>
      <c r="T293">
        <v>1</v>
      </c>
      <c r="W293">
        <v>675</v>
      </c>
      <c r="X293">
        <v>196</v>
      </c>
      <c r="Y293">
        <v>1771</v>
      </c>
      <c r="AC293">
        <v>1</v>
      </c>
    </row>
    <row r="294" spans="1:29">
      <c r="A294">
        <f t="shared" si="4"/>
        <v>294</v>
      </c>
      <c r="B294" s="103" t="s">
        <v>194</v>
      </c>
      <c r="C294">
        <v>111005</v>
      </c>
      <c r="D294">
        <v>1</v>
      </c>
      <c r="E294">
        <v>4</v>
      </c>
      <c r="F294">
        <v>0</v>
      </c>
      <c r="G294">
        <v>88</v>
      </c>
      <c r="H294">
        <v>1</v>
      </c>
      <c r="I294">
        <v>25</v>
      </c>
      <c r="J294">
        <v>89</v>
      </c>
      <c r="K294">
        <v>1</v>
      </c>
      <c r="L294">
        <v>25</v>
      </c>
      <c r="M294">
        <v>90</v>
      </c>
      <c r="N294">
        <v>1</v>
      </c>
      <c r="W294">
        <v>675</v>
      </c>
      <c r="X294">
        <v>196</v>
      </c>
      <c r="Y294">
        <v>1771</v>
      </c>
      <c r="AC294">
        <v>1</v>
      </c>
    </row>
    <row r="295" spans="1:29">
      <c r="A295">
        <f t="shared" si="4"/>
        <v>295</v>
      </c>
      <c r="B295" s="103" t="s">
        <v>194</v>
      </c>
      <c r="C295">
        <v>111006</v>
      </c>
      <c r="D295">
        <v>1</v>
      </c>
      <c r="E295">
        <v>5</v>
      </c>
      <c r="F295">
        <v>0</v>
      </c>
      <c r="G295">
        <v>175</v>
      </c>
      <c r="H295">
        <v>1</v>
      </c>
      <c r="I295">
        <v>25</v>
      </c>
      <c r="J295">
        <v>176</v>
      </c>
      <c r="K295">
        <v>1</v>
      </c>
      <c r="L295">
        <v>25</v>
      </c>
      <c r="M295">
        <v>177</v>
      </c>
      <c r="N295">
        <v>1</v>
      </c>
      <c r="R295" s="106">
        <v>20</v>
      </c>
      <c r="S295" s="106">
        <v>178</v>
      </c>
      <c r="T295" s="106">
        <v>1</v>
      </c>
      <c r="W295">
        <v>675</v>
      </c>
      <c r="X295">
        <v>196</v>
      </c>
      <c r="Y295">
        <v>1771</v>
      </c>
      <c r="AC295">
        <v>1</v>
      </c>
    </row>
    <row r="296" spans="1:29">
      <c r="A296">
        <f t="shared" si="4"/>
        <v>296</v>
      </c>
      <c r="B296" s="103" t="s">
        <v>195</v>
      </c>
      <c r="C296">
        <v>111007</v>
      </c>
      <c r="D296">
        <v>1</v>
      </c>
      <c r="E296">
        <v>1</v>
      </c>
      <c r="F296">
        <v>0</v>
      </c>
      <c r="G296" s="106">
        <v>179</v>
      </c>
      <c r="H296" s="106">
        <v>1</v>
      </c>
      <c r="I296">
        <v>25</v>
      </c>
      <c r="J296" s="106">
        <v>180</v>
      </c>
      <c r="K296" s="106">
        <v>1</v>
      </c>
      <c r="L296">
        <v>25</v>
      </c>
      <c r="M296" s="106">
        <v>181</v>
      </c>
      <c r="N296" s="106">
        <v>1</v>
      </c>
      <c r="O296">
        <v>25</v>
      </c>
      <c r="P296" s="106">
        <v>182</v>
      </c>
      <c r="Q296" s="106">
        <v>1</v>
      </c>
      <c r="W296">
        <v>152</v>
      </c>
      <c r="X296">
        <v>38</v>
      </c>
      <c r="Y296">
        <v>516</v>
      </c>
      <c r="AC296">
        <v>1</v>
      </c>
    </row>
    <row r="297" spans="1:29">
      <c r="A297">
        <f t="shared" si="4"/>
        <v>297</v>
      </c>
      <c r="B297" s="103" t="s">
        <v>195</v>
      </c>
      <c r="C297">
        <v>111008</v>
      </c>
      <c r="D297">
        <v>1</v>
      </c>
      <c r="E297">
        <v>2</v>
      </c>
      <c r="F297">
        <v>0</v>
      </c>
      <c r="G297">
        <v>296</v>
      </c>
      <c r="H297">
        <v>1</v>
      </c>
      <c r="I297">
        <v>25</v>
      </c>
      <c r="J297">
        <v>297</v>
      </c>
      <c r="K297">
        <v>1</v>
      </c>
      <c r="L297">
        <v>25</v>
      </c>
      <c r="M297">
        <v>298</v>
      </c>
      <c r="N297">
        <v>1</v>
      </c>
      <c r="W297">
        <v>152</v>
      </c>
      <c r="X297">
        <v>38</v>
      </c>
      <c r="Y297">
        <v>516</v>
      </c>
      <c r="AC297">
        <v>1</v>
      </c>
    </row>
    <row r="298" spans="1:29">
      <c r="A298">
        <f t="shared" si="4"/>
        <v>298</v>
      </c>
      <c r="B298" s="103" t="s">
        <v>195</v>
      </c>
      <c r="C298">
        <v>111009</v>
      </c>
      <c r="D298">
        <v>1</v>
      </c>
      <c r="E298">
        <v>3</v>
      </c>
      <c r="F298">
        <v>0</v>
      </c>
      <c r="G298">
        <v>171</v>
      </c>
      <c r="H298">
        <v>1</v>
      </c>
      <c r="I298">
        <v>25</v>
      </c>
      <c r="J298">
        <v>172</v>
      </c>
      <c r="K298">
        <v>1</v>
      </c>
      <c r="L298">
        <v>25</v>
      </c>
      <c r="M298">
        <v>173</v>
      </c>
      <c r="N298">
        <v>1</v>
      </c>
      <c r="R298">
        <v>20</v>
      </c>
      <c r="S298">
        <v>174</v>
      </c>
      <c r="T298">
        <v>1</v>
      </c>
      <c r="W298">
        <v>152</v>
      </c>
      <c r="X298">
        <v>38</v>
      </c>
      <c r="Y298">
        <v>516</v>
      </c>
      <c r="AC298">
        <v>1</v>
      </c>
    </row>
    <row r="299" spans="1:29">
      <c r="A299">
        <f t="shared" si="4"/>
        <v>299</v>
      </c>
      <c r="B299" s="103" t="s">
        <v>195</v>
      </c>
      <c r="C299">
        <v>111010</v>
      </c>
      <c r="D299">
        <v>1</v>
      </c>
      <c r="E299">
        <v>4</v>
      </c>
      <c r="F299">
        <v>0</v>
      </c>
      <c r="G299">
        <v>221</v>
      </c>
      <c r="H299">
        <v>1</v>
      </c>
      <c r="I299">
        <v>25</v>
      </c>
      <c r="J299">
        <v>222</v>
      </c>
      <c r="K299">
        <v>1</v>
      </c>
      <c r="L299">
        <v>25</v>
      </c>
      <c r="M299">
        <v>223</v>
      </c>
      <c r="N299">
        <v>1</v>
      </c>
      <c r="W299">
        <v>152</v>
      </c>
      <c r="X299">
        <v>38</v>
      </c>
      <c r="Y299">
        <v>516</v>
      </c>
      <c r="AC299">
        <v>1</v>
      </c>
    </row>
    <row r="300" spans="1:29">
      <c r="A300">
        <f t="shared" si="4"/>
        <v>300</v>
      </c>
      <c r="B300" s="103" t="s">
        <v>195</v>
      </c>
      <c r="C300">
        <v>113002</v>
      </c>
      <c r="D300">
        <v>1</v>
      </c>
      <c r="E300">
        <v>5</v>
      </c>
      <c r="F300">
        <v>0</v>
      </c>
      <c r="G300">
        <v>247</v>
      </c>
      <c r="H300">
        <v>1</v>
      </c>
      <c r="I300">
        <v>25</v>
      </c>
      <c r="J300">
        <v>248</v>
      </c>
      <c r="K300">
        <v>1</v>
      </c>
      <c r="L300">
        <v>25</v>
      </c>
      <c r="M300">
        <v>251</v>
      </c>
      <c r="N300">
        <v>1</v>
      </c>
      <c r="O300">
        <v>25</v>
      </c>
      <c r="P300">
        <v>254</v>
      </c>
      <c r="Q300">
        <v>1</v>
      </c>
      <c r="R300">
        <v>20</v>
      </c>
      <c r="S300">
        <v>252</v>
      </c>
      <c r="T300">
        <v>1</v>
      </c>
      <c r="W300">
        <v>152</v>
      </c>
      <c r="X300">
        <v>38</v>
      </c>
      <c r="Y300">
        <v>516</v>
      </c>
      <c r="AC300">
        <v>1</v>
      </c>
    </row>
    <row r="301" spans="1:29">
      <c r="A301">
        <f t="shared" si="4"/>
        <v>301</v>
      </c>
      <c r="B301" s="103" t="s">
        <v>196</v>
      </c>
      <c r="C301">
        <v>113006</v>
      </c>
      <c r="D301">
        <v>1</v>
      </c>
      <c r="E301">
        <v>1</v>
      </c>
      <c r="F301">
        <v>0</v>
      </c>
      <c r="G301">
        <v>263</v>
      </c>
      <c r="H301">
        <v>1</v>
      </c>
      <c r="I301">
        <v>25</v>
      </c>
      <c r="J301">
        <v>264</v>
      </c>
      <c r="K301">
        <v>1</v>
      </c>
      <c r="L301">
        <v>25</v>
      </c>
      <c r="M301">
        <v>265</v>
      </c>
      <c r="N301">
        <v>1</v>
      </c>
      <c r="O301">
        <v>25</v>
      </c>
      <c r="P301">
        <v>266</v>
      </c>
      <c r="Q301">
        <v>1</v>
      </c>
      <c r="R301">
        <v>20</v>
      </c>
      <c r="S301">
        <v>267</v>
      </c>
      <c r="T301">
        <v>1</v>
      </c>
      <c r="W301">
        <v>419</v>
      </c>
      <c r="X301">
        <v>113</v>
      </c>
      <c r="Y301">
        <v>1012</v>
      </c>
      <c r="AC301">
        <v>1</v>
      </c>
    </row>
    <row r="302" spans="1:29">
      <c r="A302">
        <f t="shared" si="4"/>
        <v>302</v>
      </c>
      <c r="B302" s="103" t="s">
        <v>196</v>
      </c>
      <c r="C302">
        <v>112008</v>
      </c>
      <c r="D302">
        <v>1</v>
      </c>
      <c r="E302">
        <v>2</v>
      </c>
      <c r="F302">
        <v>0</v>
      </c>
      <c r="G302">
        <v>73</v>
      </c>
      <c r="H302">
        <v>1</v>
      </c>
      <c r="I302">
        <v>25</v>
      </c>
      <c r="J302">
        <v>74</v>
      </c>
      <c r="K302">
        <v>1</v>
      </c>
      <c r="L302">
        <v>25</v>
      </c>
      <c r="M302">
        <v>75</v>
      </c>
      <c r="N302">
        <v>1</v>
      </c>
      <c r="O302">
        <v>25</v>
      </c>
      <c r="P302">
        <v>76</v>
      </c>
      <c r="Q302">
        <v>1</v>
      </c>
      <c r="R302">
        <v>20</v>
      </c>
      <c r="S302">
        <v>77</v>
      </c>
      <c r="T302">
        <v>1</v>
      </c>
      <c r="W302">
        <v>419</v>
      </c>
      <c r="X302">
        <v>113</v>
      </c>
      <c r="Y302">
        <v>1012</v>
      </c>
      <c r="AC302">
        <v>1</v>
      </c>
    </row>
    <row r="303" spans="1:29">
      <c r="A303">
        <f t="shared" si="4"/>
        <v>303</v>
      </c>
      <c r="B303" s="103" t="s">
        <v>196</v>
      </c>
      <c r="C303">
        <v>112013</v>
      </c>
      <c r="D303">
        <v>1</v>
      </c>
      <c r="E303">
        <v>3</v>
      </c>
      <c r="F303">
        <v>0</v>
      </c>
      <c r="G303">
        <v>116</v>
      </c>
      <c r="H303">
        <v>1</v>
      </c>
      <c r="I303">
        <v>25</v>
      </c>
      <c r="J303">
        <v>117</v>
      </c>
      <c r="K303">
        <v>1</v>
      </c>
      <c r="L303">
        <v>25</v>
      </c>
      <c r="M303">
        <v>118</v>
      </c>
      <c r="N303">
        <v>1</v>
      </c>
      <c r="O303">
        <v>25</v>
      </c>
      <c r="P303">
        <v>119</v>
      </c>
      <c r="Q303">
        <v>1</v>
      </c>
      <c r="R303">
        <v>20</v>
      </c>
      <c r="S303">
        <v>123</v>
      </c>
      <c r="T303">
        <v>1</v>
      </c>
      <c r="W303">
        <v>419</v>
      </c>
      <c r="X303">
        <v>113</v>
      </c>
      <c r="Y303">
        <v>1012</v>
      </c>
      <c r="AC303">
        <v>1</v>
      </c>
    </row>
    <row r="304" spans="1:29">
      <c r="A304">
        <f t="shared" si="4"/>
        <v>304</v>
      </c>
      <c r="B304" s="103" t="s">
        <v>196</v>
      </c>
      <c r="C304">
        <v>112014</v>
      </c>
      <c r="D304">
        <v>1</v>
      </c>
      <c r="E304">
        <v>4</v>
      </c>
      <c r="F304">
        <v>0</v>
      </c>
      <c r="G304">
        <v>140</v>
      </c>
      <c r="H304">
        <v>1</v>
      </c>
      <c r="I304">
        <v>25</v>
      </c>
      <c r="J304">
        <v>142</v>
      </c>
      <c r="K304">
        <v>1</v>
      </c>
      <c r="L304">
        <v>25</v>
      </c>
      <c r="M304">
        <v>143</v>
      </c>
      <c r="N304">
        <v>1</v>
      </c>
      <c r="O304">
        <v>25</v>
      </c>
      <c r="P304">
        <v>144</v>
      </c>
      <c r="Q304">
        <v>1</v>
      </c>
      <c r="R304">
        <v>20</v>
      </c>
      <c r="S304">
        <v>147</v>
      </c>
      <c r="T304">
        <v>1</v>
      </c>
      <c r="W304">
        <v>419</v>
      </c>
      <c r="X304">
        <v>113</v>
      </c>
      <c r="Y304">
        <v>1012</v>
      </c>
      <c r="AC304">
        <v>1</v>
      </c>
    </row>
    <row r="305" spans="1:29">
      <c r="A305">
        <f t="shared" si="4"/>
        <v>305</v>
      </c>
      <c r="B305" s="103" t="s">
        <v>196</v>
      </c>
      <c r="C305">
        <v>112015</v>
      </c>
      <c r="D305">
        <v>1</v>
      </c>
      <c r="E305">
        <v>5</v>
      </c>
      <c r="F305">
        <v>0</v>
      </c>
      <c r="G305">
        <v>132</v>
      </c>
      <c r="H305">
        <v>1</v>
      </c>
      <c r="I305">
        <v>25</v>
      </c>
      <c r="J305">
        <v>133</v>
      </c>
      <c r="K305">
        <v>1</v>
      </c>
      <c r="L305">
        <v>25</v>
      </c>
      <c r="M305">
        <v>134</v>
      </c>
      <c r="N305">
        <v>1</v>
      </c>
      <c r="O305">
        <v>25</v>
      </c>
      <c r="P305">
        <v>136</v>
      </c>
      <c r="Q305">
        <v>1</v>
      </c>
      <c r="R305">
        <v>20</v>
      </c>
      <c r="S305">
        <v>139</v>
      </c>
      <c r="T305">
        <v>1</v>
      </c>
      <c r="W305">
        <v>419</v>
      </c>
      <c r="X305">
        <v>113</v>
      </c>
      <c r="Y305">
        <v>1012</v>
      </c>
      <c r="AC305">
        <v>1</v>
      </c>
    </row>
    <row r="306" spans="1:29">
      <c r="A306">
        <f t="shared" si="4"/>
        <v>306</v>
      </c>
      <c r="B306" s="103" t="s">
        <v>197</v>
      </c>
      <c r="C306">
        <v>112017</v>
      </c>
      <c r="D306">
        <v>1</v>
      </c>
      <c r="E306">
        <v>1</v>
      </c>
      <c r="F306">
        <v>0</v>
      </c>
      <c r="G306">
        <v>213</v>
      </c>
      <c r="H306">
        <v>1</v>
      </c>
      <c r="I306">
        <v>25</v>
      </c>
      <c r="J306">
        <v>214</v>
      </c>
      <c r="K306">
        <v>1</v>
      </c>
      <c r="L306">
        <v>25</v>
      </c>
      <c r="M306">
        <v>215</v>
      </c>
      <c r="N306">
        <v>1</v>
      </c>
      <c r="O306">
        <v>25</v>
      </c>
      <c r="P306">
        <v>216</v>
      </c>
      <c r="Q306">
        <v>1</v>
      </c>
      <c r="R306">
        <v>20</v>
      </c>
      <c r="S306">
        <v>217</v>
      </c>
      <c r="T306">
        <v>1</v>
      </c>
      <c r="W306">
        <v>720</v>
      </c>
      <c r="X306">
        <v>176</v>
      </c>
      <c r="Y306">
        <v>1853</v>
      </c>
      <c r="AC306">
        <v>1</v>
      </c>
    </row>
    <row r="307" spans="1:29">
      <c r="A307">
        <f t="shared" si="4"/>
        <v>307</v>
      </c>
      <c r="B307" s="103" t="s">
        <v>197</v>
      </c>
      <c r="C307">
        <v>112019</v>
      </c>
      <c r="D307">
        <v>1</v>
      </c>
      <c r="E307">
        <v>2</v>
      </c>
      <c r="F307">
        <v>0</v>
      </c>
      <c r="G307">
        <v>255</v>
      </c>
      <c r="H307">
        <v>1</v>
      </c>
      <c r="I307">
        <v>25</v>
      </c>
      <c r="J307">
        <v>256</v>
      </c>
      <c r="K307">
        <v>1</v>
      </c>
      <c r="L307">
        <v>25</v>
      </c>
      <c r="M307">
        <v>258</v>
      </c>
      <c r="N307">
        <v>1</v>
      </c>
      <c r="O307">
        <v>25</v>
      </c>
      <c r="P307">
        <v>259</v>
      </c>
      <c r="Q307">
        <v>1</v>
      </c>
      <c r="R307">
        <v>20</v>
      </c>
      <c r="S307">
        <v>260</v>
      </c>
      <c r="T307">
        <v>1</v>
      </c>
      <c r="W307">
        <v>720</v>
      </c>
      <c r="X307">
        <v>176</v>
      </c>
      <c r="Y307">
        <v>1853</v>
      </c>
      <c r="AC307">
        <v>1</v>
      </c>
    </row>
    <row r="308" spans="1:29">
      <c r="A308">
        <f t="shared" si="4"/>
        <v>308</v>
      </c>
      <c r="B308" s="103" t="s">
        <v>197</v>
      </c>
      <c r="C308">
        <v>113010</v>
      </c>
      <c r="D308">
        <v>1</v>
      </c>
      <c r="E308">
        <v>3</v>
      </c>
      <c r="F308">
        <v>0</v>
      </c>
      <c r="G308">
        <v>299</v>
      </c>
      <c r="H308">
        <v>1</v>
      </c>
      <c r="I308">
        <v>25</v>
      </c>
      <c r="J308">
        <v>300</v>
      </c>
      <c r="K308">
        <v>1</v>
      </c>
      <c r="L308">
        <v>25</v>
      </c>
      <c r="M308">
        <v>301</v>
      </c>
      <c r="N308">
        <v>1</v>
      </c>
      <c r="O308">
        <v>25</v>
      </c>
      <c r="P308">
        <v>302</v>
      </c>
      <c r="Q308">
        <v>1</v>
      </c>
      <c r="R308">
        <v>20</v>
      </c>
      <c r="S308">
        <v>303</v>
      </c>
      <c r="T308">
        <v>1</v>
      </c>
      <c r="W308">
        <v>720</v>
      </c>
      <c r="X308">
        <v>176</v>
      </c>
      <c r="Y308">
        <v>1853</v>
      </c>
      <c r="AC308">
        <v>1</v>
      </c>
    </row>
    <row r="309" spans="1:29">
      <c r="A309">
        <f t="shared" si="4"/>
        <v>309</v>
      </c>
      <c r="B309" s="103" t="s">
        <v>197</v>
      </c>
      <c r="C309">
        <v>113001</v>
      </c>
      <c r="D309">
        <v>1</v>
      </c>
      <c r="E309">
        <v>4</v>
      </c>
      <c r="F309">
        <v>0</v>
      </c>
      <c r="G309">
        <v>239</v>
      </c>
      <c r="H309">
        <v>1</v>
      </c>
      <c r="I309">
        <v>25</v>
      </c>
      <c r="J309">
        <v>240</v>
      </c>
      <c r="K309">
        <v>1</v>
      </c>
      <c r="L309">
        <v>25</v>
      </c>
      <c r="M309">
        <v>241</v>
      </c>
      <c r="N309">
        <v>1</v>
      </c>
      <c r="O309">
        <v>25</v>
      </c>
      <c r="P309">
        <v>242</v>
      </c>
      <c r="Q309">
        <v>1</v>
      </c>
      <c r="R309">
        <v>20</v>
      </c>
      <c r="S309">
        <v>243</v>
      </c>
      <c r="T309">
        <v>1</v>
      </c>
      <c r="W309">
        <v>720</v>
      </c>
      <c r="X309">
        <v>176</v>
      </c>
      <c r="Y309">
        <v>1853</v>
      </c>
      <c r="AC309">
        <v>1</v>
      </c>
    </row>
    <row r="310" spans="1:29">
      <c r="A310">
        <f t="shared" si="4"/>
        <v>310</v>
      </c>
      <c r="B310" s="103" t="s">
        <v>197</v>
      </c>
      <c r="C310">
        <v>112001</v>
      </c>
      <c r="D310">
        <v>1</v>
      </c>
      <c r="E310">
        <v>5</v>
      </c>
      <c r="F310">
        <v>0</v>
      </c>
      <c r="G310">
        <v>1</v>
      </c>
      <c r="H310">
        <v>1</v>
      </c>
      <c r="I310">
        <v>25</v>
      </c>
      <c r="J310">
        <v>2</v>
      </c>
      <c r="K310">
        <v>1</v>
      </c>
      <c r="L310">
        <v>25</v>
      </c>
      <c r="M310">
        <v>6</v>
      </c>
      <c r="N310">
        <v>1</v>
      </c>
      <c r="O310">
        <v>25</v>
      </c>
      <c r="P310">
        <v>8</v>
      </c>
      <c r="Q310">
        <v>1</v>
      </c>
      <c r="R310">
        <v>20</v>
      </c>
      <c r="S310">
        <v>3</v>
      </c>
      <c r="T310">
        <v>1</v>
      </c>
      <c r="W310">
        <v>720</v>
      </c>
      <c r="X310">
        <v>176</v>
      </c>
      <c r="Y310">
        <v>1853</v>
      </c>
      <c r="AC310">
        <v>1</v>
      </c>
    </row>
    <row r="311" spans="1:29">
      <c r="A311">
        <f t="shared" si="4"/>
        <v>311</v>
      </c>
      <c r="B311" s="103" t="s">
        <v>198</v>
      </c>
      <c r="C311">
        <v>112002</v>
      </c>
      <c r="D311">
        <v>1</v>
      </c>
      <c r="E311">
        <v>1</v>
      </c>
      <c r="F311">
        <v>0</v>
      </c>
      <c r="G311">
        <v>24</v>
      </c>
      <c r="H311">
        <v>1</v>
      </c>
      <c r="I311">
        <v>25</v>
      </c>
      <c r="J311">
        <v>25</v>
      </c>
      <c r="K311">
        <v>1</v>
      </c>
      <c r="L311">
        <v>25</v>
      </c>
      <c r="M311">
        <v>26</v>
      </c>
      <c r="N311">
        <v>1</v>
      </c>
      <c r="O311">
        <v>25</v>
      </c>
      <c r="P311">
        <v>29</v>
      </c>
      <c r="Q311">
        <v>1</v>
      </c>
      <c r="R311">
        <v>20</v>
      </c>
      <c r="S311">
        <v>31</v>
      </c>
      <c r="T311">
        <v>1</v>
      </c>
      <c r="W311">
        <v>675</v>
      </c>
      <c r="X311">
        <v>196</v>
      </c>
      <c r="Y311">
        <v>1771</v>
      </c>
      <c r="AC311">
        <v>1</v>
      </c>
    </row>
    <row r="312" spans="1:29">
      <c r="A312">
        <f t="shared" si="4"/>
        <v>312</v>
      </c>
      <c r="B312" s="103" t="s">
        <v>198</v>
      </c>
      <c r="C312">
        <v>112005</v>
      </c>
      <c r="D312">
        <v>1</v>
      </c>
      <c r="E312">
        <v>2</v>
      </c>
      <c r="F312">
        <v>0</v>
      </c>
      <c r="G312">
        <v>47</v>
      </c>
      <c r="H312">
        <v>1</v>
      </c>
      <c r="I312">
        <v>25</v>
      </c>
      <c r="J312">
        <v>48</v>
      </c>
      <c r="K312">
        <v>1</v>
      </c>
      <c r="L312">
        <v>25</v>
      </c>
      <c r="M312">
        <v>50</v>
      </c>
      <c r="N312">
        <v>1</v>
      </c>
      <c r="O312">
        <v>25</v>
      </c>
      <c r="P312">
        <v>53</v>
      </c>
      <c r="Q312">
        <v>1</v>
      </c>
      <c r="R312">
        <v>20</v>
      </c>
      <c r="S312">
        <v>51</v>
      </c>
      <c r="T312">
        <v>1</v>
      </c>
      <c r="W312">
        <v>675</v>
      </c>
      <c r="X312">
        <v>196</v>
      </c>
      <c r="Y312">
        <v>1771</v>
      </c>
      <c r="AC312">
        <v>1</v>
      </c>
    </row>
    <row r="313" spans="1:29">
      <c r="A313">
        <f t="shared" si="4"/>
        <v>313</v>
      </c>
      <c r="B313" s="103" t="s">
        <v>198</v>
      </c>
      <c r="C313">
        <v>112003</v>
      </c>
      <c r="D313">
        <v>1</v>
      </c>
      <c r="E313">
        <v>3</v>
      </c>
      <c r="F313">
        <v>0</v>
      </c>
      <c r="G313">
        <v>63</v>
      </c>
      <c r="H313">
        <v>1</v>
      </c>
      <c r="I313">
        <v>25</v>
      </c>
      <c r="J313">
        <v>65</v>
      </c>
      <c r="K313">
        <v>1</v>
      </c>
      <c r="L313">
        <v>25</v>
      </c>
      <c r="M313">
        <v>66</v>
      </c>
      <c r="N313">
        <v>1</v>
      </c>
      <c r="O313">
        <v>25</v>
      </c>
      <c r="P313">
        <v>68</v>
      </c>
      <c r="Q313">
        <v>1</v>
      </c>
      <c r="R313">
        <v>20</v>
      </c>
      <c r="S313">
        <v>67</v>
      </c>
      <c r="T313">
        <v>1</v>
      </c>
      <c r="W313">
        <v>675</v>
      </c>
      <c r="X313">
        <v>196</v>
      </c>
      <c r="Y313">
        <v>1771</v>
      </c>
      <c r="AC313">
        <v>1</v>
      </c>
    </row>
    <row r="314" spans="1:29">
      <c r="A314">
        <f t="shared" si="4"/>
        <v>314</v>
      </c>
      <c r="B314" s="103" t="s">
        <v>198</v>
      </c>
      <c r="C314">
        <v>112004</v>
      </c>
      <c r="D314">
        <v>1</v>
      </c>
      <c r="E314">
        <v>4</v>
      </c>
      <c r="F314">
        <v>0</v>
      </c>
      <c r="G314">
        <v>55</v>
      </c>
      <c r="H314">
        <v>1</v>
      </c>
      <c r="I314">
        <v>25</v>
      </c>
      <c r="J314">
        <v>58</v>
      </c>
      <c r="K314">
        <v>1</v>
      </c>
      <c r="L314">
        <v>25</v>
      </c>
      <c r="M314">
        <v>59</v>
      </c>
      <c r="N314">
        <v>1</v>
      </c>
      <c r="O314">
        <v>25</v>
      </c>
      <c r="P314">
        <v>60</v>
      </c>
      <c r="Q314">
        <v>1</v>
      </c>
      <c r="R314">
        <v>20</v>
      </c>
      <c r="S314">
        <v>62</v>
      </c>
      <c r="T314">
        <v>1</v>
      </c>
      <c r="W314">
        <v>675</v>
      </c>
      <c r="X314">
        <v>196</v>
      </c>
      <c r="Y314">
        <v>1771</v>
      </c>
      <c r="AC314">
        <v>1</v>
      </c>
    </row>
    <row r="315" spans="1:29">
      <c r="A315">
        <f t="shared" si="4"/>
        <v>315</v>
      </c>
      <c r="B315" s="103" t="s">
        <v>198</v>
      </c>
      <c r="C315">
        <v>112010</v>
      </c>
      <c r="D315">
        <v>1</v>
      </c>
      <c r="E315">
        <v>5</v>
      </c>
      <c r="F315">
        <v>0</v>
      </c>
      <c r="G315">
        <v>91</v>
      </c>
      <c r="H315">
        <v>1</v>
      </c>
      <c r="I315">
        <v>25</v>
      </c>
      <c r="J315">
        <v>92</v>
      </c>
      <c r="K315">
        <v>1</v>
      </c>
      <c r="L315">
        <v>25</v>
      </c>
      <c r="M315">
        <v>97</v>
      </c>
      <c r="N315">
        <v>1</v>
      </c>
      <c r="O315">
        <v>25</v>
      </c>
      <c r="P315">
        <v>96</v>
      </c>
      <c r="Q315">
        <v>1</v>
      </c>
      <c r="R315">
        <v>20</v>
      </c>
      <c r="S315">
        <v>98</v>
      </c>
      <c r="T315">
        <v>1</v>
      </c>
      <c r="W315">
        <v>675</v>
      </c>
      <c r="X315">
        <v>196</v>
      </c>
      <c r="Y315">
        <v>1771</v>
      </c>
      <c r="AC315">
        <v>1</v>
      </c>
    </row>
    <row r="316" spans="1:29">
      <c r="A316">
        <f t="shared" si="4"/>
        <v>316</v>
      </c>
      <c r="B316" s="103" t="s">
        <v>199</v>
      </c>
      <c r="C316">
        <v>112011</v>
      </c>
      <c r="D316">
        <v>1</v>
      </c>
      <c r="E316">
        <v>1</v>
      </c>
      <c r="F316">
        <v>0</v>
      </c>
      <c r="G316">
        <v>107</v>
      </c>
      <c r="H316">
        <v>1</v>
      </c>
      <c r="I316">
        <v>25</v>
      </c>
      <c r="J316">
        <v>108</v>
      </c>
      <c r="K316">
        <v>1</v>
      </c>
      <c r="L316">
        <v>25</v>
      </c>
      <c r="M316">
        <v>109</v>
      </c>
      <c r="N316">
        <v>1</v>
      </c>
      <c r="O316">
        <v>25</v>
      </c>
      <c r="P316">
        <v>110</v>
      </c>
      <c r="Q316">
        <v>1</v>
      </c>
      <c r="R316">
        <v>20</v>
      </c>
      <c r="S316">
        <v>115</v>
      </c>
      <c r="T316">
        <v>1</v>
      </c>
      <c r="W316">
        <v>152</v>
      </c>
      <c r="X316">
        <v>38</v>
      </c>
      <c r="Y316">
        <v>516</v>
      </c>
      <c r="AC316">
        <v>1</v>
      </c>
    </row>
    <row r="317" spans="1:29">
      <c r="A317">
        <f t="shared" si="4"/>
        <v>317</v>
      </c>
      <c r="B317" s="103" t="s">
        <v>199</v>
      </c>
      <c r="C317">
        <v>112012</v>
      </c>
      <c r="D317">
        <v>1</v>
      </c>
      <c r="E317">
        <v>2</v>
      </c>
      <c r="F317">
        <v>0</v>
      </c>
      <c r="G317">
        <v>124</v>
      </c>
      <c r="H317">
        <v>1</v>
      </c>
      <c r="I317">
        <v>25</v>
      </c>
      <c r="J317">
        <v>125</v>
      </c>
      <c r="K317">
        <v>1</v>
      </c>
      <c r="L317">
        <v>25</v>
      </c>
      <c r="M317">
        <v>126</v>
      </c>
      <c r="N317">
        <v>1</v>
      </c>
      <c r="O317">
        <v>25</v>
      </c>
      <c r="P317">
        <v>127</v>
      </c>
      <c r="Q317">
        <v>1</v>
      </c>
      <c r="R317">
        <v>20</v>
      </c>
      <c r="S317">
        <v>131</v>
      </c>
      <c r="T317">
        <v>1</v>
      </c>
      <c r="W317">
        <v>152</v>
      </c>
      <c r="X317">
        <v>38</v>
      </c>
      <c r="Y317">
        <v>516</v>
      </c>
      <c r="AC317">
        <v>1</v>
      </c>
    </row>
    <row r="318" spans="1:29">
      <c r="A318">
        <f t="shared" si="4"/>
        <v>318</v>
      </c>
      <c r="B318" s="103" t="s">
        <v>199</v>
      </c>
      <c r="C318">
        <v>111001</v>
      </c>
      <c r="D318">
        <v>1</v>
      </c>
      <c r="E318">
        <v>3</v>
      </c>
      <c r="F318">
        <v>0</v>
      </c>
      <c r="G318">
        <v>183</v>
      </c>
      <c r="H318">
        <v>1</v>
      </c>
      <c r="I318">
        <v>25</v>
      </c>
      <c r="J318">
        <v>184</v>
      </c>
      <c r="K318">
        <v>1</v>
      </c>
      <c r="L318">
        <v>25</v>
      </c>
      <c r="M318">
        <v>185</v>
      </c>
      <c r="N318">
        <v>1</v>
      </c>
      <c r="W318">
        <v>152</v>
      </c>
      <c r="X318">
        <v>38</v>
      </c>
      <c r="Y318">
        <v>516</v>
      </c>
      <c r="AC318">
        <v>1</v>
      </c>
    </row>
    <row r="319" spans="1:29">
      <c r="A319">
        <f t="shared" si="4"/>
        <v>319</v>
      </c>
      <c r="B319" s="103" t="s">
        <v>199</v>
      </c>
      <c r="C319">
        <v>111002</v>
      </c>
      <c r="D319">
        <v>1</v>
      </c>
      <c r="E319">
        <v>4</v>
      </c>
      <c r="F319">
        <v>0</v>
      </c>
      <c r="G319">
        <v>164</v>
      </c>
      <c r="H319">
        <v>1</v>
      </c>
      <c r="I319">
        <v>25</v>
      </c>
      <c r="J319">
        <v>165</v>
      </c>
      <c r="K319">
        <v>1</v>
      </c>
      <c r="L319">
        <v>25</v>
      </c>
      <c r="M319">
        <v>166</v>
      </c>
      <c r="N319">
        <v>1</v>
      </c>
      <c r="W319">
        <v>152</v>
      </c>
      <c r="X319">
        <v>38</v>
      </c>
      <c r="Y319">
        <v>516</v>
      </c>
      <c r="AC319">
        <v>1</v>
      </c>
    </row>
    <row r="320" spans="1:29">
      <c r="A320">
        <f t="shared" si="4"/>
        <v>320</v>
      </c>
      <c r="B320" s="103" t="s">
        <v>199</v>
      </c>
      <c r="C320">
        <v>111003</v>
      </c>
      <c r="D320">
        <v>1</v>
      </c>
      <c r="E320">
        <v>5</v>
      </c>
      <c r="F320">
        <v>0</v>
      </c>
      <c r="G320">
        <v>186</v>
      </c>
      <c r="H320">
        <v>1</v>
      </c>
      <c r="I320">
        <v>25</v>
      </c>
      <c r="J320">
        <v>187</v>
      </c>
      <c r="K320">
        <v>1</v>
      </c>
      <c r="L320">
        <v>25</v>
      </c>
      <c r="M320">
        <v>188</v>
      </c>
      <c r="N320">
        <v>1</v>
      </c>
      <c r="W320">
        <v>152</v>
      </c>
      <c r="X320">
        <v>38</v>
      </c>
      <c r="Y320">
        <v>516</v>
      </c>
      <c r="AC320">
        <v>1</v>
      </c>
    </row>
    <row r="321" spans="1:29">
      <c r="A321">
        <f t="shared" si="4"/>
        <v>321</v>
      </c>
      <c r="B321" s="103" t="s">
        <v>200</v>
      </c>
      <c r="C321">
        <v>111004</v>
      </c>
      <c r="D321">
        <v>1</v>
      </c>
      <c r="E321">
        <v>1</v>
      </c>
      <c r="F321">
        <v>0</v>
      </c>
      <c r="G321">
        <v>167</v>
      </c>
      <c r="H321">
        <v>1</v>
      </c>
      <c r="I321">
        <v>25</v>
      </c>
      <c r="J321">
        <v>168</v>
      </c>
      <c r="K321">
        <v>1</v>
      </c>
      <c r="L321">
        <v>25</v>
      </c>
      <c r="M321">
        <v>169</v>
      </c>
      <c r="N321">
        <v>1</v>
      </c>
      <c r="R321">
        <v>20</v>
      </c>
      <c r="S321">
        <v>170</v>
      </c>
      <c r="T321">
        <v>1</v>
      </c>
      <c r="W321">
        <v>419</v>
      </c>
      <c r="X321">
        <v>113</v>
      </c>
      <c r="Y321">
        <v>1012</v>
      </c>
      <c r="AC321">
        <v>1</v>
      </c>
    </row>
    <row r="322" spans="1:29">
      <c r="A322">
        <f t="shared" ref="A322:A385" si="5">ROW(A322)</f>
        <v>322</v>
      </c>
      <c r="B322" s="103" t="s">
        <v>200</v>
      </c>
      <c r="C322">
        <v>111005</v>
      </c>
      <c r="D322">
        <v>1</v>
      </c>
      <c r="E322">
        <v>2</v>
      </c>
      <c r="F322">
        <v>0</v>
      </c>
      <c r="G322">
        <v>88</v>
      </c>
      <c r="H322">
        <v>1</v>
      </c>
      <c r="I322">
        <v>25</v>
      </c>
      <c r="J322">
        <v>89</v>
      </c>
      <c r="K322">
        <v>1</v>
      </c>
      <c r="L322">
        <v>25</v>
      </c>
      <c r="M322">
        <v>90</v>
      </c>
      <c r="N322">
        <v>1</v>
      </c>
      <c r="W322">
        <v>419</v>
      </c>
      <c r="X322">
        <v>113</v>
      </c>
      <c r="Y322">
        <v>1012</v>
      </c>
      <c r="AC322">
        <v>1</v>
      </c>
    </row>
    <row r="323" spans="1:29">
      <c r="A323">
        <f t="shared" si="5"/>
        <v>323</v>
      </c>
      <c r="B323" s="103" t="s">
        <v>200</v>
      </c>
      <c r="C323">
        <v>111006</v>
      </c>
      <c r="D323">
        <v>1</v>
      </c>
      <c r="E323">
        <v>3</v>
      </c>
      <c r="F323">
        <v>0</v>
      </c>
      <c r="G323">
        <v>175</v>
      </c>
      <c r="H323">
        <v>1</v>
      </c>
      <c r="I323">
        <v>25</v>
      </c>
      <c r="J323">
        <v>176</v>
      </c>
      <c r="K323">
        <v>1</v>
      </c>
      <c r="L323">
        <v>25</v>
      </c>
      <c r="M323">
        <v>177</v>
      </c>
      <c r="N323">
        <v>1</v>
      </c>
      <c r="R323" s="106">
        <v>20</v>
      </c>
      <c r="S323" s="106">
        <v>178</v>
      </c>
      <c r="T323" s="106">
        <v>1</v>
      </c>
      <c r="W323">
        <v>419</v>
      </c>
      <c r="X323">
        <v>113</v>
      </c>
      <c r="Y323">
        <v>1012</v>
      </c>
      <c r="AC323">
        <v>1</v>
      </c>
    </row>
    <row r="324" spans="1:29">
      <c r="A324">
        <f t="shared" si="5"/>
        <v>324</v>
      </c>
      <c r="B324" s="103" t="s">
        <v>200</v>
      </c>
      <c r="C324">
        <v>111007</v>
      </c>
      <c r="D324">
        <v>1</v>
      </c>
      <c r="E324">
        <v>4</v>
      </c>
      <c r="F324">
        <v>0</v>
      </c>
      <c r="G324" s="106">
        <v>179</v>
      </c>
      <c r="H324" s="106">
        <v>1</v>
      </c>
      <c r="I324">
        <v>25</v>
      </c>
      <c r="J324" s="106">
        <v>180</v>
      </c>
      <c r="K324" s="106">
        <v>1</v>
      </c>
      <c r="L324">
        <v>25</v>
      </c>
      <c r="M324" s="106">
        <v>181</v>
      </c>
      <c r="N324" s="106">
        <v>1</v>
      </c>
      <c r="O324">
        <v>25</v>
      </c>
      <c r="P324" s="106">
        <v>182</v>
      </c>
      <c r="Q324" s="106">
        <v>1</v>
      </c>
      <c r="W324">
        <v>419</v>
      </c>
      <c r="X324">
        <v>113</v>
      </c>
      <c r="Y324">
        <v>1012</v>
      </c>
      <c r="AC324">
        <v>1</v>
      </c>
    </row>
    <row r="325" spans="1:29">
      <c r="A325">
        <f t="shared" si="5"/>
        <v>325</v>
      </c>
      <c r="B325" s="103" t="s">
        <v>200</v>
      </c>
      <c r="C325">
        <v>111008</v>
      </c>
      <c r="D325">
        <v>1</v>
      </c>
      <c r="E325">
        <v>5</v>
      </c>
      <c r="F325">
        <v>0</v>
      </c>
      <c r="G325">
        <v>296</v>
      </c>
      <c r="H325">
        <v>1</v>
      </c>
      <c r="I325">
        <v>25</v>
      </c>
      <c r="J325">
        <v>297</v>
      </c>
      <c r="K325">
        <v>1</v>
      </c>
      <c r="L325">
        <v>25</v>
      </c>
      <c r="M325">
        <v>298</v>
      </c>
      <c r="N325">
        <v>1</v>
      </c>
      <c r="W325">
        <v>419</v>
      </c>
      <c r="X325">
        <v>113</v>
      </c>
      <c r="Y325">
        <v>1012</v>
      </c>
      <c r="AC325">
        <v>1</v>
      </c>
    </row>
    <row r="326" spans="1:29">
      <c r="A326">
        <f t="shared" si="5"/>
        <v>326</v>
      </c>
      <c r="B326" s="103" t="s">
        <v>201</v>
      </c>
      <c r="C326">
        <v>111009</v>
      </c>
      <c r="D326">
        <v>1</v>
      </c>
      <c r="E326">
        <v>1</v>
      </c>
      <c r="F326">
        <v>0</v>
      </c>
      <c r="G326">
        <v>171</v>
      </c>
      <c r="H326">
        <v>1</v>
      </c>
      <c r="I326">
        <v>25</v>
      </c>
      <c r="J326">
        <v>172</v>
      </c>
      <c r="K326">
        <v>1</v>
      </c>
      <c r="L326">
        <v>25</v>
      </c>
      <c r="M326">
        <v>173</v>
      </c>
      <c r="N326">
        <v>1</v>
      </c>
      <c r="R326">
        <v>20</v>
      </c>
      <c r="S326">
        <v>174</v>
      </c>
      <c r="T326">
        <v>1</v>
      </c>
      <c r="W326">
        <v>720</v>
      </c>
      <c r="X326">
        <v>176</v>
      </c>
      <c r="Y326">
        <v>1853</v>
      </c>
      <c r="AC326">
        <v>1</v>
      </c>
    </row>
    <row r="327" spans="1:29">
      <c r="A327">
        <f t="shared" si="5"/>
        <v>327</v>
      </c>
      <c r="B327" s="103" t="s">
        <v>201</v>
      </c>
      <c r="C327">
        <v>111010</v>
      </c>
      <c r="D327">
        <v>1</v>
      </c>
      <c r="E327">
        <v>2</v>
      </c>
      <c r="F327">
        <v>0</v>
      </c>
      <c r="G327">
        <v>221</v>
      </c>
      <c r="H327">
        <v>1</v>
      </c>
      <c r="I327">
        <v>25</v>
      </c>
      <c r="J327">
        <v>222</v>
      </c>
      <c r="K327">
        <v>1</v>
      </c>
      <c r="L327">
        <v>25</v>
      </c>
      <c r="M327">
        <v>223</v>
      </c>
      <c r="N327">
        <v>1</v>
      </c>
      <c r="W327">
        <v>720</v>
      </c>
      <c r="X327">
        <v>176</v>
      </c>
      <c r="Y327">
        <v>1853</v>
      </c>
      <c r="AC327">
        <v>1</v>
      </c>
    </row>
    <row r="328" spans="1:29">
      <c r="A328">
        <f t="shared" si="5"/>
        <v>328</v>
      </c>
      <c r="B328" s="103" t="s">
        <v>201</v>
      </c>
      <c r="C328">
        <v>113002</v>
      </c>
      <c r="D328">
        <v>1</v>
      </c>
      <c r="E328">
        <v>3</v>
      </c>
      <c r="F328">
        <v>0</v>
      </c>
      <c r="G328">
        <v>247</v>
      </c>
      <c r="H328">
        <v>1</v>
      </c>
      <c r="I328">
        <v>25</v>
      </c>
      <c r="J328">
        <v>248</v>
      </c>
      <c r="K328">
        <v>1</v>
      </c>
      <c r="L328">
        <v>25</v>
      </c>
      <c r="M328">
        <v>251</v>
      </c>
      <c r="N328">
        <v>1</v>
      </c>
      <c r="O328">
        <v>25</v>
      </c>
      <c r="P328">
        <v>254</v>
      </c>
      <c r="Q328">
        <v>1</v>
      </c>
      <c r="R328">
        <v>20</v>
      </c>
      <c r="S328">
        <v>252</v>
      </c>
      <c r="T328">
        <v>1</v>
      </c>
      <c r="W328">
        <v>720</v>
      </c>
      <c r="X328">
        <v>176</v>
      </c>
      <c r="Y328">
        <v>1853</v>
      </c>
      <c r="AC328">
        <v>1</v>
      </c>
    </row>
    <row r="329" spans="1:29">
      <c r="A329">
        <f t="shared" si="5"/>
        <v>329</v>
      </c>
      <c r="B329" s="103" t="s">
        <v>201</v>
      </c>
      <c r="C329">
        <v>113006</v>
      </c>
      <c r="D329">
        <v>1</v>
      </c>
      <c r="E329">
        <v>4</v>
      </c>
      <c r="F329">
        <v>0</v>
      </c>
      <c r="G329">
        <v>263</v>
      </c>
      <c r="H329">
        <v>1</v>
      </c>
      <c r="I329">
        <v>25</v>
      </c>
      <c r="J329">
        <v>264</v>
      </c>
      <c r="K329">
        <v>1</v>
      </c>
      <c r="L329">
        <v>25</v>
      </c>
      <c r="M329">
        <v>265</v>
      </c>
      <c r="N329">
        <v>1</v>
      </c>
      <c r="O329">
        <v>25</v>
      </c>
      <c r="P329">
        <v>266</v>
      </c>
      <c r="Q329">
        <v>1</v>
      </c>
      <c r="R329">
        <v>20</v>
      </c>
      <c r="S329">
        <v>267</v>
      </c>
      <c r="T329">
        <v>1</v>
      </c>
      <c r="W329">
        <v>720</v>
      </c>
      <c r="X329">
        <v>176</v>
      </c>
      <c r="Y329">
        <v>1853</v>
      </c>
      <c r="AC329">
        <v>1</v>
      </c>
    </row>
    <row r="330" spans="1:29">
      <c r="A330">
        <f t="shared" si="5"/>
        <v>330</v>
      </c>
      <c r="B330" s="103" t="s">
        <v>201</v>
      </c>
      <c r="C330">
        <v>112008</v>
      </c>
      <c r="D330">
        <v>1</v>
      </c>
      <c r="E330">
        <v>5</v>
      </c>
      <c r="F330">
        <v>0</v>
      </c>
      <c r="G330">
        <v>73</v>
      </c>
      <c r="H330">
        <v>1</v>
      </c>
      <c r="I330">
        <v>25</v>
      </c>
      <c r="J330">
        <v>74</v>
      </c>
      <c r="K330">
        <v>1</v>
      </c>
      <c r="L330">
        <v>25</v>
      </c>
      <c r="M330">
        <v>75</v>
      </c>
      <c r="N330">
        <v>1</v>
      </c>
      <c r="O330">
        <v>25</v>
      </c>
      <c r="P330">
        <v>76</v>
      </c>
      <c r="Q330">
        <v>1</v>
      </c>
      <c r="R330">
        <v>20</v>
      </c>
      <c r="S330">
        <v>77</v>
      </c>
      <c r="T330">
        <v>1</v>
      </c>
      <c r="W330">
        <v>720</v>
      </c>
      <c r="X330">
        <v>176</v>
      </c>
      <c r="Y330">
        <v>1853</v>
      </c>
      <c r="AC330">
        <v>1</v>
      </c>
    </row>
    <row r="331" spans="1:29">
      <c r="A331">
        <f t="shared" si="5"/>
        <v>331</v>
      </c>
      <c r="B331" s="103" t="s">
        <v>202</v>
      </c>
      <c r="C331">
        <v>112013</v>
      </c>
      <c r="D331">
        <v>1</v>
      </c>
      <c r="E331">
        <v>1</v>
      </c>
      <c r="F331">
        <v>0</v>
      </c>
      <c r="G331">
        <v>116</v>
      </c>
      <c r="H331">
        <v>1</v>
      </c>
      <c r="I331">
        <v>25</v>
      </c>
      <c r="J331">
        <v>117</v>
      </c>
      <c r="K331">
        <v>1</v>
      </c>
      <c r="L331">
        <v>25</v>
      </c>
      <c r="M331">
        <v>118</v>
      </c>
      <c r="N331">
        <v>1</v>
      </c>
      <c r="O331">
        <v>25</v>
      </c>
      <c r="P331">
        <v>119</v>
      </c>
      <c r="Q331">
        <v>1</v>
      </c>
      <c r="R331">
        <v>20</v>
      </c>
      <c r="S331">
        <v>123</v>
      </c>
      <c r="T331">
        <v>1</v>
      </c>
      <c r="W331">
        <v>675</v>
      </c>
      <c r="X331">
        <v>196</v>
      </c>
      <c r="Y331">
        <v>1771</v>
      </c>
      <c r="AC331">
        <v>1</v>
      </c>
    </row>
    <row r="332" spans="1:29">
      <c r="A332">
        <f t="shared" si="5"/>
        <v>332</v>
      </c>
      <c r="B332" s="103" t="s">
        <v>202</v>
      </c>
      <c r="C332">
        <v>112014</v>
      </c>
      <c r="D332">
        <v>1</v>
      </c>
      <c r="E332">
        <v>2</v>
      </c>
      <c r="F332">
        <v>0</v>
      </c>
      <c r="G332">
        <v>140</v>
      </c>
      <c r="H332">
        <v>1</v>
      </c>
      <c r="I332">
        <v>25</v>
      </c>
      <c r="J332">
        <v>142</v>
      </c>
      <c r="K332">
        <v>1</v>
      </c>
      <c r="L332">
        <v>25</v>
      </c>
      <c r="M332">
        <v>143</v>
      </c>
      <c r="N332">
        <v>1</v>
      </c>
      <c r="O332">
        <v>25</v>
      </c>
      <c r="P332">
        <v>144</v>
      </c>
      <c r="Q332">
        <v>1</v>
      </c>
      <c r="R332">
        <v>20</v>
      </c>
      <c r="S332">
        <v>147</v>
      </c>
      <c r="T332">
        <v>1</v>
      </c>
      <c r="W332">
        <v>675</v>
      </c>
      <c r="X332">
        <v>196</v>
      </c>
      <c r="Y332">
        <v>1771</v>
      </c>
      <c r="AC332">
        <v>1</v>
      </c>
    </row>
    <row r="333" spans="1:29">
      <c r="A333">
        <f t="shared" si="5"/>
        <v>333</v>
      </c>
      <c r="B333" s="103" t="s">
        <v>202</v>
      </c>
      <c r="C333">
        <v>112015</v>
      </c>
      <c r="D333">
        <v>1</v>
      </c>
      <c r="E333">
        <v>3</v>
      </c>
      <c r="F333">
        <v>0</v>
      </c>
      <c r="G333">
        <v>132</v>
      </c>
      <c r="H333">
        <v>1</v>
      </c>
      <c r="I333">
        <v>25</v>
      </c>
      <c r="J333">
        <v>133</v>
      </c>
      <c r="K333">
        <v>1</v>
      </c>
      <c r="L333">
        <v>25</v>
      </c>
      <c r="M333">
        <v>134</v>
      </c>
      <c r="N333">
        <v>1</v>
      </c>
      <c r="O333">
        <v>25</v>
      </c>
      <c r="P333">
        <v>136</v>
      </c>
      <c r="Q333">
        <v>1</v>
      </c>
      <c r="R333">
        <v>20</v>
      </c>
      <c r="S333">
        <v>139</v>
      </c>
      <c r="T333">
        <v>1</v>
      </c>
      <c r="W333">
        <v>675</v>
      </c>
      <c r="X333">
        <v>196</v>
      </c>
      <c r="Y333">
        <v>1771</v>
      </c>
      <c r="AC333">
        <v>1</v>
      </c>
    </row>
    <row r="334" spans="1:29">
      <c r="A334">
        <f t="shared" si="5"/>
        <v>334</v>
      </c>
      <c r="B334" s="103" t="s">
        <v>202</v>
      </c>
      <c r="C334">
        <v>112017</v>
      </c>
      <c r="D334">
        <v>1</v>
      </c>
      <c r="E334">
        <v>4</v>
      </c>
      <c r="F334">
        <v>0</v>
      </c>
      <c r="G334">
        <v>213</v>
      </c>
      <c r="H334">
        <v>1</v>
      </c>
      <c r="I334">
        <v>25</v>
      </c>
      <c r="J334">
        <v>214</v>
      </c>
      <c r="K334">
        <v>1</v>
      </c>
      <c r="L334">
        <v>25</v>
      </c>
      <c r="M334">
        <v>215</v>
      </c>
      <c r="N334">
        <v>1</v>
      </c>
      <c r="O334">
        <v>25</v>
      </c>
      <c r="P334">
        <v>216</v>
      </c>
      <c r="Q334">
        <v>1</v>
      </c>
      <c r="R334">
        <v>20</v>
      </c>
      <c r="S334">
        <v>217</v>
      </c>
      <c r="T334">
        <v>1</v>
      </c>
      <c r="W334">
        <v>675</v>
      </c>
      <c r="X334">
        <v>196</v>
      </c>
      <c r="Y334">
        <v>1771</v>
      </c>
      <c r="AC334">
        <v>1</v>
      </c>
    </row>
    <row r="335" spans="1:29">
      <c r="A335">
        <f t="shared" si="5"/>
        <v>335</v>
      </c>
      <c r="B335" s="103" t="s">
        <v>202</v>
      </c>
      <c r="C335">
        <v>112019</v>
      </c>
      <c r="D335">
        <v>1</v>
      </c>
      <c r="E335">
        <v>5</v>
      </c>
      <c r="F335">
        <v>0</v>
      </c>
      <c r="G335">
        <v>255</v>
      </c>
      <c r="H335">
        <v>1</v>
      </c>
      <c r="I335">
        <v>25</v>
      </c>
      <c r="J335">
        <v>256</v>
      </c>
      <c r="K335">
        <v>1</v>
      </c>
      <c r="L335">
        <v>25</v>
      </c>
      <c r="M335">
        <v>258</v>
      </c>
      <c r="N335">
        <v>1</v>
      </c>
      <c r="O335">
        <v>25</v>
      </c>
      <c r="P335">
        <v>259</v>
      </c>
      <c r="Q335">
        <v>1</v>
      </c>
      <c r="R335">
        <v>20</v>
      </c>
      <c r="S335">
        <v>260</v>
      </c>
      <c r="T335">
        <v>1</v>
      </c>
      <c r="W335">
        <v>675</v>
      </c>
      <c r="X335">
        <v>196</v>
      </c>
      <c r="Y335">
        <v>1771</v>
      </c>
      <c r="AC335">
        <v>1</v>
      </c>
    </row>
    <row r="336" spans="1:29">
      <c r="A336">
        <f t="shared" si="5"/>
        <v>336</v>
      </c>
      <c r="B336" s="103" t="s">
        <v>203</v>
      </c>
      <c r="C336">
        <v>113010</v>
      </c>
      <c r="D336">
        <v>1</v>
      </c>
      <c r="E336">
        <v>1</v>
      </c>
      <c r="F336">
        <v>0</v>
      </c>
      <c r="G336">
        <v>299</v>
      </c>
      <c r="H336">
        <v>1</v>
      </c>
      <c r="I336">
        <v>25</v>
      </c>
      <c r="J336">
        <v>300</v>
      </c>
      <c r="K336">
        <v>1</v>
      </c>
      <c r="L336">
        <v>25</v>
      </c>
      <c r="M336">
        <v>301</v>
      </c>
      <c r="N336">
        <v>1</v>
      </c>
      <c r="O336">
        <v>25</v>
      </c>
      <c r="P336">
        <v>302</v>
      </c>
      <c r="Q336">
        <v>1</v>
      </c>
      <c r="R336">
        <v>20</v>
      </c>
      <c r="S336">
        <v>303</v>
      </c>
      <c r="T336">
        <v>1</v>
      </c>
      <c r="W336">
        <v>152</v>
      </c>
      <c r="X336">
        <v>38</v>
      </c>
      <c r="Y336">
        <v>516</v>
      </c>
      <c r="AC336">
        <v>1</v>
      </c>
    </row>
    <row r="337" spans="1:29">
      <c r="A337">
        <f t="shared" si="5"/>
        <v>337</v>
      </c>
      <c r="B337" s="103" t="s">
        <v>203</v>
      </c>
      <c r="C337">
        <v>113001</v>
      </c>
      <c r="D337">
        <v>1</v>
      </c>
      <c r="E337">
        <v>2</v>
      </c>
      <c r="F337">
        <v>0</v>
      </c>
      <c r="G337">
        <v>239</v>
      </c>
      <c r="H337">
        <v>1</v>
      </c>
      <c r="I337">
        <v>25</v>
      </c>
      <c r="J337">
        <v>240</v>
      </c>
      <c r="K337">
        <v>1</v>
      </c>
      <c r="L337">
        <v>25</v>
      </c>
      <c r="M337">
        <v>241</v>
      </c>
      <c r="N337">
        <v>1</v>
      </c>
      <c r="O337">
        <v>25</v>
      </c>
      <c r="P337">
        <v>242</v>
      </c>
      <c r="Q337">
        <v>1</v>
      </c>
      <c r="R337">
        <v>20</v>
      </c>
      <c r="S337">
        <v>243</v>
      </c>
      <c r="T337">
        <v>1</v>
      </c>
      <c r="W337">
        <v>152</v>
      </c>
      <c r="X337">
        <v>38</v>
      </c>
      <c r="Y337">
        <v>516</v>
      </c>
      <c r="AC337">
        <v>1</v>
      </c>
    </row>
    <row r="338" spans="1:29">
      <c r="A338">
        <f t="shared" si="5"/>
        <v>338</v>
      </c>
      <c r="B338" s="103" t="s">
        <v>203</v>
      </c>
      <c r="C338">
        <v>112001</v>
      </c>
      <c r="D338">
        <v>1</v>
      </c>
      <c r="E338">
        <v>3</v>
      </c>
      <c r="F338">
        <v>0</v>
      </c>
      <c r="G338">
        <v>1</v>
      </c>
      <c r="H338">
        <v>1</v>
      </c>
      <c r="I338">
        <v>25</v>
      </c>
      <c r="J338">
        <v>2</v>
      </c>
      <c r="K338">
        <v>1</v>
      </c>
      <c r="L338">
        <v>25</v>
      </c>
      <c r="M338">
        <v>6</v>
      </c>
      <c r="N338">
        <v>1</v>
      </c>
      <c r="O338">
        <v>25</v>
      </c>
      <c r="P338">
        <v>8</v>
      </c>
      <c r="Q338">
        <v>1</v>
      </c>
      <c r="R338">
        <v>20</v>
      </c>
      <c r="S338">
        <v>3</v>
      </c>
      <c r="T338">
        <v>1</v>
      </c>
      <c r="W338">
        <v>152</v>
      </c>
      <c r="X338">
        <v>38</v>
      </c>
      <c r="Y338">
        <v>516</v>
      </c>
      <c r="AC338">
        <v>1</v>
      </c>
    </row>
    <row r="339" spans="1:29">
      <c r="A339">
        <f t="shared" si="5"/>
        <v>339</v>
      </c>
      <c r="B339" s="103" t="s">
        <v>203</v>
      </c>
      <c r="C339">
        <v>112002</v>
      </c>
      <c r="D339">
        <v>1</v>
      </c>
      <c r="E339">
        <v>4</v>
      </c>
      <c r="F339">
        <v>0</v>
      </c>
      <c r="G339">
        <v>24</v>
      </c>
      <c r="H339">
        <v>1</v>
      </c>
      <c r="I339">
        <v>25</v>
      </c>
      <c r="J339">
        <v>25</v>
      </c>
      <c r="K339">
        <v>1</v>
      </c>
      <c r="L339">
        <v>25</v>
      </c>
      <c r="M339">
        <v>26</v>
      </c>
      <c r="N339">
        <v>1</v>
      </c>
      <c r="O339">
        <v>25</v>
      </c>
      <c r="P339">
        <v>29</v>
      </c>
      <c r="Q339">
        <v>1</v>
      </c>
      <c r="R339">
        <v>20</v>
      </c>
      <c r="S339">
        <v>31</v>
      </c>
      <c r="T339">
        <v>1</v>
      </c>
      <c r="W339">
        <v>152</v>
      </c>
      <c r="X339">
        <v>38</v>
      </c>
      <c r="Y339">
        <v>516</v>
      </c>
      <c r="AC339">
        <v>1</v>
      </c>
    </row>
    <row r="340" spans="1:29">
      <c r="A340">
        <f t="shared" si="5"/>
        <v>340</v>
      </c>
      <c r="B340" s="103" t="s">
        <v>203</v>
      </c>
      <c r="C340">
        <v>112005</v>
      </c>
      <c r="D340">
        <v>1</v>
      </c>
      <c r="E340">
        <v>5</v>
      </c>
      <c r="F340">
        <v>0</v>
      </c>
      <c r="G340">
        <v>47</v>
      </c>
      <c r="H340">
        <v>1</v>
      </c>
      <c r="I340">
        <v>25</v>
      </c>
      <c r="J340">
        <v>48</v>
      </c>
      <c r="K340">
        <v>1</v>
      </c>
      <c r="L340">
        <v>25</v>
      </c>
      <c r="M340">
        <v>50</v>
      </c>
      <c r="N340">
        <v>1</v>
      </c>
      <c r="O340">
        <v>25</v>
      </c>
      <c r="P340">
        <v>53</v>
      </c>
      <c r="Q340">
        <v>1</v>
      </c>
      <c r="R340">
        <v>20</v>
      </c>
      <c r="S340">
        <v>51</v>
      </c>
      <c r="T340">
        <v>1</v>
      </c>
      <c r="W340">
        <v>152</v>
      </c>
      <c r="X340">
        <v>38</v>
      </c>
      <c r="Y340">
        <v>516</v>
      </c>
      <c r="AC340">
        <v>1</v>
      </c>
    </row>
    <row r="341" spans="1:29">
      <c r="A341">
        <f t="shared" si="5"/>
        <v>341</v>
      </c>
      <c r="B341" s="103" t="s">
        <v>204</v>
      </c>
      <c r="C341">
        <v>112003</v>
      </c>
      <c r="D341">
        <v>1</v>
      </c>
      <c r="E341">
        <v>1</v>
      </c>
      <c r="F341">
        <v>0</v>
      </c>
      <c r="G341">
        <v>63</v>
      </c>
      <c r="H341">
        <v>1</v>
      </c>
      <c r="I341">
        <v>25</v>
      </c>
      <c r="J341">
        <v>65</v>
      </c>
      <c r="K341">
        <v>1</v>
      </c>
      <c r="L341">
        <v>25</v>
      </c>
      <c r="M341">
        <v>66</v>
      </c>
      <c r="N341">
        <v>1</v>
      </c>
      <c r="O341">
        <v>25</v>
      </c>
      <c r="P341">
        <v>68</v>
      </c>
      <c r="Q341">
        <v>1</v>
      </c>
      <c r="R341">
        <v>20</v>
      </c>
      <c r="S341">
        <v>67</v>
      </c>
      <c r="T341">
        <v>1</v>
      </c>
      <c r="W341">
        <v>419</v>
      </c>
      <c r="X341">
        <v>113</v>
      </c>
      <c r="Y341">
        <v>1012</v>
      </c>
      <c r="AC341">
        <v>1</v>
      </c>
    </row>
    <row r="342" spans="1:29">
      <c r="A342">
        <f t="shared" si="5"/>
        <v>342</v>
      </c>
      <c r="B342" s="103" t="s">
        <v>204</v>
      </c>
      <c r="C342">
        <v>112004</v>
      </c>
      <c r="D342">
        <v>1</v>
      </c>
      <c r="E342">
        <v>2</v>
      </c>
      <c r="F342">
        <v>0</v>
      </c>
      <c r="G342">
        <v>55</v>
      </c>
      <c r="H342">
        <v>1</v>
      </c>
      <c r="I342">
        <v>25</v>
      </c>
      <c r="J342">
        <v>58</v>
      </c>
      <c r="K342">
        <v>1</v>
      </c>
      <c r="L342">
        <v>25</v>
      </c>
      <c r="M342">
        <v>59</v>
      </c>
      <c r="N342">
        <v>1</v>
      </c>
      <c r="O342">
        <v>25</v>
      </c>
      <c r="P342">
        <v>60</v>
      </c>
      <c r="Q342">
        <v>1</v>
      </c>
      <c r="R342">
        <v>20</v>
      </c>
      <c r="S342">
        <v>62</v>
      </c>
      <c r="T342">
        <v>1</v>
      </c>
      <c r="W342">
        <v>419</v>
      </c>
      <c r="X342">
        <v>113</v>
      </c>
      <c r="Y342">
        <v>1012</v>
      </c>
      <c r="AC342">
        <v>1</v>
      </c>
    </row>
    <row r="343" spans="1:29">
      <c r="A343">
        <f t="shared" si="5"/>
        <v>343</v>
      </c>
      <c r="B343" s="103" t="s">
        <v>204</v>
      </c>
      <c r="C343">
        <v>112010</v>
      </c>
      <c r="D343">
        <v>1</v>
      </c>
      <c r="E343">
        <v>3</v>
      </c>
      <c r="F343">
        <v>0</v>
      </c>
      <c r="G343">
        <v>91</v>
      </c>
      <c r="H343">
        <v>1</v>
      </c>
      <c r="I343">
        <v>25</v>
      </c>
      <c r="J343">
        <v>92</v>
      </c>
      <c r="K343">
        <v>1</v>
      </c>
      <c r="L343">
        <v>25</v>
      </c>
      <c r="M343">
        <v>97</v>
      </c>
      <c r="N343">
        <v>1</v>
      </c>
      <c r="O343">
        <v>25</v>
      </c>
      <c r="P343">
        <v>96</v>
      </c>
      <c r="Q343">
        <v>1</v>
      </c>
      <c r="R343">
        <v>20</v>
      </c>
      <c r="S343">
        <v>98</v>
      </c>
      <c r="T343">
        <v>1</v>
      </c>
      <c r="W343">
        <v>419</v>
      </c>
      <c r="X343">
        <v>113</v>
      </c>
      <c r="Y343">
        <v>1012</v>
      </c>
      <c r="AC343">
        <v>1</v>
      </c>
    </row>
    <row r="344" spans="1:29">
      <c r="A344">
        <f t="shared" si="5"/>
        <v>344</v>
      </c>
      <c r="B344" s="103" t="s">
        <v>204</v>
      </c>
      <c r="C344">
        <v>112011</v>
      </c>
      <c r="D344">
        <v>1</v>
      </c>
      <c r="E344">
        <v>4</v>
      </c>
      <c r="F344">
        <v>0</v>
      </c>
      <c r="G344">
        <v>107</v>
      </c>
      <c r="H344">
        <v>1</v>
      </c>
      <c r="I344">
        <v>25</v>
      </c>
      <c r="J344">
        <v>108</v>
      </c>
      <c r="K344">
        <v>1</v>
      </c>
      <c r="L344">
        <v>25</v>
      </c>
      <c r="M344">
        <v>109</v>
      </c>
      <c r="N344">
        <v>1</v>
      </c>
      <c r="O344">
        <v>25</v>
      </c>
      <c r="P344">
        <v>110</v>
      </c>
      <c r="Q344">
        <v>1</v>
      </c>
      <c r="R344">
        <v>20</v>
      </c>
      <c r="S344">
        <v>115</v>
      </c>
      <c r="T344">
        <v>1</v>
      </c>
      <c r="W344">
        <v>419</v>
      </c>
      <c r="X344">
        <v>113</v>
      </c>
      <c r="Y344">
        <v>1012</v>
      </c>
      <c r="AC344">
        <v>1</v>
      </c>
    </row>
    <row r="345" spans="1:29">
      <c r="A345">
        <f t="shared" si="5"/>
        <v>345</v>
      </c>
      <c r="B345" s="103" t="s">
        <v>204</v>
      </c>
      <c r="C345">
        <v>112012</v>
      </c>
      <c r="D345">
        <v>1</v>
      </c>
      <c r="E345">
        <v>5</v>
      </c>
      <c r="F345">
        <v>0</v>
      </c>
      <c r="G345">
        <v>124</v>
      </c>
      <c r="H345">
        <v>1</v>
      </c>
      <c r="I345">
        <v>25</v>
      </c>
      <c r="J345">
        <v>125</v>
      </c>
      <c r="K345">
        <v>1</v>
      </c>
      <c r="L345">
        <v>25</v>
      </c>
      <c r="M345">
        <v>126</v>
      </c>
      <c r="N345">
        <v>1</v>
      </c>
      <c r="O345">
        <v>25</v>
      </c>
      <c r="P345">
        <v>127</v>
      </c>
      <c r="Q345">
        <v>1</v>
      </c>
      <c r="R345">
        <v>20</v>
      </c>
      <c r="S345">
        <v>131</v>
      </c>
      <c r="T345">
        <v>1</v>
      </c>
      <c r="W345">
        <v>419</v>
      </c>
      <c r="X345">
        <v>113</v>
      </c>
      <c r="Y345">
        <v>1012</v>
      </c>
      <c r="AC345">
        <v>1</v>
      </c>
    </row>
    <row r="346" spans="1:29">
      <c r="A346">
        <f t="shared" si="5"/>
        <v>346</v>
      </c>
      <c r="B346" s="103" t="s">
        <v>205</v>
      </c>
      <c r="C346">
        <v>111001</v>
      </c>
      <c r="D346">
        <v>1</v>
      </c>
      <c r="E346">
        <v>1</v>
      </c>
      <c r="F346">
        <v>0</v>
      </c>
      <c r="G346">
        <v>183</v>
      </c>
      <c r="H346">
        <v>1</v>
      </c>
      <c r="I346">
        <v>25</v>
      </c>
      <c r="J346">
        <v>184</v>
      </c>
      <c r="K346">
        <v>1</v>
      </c>
      <c r="L346">
        <v>25</v>
      </c>
      <c r="M346">
        <v>185</v>
      </c>
      <c r="N346">
        <v>1</v>
      </c>
      <c r="W346">
        <v>720</v>
      </c>
      <c r="X346">
        <v>176</v>
      </c>
      <c r="Y346">
        <v>1853</v>
      </c>
      <c r="AC346">
        <v>1</v>
      </c>
    </row>
    <row r="347" spans="1:29">
      <c r="A347">
        <f t="shared" si="5"/>
        <v>347</v>
      </c>
      <c r="B347" s="103" t="s">
        <v>205</v>
      </c>
      <c r="C347">
        <v>111002</v>
      </c>
      <c r="D347">
        <v>1</v>
      </c>
      <c r="E347">
        <v>2</v>
      </c>
      <c r="F347">
        <v>0</v>
      </c>
      <c r="G347">
        <v>164</v>
      </c>
      <c r="H347">
        <v>1</v>
      </c>
      <c r="I347">
        <v>25</v>
      </c>
      <c r="J347">
        <v>165</v>
      </c>
      <c r="K347">
        <v>1</v>
      </c>
      <c r="L347">
        <v>25</v>
      </c>
      <c r="M347">
        <v>166</v>
      </c>
      <c r="N347">
        <v>1</v>
      </c>
      <c r="W347">
        <v>720</v>
      </c>
      <c r="X347">
        <v>176</v>
      </c>
      <c r="Y347">
        <v>1853</v>
      </c>
      <c r="AC347">
        <v>1</v>
      </c>
    </row>
    <row r="348" spans="1:29">
      <c r="A348">
        <f t="shared" si="5"/>
        <v>348</v>
      </c>
      <c r="B348" s="103" t="s">
        <v>205</v>
      </c>
      <c r="C348">
        <v>111003</v>
      </c>
      <c r="D348">
        <v>1</v>
      </c>
      <c r="E348">
        <v>3</v>
      </c>
      <c r="F348">
        <v>0</v>
      </c>
      <c r="G348">
        <v>186</v>
      </c>
      <c r="H348">
        <v>1</v>
      </c>
      <c r="I348">
        <v>25</v>
      </c>
      <c r="J348">
        <v>187</v>
      </c>
      <c r="K348">
        <v>1</v>
      </c>
      <c r="L348">
        <v>25</v>
      </c>
      <c r="M348">
        <v>188</v>
      </c>
      <c r="N348">
        <v>1</v>
      </c>
      <c r="W348">
        <v>720</v>
      </c>
      <c r="X348">
        <v>176</v>
      </c>
      <c r="Y348">
        <v>1853</v>
      </c>
      <c r="AC348">
        <v>1</v>
      </c>
    </row>
    <row r="349" spans="1:29">
      <c r="A349">
        <f t="shared" si="5"/>
        <v>349</v>
      </c>
      <c r="B349" s="103" t="s">
        <v>205</v>
      </c>
      <c r="C349">
        <v>111004</v>
      </c>
      <c r="D349">
        <v>1</v>
      </c>
      <c r="E349">
        <v>4</v>
      </c>
      <c r="F349">
        <v>0</v>
      </c>
      <c r="G349">
        <v>167</v>
      </c>
      <c r="H349">
        <v>1</v>
      </c>
      <c r="I349">
        <v>25</v>
      </c>
      <c r="J349">
        <v>168</v>
      </c>
      <c r="K349">
        <v>1</v>
      </c>
      <c r="L349">
        <v>25</v>
      </c>
      <c r="M349">
        <v>169</v>
      </c>
      <c r="N349">
        <v>1</v>
      </c>
      <c r="R349">
        <v>20</v>
      </c>
      <c r="S349">
        <v>170</v>
      </c>
      <c r="T349">
        <v>1</v>
      </c>
      <c r="W349">
        <v>720</v>
      </c>
      <c r="X349">
        <v>176</v>
      </c>
      <c r="Y349">
        <v>1853</v>
      </c>
      <c r="AC349">
        <v>1</v>
      </c>
    </row>
    <row r="350" spans="1:29">
      <c r="A350">
        <f t="shared" si="5"/>
        <v>350</v>
      </c>
      <c r="B350" s="103" t="s">
        <v>205</v>
      </c>
      <c r="C350">
        <v>111005</v>
      </c>
      <c r="D350">
        <v>1</v>
      </c>
      <c r="E350">
        <v>5</v>
      </c>
      <c r="F350">
        <v>0</v>
      </c>
      <c r="G350">
        <v>88</v>
      </c>
      <c r="H350">
        <v>1</v>
      </c>
      <c r="I350">
        <v>25</v>
      </c>
      <c r="J350">
        <v>89</v>
      </c>
      <c r="K350">
        <v>1</v>
      </c>
      <c r="L350">
        <v>25</v>
      </c>
      <c r="M350">
        <v>90</v>
      </c>
      <c r="N350">
        <v>1</v>
      </c>
      <c r="W350">
        <v>720</v>
      </c>
      <c r="X350">
        <v>176</v>
      </c>
      <c r="Y350">
        <v>1853</v>
      </c>
      <c r="AC350">
        <v>1</v>
      </c>
    </row>
    <row r="351" spans="1:29">
      <c r="A351">
        <f t="shared" si="5"/>
        <v>351</v>
      </c>
      <c r="B351" s="103" t="s">
        <v>206</v>
      </c>
      <c r="C351">
        <v>111006</v>
      </c>
      <c r="D351">
        <v>1</v>
      </c>
      <c r="E351">
        <v>1</v>
      </c>
      <c r="F351">
        <v>0</v>
      </c>
      <c r="G351">
        <v>175</v>
      </c>
      <c r="H351">
        <v>1</v>
      </c>
      <c r="I351">
        <v>25</v>
      </c>
      <c r="J351">
        <v>176</v>
      </c>
      <c r="K351">
        <v>1</v>
      </c>
      <c r="L351">
        <v>25</v>
      </c>
      <c r="M351">
        <v>177</v>
      </c>
      <c r="N351">
        <v>1</v>
      </c>
      <c r="R351" s="106">
        <v>20</v>
      </c>
      <c r="S351" s="106">
        <v>178</v>
      </c>
      <c r="T351" s="106">
        <v>1</v>
      </c>
      <c r="W351">
        <v>675</v>
      </c>
      <c r="X351">
        <v>196</v>
      </c>
      <c r="Y351">
        <v>1771</v>
      </c>
      <c r="AC351">
        <v>1</v>
      </c>
    </row>
    <row r="352" spans="1:29">
      <c r="A352">
        <f t="shared" si="5"/>
        <v>352</v>
      </c>
      <c r="B352" s="103" t="s">
        <v>206</v>
      </c>
      <c r="C352">
        <v>111007</v>
      </c>
      <c r="D352">
        <v>1</v>
      </c>
      <c r="E352">
        <v>2</v>
      </c>
      <c r="F352">
        <v>0</v>
      </c>
      <c r="G352" s="106">
        <v>179</v>
      </c>
      <c r="H352" s="106">
        <v>1</v>
      </c>
      <c r="I352">
        <v>25</v>
      </c>
      <c r="J352" s="106">
        <v>180</v>
      </c>
      <c r="K352" s="106">
        <v>1</v>
      </c>
      <c r="L352">
        <v>25</v>
      </c>
      <c r="M352" s="106">
        <v>181</v>
      </c>
      <c r="N352" s="106">
        <v>1</v>
      </c>
      <c r="O352">
        <v>25</v>
      </c>
      <c r="P352" s="106">
        <v>182</v>
      </c>
      <c r="Q352" s="106">
        <v>1</v>
      </c>
      <c r="W352">
        <v>675</v>
      </c>
      <c r="X352">
        <v>196</v>
      </c>
      <c r="Y352">
        <v>1771</v>
      </c>
      <c r="AC352">
        <v>1</v>
      </c>
    </row>
    <row r="353" spans="1:29">
      <c r="A353">
        <f t="shared" si="5"/>
        <v>353</v>
      </c>
      <c r="B353" s="103" t="s">
        <v>206</v>
      </c>
      <c r="C353">
        <v>111008</v>
      </c>
      <c r="D353">
        <v>1</v>
      </c>
      <c r="E353">
        <v>3</v>
      </c>
      <c r="F353">
        <v>0</v>
      </c>
      <c r="G353">
        <v>296</v>
      </c>
      <c r="H353">
        <v>1</v>
      </c>
      <c r="I353">
        <v>25</v>
      </c>
      <c r="J353">
        <v>297</v>
      </c>
      <c r="K353">
        <v>1</v>
      </c>
      <c r="L353">
        <v>25</v>
      </c>
      <c r="M353">
        <v>298</v>
      </c>
      <c r="N353">
        <v>1</v>
      </c>
      <c r="W353">
        <v>675</v>
      </c>
      <c r="X353">
        <v>196</v>
      </c>
      <c r="Y353">
        <v>1771</v>
      </c>
      <c r="AC353">
        <v>1</v>
      </c>
    </row>
    <row r="354" spans="1:29">
      <c r="A354">
        <f t="shared" si="5"/>
        <v>354</v>
      </c>
      <c r="B354" s="103" t="s">
        <v>206</v>
      </c>
      <c r="C354">
        <v>111009</v>
      </c>
      <c r="D354">
        <v>1</v>
      </c>
      <c r="E354">
        <v>4</v>
      </c>
      <c r="F354">
        <v>0</v>
      </c>
      <c r="G354">
        <v>171</v>
      </c>
      <c r="H354">
        <v>1</v>
      </c>
      <c r="I354">
        <v>25</v>
      </c>
      <c r="J354">
        <v>172</v>
      </c>
      <c r="K354">
        <v>1</v>
      </c>
      <c r="L354">
        <v>25</v>
      </c>
      <c r="M354">
        <v>173</v>
      </c>
      <c r="N354">
        <v>1</v>
      </c>
      <c r="R354">
        <v>20</v>
      </c>
      <c r="S354">
        <v>174</v>
      </c>
      <c r="T354">
        <v>1</v>
      </c>
      <c r="W354">
        <v>675</v>
      </c>
      <c r="X354">
        <v>196</v>
      </c>
      <c r="Y354">
        <v>1771</v>
      </c>
      <c r="AC354">
        <v>1</v>
      </c>
    </row>
    <row r="355" spans="1:29">
      <c r="A355">
        <f t="shared" si="5"/>
        <v>355</v>
      </c>
      <c r="B355" s="103" t="s">
        <v>206</v>
      </c>
      <c r="C355">
        <v>111010</v>
      </c>
      <c r="D355">
        <v>1</v>
      </c>
      <c r="E355">
        <v>5</v>
      </c>
      <c r="F355">
        <v>0</v>
      </c>
      <c r="G355">
        <v>221</v>
      </c>
      <c r="H355">
        <v>1</v>
      </c>
      <c r="I355">
        <v>25</v>
      </c>
      <c r="J355">
        <v>222</v>
      </c>
      <c r="K355">
        <v>1</v>
      </c>
      <c r="L355">
        <v>25</v>
      </c>
      <c r="M355">
        <v>223</v>
      </c>
      <c r="N355">
        <v>1</v>
      </c>
      <c r="W355">
        <v>675</v>
      </c>
      <c r="X355">
        <v>196</v>
      </c>
      <c r="Y355">
        <v>1771</v>
      </c>
      <c r="AC355">
        <v>1</v>
      </c>
    </row>
    <row r="356" spans="1:29">
      <c r="A356">
        <f t="shared" si="5"/>
        <v>356</v>
      </c>
      <c r="B356" s="103" t="s">
        <v>207</v>
      </c>
      <c r="C356">
        <v>113002</v>
      </c>
      <c r="D356">
        <v>1</v>
      </c>
      <c r="E356">
        <v>1</v>
      </c>
      <c r="F356">
        <v>0</v>
      </c>
      <c r="G356">
        <v>247</v>
      </c>
      <c r="H356">
        <v>1</v>
      </c>
      <c r="I356">
        <v>25</v>
      </c>
      <c r="J356">
        <v>248</v>
      </c>
      <c r="K356">
        <v>1</v>
      </c>
      <c r="L356">
        <v>25</v>
      </c>
      <c r="M356">
        <v>251</v>
      </c>
      <c r="N356">
        <v>1</v>
      </c>
      <c r="O356">
        <v>25</v>
      </c>
      <c r="P356">
        <v>254</v>
      </c>
      <c r="Q356">
        <v>1</v>
      </c>
      <c r="R356">
        <v>20</v>
      </c>
      <c r="S356">
        <v>252</v>
      </c>
      <c r="T356">
        <v>1</v>
      </c>
      <c r="W356">
        <v>152</v>
      </c>
      <c r="X356">
        <v>38</v>
      </c>
      <c r="Y356">
        <v>516</v>
      </c>
      <c r="AC356">
        <v>1</v>
      </c>
    </row>
    <row r="357" spans="1:29">
      <c r="A357">
        <f t="shared" si="5"/>
        <v>357</v>
      </c>
      <c r="B357" s="103" t="s">
        <v>207</v>
      </c>
      <c r="C357">
        <v>113006</v>
      </c>
      <c r="D357">
        <v>1</v>
      </c>
      <c r="E357">
        <v>2</v>
      </c>
      <c r="F357">
        <v>0</v>
      </c>
      <c r="G357">
        <v>263</v>
      </c>
      <c r="H357">
        <v>1</v>
      </c>
      <c r="I357">
        <v>25</v>
      </c>
      <c r="J357">
        <v>264</v>
      </c>
      <c r="K357">
        <v>1</v>
      </c>
      <c r="L357">
        <v>25</v>
      </c>
      <c r="M357">
        <v>265</v>
      </c>
      <c r="N357">
        <v>1</v>
      </c>
      <c r="O357">
        <v>25</v>
      </c>
      <c r="P357">
        <v>266</v>
      </c>
      <c r="Q357">
        <v>1</v>
      </c>
      <c r="R357">
        <v>20</v>
      </c>
      <c r="S357">
        <v>267</v>
      </c>
      <c r="T357">
        <v>1</v>
      </c>
      <c r="W357">
        <v>152</v>
      </c>
      <c r="X357">
        <v>38</v>
      </c>
      <c r="Y357">
        <v>516</v>
      </c>
      <c r="AC357">
        <v>1</v>
      </c>
    </row>
    <row r="358" spans="1:29">
      <c r="A358">
        <f t="shared" si="5"/>
        <v>358</v>
      </c>
      <c r="B358" s="103" t="s">
        <v>207</v>
      </c>
      <c r="C358">
        <v>112008</v>
      </c>
      <c r="D358">
        <v>1</v>
      </c>
      <c r="E358">
        <v>3</v>
      </c>
      <c r="F358">
        <v>0</v>
      </c>
      <c r="G358">
        <v>73</v>
      </c>
      <c r="H358">
        <v>1</v>
      </c>
      <c r="I358">
        <v>25</v>
      </c>
      <c r="J358">
        <v>74</v>
      </c>
      <c r="K358">
        <v>1</v>
      </c>
      <c r="L358">
        <v>25</v>
      </c>
      <c r="M358">
        <v>75</v>
      </c>
      <c r="N358">
        <v>1</v>
      </c>
      <c r="O358">
        <v>25</v>
      </c>
      <c r="P358">
        <v>76</v>
      </c>
      <c r="Q358">
        <v>1</v>
      </c>
      <c r="R358">
        <v>20</v>
      </c>
      <c r="S358">
        <v>77</v>
      </c>
      <c r="T358">
        <v>1</v>
      </c>
      <c r="W358">
        <v>152</v>
      </c>
      <c r="X358">
        <v>38</v>
      </c>
      <c r="Y358">
        <v>516</v>
      </c>
      <c r="AC358">
        <v>1</v>
      </c>
    </row>
    <row r="359" spans="1:29">
      <c r="A359">
        <f t="shared" si="5"/>
        <v>359</v>
      </c>
      <c r="B359" s="103" t="s">
        <v>207</v>
      </c>
      <c r="C359">
        <v>112013</v>
      </c>
      <c r="D359">
        <v>1</v>
      </c>
      <c r="E359">
        <v>4</v>
      </c>
      <c r="F359">
        <v>0</v>
      </c>
      <c r="G359">
        <v>116</v>
      </c>
      <c r="H359">
        <v>1</v>
      </c>
      <c r="I359">
        <v>25</v>
      </c>
      <c r="J359">
        <v>117</v>
      </c>
      <c r="K359">
        <v>1</v>
      </c>
      <c r="L359">
        <v>25</v>
      </c>
      <c r="M359">
        <v>118</v>
      </c>
      <c r="N359">
        <v>1</v>
      </c>
      <c r="O359">
        <v>25</v>
      </c>
      <c r="P359">
        <v>119</v>
      </c>
      <c r="Q359">
        <v>1</v>
      </c>
      <c r="R359">
        <v>20</v>
      </c>
      <c r="S359">
        <v>123</v>
      </c>
      <c r="T359">
        <v>1</v>
      </c>
      <c r="W359">
        <v>152</v>
      </c>
      <c r="X359">
        <v>38</v>
      </c>
      <c r="Y359">
        <v>516</v>
      </c>
      <c r="AC359">
        <v>1</v>
      </c>
    </row>
    <row r="360" spans="1:29">
      <c r="A360">
        <f t="shared" si="5"/>
        <v>360</v>
      </c>
      <c r="B360" s="103" t="s">
        <v>207</v>
      </c>
      <c r="C360">
        <v>112014</v>
      </c>
      <c r="D360">
        <v>1</v>
      </c>
      <c r="E360">
        <v>5</v>
      </c>
      <c r="F360">
        <v>0</v>
      </c>
      <c r="G360">
        <v>140</v>
      </c>
      <c r="H360">
        <v>1</v>
      </c>
      <c r="I360">
        <v>25</v>
      </c>
      <c r="J360">
        <v>142</v>
      </c>
      <c r="K360">
        <v>1</v>
      </c>
      <c r="L360">
        <v>25</v>
      </c>
      <c r="M360">
        <v>143</v>
      </c>
      <c r="N360">
        <v>1</v>
      </c>
      <c r="O360">
        <v>25</v>
      </c>
      <c r="P360">
        <v>144</v>
      </c>
      <c r="Q360">
        <v>1</v>
      </c>
      <c r="R360">
        <v>20</v>
      </c>
      <c r="S360">
        <v>147</v>
      </c>
      <c r="T360">
        <v>1</v>
      </c>
      <c r="W360">
        <v>152</v>
      </c>
      <c r="X360">
        <v>38</v>
      </c>
      <c r="Y360">
        <v>516</v>
      </c>
      <c r="AC360">
        <v>1</v>
      </c>
    </row>
    <row r="361" spans="1:29">
      <c r="A361">
        <f t="shared" si="5"/>
        <v>361</v>
      </c>
      <c r="B361" s="103" t="s">
        <v>208</v>
      </c>
      <c r="C361">
        <v>112015</v>
      </c>
      <c r="D361">
        <v>1</v>
      </c>
      <c r="E361">
        <v>1</v>
      </c>
      <c r="F361">
        <v>0</v>
      </c>
      <c r="G361">
        <v>132</v>
      </c>
      <c r="H361">
        <v>1</v>
      </c>
      <c r="I361">
        <v>25</v>
      </c>
      <c r="J361">
        <v>133</v>
      </c>
      <c r="K361">
        <v>1</v>
      </c>
      <c r="L361">
        <v>25</v>
      </c>
      <c r="M361">
        <v>134</v>
      </c>
      <c r="N361">
        <v>1</v>
      </c>
      <c r="O361">
        <v>25</v>
      </c>
      <c r="P361">
        <v>136</v>
      </c>
      <c r="Q361">
        <v>1</v>
      </c>
      <c r="R361">
        <v>20</v>
      </c>
      <c r="S361">
        <v>139</v>
      </c>
      <c r="T361">
        <v>1</v>
      </c>
      <c r="W361">
        <v>419</v>
      </c>
      <c r="X361">
        <v>113</v>
      </c>
      <c r="Y361">
        <v>1012</v>
      </c>
      <c r="AC361">
        <v>1</v>
      </c>
    </row>
    <row r="362" spans="1:29">
      <c r="A362">
        <f t="shared" si="5"/>
        <v>362</v>
      </c>
      <c r="B362" s="103" t="s">
        <v>208</v>
      </c>
      <c r="C362">
        <v>112017</v>
      </c>
      <c r="D362">
        <v>1</v>
      </c>
      <c r="E362">
        <v>2</v>
      </c>
      <c r="F362">
        <v>0</v>
      </c>
      <c r="G362">
        <v>213</v>
      </c>
      <c r="H362">
        <v>1</v>
      </c>
      <c r="I362">
        <v>25</v>
      </c>
      <c r="J362">
        <v>214</v>
      </c>
      <c r="K362">
        <v>1</v>
      </c>
      <c r="L362">
        <v>25</v>
      </c>
      <c r="M362">
        <v>215</v>
      </c>
      <c r="N362">
        <v>1</v>
      </c>
      <c r="O362">
        <v>25</v>
      </c>
      <c r="P362">
        <v>216</v>
      </c>
      <c r="Q362">
        <v>1</v>
      </c>
      <c r="R362">
        <v>20</v>
      </c>
      <c r="S362">
        <v>217</v>
      </c>
      <c r="T362">
        <v>1</v>
      </c>
      <c r="W362">
        <v>419</v>
      </c>
      <c r="X362">
        <v>113</v>
      </c>
      <c r="Y362">
        <v>1012</v>
      </c>
      <c r="AC362">
        <v>1</v>
      </c>
    </row>
    <row r="363" spans="1:29">
      <c r="A363">
        <f t="shared" si="5"/>
        <v>363</v>
      </c>
      <c r="B363" s="103" t="s">
        <v>208</v>
      </c>
      <c r="C363">
        <v>112019</v>
      </c>
      <c r="D363">
        <v>1</v>
      </c>
      <c r="E363">
        <v>3</v>
      </c>
      <c r="F363">
        <v>0</v>
      </c>
      <c r="G363">
        <v>255</v>
      </c>
      <c r="H363">
        <v>1</v>
      </c>
      <c r="I363">
        <v>25</v>
      </c>
      <c r="J363">
        <v>256</v>
      </c>
      <c r="K363">
        <v>1</v>
      </c>
      <c r="L363">
        <v>25</v>
      </c>
      <c r="M363">
        <v>258</v>
      </c>
      <c r="N363">
        <v>1</v>
      </c>
      <c r="O363">
        <v>25</v>
      </c>
      <c r="P363">
        <v>259</v>
      </c>
      <c r="Q363">
        <v>1</v>
      </c>
      <c r="R363">
        <v>20</v>
      </c>
      <c r="S363">
        <v>260</v>
      </c>
      <c r="T363">
        <v>1</v>
      </c>
      <c r="W363">
        <v>419</v>
      </c>
      <c r="X363">
        <v>113</v>
      </c>
      <c r="Y363">
        <v>1012</v>
      </c>
      <c r="AC363">
        <v>1</v>
      </c>
    </row>
    <row r="364" spans="1:29">
      <c r="A364">
        <f t="shared" si="5"/>
        <v>364</v>
      </c>
      <c r="B364" s="103" t="s">
        <v>208</v>
      </c>
      <c r="C364">
        <v>113010</v>
      </c>
      <c r="D364">
        <v>1</v>
      </c>
      <c r="E364">
        <v>4</v>
      </c>
      <c r="F364">
        <v>0</v>
      </c>
      <c r="G364">
        <v>299</v>
      </c>
      <c r="H364">
        <v>1</v>
      </c>
      <c r="I364">
        <v>25</v>
      </c>
      <c r="J364">
        <v>300</v>
      </c>
      <c r="K364">
        <v>1</v>
      </c>
      <c r="L364">
        <v>25</v>
      </c>
      <c r="M364">
        <v>301</v>
      </c>
      <c r="N364">
        <v>1</v>
      </c>
      <c r="O364">
        <v>25</v>
      </c>
      <c r="P364">
        <v>302</v>
      </c>
      <c r="Q364">
        <v>1</v>
      </c>
      <c r="R364">
        <v>20</v>
      </c>
      <c r="S364">
        <v>303</v>
      </c>
      <c r="T364">
        <v>1</v>
      </c>
      <c r="W364">
        <v>419</v>
      </c>
      <c r="X364">
        <v>113</v>
      </c>
      <c r="Y364">
        <v>1012</v>
      </c>
      <c r="AC364">
        <v>1</v>
      </c>
    </row>
    <row r="365" spans="1:29">
      <c r="A365">
        <f t="shared" si="5"/>
        <v>365</v>
      </c>
      <c r="B365" s="103" t="s">
        <v>208</v>
      </c>
      <c r="C365">
        <v>113001</v>
      </c>
      <c r="D365">
        <v>1</v>
      </c>
      <c r="E365">
        <v>5</v>
      </c>
      <c r="F365">
        <v>0</v>
      </c>
      <c r="G365">
        <v>239</v>
      </c>
      <c r="H365">
        <v>1</v>
      </c>
      <c r="I365">
        <v>25</v>
      </c>
      <c r="J365">
        <v>240</v>
      </c>
      <c r="K365">
        <v>1</v>
      </c>
      <c r="L365">
        <v>25</v>
      </c>
      <c r="M365">
        <v>241</v>
      </c>
      <c r="N365">
        <v>1</v>
      </c>
      <c r="O365">
        <v>25</v>
      </c>
      <c r="P365">
        <v>242</v>
      </c>
      <c r="Q365">
        <v>1</v>
      </c>
      <c r="R365">
        <v>20</v>
      </c>
      <c r="S365">
        <v>243</v>
      </c>
      <c r="T365">
        <v>1</v>
      </c>
      <c r="W365">
        <v>419</v>
      </c>
      <c r="X365">
        <v>113</v>
      </c>
      <c r="Y365">
        <v>1012</v>
      </c>
      <c r="AC365">
        <v>1</v>
      </c>
    </row>
    <row r="366" spans="1:29">
      <c r="A366">
        <f t="shared" si="5"/>
        <v>366</v>
      </c>
      <c r="B366" s="103" t="s">
        <v>209</v>
      </c>
      <c r="C366">
        <v>112001</v>
      </c>
      <c r="D366">
        <v>1</v>
      </c>
      <c r="E366">
        <v>1</v>
      </c>
      <c r="F366">
        <v>0</v>
      </c>
      <c r="G366">
        <v>1</v>
      </c>
      <c r="H366">
        <v>1</v>
      </c>
      <c r="I366">
        <v>25</v>
      </c>
      <c r="J366">
        <v>2</v>
      </c>
      <c r="K366">
        <v>1</v>
      </c>
      <c r="L366">
        <v>25</v>
      </c>
      <c r="M366">
        <v>6</v>
      </c>
      <c r="N366">
        <v>1</v>
      </c>
      <c r="O366">
        <v>25</v>
      </c>
      <c r="P366">
        <v>8</v>
      </c>
      <c r="Q366">
        <v>1</v>
      </c>
      <c r="R366">
        <v>20</v>
      </c>
      <c r="S366">
        <v>3</v>
      </c>
      <c r="T366">
        <v>1</v>
      </c>
      <c r="W366">
        <v>720</v>
      </c>
      <c r="X366">
        <v>176</v>
      </c>
      <c r="Y366">
        <v>1853</v>
      </c>
      <c r="AC366">
        <v>1</v>
      </c>
    </row>
    <row r="367" spans="1:29">
      <c r="A367">
        <f t="shared" si="5"/>
        <v>367</v>
      </c>
      <c r="B367" s="103" t="s">
        <v>209</v>
      </c>
      <c r="C367">
        <v>112002</v>
      </c>
      <c r="D367">
        <v>1</v>
      </c>
      <c r="E367">
        <v>2</v>
      </c>
      <c r="F367">
        <v>0</v>
      </c>
      <c r="G367">
        <v>24</v>
      </c>
      <c r="H367">
        <v>1</v>
      </c>
      <c r="I367">
        <v>25</v>
      </c>
      <c r="J367">
        <v>25</v>
      </c>
      <c r="K367">
        <v>1</v>
      </c>
      <c r="L367">
        <v>25</v>
      </c>
      <c r="M367">
        <v>26</v>
      </c>
      <c r="N367">
        <v>1</v>
      </c>
      <c r="O367">
        <v>25</v>
      </c>
      <c r="P367">
        <v>29</v>
      </c>
      <c r="Q367">
        <v>1</v>
      </c>
      <c r="R367">
        <v>20</v>
      </c>
      <c r="S367">
        <v>31</v>
      </c>
      <c r="T367">
        <v>1</v>
      </c>
      <c r="W367">
        <v>720</v>
      </c>
      <c r="X367">
        <v>176</v>
      </c>
      <c r="Y367">
        <v>1853</v>
      </c>
      <c r="AC367">
        <v>1</v>
      </c>
    </row>
    <row r="368" spans="1:29">
      <c r="A368">
        <f t="shared" si="5"/>
        <v>368</v>
      </c>
      <c r="B368" s="103" t="s">
        <v>209</v>
      </c>
      <c r="C368">
        <v>112005</v>
      </c>
      <c r="D368">
        <v>1</v>
      </c>
      <c r="E368">
        <v>3</v>
      </c>
      <c r="F368">
        <v>0</v>
      </c>
      <c r="G368">
        <v>47</v>
      </c>
      <c r="H368">
        <v>1</v>
      </c>
      <c r="I368">
        <v>25</v>
      </c>
      <c r="J368">
        <v>48</v>
      </c>
      <c r="K368">
        <v>1</v>
      </c>
      <c r="L368">
        <v>25</v>
      </c>
      <c r="M368">
        <v>50</v>
      </c>
      <c r="N368">
        <v>1</v>
      </c>
      <c r="O368">
        <v>25</v>
      </c>
      <c r="P368">
        <v>53</v>
      </c>
      <c r="Q368">
        <v>1</v>
      </c>
      <c r="R368">
        <v>20</v>
      </c>
      <c r="S368">
        <v>51</v>
      </c>
      <c r="T368">
        <v>1</v>
      </c>
      <c r="W368">
        <v>720</v>
      </c>
      <c r="X368">
        <v>176</v>
      </c>
      <c r="Y368">
        <v>1853</v>
      </c>
      <c r="AC368">
        <v>1</v>
      </c>
    </row>
    <row r="369" spans="1:29">
      <c r="A369">
        <f t="shared" si="5"/>
        <v>369</v>
      </c>
      <c r="B369" s="103" t="s">
        <v>209</v>
      </c>
      <c r="C369">
        <v>112003</v>
      </c>
      <c r="D369">
        <v>1</v>
      </c>
      <c r="E369">
        <v>4</v>
      </c>
      <c r="F369">
        <v>0</v>
      </c>
      <c r="G369">
        <v>63</v>
      </c>
      <c r="H369">
        <v>1</v>
      </c>
      <c r="I369">
        <v>25</v>
      </c>
      <c r="J369">
        <v>65</v>
      </c>
      <c r="K369">
        <v>1</v>
      </c>
      <c r="L369">
        <v>25</v>
      </c>
      <c r="M369">
        <v>66</v>
      </c>
      <c r="N369">
        <v>1</v>
      </c>
      <c r="O369">
        <v>25</v>
      </c>
      <c r="P369">
        <v>68</v>
      </c>
      <c r="Q369">
        <v>1</v>
      </c>
      <c r="R369">
        <v>20</v>
      </c>
      <c r="S369">
        <v>67</v>
      </c>
      <c r="T369">
        <v>1</v>
      </c>
      <c r="W369">
        <v>720</v>
      </c>
      <c r="X369">
        <v>176</v>
      </c>
      <c r="Y369">
        <v>1853</v>
      </c>
      <c r="AC369">
        <v>1</v>
      </c>
    </row>
    <row r="370" spans="1:29">
      <c r="A370">
        <f t="shared" si="5"/>
        <v>370</v>
      </c>
      <c r="B370" s="103" t="s">
        <v>209</v>
      </c>
      <c r="C370">
        <v>112004</v>
      </c>
      <c r="D370">
        <v>1</v>
      </c>
      <c r="E370">
        <v>5</v>
      </c>
      <c r="F370">
        <v>0</v>
      </c>
      <c r="G370">
        <v>55</v>
      </c>
      <c r="H370">
        <v>1</v>
      </c>
      <c r="I370">
        <v>25</v>
      </c>
      <c r="J370">
        <v>58</v>
      </c>
      <c r="K370">
        <v>1</v>
      </c>
      <c r="L370">
        <v>25</v>
      </c>
      <c r="M370">
        <v>59</v>
      </c>
      <c r="N370">
        <v>1</v>
      </c>
      <c r="O370">
        <v>25</v>
      </c>
      <c r="P370">
        <v>60</v>
      </c>
      <c r="Q370">
        <v>1</v>
      </c>
      <c r="R370">
        <v>20</v>
      </c>
      <c r="S370">
        <v>62</v>
      </c>
      <c r="T370">
        <v>1</v>
      </c>
      <c r="W370">
        <v>720</v>
      </c>
      <c r="X370">
        <v>176</v>
      </c>
      <c r="Y370">
        <v>1853</v>
      </c>
      <c r="AC370">
        <v>1</v>
      </c>
    </row>
    <row r="371" spans="1:29">
      <c r="A371">
        <f t="shared" si="5"/>
        <v>371</v>
      </c>
      <c r="B371" s="103" t="s">
        <v>210</v>
      </c>
      <c r="C371">
        <v>112010</v>
      </c>
      <c r="D371">
        <v>1</v>
      </c>
      <c r="E371">
        <v>1</v>
      </c>
      <c r="F371">
        <v>0</v>
      </c>
      <c r="G371">
        <v>91</v>
      </c>
      <c r="H371">
        <v>1</v>
      </c>
      <c r="I371">
        <v>25</v>
      </c>
      <c r="J371">
        <v>92</v>
      </c>
      <c r="K371">
        <v>1</v>
      </c>
      <c r="L371">
        <v>25</v>
      </c>
      <c r="M371">
        <v>97</v>
      </c>
      <c r="N371">
        <v>1</v>
      </c>
      <c r="O371">
        <v>25</v>
      </c>
      <c r="P371">
        <v>96</v>
      </c>
      <c r="Q371">
        <v>1</v>
      </c>
      <c r="R371">
        <v>20</v>
      </c>
      <c r="S371">
        <v>98</v>
      </c>
      <c r="T371">
        <v>1</v>
      </c>
      <c r="W371">
        <v>675</v>
      </c>
      <c r="X371">
        <v>196</v>
      </c>
      <c r="Y371">
        <v>1771</v>
      </c>
      <c r="AC371">
        <v>1</v>
      </c>
    </row>
    <row r="372" spans="1:29">
      <c r="A372">
        <f t="shared" si="5"/>
        <v>372</v>
      </c>
      <c r="B372" s="103" t="s">
        <v>210</v>
      </c>
      <c r="C372">
        <v>112011</v>
      </c>
      <c r="D372">
        <v>1</v>
      </c>
      <c r="E372">
        <v>2</v>
      </c>
      <c r="F372">
        <v>0</v>
      </c>
      <c r="G372">
        <v>107</v>
      </c>
      <c r="H372">
        <v>1</v>
      </c>
      <c r="I372">
        <v>25</v>
      </c>
      <c r="J372">
        <v>108</v>
      </c>
      <c r="K372">
        <v>1</v>
      </c>
      <c r="L372">
        <v>25</v>
      </c>
      <c r="M372">
        <v>109</v>
      </c>
      <c r="N372">
        <v>1</v>
      </c>
      <c r="O372">
        <v>25</v>
      </c>
      <c r="P372">
        <v>110</v>
      </c>
      <c r="Q372">
        <v>1</v>
      </c>
      <c r="R372">
        <v>20</v>
      </c>
      <c r="S372">
        <v>115</v>
      </c>
      <c r="T372">
        <v>1</v>
      </c>
      <c r="W372">
        <v>675</v>
      </c>
      <c r="X372">
        <v>196</v>
      </c>
      <c r="Y372">
        <v>1771</v>
      </c>
      <c r="AC372">
        <v>1</v>
      </c>
    </row>
    <row r="373" spans="1:29">
      <c r="A373">
        <f t="shared" si="5"/>
        <v>373</v>
      </c>
      <c r="B373" s="103" t="s">
        <v>210</v>
      </c>
      <c r="C373">
        <v>112012</v>
      </c>
      <c r="D373">
        <v>1</v>
      </c>
      <c r="E373">
        <v>3</v>
      </c>
      <c r="F373">
        <v>0</v>
      </c>
      <c r="G373">
        <v>124</v>
      </c>
      <c r="H373">
        <v>1</v>
      </c>
      <c r="I373">
        <v>25</v>
      </c>
      <c r="J373">
        <v>125</v>
      </c>
      <c r="K373">
        <v>1</v>
      </c>
      <c r="L373">
        <v>25</v>
      </c>
      <c r="M373">
        <v>126</v>
      </c>
      <c r="N373">
        <v>1</v>
      </c>
      <c r="O373">
        <v>25</v>
      </c>
      <c r="P373">
        <v>127</v>
      </c>
      <c r="Q373">
        <v>1</v>
      </c>
      <c r="R373">
        <v>20</v>
      </c>
      <c r="S373">
        <v>131</v>
      </c>
      <c r="T373">
        <v>1</v>
      </c>
      <c r="W373">
        <v>675</v>
      </c>
      <c r="X373">
        <v>196</v>
      </c>
      <c r="Y373">
        <v>1771</v>
      </c>
      <c r="AC373">
        <v>1</v>
      </c>
    </row>
    <row r="374" spans="1:29">
      <c r="A374">
        <f t="shared" si="5"/>
        <v>374</v>
      </c>
      <c r="B374" s="103" t="s">
        <v>210</v>
      </c>
      <c r="C374">
        <v>111001</v>
      </c>
      <c r="D374">
        <v>1</v>
      </c>
      <c r="E374">
        <v>4</v>
      </c>
      <c r="F374">
        <v>0</v>
      </c>
      <c r="G374">
        <v>183</v>
      </c>
      <c r="H374">
        <v>1</v>
      </c>
      <c r="I374">
        <v>25</v>
      </c>
      <c r="J374">
        <v>184</v>
      </c>
      <c r="K374">
        <v>1</v>
      </c>
      <c r="L374">
        <v>25</v>
      </c>
      <c r="M374">
        <v>185</v>
      </c>
      <c r="N374">
        <v>1</v>
      </c>
      <c r="W374">
        <v>675</v>
      </c>
      <c r="X374">
        <v>196</v>
      </c>
      <c r="Y374">
        <v>1771</v>
      </c>
      <c r="AC374">
        <v>1</v>
      </c>
    </row>
    <row r="375" spans="1:29">
      <c r="A375">
        <f t="shared" si="5"/>
        <v>375</v>
      </c>
      <c r="B375" s="103" t="s">
        <v>210</v>
      </c>
      <c r="C375">
        <v>111002</v>
      </c>
      <c r="D375">
        <v>1</v>
      </c>
      <c r="E375">
        <v>5</v>
      </c>
      <c r="F375">
        <v>0</v>
      </c>
      <c r="G375">
        <v>164</v>
      </c>
      <c r="H375">
        <v>1</v>
      </c>
      <c r="I375">
        <v>25</v>
      </c>
      <c r="J375">
        <v>165</v>
      </c>
      <c r="K375">
        <v>1</v>
      </c>
      <c r="L375">
        <v>25</v>
      </c>
      <c r="M375">
        <v>166</v>
      </c>
      <c r="N375">
        <v>1</v>
      </c>
      <c r="W375">
        <v>675</v>
      </c>
      <c r="X375">
        <v>196</v>
      </c>
      <c r="Y375">
        <v>1771</v>
      </c>
      <c r="AC375">
        <v>1</v>
      </c>
    </row>
    <row r="376" spans="1:29">
      <c r="A376">
        <f t="shared" si="5"/>
        <v>376</v>
      </c>
      <c r="B376" s="103">
        <v>40030101</v>
      </c>
      <c r="C376" s="106">
        <v>121001</v>
      </c>
      <c r="D376">
        <v>1</v>
      </c>
      <c r="E376">
        <v>1</v>
      </c>
      <c r="F376">
        <v>0</v>
      </c>
      <c r="G376">
        <v>10003</v>
      </c>
      <c r="H376">
        <v>1</v>
      </c>
      <c r="W376">
        <v>62</v>
      </c>
      <c r="X376">
        <v>19</v>
      </c>
      <c r="Y376">
        <v>242</v>
      </c>
      <c r="AC376">
        <v>1</v>
      </c>
    </row>
    <row r="377" spans="1:29">
      <c r="A377">
        <f t="shared" si="5"/>
        <v>377</v>
      </c>
      <c r="B377" s="103">
        <v>40030102</v>
      </c>
      <c r="C377" s="106">
        <v>121001</v>
      </c>
      <c r="D377">
        <v>1</v>
      </c>
      <c r="E377">
        <v>1</v>
      </c>
      <c r="F377">
        <v>0</v>
      </c>
      <c r="G377">
        <v>10003</v>
      </c>
      <c r="H377">
        <v>1</v>
      </c>
      <c r="W377">
        <v>62</v>
      </c>
      <c r="X377">
        <v>19</v>
      </c>
      <c r="Y377">
        <v>242</v>
      </c>
      <c r="AC377">
        <v>1</v>
      </c>
    </row>
    <row r="378" spans="1:29">
      <c r="A378">
        <f t="shared" si="5"/>
        <v>378</v>
      </c>
      <c r="B378" s="103">
        <v>40030102</v>
      </c>
      <c r="C378" s="106">
        <v>121001</v>
      </c>
      <c r="D378">
        <v>1</v>
      </c>
      <c r="E378">
        <v>2</v>
      </c>
      <c r="F378">
        <v>0</v>
      </c>
      <c r="G378">
        <v>10003</v>
      </c>
      <c r="H378">
        <v>1</v>
      </c>
      <c r="W378">
        <v>62</v>
      </c>
      <c r="X378">
        <v>19</v>
      </c>
      <c r="Y378">
        <v>242</v>
      </c>
      <c r="AC378">
        <v>1</v>
      </c>
    </row>
    <row r="379" spans="1:29">
      <c r="A379">
        <f t="shared" si="5"/>
        <v>379</v>
      </c>
      <c r="B379" s="103">
        <v>40030201</v>
      </c>
      <c r="C379" s="106">
        <v>121002</v>
      </c>
      <c r="D379">
        <v>1</v>
      </c>
      <c r="E379">
        <v>1</v>
      </c>
      <c r="F379">
        <v>0</v>
      </c>
      <c r="G379">
        <v>10004</v>
      </c>
      <c r="H379">
        <v>1</v>
      </c>
      <c r="W379">
        <v>62</v>
      </c>
      <c r="X379">
        <v>19</v>
      </c>
      <c r="Y379">
        <v>242</v>
      </c>
      <c r="AC379">
        <v>1</v>
      </c>
    </row>
    <row r="380" spans="1:29">
      <c r="A380">
        <f t="shared" si="5"/>
        <v>380</v>
      </c>
      <c r="B380" s="103">
        <v>40030202</v>
      </c>
      <c r="C380" s="106">
        <v>121002</v>
      </c>
      <c r="D380">
        <v>1</v>
      </c>
      <c r="E380">
        <v>1</v>
      </c>
      <c r="F380">
        <v>0</v>
      </c>
      <c r="G380">
        <v>10004</v>
      </c>
      <c r="H380">
        <v>1</v>
      </c>
      <c r="W380">
        <v>62</v>
      </c>
      <c r="X380">
        <v>19</v>
      </c>
      <c r="Y380">
        <v>242</v>
      </c>
      <c r="AC380">
        <v>1</v>
      </c>
    </row>
    <row r="381" spans="1:29">
      <c r="A381">
        <f t="shared" si="5"/>
        <v>381</v>
      </c>
      <c r="B381" s="103">
        <v>40030202</v>
      </c>
      <c r="C381" s="106">
        <v>121002</v>
      </c>
      <c r="D381">
        <v>1</v>
      </c>
      <c r="E381">
        <v>2</v>
      </c>
      <c r="F381">
        <v>0</v>
      </c>
      <c r="G381">
        <v>10004</v>
      </c>
      <c r="H381">
        <v>1</v>
      </c>
      <c r="W381">
        <v>62</v>
      </c>
      <c r="X381">
        <v>19</v>
      </c>
      <c r="Y381">
        <v>242</v>
      </c>
      <c r="AC381">
        <v>1</v>
      </c>
    </row>
    <row r="382" spans="1:29">
      <c r="A382">
        <f t="shared" si="5"/>
        <v>382</v>
      </c>
      <c r="B382" s="103" t="s">
        <v>211</v>
      </c>
      <c r="C382" s="106">
        <v>121017</v>
      </c>
      <c r="D382">
        <v>1</v>
      </c>
      <c r="E382">
        <v>1</v>
      </c>
      <c r="F382">
        <v>0</v>
      </c>
      <c r="G382">
        <v>10023</v>
      </c>
      <c r="H382">
        <v>1</v>
      </c>
      <c r="W382">
        <v>62</v>
      </c>
      <c r="X382">
        <v>19</v>
      </c>
      <c r="Y382">
        <v>242</v>
      </c>
      <c r="AC382">
        <v>1</v>
      </c>
    </row>
    <row r="383" spans="1:29">
      <c r="A383">
        <f t="shared" si="5"/>
        <v>383</v>
      </c>
      <c r="B383" s="103" t="s">
        <v>212</v>
      </c>
      <c r="C383" s="106">
        <v>121017</v>
      </c>
      <c r="D383">
        <v>1</v>
      </c>
      <c r="E383">
        <v>1</v>
      </c>
      <c r="F383">
        <v>0</v>
      </c>
      <c r="G383">
        <v>10023</v>
      </c>
      <c r="H383">
        <v>1</v>
      </c>
      <c r="W383">
        <v>62</v>
      </c>
      <c r="X383">
        <v>19</v>
      </c>
      <c r="Y383">
        <v>242</v>
      </c>
      <c r="AC383">
        <v>1</v>
      </c>
    </row>
    <row r="384" spans="1:29">
      <c r="A384">
        <f t="shared" si="5"/>
        <v>384</v>
      </c>
      <c r="B384" s="103" t="s">
        <v>212</v>
      </c>
      <c r="C384" s="106">
        <v>121017</v>
      </c>
      <c r="D384">
        <v>1</v>
      </c>
      <c r="E384">
        <v>2</v>
      </c>
      <c r="F384">
        <v>0</v>
      </c>
      <c r="G384">
        <v>10023</v>
      </c>
      <c r="H384">
        <v>1</v>
      </c>
      <c r="W384">
        <v>62</v>
      </c>
      <c r="X384">
        <v>19</v>
      </c>
      <c r="Y384">
        <v>242</v>
      </c>
      <c r="AC384">
        <v>1</v>
      </c>
    </row>
    <row r="385" spans="1:29">
      <c r="A385">
        <f t="shared" si="5"/>
        <v>385</v>
      </c>
      <c r="B385" s="103" t="s">
        <v>213</v>
      </c>
      <c r="C385" s="106">
        <v>121034</v>
      </c>
      <c r="D385">
        <v>1</v>
      </c>
      <c r="E385">
        <v>1</v>
      </c>
      <c r="F385">
        <v>0</v>
      </c>
      <c r="G385">
        <v>10026</v>
      </c>
      <c r="H385">
        <v>1</v>
      </c>
      <c r="W385">
        <v>62</v>
      </c>
      <c r="X385">
        <v>19</v>
      </c>
      <c r="Y385">
        <v>242</v>
      </c>
      <c r="AC385">
        <v>1</v>
      </c>
    </row>
    <row r="386" spans="1:29">
      <c r="A386">
        <f t="shared" ref="A386:A449" si="6">ROW(A386)</f>
        <v>386</v>
      </c>
      <c r="B386" s="103" t="s">
        <v>214</v>
      </c>
      <c r="C386" s="106">
        <v>121034</v>
      </c>
      <c r="D386">
        <v>1</v>
      </c>
      <c r="E386">
        <v>1</v>
      </c>
      <c r="F386">
        <v>0</v>
      </c>
      <c r="G386">
        <v>10026</v>
      </c>
      <c r="H386">
        <v>1</v>
      </c>
      <c r="W386">
        <v>62</v>
      </c>
      <c r="X386">
        <v>19</v>
      </c>
      <c r="Y386">
        <v>242</v>
      </c>
      <c r="AC386">
        <v>1</v>
      </c>
    </row>
    <row r="387" spans="1:29">
      <c r="A387">
        <f t="shared" si="6"/>
        <v>387</v>
      </c>
      <c r="B387" s="103" t="s">
        <v>214</v>
      </c>
      <c r="C387" s="106">
        <v>121034</v>
      </c>
      <c r="D387">
        <v>1</v>
      </c>
      <c r="E387">
        <v>2</v>
      </c>
      <c r="F387">
        <v>0</v>
      </c>
      <c r="G387">
        <v>10026</v>
      </c>
      <c r="H387">
        <v>1</v>
      </c>
      <c r="W387">
        <v>62</v>
      </c>
      <c r="X387">
        <v>19</v>
      </c>
      <c r="Y387">
        <v>242</v>
      </c>
      <c r="AC387">
        <v>1</v>
      </c>
    </row>
    <row r="388" spans="1:29">
      <c r="A388">
        <f t="shared" si="6"/>
        <v>388</v>
      </c>
      <c r="B388" s="103" t="s">
        <v>215</v>
      </c>
      <c r="C388" s="106">
        <v>121027</v>
      </c>
      <c r="D388">
        <v>1</v>
      </c>
      <c r="E388">
        <v>1</v>
      </c>
      <c r="F388">
        <v>0</v>
      </c>
      <c r="G388">
        <v>10027</v>
      </c>
      <c r="H388">
        <v>1</v>
      </c>
      <c r="W388">
        <v>62</v>
      </c>
      <c r="X388">
        <v>19</v>
      </c>
      <c r="Y388">
        <v>242</v>
      </c>
      <c r="AC388">
        <v>1</v>
      </c>
    </row>
    <row r="389" spans="1:29">
      <c r="A389">
        <f t="shared" si="6"/>
        <v>389</v>
      </c>
      <c r="B389" s="103" t="s">
        <v>216</v>
      </c>
      <c r="C389" s="106">
        <v>121027</v>
      </c>
      <c r="D389">
        <v>1</v>
      </c>
      <c r="E389">
        <v>1</v>
      </c>
      <c r="F389">
        <v>0</v>
      </c>
      <c r="G389">
        <v>10027</v>
      </c>
      <c r="H389">
        <v>1</v>
      </c>
      <c r="W389">
        <v>62</v>
      </c>
      <c r="X389">
        <v>19</v>
      </c>
      <c r="Y389">
        <v>242</v>
      </c>
      <c r="AC389">
        <v>1</v>
      </c>
    </row>
    <row r="390" spans="1:29">
      <c r="A390">
        <f t="shared" si="6"/>
        <v>390</v>
      </c>
      <c r="B390" s="103" t="s">
        <v>216</v>
      </c>
      <c r="C390" s="106">
        <v>121027</v>
      </c>
      <c r="D390">
        <v>1</v>
      </c>
      <c r="E390">
        <v>2</v>
      </c>
      <c r="F390">
        <v>0</v>
      </c>
      <c r="G390">
        <v>10027</v>
      </c>
      <c r="H390">
        <v>1</v>
      </c>
      <c r="W390">
        <v>62</v>
      </c>
      <c r="X390">
        <v>19</v>
      </c>
      <c r="Y390">
        <v>242</v>
      </c>
      <c r="AC390">
        <v>1</v>
      </c>
    </row>
    <row r="391" spans="1:29">
      <c r="A391">
        <f t="shared" si="6"/>
        <v>391</v>
      </c>
      <c r="B391" s="103" t="s">
        <v>217</v>
      </c>
      <c r="C391" s="106">
        <v>121027</v>
      </c>
      <c r="D391">
        <v>1</v>
      </c>
      <c r="E391">
        <v>1</v>
      </c>
      <c r="F391">
        <v>0</v>
      </c>
      <c r="G391">
        <v>10027</v>
      </c>
      <c r="H391">
        <v>1</v>
      </c>
      <c r="W391">
        <v>62</v>
      </c>
      <c r="X391">
        <v>19</v>
      </c>
      <c r="Y391">
        <v>242</v>
      </c>
      <c r="AC391">
        <v>1</v>
      </c>
    </row>
    <row r="392" spans="1:29">
      <c r="A392">
        <f t="shared" si="6"/>
        <v>392</v>
      </c>
      <c r="B392" s="103" t="s">
        <v>218</v>
      </c>
      <c r="C392" s="106">
        <v>121027</v>
      </c>
      <c r="D392">
        <v>1</v>
      </c>
      <c r="E392">
        <v>1</v>
      </c>
      <c r="F392">
        <v>0</v>
      </c>
      <c r="G392">
        <v>10027</v>
      </c>
      <c r="H392">
        <v>1</v>
      </c>
      <c r="W392">
        <v>62</v>
      </c>
      <c r="X392">
        <v>19</v>
      </c>
      <c r="Y392">
        <v>242</v>
      </c>
      <c r="AC392">
        <v>1</v>
      </c>
    </row>
    <row r="393" spans="1:29">
      <c r="A393">
        <f t="shared" si="6"/>
        <v>393</v>
      </c>
      <c r="B393" s="103" t="s">
        <v>218</v>
      </c>
      <c r="C393" s="106">
        <v>121027</v>
      </c>
      <c r="D393">
        <v>1</v>
      </c>
      <c r="E393">
        <v>2</v>
      </c>
      <c r="F393">
        <v>0</v>
      </c>
      <c r="G393">
        <v>10027</v>
      </c>
      <c r="H393">
        <v>1</v>
      </c>
      <c r="W393">
        <v>62</v>
      </c>
      <c r="X393">
        <v>19</v>
      </c>
      <c r="Y393">
        <v>242</v>
      </c>
      <c r="AC393">
        <v>1</v>
      </c>
    </row>
    <row r="394" spans="1:29">
      <c r="A394">
        <f t="shared" si="6"/>
        <v>394</v>
      </c>
      <c r="B394" s="103" t="s">
        <v>219</v>
      </c>
      <c r="C394" s="106">
        <v>121027</v>
      </c>
      <c r="D394">
        <v>1</v>
      </c>
      <c r="E394">
        <v>1</v>
      </c>
      <c r="F394">
        <v>0</v>
      </c>
      <c r="G394">
        <v>10027</v>
      </c>
      <c r="H394">
        <v>1</v>
      </c>
      <c r="W394">
        <v>62</v>
      </c>
      <c r="X394">
        <v>19</v>
      </c>
      <c r="Y394">
        <v>242</v>
      </c>
      <c r="AC394">
        <v>1</v>
      </c>
    </row>
    <row r="395" spans="1:29">
      <c r="A395">
        <f t="shared" si="6"/>
        <v>395</v>
      </c>
      <c r="B395" s="103" t="s">
        <v>220</v>
      </c>
      <c r="C395" s="106">
        <v>121027</v>
      </c>
      <c r="D395">
        <v>1</v>
      </c>
      <c r="E395">
        <v>1</v>
      </c>
      <c r="F395">
        <v>0</v>
      </c>
      <c r="G395">
        <v>10027</v>
      </c>
      <c r="H395">
        <v>1</v>
      </c>
      <c r="W395">
        <v>62</v>
      </c>
      <c r="X395">
        <v>19</v>
      </c>
      <c r="Y395">
        <v>242</v>
      </c>
      <c r="AC395">
        <v>1</v>
      </c>
    </row>
    <row r="396" spans="1:29">
      <c r="A396">
        <f t="shared" si="6"/>
        <v>396</v>
      </c>
      <c r="B396" s="103" t="s">
        <v>220</v>
      </c>
      <c r="C396" s="106">
        <v>121027</v>
      </c>
      <c r="D396">
        <v>1</v>
      </c>
      <c r="E396">
        <v>2</v>
      </c>
      <c r="F396">
        <v>0</v>
      </c>
      <c r="G396">
        <v>10027</v>
      </c>
      <c r="H396">
        <v>1</v>
      </c>
      <c r="W396">
        <v>62</v>
      </c>
      <c r="X396">
        <v>19</v>
      </c>
      <c r="Y396">
        <v>242</v>
      </c>
      <c r="AC396">
        <v>1</v>
      </c>
    </row>
    <row r="397" spans="1:29">
      <c r="A397">
        <f t="shared" si="6"/>
        <v>397</v>
      </c>
      <c r="B397" s="103" t="s">
        <v>221</v>
      </c>
      <c r="C397" s="106">
        <v>121008</v>
      </c>
      <c r="D397">
        <v>1</v>
      </c>
      <c r="E397">
        <v>1</v>
      </c>
      <c r="F397">
        <v>0</v>
      </c>
      <c r="G397">
        <v>10009</v>
      </c>
      <c r="H397">
        <v>1</v>
      </c>
      <c r="W397">
        <v>62</v>
      </c>
      <c r="X397">
        <v>19</v>
      </c>
      <c r="Y397">
        <v>242</v>
      </c>
      <c r="AC397">
        <v>1</v>
      </c>
    </row>
    <row r="398" spans="1:29">
      <c r="A398">
        <f t="shared" si="6"/>
        <v>398</v>
      </c>
      <c r="B398" s="103" t="s">
        <v>222</v>
      </c>
      <c r="C398" s="106">
        <v>121008</v>
      </c>
      <c r="D398">
        <v>1</v>
      </c>
      <c r="E398">
        <v>1</v>
      </c>
      <c r="F398">
        <v>0</v>
      </c>
      <c r="G398">
        <v>10009</v>
      </c>
      <c r="H398">
        <v>1</v>
      </c>
      <c r="W398">
        <v>62</v>
      </c>
      <c r="X398">
        <v>19</v>
      </c>
      <c r="Y398">
        <v>242</v>
      </c>
      <c r="AC398">
        <v>1</v>
      </c>
    </row>
    <row r="399" spans="1:29">
      <c r="A399">
        <f t="shared" si="6"/>
        <v>399</v>
      </c>
      <c r="B399" s="103" t="s">
        <v>222</v>
      </c>
      <c r="C399" s="106">
        <v>121008</v>
      </c>
      <c r="D399">
        <v>1</v>
      </c>
      <c r="E399">
        <v>2</v>
      </c>
      <c r="F399">
        <v>0</v>
      </c>
      <c r="G399">
        <v>10009</v>
      </c>
      <c r="H399">
        <v>1</v>
      </c>
      <c r="W399">
        <v>62</v>
      </c>
      <c r="X399">
        <v>19</v>
      </c>
      <c r="Y399">
        <v>242</v>
      </c>
      <c r="AC399">
        <v>1</v>
      </c>
    </row>
    <row r="400" spans="1:29">
      <c r="A400">
        <f t="shared" si="6"/>
        <v>400</v>
      </c>
      <c r="B400" s="103" t="s">
        <v>223</v>
      </c>
      <c r="C400" s="106">
        <v>121009</v>
      </c>
      <c r="D400">
        <v>1</v>
      </c>
      <c r="E400">
        <v>1</v>
      </c>
      <c r="F400">
        <v>0</v>
      </c>
      <c r="G400">
        <v>10010</v>
      </c>
      <c r="H400">
        <v>1</v>
      </c>
      <c r="W400">
        <v>62</v>
      </c>
      <c r="X400">
        <v>19</v>
      </c>
      <c r="Y400">
        <v>242</v>
      </c>
      <c r="AC400">
        <v>1</v>
      </c>
    </row>
    <row r="401" spans="1:29">
      <c r="A401">
        <f t="shared" si="6"/>
        <v>401</v>
      </c>
      <c r="B401" s="103" t="s">
        <v>224</v>
      </c>
      <c r="C401" s="106">
        <v>121009</v>
      </c>
      <c r="D401">
        <v>1</v>
      </c>
      <c r="E401">
        <v>1</v>
      </c>
      <c r="F401">
        <v>0</v>
      </c>
      <c r="G401">
        <v>10010</v>
      </c>
      <c r="H401">
        <v>1</v>
      </c>
      <c r="W401">
        <v>62</v>
      </c>
      <c r="X401">
        <v>19</v>
      </c>
      <c r="Y401">
        <v>242</v>
      </c>
      <c r="AC401">
        <v>1</v>
      </c>
    </row>
    <row r="402" spans="1:29">
      <c r="A402">
        <f t="shared" si="6"/>
        <v>402</v>
      </c>
      <c r="B402" s="103" t="s">
        <v>224</v>
      </c>
      <c r="C402" s="106">
        <v>121009</v>
      </c>
      <c r="D402">
        <v>1</v>
      </c>
      <c r="E402">
        <v>2</v>
      </c>
      <c r="F402">
        <v>0</v>
      </c>
      <c r="G402">
        <v>10010</v>
      </c>
      <c r="H402">
        <v>1</v>
      </c>
      <c r="W402">
        <v>62</v>
      </c>
      <c r="X402">
        <v>19</v>
      </c>
      <c r="Y402">
        <v>242</v>
      </c>
      <c r="AC402">
        <v>1</v>
      </c>
    </row>
    <row r="403" spans="1:29">
      <c r="A403">
        <f t="shared" si="6"/>
        <v>403</v>
      </c>
      <c r="B403" s="103" t="s">
        <v>225</v>
      </c>
      <c r="C403" s="106">
        <v>121014</v>
      </c>
      <c r="D403">
        <v>1</v>
      </c>
      <c r="E403">
        <v>1</v>
      </c>
      <c r="F403">
        <v>0</v>
      </c>
      <c r="G403">
        <v>10011</v>
      </c>
      <c r="H403">
        <v>1</v>
      </c>
      <c r="W403">
        <v>62</v>
      </c>
      <c r="X403">
        <v>19</v>
      </c>
      <c r="Y403">
        <v>242</v>
      </c>
      <c r="AC403">
        <v>1</v>
      </c>
    </row>
    <row r="404" spans="1:29">
      <c r="A404">
        <f t="shared" si="6"/>
        <v>404</v>
      </c>
      <c r="B404" s="103" t="s">
        <v>226</v>
      </c>
      <c r="C404" s="106">
        <v>121014</v>
      </c>
      <c r="D404">
        <v>1</v>
      </c>
      <c r="E404">
        <v>1</v>
      </c>
      <c r="F404">
        <v>0</v>
      </c>
      <c r="G404">
        <v>10011</v>
      </c>
      <c r="H404">
        <v>1</v>
      </c>
      <c r="W404">
        <v>62</v>
      </c>
      <c r="X404">
        <v>19</v>
      </c>
      <c r="Y404">
        <v>242</v>
      </c>
      <c r="AC404">
        <v>1</v>
      </c>
    </row>
    <row r="405" spans="1:29">
      <c r="A405">
        <f t="shared" si="6"/>
        <v>405</v>
      </c>
      <c r="B405" s="103" t="s">
        <v>226</v>
      </c>
      <c r="C405" s="106">
        <v>121014</v>
      </c>
      <c r="D405">
        <v>1</v>
      </c>
      <c r="E405">
        <v>2</v>
      </c>
      <c r="F405">
        <v>0</v>
      </c>
      <c r="G405">
        <v>10011</v>
      </c>
      <c r="H405">
        <v>1</v>
      </c>
      <c r="W405">
        <v>62</v>
      </c>
      <c r="X405">
        <v>19</v>
      </c>
      <c r="Y405">
        <v>242</v>
      </c>
      <c r="AC405">
        <v>1</v>
      </c>
    </row>
    <row r="406" spans="1:29">
      <c r="A406">
        <f t="shared" si="6"/>
        <v>406</v>
      </c>
      <c r="B406" s="103" t="s">
        <v>227</v>
      </c>
      <c r="C406" s="106">
        <v>121035</v>
      </c>
      <c r="D406">
        <v>1</v>
      </c>
      <c r="E406">
        <v>1</v>
      </c>
      <c r="F406">
        <v>0</v>
      </c>
      <c r="G406">
        <v>10029</v>
      </c>
      <c r="H406">
        <v>1</v>
      </c>
      <c r="W406">
        <v>62</v>
      </c>
      <c r="X406">
        <v>19</v>
      </c>
      <c r="Y406">
        <v>242</v>
      </c>
      <c r="AC406">
        <v>1</v>
      </c>
    </row>
    <row r="407" spans="1:29">
      <c r="A407">
        <f t="shared" si="6"/>
        <v>407</v>
      </c>
      <c r="B407" s="103" t="s">
        <v>228</v>
      </c>
      <c r="C407" s="106">
        <v>121035</v>
      </c>
      <c r="D407">
        <v>1</v>
      </c>
      <c r="E407">
        <v>1</v>
      </c>
      <c r="F407">
        <v>0</v>
      </c>
      <c r="G407">
        <v>10029</v>
      </c>
      <c r="H407">
        <v>1</v>
      </c>
      <c r="W407">
        <v>62</v>
      </c>
      <c r="X407">
        <v>19</v>
      </c>
      <c r="Y407">
        <v>242</v>
      </c>
      <c r="AC407">
        <v>1</v>
      </c>
    </row>
    <row r="408" spans="1:29">
      <c r="A408">
        <f t="shared" si="6"/>
        <v>408</v>
      </c>
      <c r="B408" s="103" t="s">
        <v>228</v>
      </c>
      <c r="C408" s="106">
        <v>121035</v>
      </c>
      <c r="D408">
        <v>1</v>
      </c>
      <c r="E408">
        <v>2</v>
      </c>
      <c r="F408">
        <v>0</v>
      </c>
      <c r="G408">
        <v>10029</v>
      </c>
      <c r="H408">
        <v>1</v>
      </c>
      <c r="W408">
        <v>62</v>
      </c>
      <c r="X408">
        <v>19</v>
      </c>
      <c r="Y408">
        <v>242</v>
      </c>
      <c r="AC408">
        <v>1</v>
      </c>
    </row>
    <row r="409" spans="1:29">
      <c r="A409">
        <f t="shared" si="6"/>
        <v>409</v>
      </c>
      <c r="B409" s="103" t="s">
        <v>229</v>
      </c>
      <c r="C409" s="106">
        <v>121027</v>
      </c>
      <c r="D409">
        <v>1</v>
      </c>
      <c r="E409">
        <v>1</v>
      </c>
      <c r="F409">
        <v>0</v>
      </c>
      <c r="G409">
        <v>10027</v>
      </c>
      <c r="H409">
        <v>1</v>
      </c>
      <c r="W409">
        <v>62</v>
      </c>
      <c r="X409">
        <v>19</v>
      </c>
      <c r="Y409">
        <v>242</v>
      </c>
      <c r="AC409">
        <v>1</v>
      </c>
    </row>
    <row r="410" spans="1:29">
      <c r="A410">
        <f t="shared" si="6"/>
        <v>410</v>
      </c>
      <c r="B410" s="103">
        <v>40060502</v>
      </c>
      <c r="C410" s="106">
        <v>121027</v>
      </c>
      <c r="D410">
        <v>1</v>
      </c>
      <c r="E410">
        <v>1</v>
      </c>
      <c r="F410">
        <v>0</v>
      </c>
      <c r="G410">
        <v>10027</v>
      </c>
      <c r="H410">
        <v>1</v>
      </c>
      <c r="W410">
        <v>62</v>
      </c>
      <c r="X410">
        <v>19</v>
      </c>
      <c r="Y410">
        <v>242</v>
      </c>
      <c r="AC410">
        <v>1</v>
      </c>
    </row>
    <row r="411" spans="1:29">
      <c r="A411">
        <f t="shared" si="6"/>
        <v>411</v>
      </c>
      <c r="B411" s="103">
        <v>40060502</v>
      </c>
      <c r="C411" s="106">
        <v>121027</v>
      </c>
      <c r="D411">
        <v>1</v>
      </c>
      <c r="E411">
        <v>2</v>
      </c>
      <c r="F411">
        <v>0</v>
      </c>
      <c r="G411">
        <v>10027</v>
      </c>
      <c r="H411">
        <v>1</v>
      </c>
      <c r="W411">
        <v>62</v>
      </c>
      <c r="X411">
        <v>19</v>
      </c>
      <c r="Y411">
        <v>242</v>
      </c>
      <c r="AC411">
        <v>1</v>
      </c>
    </row>
    <row r="412" spans="1:29">
      <c r="A412">
        <f t="shared" si="6"/>
        <v>412</v>
      </c>
      <c r="B412" s="127" t="s">
        <v>230</v>
      </c>
      <c r="C412" s="106">
        <v>121008</v>
      </c>
      <c r="D412">
        <v>1</v>
      </c>
      <c r="E412">
        <v>2</v>
      </c>
      <c r="F412">
        <v>0</v>
      </c>
      <c r="G412">
        <v>10009</v>
      </c>
      <c r="H412">
        <v>1</v>
      </c>
      <c r="W412">
        <v>62</v>
      </c>
      <c r="X412">
        <v>19</v>
      </c>
      <c r="Y412">
        <v>242</v>
      </c>
      <c r="AC412">
        <v>1</v>
      </c>
    </row>
    <row r="413" spans="1:29">
      <c r="A413">
        <f t="shared" si="6"/>
        <v>413</v>
      </c>
      <c r="B413" s="127" t="s">
        <v>230</v>
      </c>
      <c r="C413" s="106">
        <v>121008</v>
      </c>
      <c r="D413">
        <v>1</v>
      </c>
      <c r="E413">
        <v>1</v>
      </c>
      <c r="F413">
        <v>0</v>
      </c>
      <c r="G413">
        <v>10009</v>
      </c>
      <c r="H413">
        <v>1</v>
      </c>
      <c r="W413">
        <v>62</v>
      </c>
      <c r="X413">
        <v>19</v>
      </c>
      <c r="Y413">
        <v>242</v>
      </c>
      <c r="AC413">
        <v>1</v>
      </c>
    </row>
    <row r="414" spans="1:29">
      <c r="A414">
        <f t="shared" si="6"/>
        <v>414</v>
      </c>
      <c r="B414" s="127" t="s">
        <v>230</v>
      </c>
      <c r="C414" s="106">
        <v>121008</v>
      </c>
      <c r="D414">
        <v>1</v>
      </c>
      <c r="E414">
        <v>3</v>
      </c>
      <c r="F414">
        <v>0</v>
      </c>
      <c r="G414">
        <v>10009</v>
      </c>
      <c r="H414">
        <v>1</v>
      </c>
      <c r="W414">
        <v>62</v>
      </c>
      <c r="X414">
        <v>19</v>
      </c>
      <c r="Y414">
        <v>242</v>
      </c>
      <c r="AC414">
        <v>1</v>
      </c>
    </row>
    <row r="415" spans="1:29">
      <c r="A415">
        <f t="shared" si="6"/>
        <v>415</v>
      </c>
      <c r="B415" s="127" t="s">
        <v>231</v>
      </c>
      <c r="C415" s="106">
        <v>111006</v>
      </c>
      <c r="D415">
        <v>1</v>
      </c>
      <c r="E415">
        <v>2</v>
      </c>
      <c r="F415">
        <v>0</v>
      </c>
      <c r="G415">
        <v>175</v>
      </c>
      <c r="H415">
        <v>1</v>
      </c>
      <c r="I415">
        <v>25</v>
      </c>
      <c r="J415">
        <v>176</v>
      </c>
      <c r="K415">
        <v>1</v>
      </c>
      <c r="L415">
        <v>25</v>
      </c>
      <c r="M415">
        <v>177</v>
      </c>
      <c r="N415">
        <v>1</v>
      </c>
      <c r="R415">
        <v>20</v>
      </c>
      <c r="S415">
        <v>178</v>
      </c>
      <c r="T415">
        <v>1</v>
      </c>
      <c r="W415">
        <v>213</v>
      </c>
      <c r="X415">
        <v>73</v>
      </c>
      <c r="Y415">
        <v>699</v>
      </c>
      <c r="AC415">
        <v>1</v>
      </c>
    </row>
    <row r="416" spans="1:29">
      <c r="A416">
        <f t="shared" si="6"/>
        <v>416</v>
      </c>
      <c r="B416" s="127" t="s">
        <v>231</v>
      </c>
      <c r="C416" s="106">
        <v>111007</v>
      </c>
      <c r="D416">
        <v>1</v>
      </c>
      <c r="E416">
        <v>1</v>
      </c>
      <c r="F416">
        <v>0</v>
      </c>
      <c r="G416">
        <v>179</v>
      </c>
      <c r="H416">
        <v>1</v>
      </c>
      <c r="I416">
        <v>25</v>
      </c>
      <c r="J416">
        <v>180</v>
      </c>
      <c r="K416">
        <v>1</v>
      </c>
      <c r="L416">
        <v>25</v>
      </c>
      <c r="M416">
        <v>181</v>
      </c>
      <c r="N416">
        <v>1</v>
      </c>
      <c r="O416">
        <v>25</v>
      </c>
      <c r="P416">
        <v>182</v>
      </c>
      <c r="Q416">
        <v>1</v>
      </c>
      <c r="W416">
        <v>213</v>
      </c>
      <c r="X416">
        <v>73</v>
      </c>
      <c r="Y416">
        <v>699</v>
      </c>
      <c r="AC416">
        <v>1</v>
      </c>
    </row>
    <row r="417" spans="1:29">
      <c r="A417">
        <f t="shared" si="6"/>
        <v>417</v>
      </c>
      <c r="B417" s="127" t="s">
        <v>231</v>
      </c>
      <c r="C417" s="106">
        <v>111008</v>
      </c>
      <c r="D417">
        <v>1</v>
      </c>
      <c r="E417">
        <v>3</v>
      </c>
      <c r="F417">
        <v>0</v>
      </c>
      <c r="G417">
        <v>296</v>
      </c>
      <c r="H417">
        <v>1</v>
      </c>
      <c r="I417">
        <v>25</v>
      </c>
      <c r="J417">
        <v>297</v>
      </c>
      <c r="K417">
        <v>1</v>
      </c>
      <c r="L417">
        <v>25</v>
      </c>
      <c r="M417">
        <v>298</v>
      </c>
      <c r="N417">
        <v>1</v>
      </c>
      <c r="W417">
        <v>213</v>
      </c>
      <c r="X417">
        <v>73</v>
      </c>
      <c r="Y417">
        <v>699</v>
      </c>
      <c r="AC417">
        <v>1</v>
      </c>
    </row>
    <row r="418" spans="1:29">
      <c r="A418">
        <f t="shared" si="6"/>
        <v>418</v>
      </c>
      <c r="B418" s="127" t="s">
        <v>232</v>
      </c>
      <c r="C418" s="106">
        <v>112002</v>
      </c>
      <c r="D418">
        <v>1</v>
      </c>
      <c r="E418">
        <v>2</v>
      </c>
      <c r="F418">
        <v>0</v>
      </c>
      <c r="G418">
        <v>24</v>
      </c>
      <c r="H418">
        <v>1</v>
      </c>
      <c r="I418">
        <v>25</v>
      </c>
      <c r="J418">
        <v>25</v>
      </c>
      <c r="K418">
        <v>1</v>
      </c>
      <c r="L418">
        <v>25</v>
      </c>
      <c r="M418">
        <v>26</v>
      </c>
      <c r="N418">
        <v>1</v>
      </c>
      <c r="O418">
        <v>25</v>
      </c>
      <c r="P418">
        <v>29</v>
      </c>
      <c r="Q418">
        <v>1</v>
      </c>
      <c r="R418">
        <v>20</v>
      </c>
      <c r="S418">
        <v>31</v>
      </c>
      <c r="T418">
        <v>1</v>
      </c>
      <c r="W418">
        <v>389</v>
      </c>
      <c r="X418">
        <v>123</v>
      </c>
      <c r="Y418">
        <v>1114</v>
      </c>
      <c r="AC418">
        <v>1</v>
      </c>
    </row>
    <row r="419" spans="1:29">
      <c r="A419">
        <f t="shared" si="6"/>
        <v>419</v>
      </c>
      <c r="B419" s="127" t="s">
        <v>232</v>
      </c>
      <c r="C419" s="106">
        <v>112001</v>
      </c>
      <c r="D419">
        <v>1</v>
      </c>
      <c r="E419">
        <v>1</v>
      </c>
      <c r="F419">
        <v>0</v>
      </c>
      <c r="G419">
        <v>1</v>
      </c>
      <c r="H419">
        <v>1</v>
      </c>
      <c r="I419">
        <v>25</v>
      </c>
      <c r="J419">
        <v>2</v>
      </c>
      <c r="K419">
        <v>1</v>
      </c>
      <c r="L419">
        <v>25</v>
      </c>
      <c r="M419">
        <v>6</v>
      </c>
      <c r="N419">
        <v>1</v>
      </c>
      <c r="O419">
        <v>25</v>
      </c>
      <c r="P419">
        <v>8</v>
      </c>
      <c r="Q419">
        <v>1</v>
      </c>
      <c r="R419">
        <v>20</v>
      </c>
      <c r="S419">
        <v>3</v>
      </c>
      <c r="T419">
        <v>1</v>
      </c>
      <c r="W419">
        <v>389</v>
      </c>
      <c r="X419">
        <v>123</v>
      </c>
      <c r="Y419">
        <v>1114</v>
      </c>
      <c r="AC419">
        <v>1</v>
      </c>
    </row>
    <row r="420" spans="1:29">
      <c r="A420">
        <f t="shared" si="6"/>
        <v>420</v>
      </c>
      <c r="B420" s="127" t="s">
        <v>232</v>
      </c>
      <c r="C420" s="106">
        <v>112005</v>
      </c>
      <c r="D420">
        <v>1</v>
      </c>
      <c r="E420">
        <v>3</v>
      </c>
      <c r="F420">
        <v>0</v>
      </c>
      <c r="G420">
        <v>47</v>
      </c>
      <c r="H420">
        <v>1</v>
      </c>
      <c r="I420">
        <v>25</v>
      </c>
      <c r="J420">
        <v>48</v>
      </c>
      <c r="K420">
        <v>1</v>
      </c>
      <c r="L420">
        <v>25</v>
      </c>
      <c r="M420">
        <v>50</v>
      </c>
      <c r="N420">
        <v>1</v>
      </c>
      <c r="O420">
        <v>25</v>
      </c>
      <c r="P420">
        <v>53</v>
      </c>
      <c r="Q420">
        <v>1</v>
      </c>
      <c r="R420">
        <v>20</v>
      </c>
      <c r="S420">
        <v>51</v>
      </c>
      <c r="T420">
        <v>1</v>
      </c>
      <c r="W420">
        <v>389</v>
      </c>
      <c r="X420">
        <v>123</v>
      </c>
      <c r="Y420">
        <v>1114</v>
      </c>
      <c r="AC420">
        <v>1</v>
      </c>
    </row>
    <row r="421" spans="1:29">
      <c r="A421">
        <f t="shared" si="6"/>
        <v>421</v>
      </c>
      <c r="B421" s="127" t="s">
        <v>233</v>
      </c>
      <c r="C421" s="106">
        <v>121008</v>
      </c>
      <c r="D421">
        <v>1</v>
      </c>
      <c r="E421">
        <v>2</v>
      </c>
      <c r="F421">
        <v>0</v>
      </c>
      <c r="G421">
        <v>10009</v>
      </c>
      <c r="H421">
        <v>1</v>
      </c>
      <c r="W421">
        <v>62</v>
      </c>
      <c r="X421">
        <v>19</v>
      </c>
      <c r="Y421">
        <v>242</v>
      </c>
      <c r="AC421">
        <v>1</v>
      </c>
    </row>
    <row r="422" spans="1:29">
      <c r="A422">
        <f t="shared" si="6"/>
        <v>422</v>
      </c>
      <c r="B422" s="127" t="s">
        <v>233</v>
      </c>
      <c r="C422" s="106">
        <v>121008</v>
      </c>
      <c r="D422">
        <v>1</v>
      </c>
      <c r="E422">
        <v>1</v>
      </c>
      <c r="F422">
        <v>0</v>
      </c>
      <c r="G422">
        <v>10009</v>
      </c>
      <c r="H422">
        <v>1</v>
      </c>
      <c r="W422">
        <v>62</v>
      </c>
      <c r="X422">
        <v>19</v>
      </c>
      <c r="Y422">
        <v>242</v>
      </c>
      <c r="AC422">
        <v>1</v>
      </c>
    </row>
    <row r="423" spans="1:29">
      <c r="A423">
        <f t="shared" si="6"/>
        <v>423</v>
      </c>
      <c r="B423" s="127" t="s">
        <v>233</v>
      </c>
      <c r="C423" s="106">
        <v>121008</v>
      </c>
      <c r="D423">
        <v>1</v>
      </c>
      <c r="E423">
        <v>3</v>
      </c>
      <c r="F423">
        <v>0</v>
      </c>
      <c r="G423">
        <v>10009</v>
      </c>
      <c r="H423">
        <v>1</v>
      </c>
      <c r="W423">
        <v>62</v>
      </c>
      <c r="X423">
        <v>19</v>
      </c>
      <c r="Y423">
        <v>242</v>
      </c>
      <c r="AC423">
        <v>1</v>
      </c>
    </row>
    <row r="424" spans="1:29">
      <c r="A424">
        <f t="shared" si="6"/>
        <v>424</v>
      </c>
      <c r="B424" s="127" t="s">
        <v>234</v>
      </c>
      <c r="C424" s="106">
        <v>112001</v>
      </c>
      <c r="D424">
        <v>1</v>
      </c>
      <c r="E424">
        <v>2</v>
      </c>
      <c r="F424">
        <v>0</v>
      </c>
      <c r="G424">
        <v>1</v>
      </c>
      <c r="H424">
        <v>1</v>
      </c>
      <c r="I424">
        <v>25</v>
      </c>
      <c r="J424">
        <v>2</v>
      </c>
      <c r="K424">
        <v>1</v>
      </c>
      <c r="L424">
        <v>25</v>
      </c>
      <c r="M424">
        <v>6</v>
      </c>
      <c r="N424">
        <v>1</v>
      </c>
      <c r="O424">
        <v>25</v>
      </c>
      <c r="P424">
        <v>8</v>
      </c>
      <c r="Q424">
        <v>1</v>
      </c>
      <c r="R424">
        <v>20</v>
      </c>
      <c r="S424">
        <v>3</v>
      </c>
      <c r="T424">
        <v>1</v>
      </c>
      <c r="W424">
        <v>213</v>
      </c>
      <c r="X424">
        <v>73</v>
      </c>
      <c r="Y424">
        <v>699</v>
      </c>
      <c r="AC424">
        <v>1</v>
      </c>
    </row>
    <row r="425" spans="1:29">
      <c r="A425">
        <f t="shared" si="6"/>
        <v>425</v>
      </c>
      <c r="B425" s="127" t="s">
        <v>234</v>
      </c>
      <c r="C425" s="106">
        <v>112002</v>
      </c>
      <c r="D425">
        <v>1</v>
      </c>
      <c r="E425">
        <v>1</v>
      </c>
      <c r="F425">
        <v>0</v>
      </c>
      <c r="G425">
        <v>24</v>
      </c>
      <c r="H425">
        <v>1</v>
      </c>
      <c r="I425">
        <v>25</v>
      </c>
      <c r="J425">
        <v>25</v>
      </c>
      <c r="K425">
        <v>1</v>
      </c>
      <c r="L425">
        <v>25</v>
      </c>
      <c r="M425">
        <v>26</v>
      </c>
      <c r="N425">
        <v>1</v>
      </c>
      <c r="O425">
        <v>25</v>
      </c>
      <c r="P425">
        <v>29</v>
      </c>
      <c r="Q425">
        <v>1</v>
      </c>
      <c r="R425">
        <v>20</v>
      </c>
      <c r="S425">
        <v>31</v>
      </c>
      <c r="T425">
        <v>1</v>
      </c>
      <c r="W425">
        <v>213</v>
      </c>
      <c r="X425">
        <v>73</v>
      </c>
      <c r="Y425">
        <v>699</v>
      </c>
      <c r="AC425">
        <v>1</v>
      </c>
    </row>
    <row r="426" spans="1:29">
      <c r="A426">
        <f t="shared" si="6"/>
        <v>426</v>
      </c>
      <c r="B426" s="127" t="s">
        <v>234</v>
      </c>
      <c r="C426" s="106">
        <v>112005</v>
      </c>
      <c r="D426">
        <v>1</v>
      </c>
      <c r="E426">
        <v>3</v>
      </c>
      <c r="F426">
        <v>0</v>
      </c>
      <c r="G426">
        <v>47</v>
      </c>
      <c r="H426">
        <v>1</v>
      </c>
      <c r="I426">
        <v>25</v>
      </c>
      <c r="J426">
        <v>48</v>
      </c>
      <c r="K426">
        <v>1</v>
      </c>
      <c r="L426">
        <v>25</v>
      </c>
      <c r="M426">
        <v>50</v>
      </c>
      <c r="N426">
        <v>1</v>
      </c>
      <c r="O426">
        <v>25</v>
      </c>
      <c r="P426">
        <v>53</v>
      </c>
      <c r="Q426">
        <v>1</v>
      </c>
      <c r="R426">
        <v>20</v>
      </c>
      <c r="S426">
        <v>51</v>
      </c>
      <c r="T426">
        <v>1</v>
      </c>
      <c r="W426">
        <v>213</v>
      </c>
      <c r="X426">
        <v>73</v>
      </c>
      <c r="Y426">
        <v>699</v>
      </c>
      <c r="AC426">
        <v>1</v>
      </c>
    </row>
    <row r="427" spans="1:29">
      <c r="A427">
        <f t="shared" si="6"/>
        <v>427</v>
      </c>
      <c r="B427" s="127" t="s">
        <v>235</v>
      </c>
      <c r="C427" s="106">
        <v>121008</v>
      </c>
      <c r="D427">
        <v>1</v>
      </c>
      <c r="E427">
        <v>2</v>
      </c>
      <c r="F427">
        <v>0</v>
      </c>
      <c r="G427">
        <v>10009</v>
      </c>
      <c r="H427">
        <v>1</v>
      </c>
      <c r="W427">
        <v>389</v>
      </c>
      <c r="X427">
        <v>123</v>
      </c>
      <c r="Y427">
        <v>1114</v>
      </c>
      <c r="AC427">
        <v>1</v>
      </c>
    </row>
    <row r="428" spans="1:29">
      <c r="A428">
        <f t="shared" si="6"/>
        <v>428</v>
      </c>
      <c r="B428" s="127" t="s">
        <v>235</v>
      </c>
      <c r="C428" s="106">
        <v>121008</v>
      </c>
      <c r="D428">
        <v>1</v>
      </c>
      <c r="E428">
        <v>1</v>
      </c>
      <c r="F428">
        <v>0</v>
      </c>
      <c r="G428">
        <v>10009</v>
      </c>
      <c r="H428">
        <v>1</v>
      </c>
      <c r="W428">
        <v>389</v>
      </c>
      <c r="X428">
        <v>123</v>
      </c>
      <c r="Y428">
        <v>1114</v>
      </c>
      <c r="AC428">
        <v>1</v>
      </c>
    </row>
    <row r="429" spans="1:29">
      <c r="A429">
        <f t="shared" si="6"/>
        <v>429</v>
      </c>
      <c r="B429" s="127" t="s">
        <v>235</v>
      </c>
      <c r="C429" s="106">
        <v>121008</v>
      </c>
      <c r="D429">
        <v>1</v>
      </c>
      <c r="E429">
        <v>3</v>
      </c>
      <c r="F429">
        <v>0</v>
      </c>
      <c r="G429">
        <v>10009</v>
      </c>
      <c r="H429">
        <v>1</v>
      </c>
      <c r="W429">
        <v>389</v>
      </c>
      <c r="X429">
        <v>123</v>
      </c>
      <c r="Y429">
        <v>1114</v>
      </c>
      <c r="AC429">
        <v>1</v>
      </c>
    </row>
    <row r="430" spans="1:29">
      <c r="A430">
        <f t="shared" si="6"/>
        <v>430</v>
      </c>
      <c r="B430" s="127" t="s">
        <v>236</v>
      </c>
      <c r="C430" s="106">
        <v>121008</v>
      </c>
      <c r="D430">
        <v>1</v>
      </c>
      <c r="E430">
        <v>2</v>
      </c>
      <c r="F430">
        <v>0</v>
      </c>
      <c r="G430">
        <v>10009</v>
      </c>
      <c r="H430">
        <v>1</v>
      </c>
      <c r="W430">
        <v>675</v>
      </c>
      <c r="X430">
        <v>196</v>
      </c>
      <c r="Y430">
        <v>1771</v>
      </c>
      <c r="AC430">
        <v>1</v>
      </c>
    </row>
    <row r="431" spans="1:29">
      <c r="A431">
        <f t="shared" si="6"/>
        <v>431</v>
      </c>
      <c r="B431" s="127" t="s">
        <v>236</v>
      </c>
      <c r="C431" s="106">
        <v>121008</v>
      </c>
      <c r="D431">
        <v>1</v>
      </c>
      <c r="E431">
        <v>1</v>
      </c>
      <c r="F431">
        <v>0</v>
      </c>
      <c r="G431">
        <v>10009</v>
      </c>
      <c r="H431">
        <v>1</v>
      </c>
      <c r="W431">
        <v>675</v>
      </c>
      <c r="X431">
        <v>196</v>
      </c>
      <c r="Y431">
        <v>1771</v>
      </c>
      <c r="AC431">
        <v>1</v>
      </c>
    </row>
    <row r="432" spans="1:29">
      <c r="A432">
        <f t="shared" si="6"/>
        <v>432</v>
      </c>
      <c r="B432" s="127" t="s">
        <v>236</v>
      </c>
      <c r="C432" s="106">
        <v>121008</v>
      </c>
      <c r="D432">
        <v>1</v>
      </c>
      <c r="E432">
        <v>3</v>
      </c>
      <c r="F432">
        <v>0</v>
      </c>
      <c r="G432">
        <v>10009</v>
      </c>
      <c r="H432">
        <v>1</v>
      </c>
      <c r="W432">
        <v>675</v>
      </c>
      <c r="X432">
        <v>196</v>
      </c>
      <c r="Y432">
        <v>1771</v>
      </c>
      <c r="AC432">
        <v>1</v>
      </c>
    </row>
    <row r="433" spans="1:29">
      <c r="A433">
        <f t="shared" si="6"/>
        <v>433</v>
      </c>
      <c r="B433" s="127" t="s">
        <v>237</v>
      </c>
      <c r="C433" s="106">
        <v>112010</v>
      </c>
      <c r="D433">
        <v>1</v>
      </c>
      <c r="E433">
        <v>2</v>
      </c>
      <c r="F433">
        <v>0</v>
      </c>
      <c r="G433">
        <v>91</v>
      </c>
      <c r="H433">
        <v>1</v>
      </c>
      <c r="I433">
        <v>25</v>
      </c>
      <c r="J433">
        <v>92</v>
      </c>
      <c r="K433">
        <v>1</v>
      </c>
      <c r="L433">
        <v>25</v>
      </c>
      <c r="M433">
        <v>93</v>
      </c>
      <c r="N433">
        <v>1</v>
      </c>
      <c r="O433">
        <v>25</v>
      </c>
      <c r="P433">
        <v>94</v>
      </c>
      <c r="Q433">
        <v>1</v>
      </c>
      <c r="R433">
        <v>20</v>
      </c>
      <c r="S433">
        <v>95</v>
      </c>
      <c r="T433">
        <v>1</v>
      </c>
      <c r="W433">
        <v>62</v>
      </c>
      <c r="X433">
        <v>19</v>
      </c>
      <c r="Y433">
        <v>242</v>
      </c>
      <c r="AC433">
        <v>1</v>
      </c>
    </row>
    <row r="434" spans="1:29">
      <c r="A434">
        <f t="shared" si="6"/>
        <v>434</v>
      </c>
      <c r="B434" s="127" t="s">
        <v>237</v>
      </c>
      <c r="C434" s="106">
        <v>111003</v>
      </c>
      <c r="D434">
        <v>1</v>
      </c>
      <c r="E434">
        <v>1</v>
      </c>
      <c r="F434">
        <v>0</v>
      </c>
      <c r="G434">
        <v>186</v>
      </c>
      <c r="H434">
        <v>1</v>
      </c>
      <c r="I434">
        <v>25</v>
      </c>
      <c r="J434">
        <v>187</v>
      </c>
      <c r="K434">
        <v>1</v>
      </c>
      <c r="L434">
        <v>25</v>
      </c>
      <c r="M434">
        <v>188</v>
      </c>
      <c r="N434">
        <v>1</v>
      </c>
      <c r="W434">
        <v>62</v>
      </c>
      <c r="X434">
        <v>19</v>
      </c>
      <c r="Y434">
        <v>242</v>
      </c>
      <c r="AC434">
        <v>1</v>
      </c>
    </row>
    <row r="435" spans="1:29">
      <c r="A435">
        <f t="shared" si="6"/>
        <v>435</v>
      </c>
      <c r="B435" s="127" t="s">
        <v>238</v>
      </c>
      <c r="C435" s="106">
        <v>111004</v>
      </c>
      <c r="D435">
        <v>1</v>
      </c>
      <c r="E435">
        <v>5</v>
      </c>
      <c r="F435">
        <v>0</v>
      </c>
      <c r="G435">
        <v>167</v>
      </c>
      <c r="H435">
        <v>1</v>
      </c>
      <c r="I435">
        <v>25</v>
      </c>
      <c r="J435">
        <v>168</v>
      </c>
      <c r="K435">
        <v>1</v>
      </c>
      <c r="R435">
        <v>20</v>
      </c>
      <c r="S435">
        <v>170</v>
      </c>
      <c r="T435">
        <v>1</v>
      </c>
      <c r="W435">
        <v>213</v>
      </c>
      <c r="X435">
        <v>73</v>
      </c>
      <c r="Y435">
        <v>699</v>
      </c>
      <c r="AC435">
        <v>1</v>
      </c>
    </row>
    <row r="436" spans="1:29">
      <c r="A436">
        <f t="shared" si="6"/>
        <v>436</v>
      </c>
      <c r="B436" s="127" t="s">
        <v>238</v>
      </c>
      <c r="C436" s="106">
        <v>111005</v>
      </c>
      <c r="D436">
        <v>1</v>
      </c>
      <c r="E436">
        <v>2</v>
      </c>
      <c r="F436">
        <v>0</v>
      </c>
      <c r="G436">
        <v>88</v>
      </c>
      <c r="H436">
        <v>1</v>
      </c>
      <c r="I436">
        <v>25</v>
      </c>
      <c r="J436">
        <v>89</v>
      </c>
      <c r="K436">
        <v>1</v>
      </c>
      <c r="L436">
        <v>25</v>
      </c>
      <c r="M436">
        <v>90</v>
      </c>
      <c r="N436">
        <v>1</v>
      </c>
      <c r="W436">
        <v>213</v>
      </c>
      <c r="X436">
        <v>73</v>
      </c>
      <c r="Y436">
        <v>699</v>
      </c>
      <c r="AC436">
        <v>1</v>
      </c>
    </row>
    <row r="437" spans="1:29">
      <c r="A437">
        <f t="shared" si="6"/>
        <v>437</v>
      </c>
      <c r="B437" s="127" t="s">
        <v>238</v>
      </c>
      <c r="C437" s="106">
        <v>121001</v>
      </c>
      <c r="D437">
        <v>1</v>
      </c>
      <c r="E437">
        <v>1</v>
      </c>
      <c r="F437">
        <v>0</v>
      </c>
      <c r="G437">
        <v>10003</v>
      </c>
      <c r="H437">
        <v>1</v>
      </c>
      <c r="W437">
        <v>213</v>
      </c>
      <c r="X437">
        <v>73</v>
      </c>
      <c r="Y437">
        <v>699</v>
      </c>
      <c r="AC437">
        <v>1</v>
      </c>
    </row>
    <row r="438" spans="1:29">
      <c r="A438">
        <f t="shared" si="6"/>
        <v>438</v>
      </c>
      <c r="B438" s="127" t="s">
        <v>238</v>
      </c>
      <c r="C438" s="106">
        <v>121002</v>
      </c>
      <c r="D438">
        <v>1</v>
      </c>
      <c r="E438">
        <v>3</v>
      </c>
      <c r="F438">
        <v>0</v>
      </c>
      <c r="G438">
        <v>10004</v>
      </c>
      <c r="H438">
        <v>1</v>
      </c>
      <c r="W438">
        <v>213</v>
      </c>
      <c r="X438">
        <v>73</v>
      </c>
      <c r="Y438">
        <v>699</v>
      </c>
      <c r="AC438">
        <v>1</v>
      </c>
    </row>
    <row r="439" spans="1:29">
      <c r="A439">
        <f t="shared" si="6"/>
        <v>439</v>
      </c>
      <c r="B439" s="127" t="s">
        <v>239</v>
      </c>
      <c r="C439" s="106">
        <v>111006</v>
      </c>
      <c r="D439">
        <v>1</v>
      </c>
      <c r="E439">
        <v>2</v>
      </c>
      <c r="F439">
        <v>0</v>
      </c>
      <c r="G439">
        <v>175</v>
      </c>
      <c r="H439">
        <v>1</v>
      </c>
      <c r="I439">
        <v>25</v>
      </c>
      <c r="J439">
        <v>176</v>
      </c>
      <c r="K439">
        <v>1</v>
      </c>
      <c r="L439">
        <v>25</v>
      </c>
      <c r="M439">
        <v>177</v>
      </c>
      <c r="N439">
        <v>1</v>
      </c>
      <c r="R439">
        <v>20</v>
      </c>
      <c r="S439">
        <v>178</v>
      </c>
      <c r="T439">
        <v>1</v>
      </c>
      <c r="W439">
        <v>389</v>
      </c>
      <c r="X439">
        <v>123</v>
      </c>
      <c r="Y439">
        <v>1114</v>
      </c>
      <c r="AC439">
        <v>1</v>
      </c>
    </row>
    <row r="440" spans="1:29">
      <c r="A440">
        <f t="shared" si="6"/>
        <v>440</v>
      </c>
      <c r="B440" s="127" t="s">
        <v>239</v>
      </c>
      <c r="C440" s="106">
        <v>111007</v>
      </c>
      <c r="D440">
        <v>1</v>
      </c>
      <c r="E440">
        <v>1</v>
      </c>
      <c r="F440">
        <v>0</v>
      </c>
      <c r="G440">
        <v>179</v>
      </c>
      <c r="H440">
        <v>1</v>
      </c>
      <c r="I440">
        <v>25</v>
      </c>
      <c r="J440">
        <v>180</v>
      </c>
      <c r="K440">
        <v>1</v>
      </c>
      <c r="L440">
        <v>25</v>
      </c>
      <c r="M440">
        <v>181</v>
      </c>
      <c r="N440">
        <v>1</v>
      </c>
      <c r="O440">
        <v>25</v>
      </c>
      <c r="P440">
        <v>182</v>
      </c>
      <c r="Q440">
        <v>1</v>
      </c>
      <c r="W440">
        <v>389</v>
      </c>
      <c r="X440">
        <v>123</v>
      </c>
      <c r="Y440">
        <v>1114</v>
      </c>
      <c r="AC440">
        <v>1</v>
      </c>
    </row>
    <row r="441" spans="1:29">
      <c r="A441">
        <f t="shared" si="6"/>
        <v>441</v>
      </c>
      <c r="B441" s="127" t="s">
        <v>239</v>
      </c>
      <c r="C441" s="106">
        <v>111008</v>
      </c>
      <c r="D441">
        <v>1</v>
      </c>
      <c r="E441">
        <v>3</v>
      </c>
      <c r="F441">
        <v>0</v>
      </c>
      <c r="G441">
        <v>296</v>
      </c>
      <c r="H441">
        <v>1</v>
      </c>
      <c r="I441">
        <v>25</v>
      </c>
      <c r="J441">
        <v>297</v>
      </c>
      <c r="K441">
        <v>1</v>
      </c>
      <c r="L441">
        <v>25</v>
      </c>
      <c r="M441">
        <v>298</v>
      </c>
      <c r="N441">
        <v>1</v>
      </c>
      <c r="W441">
        <v>389</v>
      </c>
      <c r="X441">
        <v>123</v>
      </c>
      <c r="Y441">
        <v>1114</v>
      </c>
      <c r="AC441">
        <v>1</v>
      </c>
    </row>
    <row r="442" spans="1:29">
      <c r="A442">
        <f t="shared" si="6"/>
        <v>442</v>
      </c>
      <c r="B442" s="127" t="s">
        <v>240</v>
      </c>
      <c r="C442" s="106">
        <v>111009</v>
      </c>
      <c r="D442">
        <v>1</v>
      </c>
      <c r="E442">
        <v>2</v>
      </c>
      <c r="F442">
        <v>0</v>
      </c>
      <c r="G442">
        <v>171</v>
      </c>
      <c r="H442">
        <v>1</v>
      </c>
      <c r="I442">
        <v>25</v>
      </c>
      <c r="J442">
        <v>172</v>
      </c>
      <c r="K442">
        <v>1</v>
      </c>
      <c r="L442">
        <v>25</v>
      </c>
      <c r="M442">
        <v>173</v>
      </c>
      <c r="N442">
        <v>1</v>
      </c>
      <c r="R442">
        <v>20</v>
      </c>
      <c r="S442">
        <v>174</v>
      </c>
      <c r="T442">
        <v>1</v>
      </c>
      <c r="W442">
        <v>675</v>
      </c>
      <c r="X442">
        <v>196</v>
      </c>
      <c r="Y442">
        <v>1771</v>
      </c>
      <c r="AC442">
        <v>1</v>
      </c>
    </row>
    <row r="443" spans="1:29">
      <c r="A443">
        <f t="shared" si="6"/>
        <v>443</v>
      </c>
      <c r="B443" s="127" t="s">
        <v>240</v>
      </c>
      <c r="C443" s="106">
        <v>111010</v>
      </c>
      <c r="D443">
        <v>1</v>
      </c>
      <c r="E443">
        <v>1</v>
      </c>
      <c r="F443">
        <v>0</v>
      </c>
      <c r="G443">
        <v>221</v>
      </c>
      <c r="H443">
        <v>1</v>
      </c>
      <c r="I443">
        <v>25</v>
      </c>
      <c r="J443">
        <v>222</v>
      </c>
      <c r="K443">
        <v>1</v>
      </c>
      <c r="L443">
        <v>25</v>
      </c>
      <c r="M443">
        <v>223</v>
      </c>
      <c r="N443">
        <v>1</v>
      </c>
      <c r="W443">
        <v>675</v>
      </c>
      <c r="X443">
        <v>196</v>
      </c>
      <c r="Y443">
        <v>1771</v>
      </c>
      <c r="AC443">
        <v>1</v>
      </c>
    </row>
    <row r="444" spans="1:29">
      <c r="A444">
        <f t="shared" si="6"/>
        <v>444</v>
      </c>
      <c r="B444" s="127" t="s">
        <v>241</v>
      </c>
      <c r="C444" s="106">
        <v>112011</v>
      </c>
      <c r="D444">
        <v>1</v>
      </c>
      <c r="E444">
        <v>5</v>
      </c>
      <c r="F444">
        <v>0</v>
      </c>
      <c r="G444">
        <v>107</v>
      </c>
      <c r="H444">
        <v>1</v>
      </c>
      <c r="I444">
        <v>25</v>
      </c>
      <c r="J444">
        <v>108</v>
      </c>
      <c r="K444">
        <v>1</v>
      </c>
      <c r="L444">
        <v>25</v>
      </c>
      <c r="M444">
        <v>109</v>
      </c>
      <c r="N444">
        <v>1</v>
      </c>
      <c r="O444">
        <v>25</v>
      </c>
      <c r="P444">
        <v>110</v>
      </c>
      <c r="Q444">
        <v>1</v>
      </c>
      <c r="R444">
        <v>20</v>
      </c>
      <c r="S444">
        <v>115</v>
      </c>
      <c r="T444">
        <v>1</v>
      </c>
      <c r="W444">
        <v>1064</v>
      </c>
      <c r="X444">
        <v>354</v>
      </c>
      <c r="Y444">
        <v>3190</v>
      </c>
      <c r="AC444">
        <v>1</v>
      </c>
    </row>
    <row r="445" spans="1:29">
      <c r="A445">
        <f t="shared" si="6"/>
        <v>445</v>
      </c>
      <c r="B445" s="127" t="s">
        <v>241</v>
      </c>
      <c r="C445" s="106">
        <v>112012</v>
      </c>
      <c r="D445">
        <v>1</v>
      </c>
      <c r="E445">
        <v>2</v>
      </c>
      <c r="F445">
        <v>0</v>
      </c>
      <c r="G445">
        <v>124</v>
      </c>
      <c r="H445">
        <v>1</v>
      </c>
      <c r="I445">
        <v>25</v>
      </c>
      <c r="J445">
        <v>125</v>
      </c>
      <c r="K445">
        <v>1</v>
      </c>
      <c r="L445">
        <v>25</v>
      </c>
      <c r="M445">
        <v>126</v>
      </c>
      <c r="N445">
        <v>1</v>
      </c>
      <c r="O445">
        <v>25</v>
      </c>
      <c r="P445">
        <v>127</v>
      </c>
      <c r="Q445">
        <v>1</v>
      </c>
      <c r="R445">
        <v>20</v>
      </c>
      <c r="S445">
        <v>131</v>
      </c>
      <c r="T445">
        <v>1</v>
      </c>
      <c r="W445">
        <v>1064</v>
      </c>
      <c r="X445">
        <v>354</v>
      </c>
      <c r="Y445">
        <v>3190</v>
      </c>
      <c r="AC445">
        <v>1</v>
      </c>
    </row>
    <row r="446" spans="1:29">
      <c r="A446">
        <f t="shared" si="6"/>
        <v>446</v>
      </c>
      <c r="B446" s="127" t="s">
        <v>241</v>
      </c>
      <c r="C446" s="106">
        <v>121008</v>
      </c>
      <c r="D446">
        <v>1</v>
      </c>
      <c r="E446">
        <v>1</v>
      </c>
      <c r="F446">
        <v>0</v>
      </c>
      <c r="G446">
        <v>10009</v>
      </c>
      <c r="H446">
        <v>1</v>
      </c>
      <c r="W446">
        <v>1064</v>
      </c>
      <c r="X446">
        <v>354</v>
      </c>
      <c r="Y446">
        <v>3190</v>
      </c>
      <c r="AC446">
        <v>1</v>
      </c>
    </row>
    <row r="447" spans="1:29">
      <c r="A447">
        <f t="shared" si="6"/>
        <v>447</v>
      </c>
      <c r="B447" s="127" t="s">
        <v>242</v>
      </c>
      <c r="C447" s="106">
        <v>121010</v>
      </c>
      <c r="D447">
        <v>1</v>
      </c>
      <c r="E447">
        <v>2</v>
      </c>
      <c r="F447">
        <v>0</v>
      </c>
      <c r="G447">
        <v>10012</v>
      </c>
      <c r="H447">
        <v>1</v>
      </c>
      <c r="W447">
        <v>62</v>
      </c>
      <c r="X447">
        <v>19</v>
      </c>
      <c r="Y447">
        <v>242</v>
      </c>
      <c r="AC447">
        <v>1</v>
      </c>
    </row>
    <row r="448" spans="1:29">
      <c r="A448">
        <f t="shared" si="6"/>
        <v>448</v>
      </c>
      <c r="B448" s="127" t="s">
        <v>242</v>
      </c>
      <c r="C448" s="106">
        <v>121008</v>
      </c>
      <c r="D448">
        <v>1</v>
      </c>
      <c r="E448">
        <v>1</v>
      </c>
      <c r="F448">
        <v>0</v>
      </c>
      <c r="G448">
        <v>10009</v>
      </c>
      <c r="H448">
        <v>1</v>
      </c>
      <c r="W448">
        <v>62</v>
      </c>
      <c r="X448">
        <v>19</v>
      </c>
      <c r="Y448">
        <v>242</v>
      </c>
      <c r="AC448">
        <v>1</v>
      </c>
    </row>
    <row r="449" spans="1:29">
      <c r="A449">
        <f t="shared" si="6"/>
        <v>449</v>
      </c>
      <c r="B449" s="127" t="s">
        <v>242</v>
      </c>
      <c r="C449" s="106">
        <v>121008</v>
      </c>
      <c r="D449">
        <v>1</v>
      </c>
      <c r="E449">
        <v>3</v>
      </c>
      <c r="F449">
        <v>0</v>
      </c>
      <c r="G449">
        <v>10009</v>
      </c>
      <c r="H449">
        <v>1</v>
      </c>
      <c r="W449">
        <v>62</v>
      </c>
      <c r="X449">
        <v>19</v>
      </c>
      <c r="Y449">
        <v>242</v>
      </c>
      <c r="AC449">
        <v>1</v>
      </c>
    </row>
    <row r="450" spans="1:29">
      <c r="A450">
        <f t="shared" ref="A450:A513" si="7">ROW(A450)</f>
        <v>450</v>
      </c>
      <c r="B450" s="127" t="s">
        <v>243</v>
      </c>
      <c r="C450" s="106">
        <v>111003</v>
      </c>
      <c r="D450">
        <v>1</v>
      </c>
      <c r="E450">
        <v>2</v>
      </c>
      <c r="F450">
        <v>0</v>
      </c>
      <c r="G450">
        <v>186</v>
      </c>
      <c r="H450">
        <v>1</v>
      </c>
      <c r="I450">
        <v>25</v>
      </c>
      <c r="J450">
        <v>187</v>
      </c>
      <c r="K450">
        <v>1</v>
      </c>
      <c r="L450">
        <v>25</v>
      </c>
      <c r="M450">
        <v>188</v>
      </c>
      <c r="N450">
        <v>1</v>
      </c>
      <c r="W450">
        <v>213</v>
      </c>
      <c r="X450">
        <v>73</v>
      </c>
      <c r="Y450">
        <v>699</v>
      </c>
      <c r="AC450" s="106">
        <v>1</v>
      </c>
    </row>
    <row r="451" spans="1:29">
      <c r="A451">
        <f t="shared" si="7"/>
        <v>451</v>
      </c>
      <c r="B451" s="127" t="s">
        <v>243</v>
      </c>
      <c r="C451" s="106">
        <v>112010</v>
      </c>
      <c r="D451">
        <v>1</v>
      </c>
      <c r="E451">
        <v>1</v>
      </c>
      <c r="F451">
        <v>0</v>
      </c>
      <c r="G451">
        <v>91</v>
      </c>
      <c r="H451">
        <v>1</v>
      </c>
      <c r="I451">
        <v>25</v>
      </c>
      <c r="J451">
        <v>92</v>
      </c>
      <c r="K451">
        <v>1</v>
      </c>
      <c r="L451">
        <v>25</v>
      </c>
      <c r="M451">
        <v>93</v>
      </c>
      <c r="N451">
        <v>1</v>
      </c>
      <c r="O451">
        <v>25</v>
      </c>
      <c r="P451">
        <v>94</v>
      </c>
      <c r="Q451">
        <v>1</v>
      </c>
      <c r="R451">
        <v>20</v>
      </c>
      <c r="S451">
        <v>95</v>
      </c>
      <c r="T451">
        <v>1</v>
      </c>
      <c r="W451">
        <v>213</v>
      </c>
      <c r="X451">
        <v>73</v>
      </c>
      <c r="Y451">
        <v>699</v>
      </c>
      <c r="AC451" s="106">
        <v>1</v>
      </c>
    </row>
    <row r="452" spans="1:29">
      <c r="A452">
        <f t="shared" si="7"/>
        <v>452</v>
      </c>
      <c r="B452" s="127" t="s">
        <v>244</v>
      </c>
      <c r="C452" s="106">
        <v>113010</v>
      </c>
      <c r="D452">
        <v>1</v>
      </c>
      <c r="E452">
        <v>2</v>
      </c>
      <c r="F452">
        <v>0</v>
      </c>
      <c r="G452">
        <v>299</v>
      </c>
      <c r="H452">
        <v>1</v>
      </c>
      <c r="I452">
        <v>25</v>
      </c>
      <c r="J452">
        <v>300</v>
      </c>
      <c r="K452">
        <v>1</v>
      </c>
      <c r="L452">
        <v>25</v>
      </c>
      <c r="M452">
        <v>301</v>
      </c>
      <c r="N452">
        <v>1</v>
      </c>
      <c r="O452">
        <v>25</v>
      </c>
      <c r="P452">
        <v>302</v>
      </c>
      <c r="Q452">
        <v>1</v>
      </c>
      <c r="R452">
        <v>20</v>
      </c>
      <c r="S452">
        <v>303</v>
      </c>
      <c r="T452">
        <v>1</v>
      </c>
      <c r="W452">
        <v>389</v>
      </c>
      <c r="X452">
        <v>123</v>
      </c>
      <c r="Y452">
        <v>1114</v>
      </c>
      <c r="AC452" s="106">
        <v>1</v>
      </c>
    </row>
    <row r="453" spans="1:29">
      <c r="A453">
        <f t="shared" si="7"/>
        <v>453</v>
      </c>
      <c r="B453" s="127" t="s">
        <v>245</v>
      </c>
      <c r="C453" s="106">
        <v>111010</v>
      </c>
      <c r="D453">
        <v>1</v>
      </c>
      <c r="E453">
        <v>2</v>
      </c>
      <c r="F453">
        <v>0</v>
      </c>
      <c r="G453">
        <v>221</v>
      </c>
      <c r="H453">
        <v>1</v>
      </c>
      <c r="I453">
        <v>25</v>
      </c>
      <c r="J453">
        <v>222</v>
      </c>
      <c r="K453">
        <v>1</v>
      </c>
      <c r="L453">
        <v>25</v>
      </c>
      <c r="M453">
        <v>223</v>
      </c>
      <c r="N453">
        <v>1</v>
      </c>
      <c r="W453">
        <v>675</v>
      </c>
      <c r="X453">
        <v>196</v>
      </c>
      <c r="Y453">
        <v>1771</v>
      </c>
      <c r="AC453" s="106">
        <v>1</v>
      </c>
    </row>
    <row r="454" spans="1:29">
      <c r="A454">
        <f t="shared" si="7"/>
        <v>454</v>
      </c>
      <c r="B454" s="127" t="s">
        <v>245</v>
      </c>
      <c r="C454" s="106">
        <v>111009</v>
      </c>
      <c r="D454">
        <v>1</v>
      </c>
      <c r="E454">
        <v>1</v>
      </c>
      <c r="F454">
        <v>0</v>
      </c>
      <c r="G454">
        <v>171</v>
      </c>
      <c r="H454">
        <v>1</v>
      </c>
      <c r="I454">
        <v>25</v>
      </c>
      <c r="J454">
        <v>172</v>
      </c>
      <c r="K454">
        <v>1</v>
      </c>
      <c r="L454">
        <v>25</v>
      </c>
      <c r="M454">
        <v>173</v>
      </c>
      <c r="N454">
        <v>1</v>
      </c>
      <c r="R454">
        <v>20</v>
      </c>
      <c r="S454">
        <v>174</v>
      </c>
      <c r="T454">
        <v>1</v>
      </c>
      <c r="W454">
        <v>675</v>
      </c>
      <c r="X454">
        <v>196</v>
      </c>
      <c r="Y454">
        <v>1771</v>
      </c>
      <c r="AC454" s="106">
        <v>1</v>
      </c>
    </row>
    <row r="455" spans="1:29">
      <c r="A455">
        <f t="shared" si="7"/>
        <v>455</v>
      </c>
      <c r="B455" s="127" t="s">
        <v>246</v>
      </c>
      <c r="C455" s="106">
        <v>112011</v>
      </c>
      <c r="D455">
        <v>1</v>
      </c>
      <c r="E455">
        <v>5</v>
      </c>
      <c r="F455">
        <v>0</v>
      </c>
      <c r="G455">
        <v>107</v>
      </c>
      <c r="H455">
        <v>1</v>
      </c>
      <c r="I455">
        <v>25</v>
      </c>
      <c r="J455">
        <v>108</v>
      </c>
      <c r="K455">
        <v>1</v>
      </c>
      <c r="L455">
        <v>25</v>
      </c>
      <c r="M455">
        <v>109</v>
      </c>
      <c r="N455">
        <v>1</v>
      </c>
      <c r="O455">
        <v>25</v>
      </c>
      <c r="P455">
        <v>110</v>
      </c>
      <c r="Q455">
        <v>1</v>
      </c>
      <c r="R455">
        <v>20</v>
      </c>
      <c r="S455">
        <v>115</v>
      </c>
      <c r="T455">
        <v>1</v>
      </c>
      <c r="W455">
        <v>1064</v>
      </c>
      <c r="X455">
        <v>354</v>
      </c>
      <c r="Y455">
        <v>3190</v>
      </c>
      <c r="AC455" s="106">
        <v>1</v>
      </c>
    </row>
    <row r="456" spans="1:29">
      <c r="A456">
        <f t="shared" si="7"/>
        <v>456</v>
      </c>
      <c r="B456" s="127" t="s">
        <v>246</v>
      </c>
      <c r="C456" s="106">
        <v>112012</v>
      </c>
      <c r="D456">
        <v>1</v>
      </c>
      <c r="E456">
        <v>2</v>
      </c>
      <c r="F456">
        <v>0</v>
      </c>
      <c r="G456">
        <v>124</v>
      </c>
      <c r="H456">
        <v>1</v>
      </c>
      <c r="I456">
        <v>25</v>
      </c>
      <c r="J456">
        <v>125</v>
      </c>
      <c r="K456">
        <v>1</v>
      </c>
      <c r="L456">
        <v>25</v>
      </c>
      <c r="M456">
        <v>126</v>
      </c>
      <c r="N456">
        <v>1</v>
      </c>
      <c r="O456">
        <v>25</v>
      </c>
      <c r="P456">
        <v>127</v>
      </c>
      <c r="Q456">
        <v>1</v>
      </c>
      <c r="R456">
        <v>20</v>
      </c>
      <c r="S456">
        <v>131</v>
      </c>
      <c r="T456">
        <v>1</v>
      </c>
      <c r="W456">
        <v>1064</v>
      </c>
      <c r="X456">
        <v>354</v>
      </c>
      <c r="Y456">
        <v>3190</v>
      </c>
      <c r="AC456" s="106">
        <v>1</v>
      </c>
    </row>
    <row r="457" spans="1:29">
      <c r="A457">
        <f t="shared" si="7"/>
        <v>457</v>
      </c>
      <c r="B457" s="127" t="s">
        <v>246</v>
      </c>
      <c r="C457" s="106">
        <v>121008</v>
      </c>
      <c r="D457">
        <v>1</v>
      </c>
      <c r="E457">
        <v>1</v>
      </c>
      <c r="F457">
        <v>0</v>
      </c>
      <c r="G457">
        <v>10009</v>
      </c>
      <c r="H457">
        <v>1</v>
      </c>
      <c r="W457">
        <v>1064</v>
      </c>
      <c r="X457">
        <v>354</v>
      </c>
      <c r="Y457">
        <v>3190</v>
      </c>
      <c r="AC457" s="106">
        <v>1</v>
      </c>
    </row>
    <row r="458" spans="1:29">
      <c r="A458">
        <f t="shared" si="7"/>
        <v>458</v>
      </c>
      <c r="B458" s="127" t="s">
        <v>247</v>
      </c>
      <c r="C458" s="106">
        <v>121008</v>
      </c>
      <c r="D458">
        <v>1</v>
      </c>
      <c r="E458">
        <v>2</v>
      </c>
      <c r="F458">
        <v>0</v>
      </c>
      <c r="G458">
        <v>10009</v>
      </c>
      <c r="H458">
        <v>1</v>
      </c>
      <c r="W458">
        <v>62</v>
      </c>
      <c r="X458">
        <v>19</v>
      </c>
      <c r="Y458">
        <v>242</v>
      </c>
      <c r="AC458" s="106">
        <v>1</v>
      </c>
    </row>
    <row r="459" spans="1:29">
      <c r="A459">
        <f t="shared" si="7"/>
        <v>459</v>
      </c>
      <c r="B459" s="127" t="s">
        <v>247</v>
      </c>
      <c r="C459" s="106">
        <v>121008</v>
      </c>
      <c r="D459">
        <v>1</v>
      </c>
      <c r="E459">
        <v>1</v>
      </c>
      <c r="F459">
        <v>0</v>
      </c>
      <c r="G459">
        <v>10009</v>
      </c>
      <c r="H459">
        <v>1</v>
      </c>
      <c r="W459">
        <v>62</v>
      </c>
      <c r="X459">
        <v>19</v>
      </c>
      <c r="Y459">
        <v>242</v>
      </c>
      <c r="AC459" s="106">
        <v>1</v>
      </c>
    </row>
    <row r="460" spans="1:29">
      <c r="A460">
        <f t="shared" si="7"/>
        <v>460</v>
      </c>
      <c r="B460" s="127" t="s">
        <v>247</v>
      </c>
      <c r="C460" s="106">
        <v>121008</v>
      </c>
      <c r="D460">
        <v>1</v>
      </c>
      <c r="E460">
        <v>3</v>
      </c>
      <c r="F460">
        <v>0</v>
      </c>
      <c r="G460">
        <v>10009</v>
      </c>
      <c r="H460">
        <v>1</v>
      </c>
      <c r="W460">
        <v>62</v>
      </c>
      <c r="X460">
        <v>19</v>
      </c>
      <c r="Y460">
        <v>242</v>
      </c>
      <c r="AC460" s="106">
        <v>1</v>
      </c>
    </row>
    <row r="461" spans="1:29">
      <c r="A461">
        <f t="shared" si="7"/>
        <v>461</v>
      </c>
      <c r="B461" s="127" t="s">
        <v>248</v>
      </c>
      <c r="C461" s="106">
        <v>112015</v>
      </c>
      <c r="D461">
        <v>1</v>
      </c>
      <c r="E461">
        <v>2</v>
      </c>
      <c r="F461">
        <v>0</v>
      </c>
      <c r="G461">
        <v>132</v>
      </c>
      <c r="H461">
        <v>1</v>
      </c>
      <c r="I461">
        <v>25</v>
      </c>
      <c r="J461">
        <v>133</v>
      </c>
      <c r="K461">
        <v>1</v>
      </c>
      <c r="L461">
        <v>25</v>
      </c>
      <c r="M461">
        <v>134</v>
      </c>
      <c r="N461">
        <v>1</v>
      </c>
      <c r="O461">
        <v>25</v>
      </c>
      <c r="P461">
        <v>136</v>
      </c>
      <c r="Q461">
        <v>1</v>
      </c>
      <c r="R461">
        <v>20</v>
      </c>
      <c r="S461">
        <v>139</v>
      </c>
      <c r="T461">
        <v>1</v>
      </c>
      <c r="W461">
        <v>213</v>
      </c>
      <c r="X461">
        <v>73</v>
      </c>
      <c r="Y461">
        <v>699</v>
      </c>
      <c r="AC461" s="106">
        <v>1</v>
      </c>
    </row>
    <row r="462" spans="1:29">
      <c r="A462">
        <f t="shared" si="7"/>
        <v>462</v>
      </c>
      <c r="B462" s="127" t="s">
        <v>248</v>
      </c>
      <c r="C462" s="106">
        <v>112013</v>
      </c>
      <c r="D462">
        <v>1</v>
      </c>
      <c r="E462">
        <v>1</v>
      </c>
      <c r="F462">
        <v>0</v>
      </c>
      <c r="G462">
        <v>116</v>
      </c>
      <c r="H462">
        <v>1</v>
      </c>
      <c r="I462">
        <v>25</v>
      </c>
      <c r="J462">
        <v>117</v>
      </c>
      <c r="K462">
        <v>1</v>
      </c>
      <c r="L462">
        <v>25</v>
      </c>
      <c r="M462">
        <v>118</v>
      </c>
      <c r="N462">
        <v>1</v>
      </c>
      <c r="O462">
        <v>25</v>
      </c>
      <c r="P462">
        <v>119</v>
      </c>
      <c r="Q462">
        <v>1</v>
      </c>
      <c r="R462">
        <v>20</v>
      </c>
      <c r="S462">
        <v>123</v>
      </c>
      <c r="T462">
        <v>1</v>
      </c>
      <c r="W462">
        <v>213</v>
      </c>
      <c r="X462">
        <v>73</v>
      </c>
      <c r="Y462">
        <v>699</v>
      </c>
      <c r="AC462" s="106">
        <v>1</v>
      </c>
    </row>
    <row r="463" spans="1:29">
      <c r="A463">
        <f t="shared" si="7"/>
        <v>463</v>
      </c>
      <c r="B463" s="127" t="s">
        <v>248</v>
      </c>
      <c r="C463" s="106">
        <v>112014</v>
      </c>
      <c r="D463">
        <v>1</v>
      </c>
      <c r="E463">
        <v>3</v>
      </c>
      <c r="F463">
        <v>0</v>
      </c>
      <c r="G463">
        <v>140</v>
      </c>
      <c r="H463">
        <v>1</v>
      </c>
      <c r="I463">
        <v>25</v>
      </c>
      <c r="J463">
        <v>142</v>
      </c>
      <c r="K463">
        <v>1</v>
      </c>
      <c r="L463">
        <v>25</v>
      </c>
      <c r="M463">
        <v>143</v>
      </c>
      <c r="N463">
        <v>1</v>
      </c>
      <c r="O463">
        <v>25</v>
      </c>
      <c r="P463">
        <v>144</v>
      </c>
      <c r="Q463">
        <v>1</v>
      </c>
      <c r="R463">
        <v>20</v>
      </c>
      <c r="S463">
        <v>147</v>
      </c>
      <c r="T463">
        <v>1</v>
      </c>
      <c r="W463">
        <v>213</v>
      </c>
      <c r="X463">
        <v>73</v>
      </c>
      <c r="Y463">
        <v>699</v>
      </c>
      <c r="AC463" s="106">
        <v>1</v>
      </c>
    </row>
    <row r="464" spans="1:29">
      <c r="A464">
        <f t="shared" si="7"/>
        <v>464</v>
      </c>
      <c r="B464" s="127" t="s">
        <v>249</v>
      </c>
      <c r="C464" s="106">
        <v>112014</v>
      </c>
      <c r="D464">
        <v>1</v>
      </c>
      <c r="E464">
        <v>2</v>
      </c>
      <c r="F464">
        <v>0</v>
      </c>
      <c r="G464">
        <v>140</v>
      </c>
      <c r="H464">
        <v>1</v>
      </c>
      <c r="I464">
        <v>25</v>
      </c>
      <c r="J464">
        <v>142</v>
      </c>
      <c r="K464">
        <v>1</v>
      </c>
      <c r="L464">
        <v>25</v>
      </c>
      <c r="M464">
        <v>143</v>
      </c>
      <c r="N464">
        <v>1</v>
      </c>
      <c r="O464">
        <v>25</v>
      </c>
      <c r="P464">
        <v>144</v>
      </c>
      <c r="Q464">
        <v>1</v>
      </c>
      <c r="R464">
        <v>20</v>
      </c>
      <c r="S464">
        <v>147</v>
      </c>
      <c r="T464">
        <v>1</v>
      </c>
      <c r="W464">
        <v>389</v>
      </c>
      <c r="X464">
        <v>123</v>
      </c>
      <c r="Y464">
        <v>1114</v>
      </c>
      <c r="AC464" s="106">
        <v>1</v>
      </c>
    </row>
    <row r="465" spans="1:29">
      <c r="A465">
        <f t="shared" si="7"/>
        <v>465</v>
      </c>
      <c r="B465" s="127" t="s">
        <v>249</v>
      </c>
      <c r="C465" s="106">
        <v>112015</v>
      </c>
      <c r="D465">
        <v>1</v>
      </c>
      <c r="E465">
        <v>1</v>
      </c>
      <c r="F465">
        <v>0</v>
      </c>
      <c r="G465">
        <v>132</v>
      </c>
      <c r="H465">
        <v>1</v>
      </c>
      <c r="I465">
        <v>25</v>
      </c>
      <c r="J465">
        <v>133</v>
      </c>
      <c r="K465">
        <v>1</v>
      </c>
      <c r="L465">
        <v>25</v>
      </c>
      <c r="M465">
        <v>134</v>
      </c>
      <c r="N465">
        <v>1</v>
      </c>
      <c r="O465">
        <v>25</v>
      </c>
      <c r="P465">
        <v>136</v>
      </c>
      <c r="Q465">
        <v>1</v>
      </c>
      <c r="R465">
        <v>20</v>
      </c>
      <c r="S465">
        <v>139</v>
      </c>
      <c r="T465">
        <v>1</v>
      </c>
      <c r="W465">
        <v>389</v>
      </c>
      <c r="X465">
        <v>123</v>
      </c>
      <c r="Y465">
        <v>1114</v>
      </c>
      <c r="AC465" s="106">
        <v>1</v>
      </c>
    </row>
    <row r="466" spans="1:29">
      <c r="A466">
        <f t="shared" si="7"/>
        <v>466</v>
      </c>
      <c r="B466" s="127" t="s">
        <v>249</v>
      </c>
      <c r="C466" s="106">
        <v>112013</v>
      </c>
      <c r="D466">
        <v>1</v>
      </c>
      <c r="E466">
        <v>3</v>
      </c>
      <c r="F466">
        <v>0</v>
      </c>
      <c r="G466">
        <v>116</v>
      </c>
      <c r="H466">
        <v>1</v>
      </c>
      <c r="I466">
        <v>25</v>
      </c>
      <c r="J466">
        <v>117</v>
      </c>
      <c r="K466">
        <v>1</v>
      </c>
      <c r="L466">
        <v>25</v>
      </c>
      <c r="M466">
        <v>118</v>
      </c>
      <c r="N466">
        <v>1</v>
      </c>
      <c r="O466">
        <v>25</v>
      </c>
      <c r="P466">
        <v>119</v>
      </c>
      <c r="Q466">
        <v>1</v>
      </c>
      <c r="R466">
        <v>20</v>
      </c>
      <c r="S466">
        <v>123</v>
      </c>
      <c r="T466">
        <v>1</v>
      </c>
      <c r="W466">
        <v>389</v>
      </c>
      <c r="X466">
        <v>123</v>
      </c>
      <c r="Y466">
        <v>1114</v>
      </c>
      <c r="AC466" s="106">
        <v>1</v>
      </c>
    </row>
    <row r="467" spans="1:29">
      <c r="A467">
        <f t="shared" si="7"/>
        <v>467</v>
      </c>
      <c r="B467" s="127" t="s">
        <v>250</v>
      </c>
      <c r="C467" s="106">
        <v>112013</v>
      </c>
      <c r="D467">
        <v>1</v>
      </c>
      <c r="E467">
        <v>2</v>
      </c>
      <c r="F467">
        <v>0</v>
      </c>
      <c r="G467">
        <v>116</v>
      </c>
      <c r="H467">
        <v>1</v>
      </c>
      <c r="I467">
        <v>25</v>
      </c>
      <c r="J467">
        <v>117</v>
      </c>
      <c r="K467">
        <v>1</v>
      </c>
      <c r="L467">
        <v>25</v>
      </c>
      <c r="M467">
        <v>118</v>
      </c>
      <c r="N467">
        <v>1</v>
      </c>
      <c r="O467">
        <v>25</v>
      </c>
      <c r="P467">
        <v>119</v>
      </c>
      <c r="Q467">
        <v>1</v>
      </c>
      <c r="R467">
        <v>20</v>
      </c>
      <c r="S467">
        <v>123</v>
      </c>
      <c r="T467">
        <v>1</v>
      </c>
      <c r="W467">
        <v>62</v>
      </c>
      <c r="X467">
        <v>19</v>
      </c>
      <c r="Y467">
        <v>242</v>
      </c>
      <c r="AC467" s="106">
        <v>1</v>
      </c>
    </row>
    <row r="468" spans="1:29">
      <c r="A468">
        <f t="shared" si="7"/>
        <v>468</v>
      </c>
      <c r="B468" s="127" t="s">
        <v>250</v>
      </c>
      <c r="C468" s="106">
        <v>112014</v>
      </c>
      <c r="D468">
        <v>1</v>
      </c>
      <c r="E468">
        <v>1</v>
      </c>
      <c r="F468">
        <v>0</v>
      </c>
      <c r="G468">
        <v>140</v>
      </c>
      <c r="H468">
        <v>1</v>
      </c>
      <c r="I468">
        <v>25</v>
      </c>
      <c r="J468">
        <v>142</v>
      </c>
      <c r="K468">
        <v>1</v>
      </c>
      <c r="L468">
        <v>25</v>
      </c>
      <c r="M468">
        <v>143</v>
      </c>
      <c r="N468">
        <v>1</v>
      </c>
      <c r="O468">
        <v>25</v>
      </c>
      <c r="P468">
        <v>144</v>
      </c>
      <c r="Q468">
        <v>1</v>
      </c>
      <c r="R468">
        <v>20</v>
      </c>
      <c r="S468">
        <v>147</v>
      </c>
      <c r="T468">
        <v>1</v>
      </c>
      <c r="W468">
        <v>62</v>
      </c>
      <c r="X468">
        <v>19</v>
      </c>
      <c r="Y468">
        <v>242</v>
      </c>
      <c r="AC468" s="106">
        <v>1</v>
      </c>
    </row>
    <row r="469" spans="1:29">
      <c r="A469">
        <f t="shared" si="7"/>
        <v>469</v>
      </c>
      <c r="B469" s="127" t="s">
        <v>250</v>
      </c>
      <c r="C469" s="106">
        <v>112015</v>
      </c>
      <c r="D469">
        <v>1</v>
      </c>
      <c r="E469">
        <v>3</v>
      </c>
      <c r="F469">
        <v>0</v>
      </c>
      <c r="G469">
        <v>132</v>
      </c>
      <c r="H469">
        <v>1</v>
      </c>
      <c r="I469">
        <v>25</v>
      </c>
      <c r="J469">
        <v>133</v>
      </c>
      <c r="K469">
        <v>1</v>
      </c>
      <c r="L469">
        <v>25</v>
      </c>
      <c r="M469">
        <v>134</v>
      </c>
      <c r="N469">
        <v>1</v>
      </c>
      <c r="O469">
        <v>25</v>
      </c>
      <c r="P469">
        <v>136</v>
      </c>
      <c r="Q469">
        <v>1</v>
      </c>
      <c r="R469">
        <v>20</v>
      </c>
      <c r="S469">
        <v>139</v>
      </c>
      <c r="T469">
        <v>1</v>
      </c>
      <c r="W469">
        <v>62</v>
      </c>
      <c r="X469">
        <v>19</v>
      </c>
      <c r="Y469">
        <v>242</v>
      </c>
      <c r="AC469" s="106">
        <v>1</v>
      </c>
    </row>
    <row r="470" spans="1:29">
      <c r="A470">
        <f t="shared" si="7"/>
        <v>470</v>
      </c>
      <c r="B470" s="127" t="s">
        <v>251</v>
      </c>
      <c r="C470" s="106">
        <v>121008</v>
      </c>
      <c r="D470">
        <v>1</v>
      </c>
      <c r="E470">
        <v>2</v>
      </c>
      <c r="F470">
        <v>0</v>
      </c>
      <c r="G470">
        <v>10009</v>
      </c>
      <c r="H470">
        <v>1</v>
      </c>
      <c r="W470">
        <v>213</v>
      </c>
      <c r="X470">
        <v>73</v>
      </c>
      <c r="Y470">
        <v>699</v>
      </c>
      <c r="AC470" s="106">
        <v>1</v>
      </c>
    </row>
    <row r="471" spans="1:29">
      <c r="A471">
        <f t="shared" si="7"/>
        <v>471</v>
      </c>
      <c r="B471" s="127" t="s">
        <v>251</v>
      </c>
      <c r="C471" s="106">
        <v>121008</v>
      </c>
      <c r="D471">
        <v>1</v>
      </c>
      <c r="E471">
        <v>1</v>
      </c>
      <c r="F471">
        <v>0</v>
      </c>
      <c r="G471">
        <v>10009</v>
      </c>
      <c r="H471">
        <v>1</v>
      </c>
      <c r="W471">
        <v>213</v>
      </c>
      <c r="X471">
        <v>73</v>
      </c>
      <c r="Y471">
        <v>699</v>
      </c>
      <c r="AC471" s="106">
        <v>1</v>
      </c>
    </row>
    <row r="472" spans="1:29">
      <c r="A472">
        <f t="shared" si="7"/>
        <v>472</v>
      </c>
      <c r="B472" s="127" t="s">
        <v>251</v>
      </c>
      <c r="C472" s="106">
        <v>121008</v>
      </c>
      <c r="D472">
        <v>1</v>
      </c>
      <c r="E472">
        <v>3</v>
      </c>
      <c r="F472">
        <v>0</v>
      </c>
      <c r="G472">
        <v>10009</v>
      </c>
      <c r="H472">
        <v>1</v>
      </c>
      <c r="W472">
        <v>213</v>
      </c>
      <c r="X472">
        <v>73</v>
      </c>
      <c r="Y472">
        <v>699</v>
      </c>
      <c r="AC472" s="106">
        <v>1</v>
      </c>
    </row>
    <row r="473" spans="1:29">
      <c r="A473">
        <f t="shared" si="7"/>
        <v>473</v>
      </c>
      <c r="B473" s="127" t="s">
        <v>252</v>
      </c>
      <c r="C473" s="106">
        <v>121008</v>
      </c>
      <c r="D473">
        <v>1</v>
      </c>
      <c r="E473">
        <v>2</v>
      </c>
      <c r="F473">
        <v>0</v>
      </c>
      <c r="G473">
        <v>10009</v>
      </c>
      <c r="H473">
        <v>1</v>
      </c>
      <c r="W473">
        <v>62</v>
      </c>
      <c r="X473">
        <v>19</v>
      </c>
      <c r="Y473">
        <v>242</v>
      </c>
      <c r="AC473" s="106">
        <v>1</v>
      </c>
    </row>
    <row r="474" spans="1:29">
      <c r="A474">
        <f t="shared" si="7"/>
        <v>474</v>
      </c>
      <c r="B474" s="127" t="s">
        <v>252</v>
      </c>
      <c r="C474" s="106">
        <v>121008</v>
      </c>
      <c r="D474">
        <v>1</v>
      </c>
      <c r="E474">
        <v>1</v>
      </c>
      <c r="F474">
        <v>0</v>
      </c>
      <c r="G474">
        <v>10009</v>
      </c>
      <c r="H474">
        <v>1</v>
      </c>
      <c r="W474">
        <v>62</v>
      </c>
      <c r="X474">
        <v>19</v>
      </c>
      <c r="Y474">
        <v>242</v>
      </c>
      <c r="AC474" s="106">
        <v>1</v>
      </c>
    </row>
    <row r="475" spans="1:29">
      <c r="A475">
        <f t="shared" si="7"/>
        <v>475</v>
      </c>
      <c r="B475" s="127" t="s">
        <v>252</v>
      </c>
      <c r="C475" s="106">
        <v>121008</v>
      </c>
      <c r="D475">
        <v>1</v>
      </c>
      <c r="E475">
        <v>3</v>
      </c>
      <c r="F475">
        <v>0</v>
      </c>
      <c r="G475">
        <v>10009</v>
      </c>
      <c r="H475">
        <v>1</v>
      </c>
      <c r="W475">
        <v>62</v>
      </c>
      <c r="X475">
        <v>19</v>
      </c>
      <c r="Y475">
        <v>242</v>
      </c>
      <c r="AC475" s="106">
        <v>1</v>
      </c>
    </row>
    <row r="476" spans="1:29">
      <c r="A476">
        <f t="shared" si="7"/>
        <v>476</v>
      </c>
      <c r="B476" s="127" t="s">
        <v>253</v>
      </c>
      <c r="C476" s="106">
        <v>112014</v>
      </c>
      <c r="D476">
        <v>1</v>
      </c>
      <c r="E476">
        <v>2</v>
      </c>
      <c r="F476">
        <v>0</v>
      </c>
      <c r="G476">
        <v>140</v>
      </c>
      <c r="H476">
        <v>1</v>
      </c>
      <c r="I476">
        <v>25</v>
      </c>
      <c r="J476">
        <v>142</v>
      </c>
      <c r="K476">
        <v>1</v>
      </c>
      <c r="L476">
        <v>25</v>
      </c>
      <c r="M476">
        <v>143</v>
      </c>
      <c r="N476">
        <v>1</v>
      </c>
      <c r="O476">
        <v>25</v>
      </c>
      <c r="P476">
        <v>144</v>
      </c>
      <c r="Q476">
        <v>1</v>
      </c>
      <c r="R476">
        <v>20</v>
      </c>
      <c r="S476">
        <v>147</v>
      </c>
      <c r="T476">
        <v>1</v>
      </c>
      <c r="W476">
        <v>213</v>
      </c>
      <c r="X476">
        <v>73</v>
      </c>
      <c r="Y476">
        <v>699</v>
      </c>
      <c r="AC476" s="106">
        <v>1</v>
      </c>
    </row>
    <row r="477" spans="1:29">
      <c r="A477">
        <f t="shared" si="7"/>
        <v>477</v>
      </c>
      <c r="B477" s="127" t="s">
        <v>253</v>
      </c>
      <c r="C477" s="106">
        <v>112013</v>
      </c>
      <c r="D477">
        <v>1</v>
      </c>
      <c r="E477">
        <v>1</v>
      </c>
      <c r="F477">
        <v>0</v>
      </c>
      <c r="G477">
        <v>116</v>
      </c>
      <c r="H477">
        <v>1</v>
      </c>
      <c r="I477">
        <v>25</v>
      </c>
      <c r="J477">
        <v>117</v>
      </c>
      <c r="K477">
        <v>1</v>
      </c>
      <c r="L477">
        <v>25</v>
      </c>
      <c r="M477">
        <v>118</v>
      </c>
      <c r="N477">
        <v>1</v>
      </c>
      <c r="O477">
        <v>25</v>
      </c>
      <c r="P477">
        <v>119</v>
      </c>
      <c r="Q477">
        <v>1</v>
      </c>
      <c r="R477">
        <v>20</v>
      </c>
      <c r="S477">
        <v>123</v>
      </c>
      <c r="T477">
        <v>1</v>
      </c>
      <c r="W477">
        <v>213</v>
      </c>
      <c r="X477">
        <v>73</v>
      </c>
      <c r="Y477">
        <v>699</v>
      </c>
      <c r="AC477" s="106">
        <v>1</v>
      </c>
    </row>
    <row r="478" spans="1:29">
      <c r="A478">
        <f t="shared" si="7"/>
        <v>478</v>
      </c>
      <c r="B478" s="127" t="s">
        <v>253</v>
      </c>
      <c r="C478" s="106">
        <v>112015</v>
      </c>
      <c r="D478">
        <v>1</v>
      </c>
      <c r="E478">
        <v>3</v>
      </c>
      <c r="F478">
        <v>0</v>
      </c>
      <c r="G478">
        <v>132</v>
      </c>
      <c r="H478">
        <v>1</v>
      </c>
      <c r="I478">
        <v>25</v>
      </c>
      <c r="J478">
        <v>133</v>
      </c>
      <c r="K478">
        <v>1</v>
      </c>
      <c r="L478">
        <v>25</v>
      </c>
      <c r="M478">
        <v>134</v>
      </c>
      <c r="N478">
        <v>1</v>
      </c>
      <c r="O478">
        <v>25</v>
      </c>
      <c r="P478">
        <v>136</v>
      </c>
      <c r="Q478">
        <v>1</v>
      </c>
      <c r="R478">
        <v>20</v>
      </c>
      <c r="S478">
        <v>139</v>
      </c>
      <c r="T478">
        <v>1</v>
      </c>
      <c r="W478">
        <v>213</v>
      </c>
      <c r="X478">
        <v>73</v>
      </c>
      <c r="Y478">
        <v>699</v>
      </c>
      <c r="AC478" s="106">
        <v>1</v>
      </c>
    </row>
    <row r="479" spans="1:29">
      <c r="A479">
        <f t="shared" si="7"/>
        <v>479</v>
      </c>
      <c r="B479" s="127" t="s">
        <v>254</v>
      </c>
      <c r="C479" s="106">
        <v>121008</v>
      </c>
      <c r="D479">
        <v>1</v>
      </c>
      <c r="E479">
        <v>2</v>
      </c>
      <c r="F479">
        <v>0</v>
      </c>
      <c r="G479">
        <v>10009</v>
      </c>
      <c r="H479">
        <v>1</v>
      </c>
      <c r="W479">
        <v>389</v>
      </c>
      <c r="X479">
        <v>123</v>
      </c>
      <c r="Y479">
        <v>1114</v>
      </c>
      <c r="AC479" s="106">
        <v>1</v>
      </c>
    </row>
    <row r="480" spans="1:29">
      <c r="A480">
        <f t="shared" si="7"/>
        <v>480</v>
      </c>
      <c r="B480" s="127" t="s">
        <v>254</v>
      </c>
      <c r="C480" s="106">
        <v>121008</v>
      </c>
      <c r="D480">
        <v>1</v>
      </c>
      <c r="E480">
        <v>1</v>
      </c>
      <c r="F480">
        <v>0</v>
      </c>
      <c r="G480">
        <v>10009</v>
      </c>
      <c r="H480">
        <v>1</v>
      </c>
      <c r="W480">
        <v>389</v>
      </c>
      <c r="X480">
        <v>123</v>
      </c>
      <c r="Y480">
        <v>1114</v>
      </c>
      <c r="AC480" s="106">
        <v>1</v>
      </c>
    </row>
    <row r="481" spans="1:29">
      <c r="A481">
        <f t="shared" si="7"/>
        <v>481</v>
      </c>
      <c r="B481" s="127" t="s">
        <v>254</v>
      </c>
      <c r="C481" s="106">
        <v>121008</v>
      </c>
      <c r="D481">
        <v>1</v>
      </c>
      <c r="E481">
        <v>3</v>
      </c>
      <c r="F481">
        <v>0</v>
      </c>
      <c r="G481">
        <v>10009</v>
      </c>
      <c r="H481">
        <v>1</v>
      </c>
      <c r="W481">
        <v>389</v>
      </c>
      <c r="X481">
        <v>123</v>
      </c>
      <c r="Y481">
        <v>1114</v>
      </c>
      <c r="AC481" s="106">
        <v>1</v>
      </c>
    </row>
    <row r="482" spans="1:29">
      <c r="A482">
        <f t="shared" si="7"/>
        <v>482</v>
      </c>
      <c r="B482" s="127" t="s">
        <v>255</v>
      </c>
      <c r="C482" s="106">
        <v>112002</v>
      </c>
      <c r="D482">
        <v>1</v>
      </c>
      <c r="E482">
        <v>2</v>
      </c>
      <c r="F482">
        <v>0</v>
      </c>
      <c r="G482">
        <v>24</v>
      </c>
      <c r="H482">
        <v>1</v>
      </c>
      <c r="I482">
        <v>25</v>
      </c>
      <c r="J482">
        <v>25</v>
      </c>
      <c r="K482">
        <v>1</v>
      </c>
      <c r="L482">
        <v>25</v>
      </c>
      <c r="M482">
        <v>26</v>
      </c>
      <c r="N482">
        <v>1</v>
      </c>
      <c r="O482">
        <v>25</v>
      </c>
      <c r="P482">
        <v>29</v>
      </c>
      <c r="Q482">
        <v>1</v>
      </c>
      <c r="R482">
        <v>20</v>
      </c>
      <c r="S482">
        <v>31</v>
      </c>
      <c r="T482">
        <v>1</v>
      </c>
      <c r="W482">
        <v>62</v>
      </c>
      <c r="X482">
        <v>19</v>
      </c>
      <c r="Y482">
        <v>242</v>
      </c>
      <c r="AC482" s="106">
        <v>1</v>
      </c>
    </row>
    <row r="483" spans="1:29">
      <c r="A483">
        <f t="shared" si="7"/>
        <v>483</v>
      </c>
      <c r="B483" s="127" t="s">
        <v>255</v>
      </c>
      <c r="C483" s="106">
        <v>112001</v>
      </c>
      <c r="D483">
        <v>1</v>
      </c>
      <c r="E483">
        <v>1</v>
      </c>
      <c r="F483">
        <v>0</v>
      </c>
      <c r="G483">
        <v>1</v>
      </c>
      <c r="H483">
        <v>1</v>
      </c>
      <c r="I483">
        <v>25</v>
      </c>
      <c r="J483">
        <v>2</v>
      </c>
      <c r="K483">
        <v>1</v>
      </c>
      <c r="L483">
        <v>25</v>
      </c>
      <c r="M483">
        <v>6</v>
      </c>
      <c r="N483">
        <v>1</v>
      </c>
      <c r="O483">
        <v>25</v>
      </c>
      <c r="P483">
        <v>8</v>
      </c>
      <c r="Q483">
        <v>1</v>
      </c>
      <c r="R483">
        <v>20</v>
      </c>
      <c r="S483">
        <v>3</v>
      </c>
      <c r="T483">
        <v>1</v>
      </c>
      <c r="W483">
        <v>62</v>
      </c>
      <c r="X483">
        <v>19</v>
      </c>
      <c r="Y483">
        <v>242</v>
      </c>
      <c r="AC483" s="106">
        <v>1</v>
      </c>
    </row>
    <row r="484" spans="1:29">
      <c r="A484">
        <f t="shared" si="7"/>
        <v>484</v>
      </c>
      <c r="B484" s="127" t="s">
        <v>255</v>
      </c>
      <c r="C484" s="106">
        <v>112005</v>
      </c>
      <c r="D484">
        <v>1</v>
      </c>
      <c r="E484">
        <v>3</v>
      </c>
      <c r="F484">
        <v>0</v>
      </c>
      <c r="G484">
        <v>47</v>
      </c>
      <c r="H484">
        <v>1</v>
      </c>
      <c r="I484">
        <v>25</v>
      </c>
      <c r="J484">
        <v>48</v>
      </c>
      <c r="K484">
        <v>1</v>
      </c>
      <c r="L484">
        <v>25</v>
      </c>
      <c r="M484">
        <v>50</v>
      </c>
      <c r="N484">
        <v>1</v>
      </c>
      <c r="O484">
        <v>25</v>
      </c>
      <c r="P484">
        <v>53</v>
      </c>
      <c r="Q484">
        <v>1</v>
      </c>
      <c r="R484">
        <v>20</v>
      </c>
      <c r="S484">
        <v>51</v>
      </c>
      <c r="T484">
        <v>1</v>
      </c>
      <c r="W484">
        <v>62</v>
      </c>
      <c r="X484">
        <v>19</v>
      </c>
      <c r="Y484">
        <v>242</v>
      </c>
      <c r="AC484" s="106">
        <v>1</v>
      </c>
    </row>
    <row r="485" spans="1:29">
      <c r="A485">
        <f t="shared" si="7"/>
        <v>485</v>
      </c>
      <c r="B485" s="127" t="s">
        <v>256</v>
      </c>
      <c r="C485" s="106">
        <v>112001</v>
      </c>
      <c r="D485">
        <v>1</v>
      </c>
      <c r="E485">
        <v>2</v>
      </c>
      <c r="F485">
        <v>0</v>
      </c>
      <c r="G485">
        <v>1</v>
      </c>
      <c r="H485">
        <v>1</v>
      </c>
      <c r="I485">
        <v>25</v>
      </c>
      <c r="J485">
        <v>2</v>
      </c>
      <c r="K485">
        <v>1</v>
      </c>
      <c r="L485">
        <v>25</v>
      </c>
      <c r="M485">
        <v>6</v>
      </c>
      <c r="N485">
        <v>1</v>
      </c>
      <c r="O485">
        <v>25</v>
      </c>
      <c r="P485">
        <v>8</v>
      </c>
      <c r="Q485">
        <v>1</v>
      </c>
      <c r="R485">
        <v>20</v>
      </c>
      <c r="S485">
        <v>3</v>
      </c>
      <c r="T485">
        <v>1</v>
      </c>
      <c r="W485">
        <v>213</v>
      </c>
      <c r="X485">
        <v>73</v>
      </c>
      <c r="Y485">
        <v>699</v>
      </c>
      <c r="AC485" s="106">
        <v>1</v>
      </c>
    </row>
    <row r="486" spans="1:29">
      <c r="A486">
        <f t="shared" si="7"/>
        <v>486</v>
      </c>
      <c r="B486" s="127">
        <v>11201002</v>
      </c>
      <c r="C486" s="106">
        <v>112002</v>
      </c>
      <c r="D486">
        <v>1</v>
      </c>
      <c r="E486">
        <v>1</v>
      </c>
      <c r="F486">
        <v>0</v>
      </c>
      <c r="G486">
        <v>24</v>
      </c>
      <c r="H486">
        <v>1</v>
      </c>
      <c r="I486">
        <v>25</v>
      </c>
      <c r="J486">
        <v>25</v>
      </c>
      <c r="K486">
        <v>1</v>
      </c>
      <c r="L486">
        <v>25</v>
      </c>
      <c r="M486">
        <v>26</v>
      </c>
      <c r="N486">
        <v>1</v>
      </c>
      <c r="O486">
        <v>25</v>
      </c>
      <c r="P486">
        <v>29</v>
      </c>
      <c r="Q486">
        <v>1</v>
      </c>
      <c r="R486">
        <v>20</v>
      </c>
      <c r="S486">
        <v>31</v>
      </c>
      <c r="T486">
        <v>1</v>
      </c>
      <c r="W486">
        <v>213</v>
      </c>
      <c r="X486">
        <v>73</v>
      </c>
      <c r="Y486">
        <v>699</v>
      </c>
      <c r="AC486" s="106">
        <v>1</v>
      </c>
    </row>
    <row r="487" spans="1:29">
      <c r="A487">
        <f t="shared" si="7"/>
        <v>487</v>
      </c>
      <c r="B487" s="127" t="s">
        <v>256</v>
      </c>
      <c r="C487" s="106">
        <v>112005</v>
      </c>
      <c r="D487">
        <v>1</v>
      </c>
      <c r="E487">
        <v>3</v>
      </c>
      <c r="F487">
        <v>0</v>
      </c>
      <c r="G487">
        <v>47</v>
      </c>
      <c r="H487">
        <v>1</v>
      </c>
      <c r="I487">
        <v>25</v>
      </c>
      <c r="J487">
        <v>48</v>
      </c>
      <c r="K487">
        <v>1</v>
      </c>
      <c r="L487">
        <v>25</v>
      </c>
      <c r="M487">
        <v>50</v>
      </c>
      <c r="N487">
        <v>1</v>
      </c>
      <c r="O487">
        <v>25</v>
      </c>
      <c r="P487">
        <v>53</v>
      </c>
      <c r="Q487">
        <v>1</v>
      </c>
      <c r="R487">
        <v>20</v>
      </c>
      <c r="S487">
        <v>51</v>
      </c>
      <c r="T487">
        <v>1</v>
      </c>
      <c r="W487">
        <v>213</v>
      </c>
      <c r="X487">
        <v>73</v>
      </c>
      <c r="Y487">
        <v>699</v>
      </c>
      <c r="AC487" s="106">
        <v>1</v>
      </c>
    </row>
    <row r="488" spans="1:29">
      <c r="A488">
        <f t="shared" si="7"/>
        <v>488</v>
      </c>
      <c r="B488" s="127" t="s">
        <v>257</v>
      </c>
      <c r="C488" s="106">
        <v>112011</v>
      </c>
      <c r="D488">
        <v>1</v>
      </c>
      <c r="E488">
        <v>5</v>
      </c>
      <c r="F488">
        <v>0</v>
      </c>
      <c r="G488">
        <v>107</v>
      </c>
      <c r="H488">
        <v>1</v>
      </c>
      <c r="I488">
        <v>25</v>
      </c>
      <c r="J488">
        <v>108</v>
      </c>
      <c r="K488">
        <v>1</v>
      </c>
      <c r="L488">
        <v>25</v>
      </c>
      <c r="M488">
        <v>109</v>
      </c>
      <c r="N488">
        <v>1</v>
      </c>
      <c r="O488">
        <v>25</v>
      </c>
      <c r="P488">
        <v>110</v>
      </c>
      <c r="Q488">
        <v>1</v>
      </c>
      <c r="R488">
        <v>20</v>
      </c>
      <c r="S488">
        <v>115</v>
      </c>
      <c r="T488">
        <v>1</v>
      </c>
      <c r="W488">
        <v>389</v>
      </c>
      <c r="X488">
        <v>123</v>
      </c>
      <c r="Y488">
        <v>1114</v>
      </c>
      <c r="AC488" s="106">
        <v>1</v>
      </c>
    </row>
    <row r="489" spans="1:29">
      <c r="A489">
        <f t="shared" si="7"/>
        <v>489</v>
      </c>
      <c r="B489" s="127" t="s">
        <v>257</v>
      </c>
      <c r="C489" s="106">
        <v>112012</v>
      </c>
      <c r="D489">
        <v>1</v>
      </c>
      <c r="E489">
        <v>2</v>
      </c>
      <c r="F489">
        <v>0</v>
      </c>
      <c r="G489">
        <v>124</v>
      </c>
      <c r="H489">
        <v>1</v>
      </c>
      <c r="I489">
        <v>25</v>
      </c>
      <c r="J489">
        <v>125</v>
      </c>
      <c r="K489">
        <v>1</v>
      </c>
      <c r="L489">
        <v>25</v>
      </c>
      <c r="M489">
        <v>126</v>
      </c>
      <c r="N489">
        <v>1</v>
      </c>
      <c r="O489">
        <v>25</v>
      </c>
      <c r="P489">
        <v>127</v>
      </c>
      <c r="Q489">
        <v>1</v>
      </c>
      <c r="R489">
        <v>20</v>
      </c>
      <c r="S489">
        <v>131</v>
      </c>
      <c r="T489">
        <v>1</v>
      </c>
      <c r="W489">
        <v>389</v>
      </c>
      <c r="X489">
        <v>123</v>
      </c>
      <c r="Y489">
        <v>1114</v>
      </c>
      <c r="AC489" s="106">
        <v>1</v>
      </c>
    </row>
    <row r="490" spans="1:29">
      <c r="A490">
        <f t="shared" si="7"/>
        <v>490</v>
      </c>
      <c r="B490" s="127" t="s">
        <v>257</v>
      </c>
      <c r="C490" s="106">
        <v>121008</v>
      </c>
      <c r="D490">
        <v>1</v>
      </c>
      <c r="E490">
        <v>1</v>
      </c>
      <c r="F490">
        <v>0</v>
      </c>
      <c r="G490">
        <v>10009</v>
      </c>
      <c r="H490">
        <v>1</v>
      </c>
      <c r="W490">
        <v>389</v>
      </c>
      <c r="X490">
        <v>123</v>
      </c>
      <c r="Y490">
        <v>1114</v>
      </c>
      <c r="AC490" s="106">
        <v>1</v>
      </c>
    </row>
    <row r="491" spans="1:29">
      <c r="A491">
        <f t="shared" si="7"/>
        <v>491</v>
      </c>
      <c r="B491" s="127" t="s">
        <v>258</v>
      </c>
      <c r="C491" s="106">
        <v>112010</v>
      </c>
      <c r="D491">
        <v>1</v>
      </c>
      <c r="E491">
        <v>2</v>
      </c>
      <c r="F491">
        <v>0</v>
      </c>
      <c r="G491">
        <v>91</v>
      </c>
      <c r="H491">
        <v>1</v>
      </c>
      <c r="I491">
        <v>25</v>
      </c>
      <c r="J491">
        <v>92</v>
      </c>
      <c r="K491">
        <v>1</v>
      </c>
      <c r="L491">
        <v>25</v>
      </c>
      <c r="M491">
        <v>93</v>
      </c>
      <c r="N491">
        <v>1</v>
      </c>
      <c r="O491">
        <v>25</v>
      </c>
      <c r="P491">
        <v>94</v>
      </c>
      <c r="Q491">
        <v>1</v>
      </c>
      <c r="R491">
        <v>20</v>
      </c>
      <c r="S491">
        <v>95</v>
      </c>
      <c r="T491">
        <v>1</v>
      </c>
      <c r="W491">
        <v>62</v>
      </c>
      <c r="X491">
        <v>19</v>
      </c>
      <c r="Y491">
        <v>242</v>
      </c>
      <c r="AC491" s="106">
        <v>1</v>
      </c>
    </row>
    <row r="492" spans="1:29">
      <c r="A492">
        <f t="shared" si="7"/>
        <v>492</v>
      </c>
      <c r="B492" s="127" t="s">
        <v>258</v>
      </c>
      <c r="C492" s="106">
        <v>111003</v>
      </c>
      <c r="D492">
        <v>1</v>
      </c>
      <c r="E492">
        <v>1</v>
      </c>
      <c r="F492">
        <v>0</v>
      </c>
      <c r="G492">
        <v>186</v>
      </c>
      <c r="H492">
        <v>1</v>
      </c>
      <c r="I492">
        <v>25</v>
      </c>
      <c r="J492">
        <v>187</v>
      </c>
      <c r="K492">
        <v>1</v>
      </c>
      <c r="L492">
        <v>25</v>
      </c>
      <c r="M492">
        <v>188</v>
      </c>
      <c r="N492">
        <v>1</v>
      </c>
      <c r="W492">
        <v>62</v>
      </c>
      <c r="X492">
        <v>19</v>
      </c>
      <c r="Y492">
        <v>242</v>
      </c>
      <c r="AC492" s="106">
        <v>1</v>
      </c>
    </row>
    <row r="493" spans="1:29">
      <c r="A493">
        <f t="shared" si="7"/>
        <v>493</v>
      </c>
      <c r="B493" s="127" t="s">
        <v>259</v>
      </c>
      <c r="C493" s="106">
        <v>112001</v>
      </c>
      <c r="D493">
        <v>1</v>
      </c>
      <c r="E493">
        <v>2</v>
      </c>
      <c r="F493">
        <v>0</v>
      </c>
      <c r="G493">
        <v>1</v>
      </c>
      <c r="H493">
        <v>1</v>
      </c>
      <c r="I493">
        <v>25</v>
      </c>
      <c r="J493">
        <v>2</v>
      </c>
      <c r="K493">
        <v>1</v>
      </c>
      <c r="L493">
        <v>25</v>
      </c>
      <c r="M493">
        <v>6</v>
      </c>
      <c r="N493">
        <v>1</v>
      </c>
      <c r="O493">
        <v>25</v>
      </c>
      <c r="P493">
        <v>8</v>
      </c>
      <c r="Q493">
        <v>1</v>
      </c>
      <c r="R493">
        <v>20</v>
      </c>
      <c r="S493">
        <v>3</v>
      </c>
      <c r="T493">
        <v>1</v>
      </c>
      <c r="W493">
        <v>213</v>
      </c>
      <c r="X493">
        <v>73</v>
      </c>
      <c r="Y493">
        <v>699</v>
      </c>
      <c r="AC493" s="106">
        <v>1</v>
      </c>
    </row>
    <row r="494" spans="1:29">
      <c r="A494">
        <f t="shared" si="7"/>
        <v>494</v>
      </c>
      <c r="B494" s="127" t="s">
        <v>259</v>
      </c>
      <c r="C494" s="106">
        <v>112002</v>
      </c>
      <c r="D494">
        <v>1</v>
      </c>
      <c r="E494">
        <v>1</v>
      </c>
      <c r="F494">
        <v>0</v>
      </c>
      <c r="G494">
        <v>24</v>
      </c>
      <c r="H494">
        <v>1</v>
      </c>
      <c r="I494">
        <v>25</v>
      </c>
      <c r="J494">
        <v>25</v>
      </c>
      <c r="K494">
        <v>1</v>
      </c>
      <c r="L494">
        <v>25</v>
      </c>
      <c r="M494">
        <v>26</v>
      </c>
      <c r="N494">
        <v>1</v>
      </c>
      <c r="O494">
        <v>25</v>
      </c>
      <c r="P494">
        <v>29</v>
      </c>
      <c r="Q494">
        <v>1</v>
      </c>
      <c r="R494">
        <v>20</v>
      </c>
      <c r="S494">
        <v>31</v>
      </c>
      <c r="T494">
        <v>1</v>
      </c>
      <c r="W494">
        <v>213</v>
      </c>
      <c r="X494">
        <v>73</v>
      </c>
      <c r="Y494">
        <v>699</v>
      </c>
      <c r="AC494" s="106">
        <v>1</v>
      </c>
    </row>
    <row r="495" spans="1:29">
      <c r="A495">
        <f t="shared" si="7"/>
        <v>495</v>
      </c>
      <c r="B495" s="127" t="s">
        <v>259</v>
      </c>
      <c r="C495" s="106">
        <v>112005</v>
      </c>
      <c r="D495">
        <v>1</v>
      </c>
      <c r="E495">
        <v>3</v>
      </c>
      <c r="F495">
        <v>0</v>
      </c>
      <c r="G495">
        <v>47</v>
      </c>
      <c r="H495">
        <v>1</v>
      </c>
      <c r="I495">
        <v>25</v>
      </c>
      <c r="J495">
        <v>48</v>
      </c>
      <c r="K495">
        <v>1</v>
      </c>
      <c r="L495">
        <v>25</v>
      </c>
      <c r="M495">
        <v>50</v>
      </c>
      <c r="N495">
        <v>1</v>
      </c>
      <c r="O495">
        <v>25</v>
      </c>
      <c r="P495">
        <v>53</v>
      </c>
      <c r="Q495">
        <v>1</v>
      </c>
      <c r="R495">
        <v>20</v>
      </c>
      <c r="S495">
        <v>51</v>
      </c>
      <c r="T495">
        <v>1</v>
      </c>
      <c r="W495">
        <v>213</v>
      </c>
      <c r="X495">
        <v>73</v>
      </c>
      <c r="Y495">
        <v>699</v>
      </c>
      <c r="AC495" s="106">
        <v>1</v>
      </c>
    </row>
    <row r="496" spans="1:29">
      <c r="A496">
        <f t="shared" si="7"/>
        <v>496</v>
      </c>
      <c r="B496" s="127" t="s">
        <v>260</v>
      </c>
      <c r="C496" s="106">
        <v>121008</v>
      </c>
      <c r="D496">
        <v>1</v>
      </c>
      <c r="E496">
        <v>2</v>
      </c>
      <c r="F496">
        <v>0</v>
      </c>
      <c r="G496">
        <v>10009</v>
      </c>
      <c r="H496">
        <v>1</v>
      </c>
      <c r="W496">
        <v>389</v>
      </c>
      <c r="X496">
        <v>123</v>
      </c>
      <c r="Y496">
        <v>1114</v>
      </c>
      <c r="AC496" s="106">
        <v>1</v>
      </c>
    </row>
    <row r="497" spans="1:29">
      <c r="A497">
        <f t="shared" si="7"/>
        <v>497</v>
      </c>
      <c r="B497" s="127" t="s">
        <v>260</v>
      </c>
      <c r="C497" s="106">
        <v>121008</v>
      </c>
      <c r="D497">
        <v>1</v>
      </c>
      <c r="E497">
        <v>1</v>
      </c>
      <c r="F497">
        <v>0</v>
      </c>
      <c r="G497">
        <v>10009</v>
      </c>
      <c r="H497">
        <v>1</v>
      </c>
      <c r="W497">
        <v>389</v>
      </c>
      <c r="X497">
        <v>123</v>
      </c>
      <c r="Y497">
        <v>1114</v>
      </c>
      <c r="AC497" s="106">
        <v>1</v>
      </c>
    </row>
    <row r="498" spans="1:29">
      <c r="A498">
        <f t="shared" si="7"/>
        <v>498</v>
      </c>
      <c r="B498" s="127" t="s">
        <v>260</v>
      </c>
      <c r="C498" s="106">
        <v>121008</v>
      </c>
      <c r="D498">
        <v>1</v>
      </c>
      <c r="E498">
        <v>3</v>
      </c>
      <c r="F498">
        <v>0</v>
      </c>
      <c r="G498">
        <v>10009</v>
      </c>
      <c r="H498">
        <v>1</v>
      </c>
      <c r="W498">
        <v>389</v>
      </c>
      <c r="X498">
        <v>123</v>
      </c>
      <c r="Y498">
        <v>1114</v>
      </c>
      <c r="AC498" s="106">
        <v>1</v>
      </c>
    </row>
    <row r="499" spans="1:29">
      <c r="A499">
        <f t="shared" si="7"/>
        <v>499</v>
      </c>
      <c r="B499" s="127" t="s">
        <v>261</v>
      </c>
      <c r="C499" s="106">
        <v>112002</v>
      </c>
      <c r="D499">
        <v>1</v>
      </c>
      <c r="E499">
        <v>2</v>
      </c>
      <c r="F499">
        <v>0</v>
      </c>
      <c r="G499">
        <v>24</v>
      </c>
      <c r="H499">
        <v>1</v>
      </c>
      <c r="I499">
        <v>25</v>
      </c>
      <c r="J499">
        <v>25</v>
      </c>
      <c r="K499">
        <v>1</v>
      </c>
      <c r="L499">
        <v>25</v>
      </c>
      <c r="M499">
        <v>26</v>
      </c>
      <c r="N499">
        <v>1</v>
      </c>
      <c r="O499">
        <v>25</v>
      </c>
      <c r="P499">
        <v>29</v>
      </c>
      <c r="Q499">
        <v>1</v>
      </c>
      <c r="R499">
        <v>20</v>
      </c>
      <c r="S499">
        <v>31</v>
      </c>
      <c r="T499">
        <v>1</v>
      </c>
      <c r="W499">
        <v>675</v>
      </c>
      <c r="X499">
        <v>196</v>
      </c>
      <c r="Y499">
        <v>1771</v>
      </c>
      <c r="AC499" s="106">
        <v>1</v>
      </c>
    </row>
    <row r="500" spans="1:29">
      <c r="A500">
        <f t="shared" si="7"/>
        <v>500</v>
      </c>
      <c r="B500" s="127" t="s">
        <v>261</v>
      </c>
      <c r="C500" s="106">
        <v>112001</v>
      </c>
      <c r="D500">
        <v>1</v>
      </c>
      <c r="E500">
        <v>1</v>
      </c>
      <c r="F500">
        <v>0</v>
      </c>
      <c r="G500">
        <v>1</v>
      </c>
      <c r="H500">
        <v>1</v>
      </c>
      <c r="I500">
        <v>25</v>
      </c>
      <c r="J500">
        <v>2</v>
      </c>
      <c r="K500">
        <v>1</v>
      </c>
      <c r="L500">
        <v>25</v>
      </c>
      <c r="M500">
        <v>6</v>
      </c>
      <c r="N500">
        <v>1</v>
      </c>
      <c r="O500">
        <v>25</v>
      </c>
      <c r="P500">
        <v>8</v>
      </c>
      <c r="Q500">
        <v>1</v>
      </c>
      <c r="R500">
        <v>20</v>
      </c>
      <c r="S500">
        <v>3</v>
      </c>
      <c r="T500">
        <v>1</v>
      </c>
      <c r="W500">
        <v>675</v>
      </c>
      <c r="X500">
        <v>196</v>
      </c>
      <c r="Y500">
        <v>1771</v>
      </c>
      <c r="AC500" s="106">
        <v>1</v>
      </c>
    </row>
    <row r="501" spans="1:29">
      <c r="A501">
        <f t="shared" si="7"/>
        <v>501</v>
      </c>
      <c r="B501" s="127" t="s">
        <v>261</v>
      </c>
      <c r="C501" s="106">
        <v>112005</v>
      </c>
      <c r="D501">
        <v>1</v>
      </c>
      <c r="E501">
        <v>3</v>
      </c>
      <c r="F501">
        <v>0</v>
      </c>
      <c r="G501">
        <v>47</v>
      </c>
      <c r="H501">
        <v>1</v>
      </c>
      <c r="I501">
        <v>25</v>
      </c>
      <c r="J501">
        <v>48</v>
      </c>
      <c r="K501">
        <v>1</v>
      </c>
      <c r="L501">
        <v>25</v>
      </c>
      <c r="M501">
        <v>50</v>
      </c>
      <c r="N501">
        <v>1</v>
      </c>
      <c r="O501">
        <v>25</v>
      </c>
      <c r="P501">
        <v>53</v>
      </c>
      <c r="Q501">
        <v>1</v>
      </c>
      <c r="R501">
        <v>20</v>
      </c>
      <c r="S501">
        <v>51</v>
      </c>
      <c r="T501">
        <v>1</v>
      </c>
      <c r="W501">
        <v>675</v>
      </c>
      <c r="X501">
        <v>196</v>
      </c>
      <c r="Y501">
        <v>1771</v>
      </c>
      <c r="AC501" s="106">
        <v>1</v>
      </c>
    </row>
    <row r="502" spans="1:29">
      <c r="A502">
        <f t="shared" si="7"/>
        <v>502</v>
      </c>
      <c r="B502" s="127" t="s">
        <v>262</v>
      </c>
      <c r="C502" s="106">
        <v>121008</v>
      </c>
      <c r="D502">
        <v>1</v>
      </c>
      <c r="E502">
        <v>2</v>
      </c>
      <c r="F502">
        <v>0</v>
      </c>
      <c r="G502">
        <v>10009</v>
      </c>
      <c r="H502">
        <v>1</v>
      </c>
      <c r="W502">
        <v>62</v>
      </c>
      <c r="X502">
        <v>19</v>
      </c>
      <c r="Y502">
        <v>242</v>
      </c>
      <c r="AC502" s="106">
        <v>1</v>
      </c>
    </row>
    <row r="503" spans="1:29">
      <c r="A503">
        <f t="shared" si="7"/>
        <v>503</v>
      </c>
      <c r="B503" s="127" t="s">
        <v>262</v>
      </c>
      <c r="C503" s="106">
        <v>121008</v>
      </c>
      <c r="D503">
        <v>1</v>
      </c>
      <c r="E503">
        <v>1</v>
      </c>
      <c r="F503">
        <v>0</v>
      </c>
      <c r="G503">
        <v>10009</v>
      </c>
      <c r="H503">
        <v>1</v>
      </c>
      <c r="W503">
        <v>62</v>
      </c>
      <c r="X503">
        <v>19</v>
      </c>
      <c r="Y503">
        <v>242</v>
      </c>
      <c r="AC503" s="106">
        <v>1</v>
      </c>
    </row>
    <row r="504" spans="1:29">
      <c r="A504">
        <f t="shared" si="7"/>
        <v>504</v>
      </c>
      <c r="B504" s="127" t="s">
        <v>262</v>
      </c>
      <c r="C504" s="106">
        <v>121008</v>
      </c>
      <c r="D504">
        <v>1</v>
      </c>
      <c r="E504">
        <v>3</v>
      </c>
      <c r="F504">
        <v>0</v>
      </c>
      <c r="G504">
        <v>10009</v>
      </c>
      <c r="H504">
        <v>1</v>
      </c>
      <c r="W504">
        <v>62</v>
      </c>
      <c r="X504">
        <v>19</v>
      </c>
      <c r="Y504">
        <v>242</v>
      </c>
      <c r="AC504" s="106">
        <v>1</v>
      </c>
    </row>
    <row r="505" spans="1:29">
      <c r="A505">
        <f t="shared" si="7"/>
        <v>505</v>
      </c>
      <c r="B505" s="127" t="s">
        <v>263</v>
      </c>
      <c r="C505" s="106">
        <v>112002</v>
      </c>
      <c r="D505">
        <v>1</v>
      </c>
      <c r="E505">
        <v>2</v>
      </c>
      <c r="F505">
        <v>0</v>
      </c>
      <c r="G505">
        <v>24</v>
      </c>
      <c r="H505">
        <v>1</v>
      </c>
      <c r="I505">
        <v>25</v>
      </c>
      <c r="J505">
        <v>25</v>
      </c>
      <c r="K505">
        <v>1</v>
      </c>
      <c r="L505">
        <v>25</v>
      </c>
      <c r="M505">
        <v>26</v>
      </c>
      <c r="N505">
        <v>1</v>
      </c>
      <c r="O505">
        <v>25</v>
      </c>
      <c r="P505">
        <v>29</v>
      </c>
      <c r="Q505">
        <v>1</v>
      </c>
      <c r="R505">
        <v>20</v>
      </c>
      <c r="S505">
        <v>31</v>
      </c>
      <c r="T505">
        <v>1</v>
      </c>
      <c r="W505">
        <v>213</v>
      </c>
      <c r="X505">
        <v>73</v>
      </c>
      <c r="Y505">
        <v>699</v>
      </c>
      <c r="AC505" s="106">
        <v>1</v>
      </c>
    </row>
    <row r="506" spans="1:29">
      <c r="A506">
        <f t="shared" si="7"/>
        <v>506</v>
      </c>
      <c r="B506" s="127" t="s">
        <v>263</v>
      </c>
      <c r="C506" s="106">
        <v>112001</v>
      </c>
      <c r="D506">
        <v>1</v>
      </c>
      <c r="E506">
        <v>1</v>
      </c>
      <c r="F506">
        <v>0</v>
      </c>
      <c r="G506">
        <v>1</v>
      </c>
      <c r="H506">
        <v>1</v>
      </c>
      <c r="I506">
        <v>25</v>
      </c>
      <c r="J506">
        <v>2</v>
      </c>
      <c r="K506">
        <v>1</v>
      </c>
      <c r="L506">
        <v>25</v>
      </c>
      <c r="M506">
        <v>6</v>
      </c>
      <c r="N506">
        <v>1</v>
      </c>
      <c r="O506">
        <v>25</v>
      </c>
      <c r="P506">
        <v>8</v>
      </c>
      <c r="Q506">
        <v>1</v>
      </c>
      <c r="R506">
        <v>20</v>
      </c>
      <c r="S506">
        <v>3</v>
      </c>
      <c r="T506">
        <v>1</v>
      </c>
      <c r="W506">
        <v>213</v>
      </c>
      <c r="X506">
        <v>73</v>
      </c>
      <c r="Y506">
        <v>699</v>
      </c>
      <c r="AC506" s="106">
        <v>1</v>
      </c>
    </row>
    <row r="507" spans="1:29">
      <c r="A507">
        <f t="shared" si="7"/>
        <v>507</v>
      </c>
      <c r="B507" s="127" t="s">
        <v>263</v>
      </c>
      <c r="C507" s="106">
        <v>112005</v>
      </c>
      <c r="D507">
        <v>1</v>
      </c>
      <c r="E507">
        <v>3</v>
      </c>
      <c r="F507">
        <v>0</v>
      </c>
      <c r="G507">
        <v>47</v>
      </c>
      <c r="H507">
        <v>1</v>
      </c>
      <c r="I507">
        <v>25</v>
      </c>
      <c r="J507">
        <v>48</v>
      </c>
      <c r="K507">
        <v>1</v>
      </c>
      <c r="L507">
        <v>25</v>
      </c>
      <c r="M507">
        <v>50</v>
      </c>
      <c r="N507">
        <v>1</v>
      </c>
      <c r="O507">
        <v>25</v>
      </c>
      <c r="P507">
        <v>53</v>
      </c>
      <c r="Q507">
        <v>1</v>
      </c>
      <c r="R507">
        <v>20</v>
      </c>
      <c r="S507">
        <v>51</v>
      </c>
      <c r="T507">
        <v>1</v>
      </c>
      <c r="W507">
        <v>213</v>
      </c>
      <c r="X507">
        <v>73</v>
      </c>
      <c r="Y507">
        <v>699</v>
      </c>
      <c r="AC507" s="106">
        <v>1</v>
      </c>
    </row>
    <row r="508" spans="1:29">
      <c r="A508">
        <f t="shared" si="7"/>
        <v>508</v>
      </c>
      <c r="B508" s="127" t="s">
        <v>264</v>
      </c>
      <c r="C508" s="106">
        <v>121008</v>
      </c>
      <c r="D508">
        <v>1</v>
      </c>
      <c r="E508">
        <v>2</v>
      </c>
      <c r="F508">
        <v>0</v>
      </c>
      <c r="G508">
        <v>10009</v>
      </c>
      <c r="H508">
        <v>1</v>
      </c>
      <c r="W508">
        <v>389</v>
      </c>
      <c r="X508">
        <v>123</v>
      </c>
      <c r="Y508">
        <v>1114</v>
      </c>
      <c r="AC508" s="106">
        <v>1</v>
      </c>
    </row>
    <row r="509" spans="1:29">
      <c r="A509">
        <f t="shared" si="7"/>
        <v>509</v>
      </c>
      <c r="B509" s="127" t="s">
        <v>264</v>
      </c>
      <c r="C509" s="106">
        <v>121008</v>
      </c>
      <c r="D509">
        <v>1</v>
      </c>
      <c r="E509">
        <v>1</v>
      </c>
      <c r="F509">
        <v>0</v>
      </c>
      <c r="G509">
        <v>10009</v>
      </c>
      <c r="H509">
        <v>1</v>
      </c>
      <c r="W509">
        <v>389</v>
      </c>
      <c r="X509">
        <v>123</v>
      </c>
      <c r="Y509">
        <v>1114</v>
      </c>
      <c r="AC509" s="106">
        <v>1</v>
      </c>
    </row>
    <row r="510" spans="1:29">
      <c r="A510">
        <f t="shared" si="7"/>
        <v>510</v>
      </c>
      <c r="B510" s="127" t="s">
        <v>264</v>
      </c>
      <c r="C510" s="106">
        <v>121008</v>
      </c>
      <c r="D510">
        <v>1</v>
      </c>
      <c r="E510">
        <v>3</v>
      </c>
      <c r="F510">
        <v>0</v>
      </c>
      <c r="G510">
        <v>10009</v>
      </c>
      <c r="H510">
        <v>1</v>
      </c>
      <c r="W510">
        <v>389</v>
      </c>
      <c r="X510">
        <v>123</v>
      </c>
      <c r="Y510">
        <v>1114</v>
      </c>
      <c r="AC510" s="106">
        <v>1</v>
      </c>
    </row>
    <row r="511" spans="1:29">
      <c r="A511">
        <f t="shared" si="7"/>
        <v>511</v>
      </c>
      <c r="B511" s="127" t="s">
        <v>265</v>
      </c>
      <c r="C511" s="106">
        <v>121008</v>
      </c>
      <c r="D511">
        <v>1</v>
      </c>
      <c r="E511">
        <v>2</v>
      </c>
      <c r="F511">
        <v>0</v>
      </c>
      <c r="G511">
        <v>10009</v>
      </c>
      <c r="H511">
        <v>1</v>
      </c>
      <c r="W511">
        <v>62</v>
      </c>
      <c r="X511">
        <v>19</v>
      </c>
      <c r="Y511">
        <v>242</v>
      </c>
      <c r="AC511" s="106">
        <v>1</v>
      </c>
    </row>
    <row r="512" spans="1:29">
      <c r="A512">
        <f t="shared" si="7"/>
        <v>512</v>
      </c>
      <c r="B512" s="127" t="s">
        <v>265</v>
      </c>
      <c r="C512" s="106">
        <v>121008</v>
      </c>
      <c r="D512">
        <v>1</v>
      </c>
      <c r="E512">
        <v>1</v>
      </c>
      <c r="F512">
        <v>0</v>
      </c>
      <c r="G512">
        <v>10009</v>
      </c>
      <c r="H512">
        <v>1</v>
      </c>
      <c r="W512">
        <v>62</v>
      </c>
      <c r="X512">
        <v>19</v>
      </c>
      <c r="Y512">
        <v>242</v>
      </c>
      <c r="AC512" s="106">
        <v>1</v>
      </c>
    </row>
    <row r="513" spans="1:29">
      <c r="A513">
        <f t="shared" si="7"/>
        <v>513</v>
      </c>
      <c r="B513" s="127" t="s">
        <v>265</v>
      </c>
      <c r="C513" s="106">
        <v>121008</v>
      </c>
      <c r="D513">
        <v>1</v>
      </c>
      <c r="E513">
        <v>3</v>
      </c>
      <c r="F513">
        <v>0</v>
      </c>
      <c r="G513">
        <v>10009</v>
      </c>
      <c r="H513">
        <v>1</v>
      </c>
      <c r="W513">
        <v>62</v>
      </c>
      <c r="X513">
        <v>19</v>
      </c>
      <c r="Y513">
        <v>242</v>
      </c>
      <c r="AC513" s="106">
        <v>1</v>
      </c>
    </row>
    <row r="514" spans="1:29">
      <c r="A514">
        <f t="shared" ref="A514:A577" si="8">ROW(A514)</f>
        <v>514</v>
      </c>
      <c r="B514" s="127" t="s">
        <v>266</v>
      </c>
      <c r="C514" s="106">
        <v>121010</v>
      </c>
      <c r="D514">
        <v>1</v>
      </c>
      <c r="E514">
        <v>2</v>
      </c>
      <c r="F514">
        <v>0</v>
      </c>
      <c r="G514">
        <v>10012</v>
      </c>
      <c r="H514">
        <v>1</v>
      </c>
      <c r="W514">
        <v>213</v>
      </c>
      <c r="X514">
        <v>73</v>
      </c>
      <c r="Y514">
        <v>699</v>
      </c>
      <c r="AC514" s="106">
        <v>1</v>
      </c>
    </row>
    <row r="515" spans="1:29">
      <c r="A515">
        <f t="shared" si="8"/>
        <v>515</v>
      </c>
      <c r="B515" s="127" t="s">
        <v>266</v>
      </c>
      <c r="C515" s="106">
        <v>121008</v>
      </c>
      <c r="D515">
        <v>1</v>
      </c>
      <c r="E515">
        <v>1</v>
      </c>
      <c r="F515">
        <v>0</v>
      </c>
      <c r="G515">
        <v>10009</v>
      </c>
      <c r="H515">
        <v>1</v>
      </c>
      <c r="W515">
        <v>213</v>
      </c>
      <c r="X515">
        <v>73</v>
      </c>
      <c r="Y515">
        <v>699</v>
      </c>
      <c r="AC515" s="106">
        <v>1</v>
      </c>
    </row>
    <row r="516" spans="1:29">
      <c r="A516">
        <f t="shared" si="8"/>
        <v>516</v>
      </c>
      <c r="B516" s="127" t="s">
        <v>266</v>
      </c>
      <c r="C516" s="106">
        <v>121008</v>
      </c>
      <c r="D516">
        <v>1</v>
      </c>
      <c r="E516">
        <v>3</v>
      </c>
      <c r="F516">
        <v>0</v>
      </c>
      <c r="G516">
        <v>10009</v>
      </c>
      <c r="H516">
        <v>1</v>
      </c>
      <c r="W516">
        <v>213</v>
      </c>
      <c r="X516">
        <v>73</v>
      </c>
      <c r="Y516">
        <v>699</v>
      </c>
      <c r="AC516" s="106">
        <v>1</v>
      </c>
    </row>
    <row r="517" spans="1:29">
      <c r="A517">
        <f t="shared" si="8"/>
        <v>517</v>
      </c>
      <c r="B517" s="127" t="s">
        <v>267</v>
      </c>
      <c r="C517" s="106">
        <v>121010</v>
      </c>
      <c r="D517">
        <v>1</v>
      </c>
      <c r="E517">
        <v>2</v>
      </c>
      <c r="F517">
        <v>0</v>
      </c>
      <c r="G517">
        <v>10012</v>
      </c>
      <c r="H517">
        <v>1</v>
      </c>
      <c r="W517">
        <v>62</v>
      </c>
      <c r="X517">
        <v>19</v>
      </c>
      <c r="Y517">
        <v>242</v>
      </c>
      <c r="AC517" s="106">
        <v>1</v>
      </c>
    </row>
    <row r="518" spans="1:29">
      <c r="A518">
        <f t="shared" si="8"/>
        <v>518</v>
      </c>
      <c r="B518" s="127" t="s">
        <v>267</v>
      </c>
      <c r="C518" s="106">
        <v>121008</v>
      </c>
      <c r="D518">
        <v>1</v>
      </c>
      <c r="E518">
        <v>1</v>
      </c>
      <c r="F518">
        <v>0</v>
      </c>
      <c r="G518">
        <v>10009</v>
      </c>
      <c r="H518">
        <v>1</v>
      </c>
      <c r="W518">
        <v>62</v>
      </c>
      <c r="X518">
        <v>19</v>
      </c>
      <c r="Y518">
        <v>242</v>
      </c>
      <c r="AC518" s="106">
        <v>1</v>
      </c>
    </row>
    <row r="519" spans="1:29">
      <c r="A519">
        <f t="shared" si="8"/>
        <v>519</v>
      </c>
      <c r="B519" s="127" t="s">
        <v>267</v>
      </c>
      <c r="C519" s="106">
        <v>121008</v>
      </c>
      <c r="D519">
        <v>1</v>
      </c>
      <c r="E519">
        <v>3</v>
      </c>
      <c r="F519">
        <v>0</v>
      </c>
      <c r="G519">
        <v>10009</v>
      </c>
      <c r="H519">
        <v>1</v>
      </c>
      <c r="W519">
        <v>62</v>
      </c>
      <c r="X519">
        <v>19</v>
      </c>
      <c r="Y519">
        <v>242</v>
      </c>
      <c r="AC519" s="106">
        <v>1</v>
      </c>
    </row>
    <row r="520" spans="1:29">
      <c r="A520">
        <f t="shared" si="8"/>
        <v>520</v>
      </c>
      <c r="B520" s="127" t="s">
        <v>268</v>
      </c>
      <c r="C520" s="106">
        <v>112001</v>
      </c>
      <c r="D520">
        <v>1</v>
      </c>
      <c r="E520">
        <v>2</v>
      </c>
      <c r="F520">
        <v>0</v>
      </c>
      <c r="G520">
        <v>1</v>
      </c>
      <c r="H520">
        <v>1</v>
      </c>
      <c r="I520">
        <v>25</v>
      </c>
      <c r="J520">
        <v>2</v>
      </c>
      <c r="K520">
        <v>1</v>
      </c>
      <c r="L520">
        <v>25</v>
      </c>
      <c r="M520">
        <v>6</v>
      </c>
      <c r="N520">
        <v>1</v>
      </c>
      <c r="O520">
        <v>25</v>
      </c>
      <c r="P520">
        <v>8</v>
      </c>
      <c r="Q520">
        <v>1</v>
      </c>
      <c r="R520">
        <v>20</v>
      </c>
      <c r="S520">
        <v>3</v>
      </c>
      <c r="T520">
        <v>1</v>
      </c>
      <c r="W520">
        <v>213</v>
      </c>
      <c r="X520">
        <v>73</v>
      </c>
      <c r="Y520">
        <v>699</v>
      </c>
      <c r="AC520" s="106">
        <v>1</v>
      </c>
    </row>
    <row r="521" spans="1:29">
      <c r="A521">
        <f t="shared" si="8"/>
        <v>521</v>
      </c>
      <c r="B521" s="127" t="s">
        <v>268</v>
      </c>
      <c r="C521" s="106">
        <v>112002</v>
      </c>
      <c r="D521">
        <v>1</v>
      </c>
      <c r="E521">
        <v>1</v>
      </c>
      <c r="F521">
        <v>0</v>
      </c>
      <c r="G521">
        <v>24</v>
      </c>
      <c r="H521">
        <v>1</v>
      </c>
      <c r="I521">
        <v>25</v>
      </c>
      <c r="J521">
        <v>25</v>
      </c>
      <c r="K521">
        <v>1</v>
      </c>
      <c r="L521">
        <v>25</v>
      </c>
      <c r="M521">
        <v>26</v>
      </c>
      <c r="N521">
        <v>1</v>
      </c>
      <c r="O521">
        <v>25</v>
      </c>
      <c r="P521">
        <v>29</v>
      </c>
      <c r="Q521">
        <v>1</v>
      </c>
      <c r="R521">
        <v>20</v>
      </c>
      <c r="S521">
        <v>31</v>
      </c>
      <c r="T521">
        <v>1</v>
      </c>
      <c r="W521">
        <v>213</v>
      </c>
      <c r="X521">
        <v>73</v>
      </c>
      <c r="Y521">
        <v>699</v>
      </c>
      <c r="AC521" s="106">
        <v>1</v>
      </c>
    </row>
    <row r="522" spans="1:29">
      <c r="A522">
        <f t="shared" si="8"/>
        <v>522</v>
      </c>
      <c r="B522" s="127" t="s">
        <v>268</v>
      </c>
      <c r="C522" s="106">
        <v>112005</v>
      </c>
      <c r="D522">
        <v>1</v>
      </c>
      <c r="E522">
        <v>3</v>
      </c>
      <c r="F522">
        <v>0</v>
      </c>
      <c r="G522">
        <v>47</v>
      </c>
      <c r="H522">
        <v>1</v>
      </c>
      <c r="I522">
        <v>25</v>
      </c>
      <c r="J522">
        <v>48</v>
      </c>
      <c r="K522">
        <v>1</v>
      </c>
      <c r="L522">
        <v>25</v>
      </c>
      <c r="M522">
        <v>50</v>
      </c>
      <c r="N522">
        <v>1</v>
      </c>
      <c r="O522">
        <v>25</v>
      </c>
      <c r="P522">
        <v>53</v>
      </c>
      <c r="Q522">
        <v>1</v>
      </c>
      <c r="R522">
        <v>20</v>
      </c>
      <c r="S522">
        <v>51</v>
      </c>
      <c r="T522">
        <v>1</v>
      </c>
      <c r="W522">
        <v>213</v>
      </c>
      <c r="X522">
        <v>73</v>
      </c>
      <c r="Y522">
        <v>699</v>
      </c>
      <c r="AC522" s="106">
        <v>1</v>
      </c>
    </row>
    <row r="523" spans="1:29">
      <c r="A523">
        <f t="shared" si="8"/>
        <v>523</v>
      </c>
      <c r="B523" s="127" t="s">
        <v>269</v>
      </c>
      <c r="C523" s="106">
        <v>112002</v>
      </c>
      <c r="D523">
        <v>1</v>
      </c>
      <c r="E523">
        <v>2</v>
      </c>
      <c r="F523">
        <v>0</v>
      </c>
      <c r="G523">
        <v>24</v>
      </c>
      <c r="H523">
        <v>1</v>
      </c>
      <c r="I523">
        <v>25</v>
      </c>
      <c r="J523">
        <v>25</v>
      </c>
      <c r="K523">
        <v>1</v>
      </c>
      <c r="L523">
        <v>25</v>
      </c>
      <c r="M523">
        <v>26</v>
      </c>
      <c r="N523">
        <v>1</v>
      </c>
      <c r="O523">
        <v>25</v>
      </c>
      <c r="P523">
        <v>29</v>
      </c>
      <c r="Q523">
        <v>1</v>
      </c>
      <c r="R523">
        <v>20</v>
      </c>
      <c r="S523">
        <v>31</v>
      </c>
      <c r="T523">
        <v>1</v>
      </c>
      <c r="W523">
        <v>389</v>
      </c>
      <c r="X523">
        <v>123</v>
      </c>
      <c r="Y523">
        <v>1114</v>
      </c>
      <c r="AC523" s="106">
        <v>1</v>
      </c>
    </row>
    <row r="524" spans="1:29">
      <c r="A524">
        <f t="shared" si="8"/>
        <v>524</v>
      </c>
      <c r="B524" s="127" t="s">
        <v>269</v>
      </c>
      <c r="C524" s="106">
        <v>112001</v>
      </c>
      <c r="D524">
        <v>1</v>
      </c>
      <c r="E524">
        <v>1</v>
      </c>
      <c r="F524">
        <v>0</v>
      </c>
      <c r="G524">
        <v>1</v>
      </c>
      <c r="H524">
        <v>1</v>
      </c>
      <c r="I524">
        <v>25</v>
      </c>
      <c r="J524">
        <v>2</v>
      </c>
      <c r="K524">
        <v>1</v>
      </c>
      <c r="L524">
        <v>25</v>
      </c>
      <c r="M524">
        <v>6</v>
      </c>
      <c r="N524">
        <v>1</v>
      </c>
      <c r="O524">
        <v>25</v>
      </c>
      <c r="P524">
        <v>8</v>
      </c>
      <c r="Q524">
        <v>1</v>
      </c>
      <c r="R524">
        <v>20</v>
      </c>
      <c r="S524">
        <v>3</v>
      </c>
      <c r="T524">
        <v>1</v>
      </c>
      <c r="W524">
        <v>389</v>
      </c>
      <c r="X524">
        <v>123</v>
      </c>
      <c r="Y524">
        <v>1114</v>
      </c>
      <c r="AC524" s="106">
        <v>1</v>
      </c>
    </row>
    <row r="525" spans="1:29">
      <c r="A525">
        <f t="shared" si="8"/>
        <v>525</v>
      </c>
      <c r="B525" s="127" t="s">
        <v>269</v>
      </c>
      <c r="C525" s="106">
        <v>112005</v>
      </c>
      <c r="D525">
        <v>1</v>
      </c>
      <c r="E525">
        <v>3</v>
      </c>
      <c r="F525">
        <v>0</v>
      </c>
      <c r="G525">
        <v>47</v>
      </c>
      <c r="H525">
        <v>1</v>
      </c>
      <c r="I525">
        <v>25</v>
      </c>
      <c r="J525">
        <v>48</v>
      </c>
      <c r="K525">
        <v>1</v>
      </c>
      <c r="L525">
        <v>25</v>
      </c>
      <c r="M525">
        <v>50</v>
      </c>
      <c r="N525">
        <v>1</v>
      </c>
      <c r="O525">
        <v>25</v>
      </c>
      <c r="P525">
        <v>53</v>
      </c>
      <c r="Q525">
        <v>1</v>
      </c>
      <c r="R525">
        <v>20</v>
      </c>
      <c r="S525">
        <v>51</v>
      </c>
      <c r="T525">
        <v>1</v>
      </c>
      <c r="W525">
        <v>389</v>
      </c>
      <c r="X525">
        <v>123</v>
      </c>
      <c r="Y525">
        <v>1114</v>
      </c>
      <c r="AC525" s="106">
        <v>1</v>
      </c>
    </row>
    <row r="526" spans="1:29">
      <c r="A526">
        <f t="shared" si="8"/>
        <v>526</v>
      </c>
      <c r="B526" s="127" t="s">
        <v>270</v>
      </c>
      <c r="C526" s="106">
        <v>121008</v>
      </c>
      <c r="D526">
        <v>1</v>
      </c>
      <c r="E526">
        <v>2</v>
      </c>
      <c r="F526">
        <v>0</v>
      </c>
      <c r="G526">
        <v>10009</v>
      </c>
      <c r="H526">
        <v>1</v>
      </c>
      <c r="W526">
        <v>62</v>
      </c>
      <c r="X526">
        <v>19</v>
      </c>
      <c r="Y526">
        <v>242</v>
      </c>
      <c r="AC526" s="106">
        <v>1</v>
      </c>
    </row>
    <row r="527" spans="1:29">
      <c r="A527">
        <f t="shared" si="8"/>
        <v>527</v>
      </c>
      <c r="B527" s="127" t="s">
        <v>270</v>
      </c>
      <c r="C527" s="106">
        <v>121008</v>
      </c>
      <c r="D527">
        <v>1</v>
      </c>
      <c r="E527">
        <v>1</v>
      </c>
      <c r="F527">
        <v>0</v>
      </c>
      <c r="G527">
        <v>10009</v>
      </c>
      <c r="H527">
        <v>1</v>
      </c>
      <c r="W527">
        <v>62</v>
      </c>
      <c r="X527">
        <v>19</v>
      </c>
      <c r="Y527">
        <v>242</v>
      </c>
      <c r="AC527" s="106">
        <v>1</v>
      </c>
    </row>
    <row r="528" spans="1:29">
      <c r="A528">
        <f t="shared" si="8"/>
        <v>528</v>
      </c>
      <c r="B528" s="127" t="s">
        <v>270</v>
      </c>
      <c r="C528" s="106">
        <v>121008</v>
      </c>
      <c r="D528">
        <v>1</v>
      </c>
      <c r="E528">
        <v>3</v>
      </c>
      <c r="F528">
        <v>0</v>
      </c>
      <c r="G528">
        <v>10009</v>
      </c>
      <c r="H528">
        <v>1</v>
      </c>
      <c r="W528">
        <v>62</v>
      </c>
      <c r="X528">
        <v>19</v>
      </c>
      <c r="Y528">
        <v>242</v>
      </c>
      <c r="AC528" s="106">
        <v>1</v>
      </c>
    </row>
    <row r="529" spans="1:29">
      <c r="A529">
        <f t="shared" si="8"/>
        <v>529</v>
      </c>
      <c r="B529" s="127" t="s">
        <v>271</v>
      </c>
      <c r="C529" s="106">
        <v>121008</v>
      </c>
      <c r="D529">
        <v>1</v>
      </c>
      <c r="E529">
        <v>2</v>
      </c>
      <c r="F529">
        <v>0</v>
      </c>
      <c r="G529">
        <v>10009</v>
      </c>
      <c r="H529">
        <v>1</v>
      </c>
      <c r="W529">
        <v>213</v>
      </c>
      <c r="X529">
        <v>73</v>
      </c>
      <c r="Y529">
        <v>699</v>
      </c>
      <c r="AC529" s="106">
        <v>1</v>
      </c>
    </row>
    <row r="530" spans="1:29">
      <c r="A530">
        <f t="shared" si="8"/>
        <v>530</v>
      </c>
      <c r="B530" s="127" t="s">
        <v>271</v>
      </c>
      <c r="C530" s="106">
        <v>121008</v>
      </c>
      <c r="D530">
        <v>1</v>
      </c>
      <c r="E530">
        <v>1</v>
      </c>
      <c r="F530">
        <v>0</v>
      </c>
      <c r="G530">
        <v>10009</v>
      </c>
      <c r="H530">
        <v>1</v>
      </c>
      <c r="W530">
        <v>213</v>
      </c>
      <c r="X530">
        <v>73</v>
      </c>
      <c r="Y530">
        <v>699</v>
      </c>
      <c r="AC530" s="106">
        <v>1</v>
      </c>
    </row>
    <row r="531" spans="1:29">
      <c r="A531">
        <f t="shared" si="8"/>
        <v>531</v>
      </c>
      <c r="B531" s="127" t="s">
        <v>271</v>
      </c>
      <c r="C531" s="106">
        <v>121008</v>
      </c>
      <c r="D531">
        <v>1</v>
      </c>
      <c r="E531">
        <v>3</v>
      </c>
      <c r="F531">
        <v>0</v>
      </c>
      <c r="G531">
        <v>10009</v>
      </c>
      <c r="H531">
        <v>1</v>
      </c>
      <c r="W531">
        <v>213</v>
      </c>
      <c r="X531">
        <v>73</v>
      </c>
      <c r="Y531">
        <v>699</v>
      </c>
      <c r="AC531" s="106">
        <v>1</v>
      </c>
    </row>
    <row r="532" spans="1:29">
      <c r="A532">
        <f t="shared" si="8"/>
        <v>532</v>
      </c>
      <c r="B532" s="127" t="s">
        <v>272</v>
      </c>
      <c r="C532" s="106">
        <v>112002</v>
      </c>
      <c r="D532">
        <v>1</v>
      </c>
      <c r="E532">
        <v>2</v>
      </c>
      <c r="F532">
        <v>0</v>
      </c>
      <c r="G532">
        <v>24</v>
      </c>
      <c r="H532">
        <v>1</v>
      </c>
      <c r="I532">
        <v>25</v>
      </c>
      <c r="J532">
        <v>25</v>
      </c>
      <c r="K532">
        <v>1</v>
      </c>
      <c r="L532">
        <v>25</v>
      </c>
      <c r="M532">
        <v>26</v>
      </c>
      <c r="N532">
        <v>1</v>
      </c>
      <c r="O532">
        <v>25</v>
      </c>
      <c r="P532">
        <v>29</v>
      </c>
      <c r="Q532">
        <v>1</v>
      </c>
      <c r="R532">
        <v>20</v>
      </c>
      <c r="S532">
        <v>31</v>
      </c>
      <c r="T532">
        <v>1</v>
      </c>
      <c r="W532">
        <v>389</v>
      </c>
      <c r="X532">
        <v>123</v>
      </c>
      <c r="Y532">
        <v>1114</v>
      </c>
      <c r="AC532" s="106">
        <v>1</v>
      </c>
    </row>
    <row r="533" spans="1:29">
      <c r="A533">
        <f t="shared" si="8"/>
        <v>533</v>
      </c>
      <c r="B533" s="127" t="s">
        <v>272</v>
      </c>
      <c r="C533" s="106">
        <v>112001</v>
      </c>
      <c r="D533">
        <v>1</v>
      </c>
      <c r="E533">
        <v>1</v>
      </c>
      <c r="F533">
        <v>0</v>
      </c>
      <c r="G533">
        <v>1</v>
      </c>
      <c r="H533">
        <v>1</v>
      </c>
      <c r="I533">
        <v>25</v>
      </c>
      <c r="J533">
        <v>2</v>
      </c>
      <c r="K533">
        <v>1</v>
      </c>
      <c r="L533">
        <v>25</v>
      </c>
      <c r="M533">
        <v>6</v>
      </c>
      <c r="N533">
        <v>1</v>
      </c>
      <c r="O533">
        <v>25</v>
      </c>
      <c r="P533">
        <v>8</v>
      </c>
      <c r="Q533">
        <v>1</v>
      </c>
      <c r="R533">
        <v>20</v>
      </c>
      <c r="S533">
        <v>3</v>
      </c>
      <c r="T533">
        <v>1</v>
      </c>
      <c r="W533">
        <v>389</v>
      </c>
      <c r="X533">
        <v>123</v>
      </c>
      <c r="Y533">
        <v>1114</v>
      </c>
      <c r="AC533" s="106">
        <v>1</v>
      </c>
    </row>
    <row r="534" spans="1:29">
      <c r="A534">
        <f t="shared" si="8"/>
        <v>534</v>
      </c>
      <c r="B534" s="127" t="s">
        <v>272</v>
      </c>
      <c r="C534" s="106">
        <v>112005</v>
      </c>
      <c r="D534">
        <v>1</v>
      </c>
      <c r="E534">
        <v>3</v>
      </c>
      <c r="F534">
        <v>0</v>
      </c>
      <c r="G534">
        <v>47</v>
      </c>
      <c r="H534">
        <v>1</v>
      </c>
      <c r="I534">
        <v>25</v>
      </c>
      <c r="J534">
        <v>48</v>
      </c>
      <c r="K534">
        <v>1</v>
      </c>
      <c r="L534">
        <v>25</v>
      </c>
      <c r="M534">
        <v>50</v>
      </c>
      <c r="N534">
        <v>1</v>
      </c>
      <c r="O534">
        <v>25</v>
      </c>
      <c r="P534">
        <v>53</v>
      </c>
      <c r="Q534">
        <v>1</v>
      </c>
      <c r="R534">
        <v>20</v>
      </c>
      <c r="S534">
        <v>51</v>
      </c>
      <c r="T534">
        <v>1</v>
      </c>
      <c r="W534">
        <v>389</v>
      </c>
      <c r="X534">
        <v>123</v>
      </c>
      <c r="Y534">
        <v>1114</v>
      </c>
      <c r="AC534" s="106">
        <v>1</v>
      </c>
    </row>
    <row r="535" spans="1:29">
      <c r="A535">
        <f t="shared" si="8"/>
        <v>535</v>
      </c>
      <c r="B535" s="127" t="s">
        <v>273</v>
      </c>
      <c r="C535" s="106">
        <v>112004</v>
      </c>
      <c r="D535">
        <v>1</v>
      </c>
      <c r="E535">
        <v>2</v>
      </c>
      <c r="F535">
        <v>0</v>
      </c>
      <c r="G535">
        <v>55</v>
      </c>
      <c r="H535">
        <v>1</v>
      </c>
      <c r="I535">
        <v>25</v>
      </c>
      <c r="J535">
        <v>58</v>
      </c>
      <c r="K535">
        <v>1</v>
      </c>
      <c r="L535">
        <v>25</v>
      </c>
      <c r="M535">
        <v>59</v>
      </c>
      <c r="N535">
        <v>1</v>
      </c>
      <c r="O535">
        <v>25</v>
      </c>
      <c r="P535">
        <v>60</v>
      </c>
      <c r="Q535">
        <v>1</v>
      </c>
      <c r="R535">
        <v>20</v>
      </c>
      <c r="S535">
        <v>62</v>
      </c>
      <c r="T535">
        <v>1</v>
      </c>
      <c r="W535">
        <v>62</v>
      </c>
      <c r="X535">
        <v>19</v>
      </c>
      <c r="Y535">
        <v>242</v>
      </c>
      <c r="AC535" s="106">
        <v>1</v>
      </c>
    </row>
    <row r="536" spans="1:29">
      <c r="A536">
        <f t="shared" si="8"/>
        <v>536</v>
      </c>
      <c r="B536" s="127" t="s">
        <v>273</v>
      </c>
      <c r="C536" s="106">
        <v>112001</v>
      </c>
      <c r="D536">
        <v>1</v>
      </c>
      <c r="E536">
        <v>1</v>
      </c>
      <c r="F536">
        <v>0</v>
      </c>
      <c r="G536">
        <v>1</v>
      </c>
      <c r="H536">
        <v>1</v>
      </c>
      <c r="I536">
        <v>25</v>
      </c>
      <c r="J536">
        <v>2</v>
      </c>
      <c r="K536">
        <v>1</v>
      </c>
      <c r="L536">
        <v>25</v>
      </c>
      <c r="M536">
        <v>6</v>
      </c>
      <c r="N536">
        <v>1</v>
      </c>
      <c r="O536">
        <v>25</v>
      </c>
      <c r="P536">
        <v>8</v>
      </c>
      <c r="Q536">
        <v>1</v>
      </c>
      <c r="R536">
        <v>20</v>
      </c>
      <c r="S536">
        <v>3</v>
      </c>
      <c r="T536">
        <v>1</v>
      </c>
      <c r="W536">
        <v>62</v>
      </c>
      <c r="X536">
        <v>19</v>
      </c>
      <c r="Y536">
        <v>242</v>
      </c>
      <c r="AC536" s="106">
        <v>1</v>
      </c>
    </row>
    <row r="537" spans="1:29">
      <c r="A537">
        <f t="shared" si="8"/>
        <v>537</v>
      </c>
      <c r="B537" s="127" t="s">
        <v>273</v>
      </c>
      <c r="C537" s="106">
        <v>112002</v>
      </c>
      <c r="D537">
        <v>1</v>
      </c>
      <c r="E537">
        <v>3</v>
      </c>
      <c r="F537">
        <v>0</v>
      </c>
      <c r="G537">
        <v>24</v>
      </c>
      <c r="H537">
        <v>1</v>
      </c>
      <c r="I537">
        <v>25</v>
      </c>
      <c r="J537">
        <v>25</v>
      </c>
      <c r="K537">
        <v>1</v>
      </c>
      <c r="L537">
        <v>25</v>
      </c>
      <c r="M537">
        <v>26</v>
      </c>
      <c r="N537">
        <v>1</v>
      </c>
      <c r="O537">
        <v>25</v>
      </c>
      <c r="P537">
        <v>29</v>
      </c>
      <c r="Q537">
        <v>1</v>
      </c>
      <c r="R537">
        <v>20</v>
      </c>
      <c r="S537">
        <v>31</v>
      </c>
      <c r="T537">
        <v>1</v>
      </c>
      <c r="W537">
        <v>62</v>
      </c>
      <c r="X537">
        <v>19</v>
      </c>
      <c r="Y537">
        <v>242</v>
      </c>
      <c r="AC537" s="106">
        <v>1</v>
      </c>
    </row>
    <row r="538" spans="1:29">
      <c r="A538">
        <f t="shared" si="8"/>
        <v>538</v>
      </c>
      <c r="B538" s="127" t="s">
        <v>274</v>
      </c>
      <c r="C538" s="106">
        <v>121003</v>
      </c>
      <c r="D538">
        <v>1</v>
      </c>
      <c r="E538">
        <v>2</v>
      </c>
      <c r="F538">
        <v>0</v>
      </c>
      <c r="G538">
        <v>10001</v>
      </c>
      <c r="H538">
        <v>1</v>
      </c>
      <c r="W538">
        <v>213</v>
      </c>
      <c r="X538">
        <v>73</v>
      </c>
      <c r="Y538">
        <v>699</v>
      </c>
      <c r="AC538" s="106">
        <v>1</v>
      </c>
    </row>
    <row r="539" spans="1:29">
      <c r="A539">
        <f t="shared" si="8"/>
        <v>539</v>
      </c>
      <c r="B539" s="127" t="s">
        <v>274</v>
      </c>
      <c r="C539" s="106">
        <v>121004</v>
      </c>
      <c r="D539">
        <v>1</v>
      </c>
      <c r="E539">
        <v>1</v>
      </c>
      <c r="F539">
        <v>0</v>
      </c>
      <c r="G539">
        <v>10002</v>
      </c>
      <c r="H539">
        <v>1</v>
      </c>
      <c r="W539">
        <v>213</v>
      </c>
      <c r="X539">
        <v>73</v>
      </c>
      <c r="Y539">
        <v>699</v>
      </c>
      <c r="AC539" s="106">
        <v>1</v>
      </c>
    </row>
    <row r="540" spans="1:29">
      <c r="A540">
        <f t="shared" si="8"/>
        <v>540</v>
      </c>
      <c r="B540" s="127" t="s">
        <v>275</v>
      </c>
      <c r="C540" s="106">
        <v>112001</v>
      </c>
      <c r="D540">
        <v>1</v>
      </c>
      <c r="E540">
        <v>2</v>
      </c>
      <c r="F540">
        <v>0</v>
      </c>
      <c r="G540">
        <v>1</v>
      </c>
      <c r="H540">
        <v>1</v>
      </c>
      <c r="I540">
        <v>25</v>
      </c>
      <c r="J540">
        <v>2</v>
      </c>
      <c r="K540">
        <v>1</v>
      </c>
      <c r="L540">
        <v>25</v>
      </c>
      <c r="M540">
        <v>6</v>
      </c>
      <c r="N540">
        <v>1</v>
      </c>
      <c r="O540">
        <v>25</v>
      </c>
      <c r="P540">
        <v>8</v>
      </c>
      <c r="Q540">
        <v>1</v>
      </c>
      <c r="R540">
        <v>20</v>
      </c>
      <c r="S540">
        <v>3</v>
      </c>
      <c r="T540">
        <v>1</v>
      </c>
      <c r="W540">
        <v>389</v>
      </c>
      <c r="X540">
        <v>123</v>
      </c>
      <c r="Y540">
        <v>1114</v>
      </c>
      <c r="AC540" s="106">
        <v>1</v>
      </c>
    </row>
    <row r="541" spans="1:29">
      <c r="A541">
        <f t="shared" si="8"/>
        <v>541</v>
      </c>
      <c r="B541" s="127" t="s">
        <v>275</v>
      </c>
      <c r="C541" s="106">
        <v>112002</v>
      </c>
      <c r="D541">
        <v>1</v>
      </c>
      <c r="E541">
        <v>1</v>
      </c>
      <c r="F541">
        <v>0</v>
      </c>
      <c r="G541">
        <v>24</v>
      </c>
      <c r="H541">
        <v>1</v>
      </c>
      <c r="I541">
        <v>25</v>
      </c>
      <c r="J541">
        <v>25</v>
      </c>
      <c r="K541">
        <v>1</v>
      </c>
      <c r="L541">
        <v>25</v>
      </c>
      <c r="M541">
        <v>26</v>
      </c>
      <c r="N541">
        <v>1</v>
      </c>
      <c r="O541">
        <v>25</v>
      </c>
      <c r="P541">
        <v>29</v>
      </c>
      <c r="Q541">
        <v>1</v>
      </c>
      <c r="R541">
        <v>20</v>
      </c>
      <c r="S541">
        <v>31</v>
      </c>
      <c r="T541">
        <v>1</v>
      </c>
      <c r="W541">
        <v>389</v>
      </c>
      <c r="X541">
        <v>123</v>
      </c>
      <c r="Y541">
        <v>1114</v>
      </c>
      <c r="AC541" s="106">
        <v>1</v>
      </c>
    </row>
    <row r="542" spans="1:29">
      <c r="A542">
        <f t="shared" si="8"/>
        <v>542</v>
      </c>
      <c r="B542" s="127" t="s">
        <v>275</v>
      </c>
      <c r="C542" s="106">
        <v>112004</v>
      </c>
      <c r="D542">
        <v>1</v>
      </c>
      <c r="E542">
        <v>3</v>
      </c>
      <c r="F542">
        <v>0</v>
      </c>
      <c r="G542">
        <v>55</v>
      </c>
      <c r="H542">
        <v>1</v>
      </c>
      <c r="I542">
        <v>25</v>
      </c>
      <c r="J542">
        <v>58</v>
      </c>
      <c r="K542">
        <v>1</v>
      </c>
      <c r="L542">
        <v>25</v>
      </c>
      <c r="M542">
        <v>59</v>
      </c>
      <c r="N542">
        <v>1</v>
      </c>
      <c r="O542">
        <v>25</v>
      </c>
      <c r="P542">
        <v>60</v>
      </c>
      <c r="Q542">
        <v>1</v>
      </c>
      <c r="R542">
        <v>20</v>
      </c>
      <c r="S542">
        <v>62</v>
      </c>
      <c r="T542">
        <v>1</v>
      </c>
      <c r="W542">
        <v>389</v>
      </c>
      <c r="X542">
        <v>123</v>
      </c>
      <c r="Y542">
        <v>1114</v>
      </c>
      <c r="AC542" s="106">
        <v>1</v>
      </c>
    </row>
    <row r="543" spans="1:29">
      <c r="A543">
        <f t="shared" si="8"/>
        <v>543</v>
      </c>
      <c r="B543" s="127" t="s">
        <v>276</v>
      </c>
      <c r="C543" s="106">
        <v>112001</v>
      </c>
      <c r="D543">
        <v>1</v>
      </c>
      <c r="E543">
        <v>2</v>
      </c>
      <c r="F543">
        <v>0</v>
      </c>
      <c r="G543">
        <v>1</v>
      </c>
      <c r="H543">
        <v>1</v>
      </c>
      <c r="I543">
        <v>25</v>
      </c>
      <c r="J543">
        <v>2</v>
      </c>
      <c r="K543">
        <v>1</v>
      </c>
      <c r="L543">
        <v>25</v>
      </c>
      <c r="M543">
        <v>6</v>
      </c>
      <c r="N543">
        <v>1</v>
      </c>
      <c r="O543">
        <v>25</v>
      </c>
      <c r="P543">
        <v>8</v>
      </c>
      <c r="Q543">
        <v>1</v>
      </c>
      <c r="R543">
        <v>20</v>
      </c>
      <c r="S543">
        <v>3</v>
      </c>
      <c r="T543">
        <v>1</v>
      </c>
      <c r="W543">
        <v>62</v>
      </c>
      <c r="X543">
        <v>19</v>
      </c>
      <c r="Y543">
        <v>242</v>
      </c>
      <c r="AC543" s="106">
        <v>1</v>
      </c>
    </row>
    <row r="544" spans="1:29">
      <c r="A544">
        <f t="shared" si="8"/>
        <v>544</v>
      </c>
      <c r="B544" s="127" t="s">
        <v>276</v>
      </c>
      <c r="C544" s="106">
        <v>112002</v>
      </c>
      <c r="D544">
        <v>1</v>
      </c>
      <c r="E544">
        <v>1</v>
      </c>
      <c r="F544">
        <v>0</v>
      </c>
      <c r="G544">
        <v>24</v>
      </c>
      <c r="H544">
        <v>1</v>
      </c>
      <c r="I544">
        <v>25</v>
      </c>
      <c r="J544">
        <v>25</v>
      </c>
      <c r="K544">
        <v>1</v>
      </c>
      <c r="L544">
        <v>25</v>
      </c>
      <c r="M544">
        <v>26</v>
      </c>
      <c r="N544">
        <v>1</v>
      </c>
      <c r="O544">
        <v>25</v>
      </c>
      <c r="P544">
        <v>29</v>
      </c>
      <c r="Q544">
        <v>1</v>
      </c>
      <c r="R544">
        <v>20</v>
      </c>
      <c r="S544">
        <v>31</v>
      </c>
      <c r="T544">
        <v>1</v>
      </c>
      <c r="W544">
        <v>62</v>
      </c>
      <c r="X544">
        <v>19</v>
      </c>
      <c r="Y544">
        <v>242</v>
      </c>
      <c r="AC544" s="106">
        <v>1</v>
      </c>
    </row>
    <row r="545" spans="1:29">
      <c r="A545">
        <f t="shared" si="8"/>
        <v>545</v>
      </c>
      <c r="B545" s="127" t="s">
        <v>276</v>
      </c>
      <c r="C545" s="106">
        <v>112005</v>
      </c>
      <c r="D545">
        <v>1</v>
      </c>
      <c r="E545">
        <v>3</v>
      </c>
      <c r="F545">
        <v>0</v>
      </c>
      <c r="G545">
        <v>47</v>
      </c>
      <c r="H545">
        <v>1</v>
      </c>
      <c r="I545">
        <v>25</v>
      </c>
      <c r="J545">
        <v>48</v>
      </c>
      <c r="K545">
        <v>1</v>
      </c>
      <c r="L545">
        <v>25</v>
      </c>
      <c r="M545">
        <v>50</v>
      </c>
      <c r="N545">
        <v>1</v>
      </c>
      <c r="O545">
        <v>25</v>
      </c>
      <c r="P545">
        <v>53</v>
      </c>
      <c r="Q545">
        <v>1</v>
      </c>
      <c r="R545">
        <v>20</v>
      </c>
      <c r="S545">
        <v>51</v>
      </c>
      <c r="T545">
        <v>1</v>
      </c>
      <c r="W545">
        <v>62</v>
      </c>
      <c r="X545">
        <v>19</v>
      </c>
      <c r="Y545">
        <v>242</v>
      </c>
      <c r="AC545" s="106">
        <v>1</v>
      </c>
    </row>
    <row r="546" spans="1:29">
      <c r="A546">
        <f t="shared" si="8"/>
        <v>546</v>
      </c>
      <c r="B546" s="127" t="s">
        <v>277</v>
      </c>
      <c r="C546" s="106">
        <v>112003</v>
      </c>
      <c r="D546">
        <v>1</v>
      </c>
      <c r="E546">
        <v>2</v>
      </c>
      <c r="F546">
        <v>0</v>
      </c>
      <c r="G546">
        <v>63</v>
      </c>
      <c r="H546">
        <v>1</v>
      </c>
      <c r="I546">
        <v>25</v>
      </c>
      <c r="J546">
        <v>65</v>
      </c>
      <c r="K546">
        <v>1</v>
      </c>
      <c r="L546">
        <v>25</v>
      </c>
      <c r="M546">
        <v>66</v>
      </c>
      <c r="N546">
        <v>1</v>
      </c>
      <c r="O546">
        <v>25</v>
      </c>
      <c r="P546">
        <v>68</v>
      </c>
      <c r="Q546">
        <v>1</v>
      </c>
      <c r="R546">
        <v>20</v>
      </c>
      <c r="S546">
        <v>67</v>
      </c>
      <c r="T546">
        <v>1</v>
      </c>
      <c r="W546">
        <v>213</v>
      </c>
      <c r="X546">
        <v>73</v>
      </c>
      <c r="Y546">
        <v>699</v>
      </c>
      <c r="AC546" s="106">
        <v>1</v>
      </c>
    </row>
    <row r="547" spans="1:29">
      <c r="A547">
        <f t="shared" si="8"/>
        <v>547</v>
      </c>
      <c r="B547" s="127" t="s">
        <v>277</v>
      </c>
      <c r="C547" s="106">
        <v>112005</v>
      </c>
      <c r="D547">
        <v>1</v>
      </c>
      <c r="E547">
        <v>1</v>
      </c>
      <c r="F547">
        <v>0</v>
      </c>
      <c r="G547">
        <v>47</v>
      </c>
      <c r="H547">
        <v>1</v>
      </c>
      <c r="I547">
        <v>25</v>
      </c>
      <c r="J547">
        <v>48</v>
      </c>
      <c r="K547">
        <v>1</v>
      </c>
      <c r="L547">
        <v>25</v>
      </c>
      <c r="M547">
        <v>50</v>
      </c>
      <c r="N547">
        <v>1</v>
      </c>
      <c r="O547">
        <v>25</v>
      </c>
      <c r="P547">
        <v>53</v>
      </c>
      <c r="Q547">
        <v>1</v>
      </c>
      <c r="R547">
        <v>20</v>
      </c>
      <c r="S547">
        <v>51</v>
      </c>
      <c r="T547">
        <v>1</v>
      </c>
      <c r="W547">
        <v>213</v>
      </c>
      <c r="X547">
        <v>73</v>
      </c>
      <c r="Y547">
        <v>699</v>
      </c>
      <c r="AC547" s="106">
        <v>1</v>
      </c>
    </row>
    <row r="548" spans="1:29">
      <c r="A548">
        <f t="shared" si="8"/>
        <v>548</v>
      </c>
      <c r="B548" s="127" t="s">
        <v>277</v>
      </c>
      <c r="C548" s="106">
        <v>112004</v>
      </c>
      <c r="D548">
        <v>1</v>
      </c>
      <c r="E548">
        <v>3</v>
      </c>
      <c r="F548">
        <v>0</v>
      </c>
      <c r="G548">
        <v>55</v>
      </c>
      <c r="H548">
        <v>1</v>
      </c>
      <c r="I548">
        <v>25</v>
      </c>
      <c r="J548">
        <v>58</v>
      </c>
      <c r="K548">
        <v>1</v>
      </c>
      <c r="L548">
        <v>25</v>
      </c>
      <c r="M548">
        <v>59</v>
      </c>
      <c r="N548">
        <v>1</v>
      </c>
      <c r="O548">
        <v>25</v>
      </c>
      <c r="P548">
        <v>60</v>
      </c>
      <c r="Q548">
        <v>1</v>
      </c>
      <c r="R548">
        <v>20</v>
      </c>
      <c r="S548">
        <v>62</v>
      </c>
      <c r="T548">
        <v>1</v>
      </c>
      <c r="W548">
        <v>213</v>
      </c>
      <c r="X548">
        <v>73</v>
      </c>
      <c r="Y548">
        <v>699</v>
      </c>
      <c r="AC548" s="106">
        <v>1</v>
      </c>
    </row>
    <row r="549" spans="1:29">
      <c r="A549">
        <f t="shared" si="8"/>
        <v>549</v>
      </c>
      <c r="B549" s="127" t="s">
        <v>278</v>
      </c>
      <c r="C549" s="106">
        <v>112004</v>
      </c>
      <c r="D549">
        <v>1</v>
      </c>
      <c r="E549">
        <v>2</v>
      </c>
      <c r="F549">
        <v>0</v>
      </c>
      <c r="G549">
        <v>55</v>
      </c>
      <c r="H549">
        <v>1</v>
      </c>
      <c r="I549">
        <v>25</v>
      </c>
      <c r="J549">
        <v>58</v>
      </c>
      <c r="K549">
        <v>1</v>
      </c>
      <c r="L549">
        <v>25</v>
      </c>
      <c r="M549">
        <v>59</v>
      </c>
      <c r="N549">
        <v>1</v>
      </c>
      <c r="O549">
        <v>25</v>
      </c>
      <c r="P549">
        <v>60</v>
      </c>
      <c r="Q549">
        <v>1</v>
      </c>
      <c r="R549">
        <v>20</v>
      </c>
      <c r="S549">
        <v>62</v>
      </c>
      <c r="T549">
        <v>1</v>
      </c>
      <c r="W549">
        <v>389</v>
      </c>
      <c r="X549">
        <v>123</v>
      </c>
      <c r="Y549">
        <v>1114</v>
      </c>
      <c r="AC549" s="106">
        <v>1</v>
      </c>
    </row>
    <row r="550" spans="1:29">
      <c r="A550">
        <f t="shared" si="8"/>
        <v>550</v>
      </c>
      <c r="B550" s="127" t="s">
        <v>278</v>
      </c>
      <c r="C550" s="106">
        <v>112002</v>
      </c>
      <c r="D550">
        <v>1</v>
      </c>
      <c r="E550">
        <v>1</v>
      </c>
      <c r="F550">
        <v>0</v>
      </c>
      <c r="G550">
        <v>24</v>
      </c>
      <c r="H550">
        <v>1</v>
      </c>
      <c r="I550">
        <v>25</v>
      </c>
      <c r="J550">
        <v>25</v>
      </c>
      <c r="K550">
        <v>1</v>
      </c>
      <c r="L550">
        <v>25</v>
      </c>
      <c r="M550">
        <v>26</v>
      </c>
      <c r="N550">
        <v>1</v>
      </c>
      <c r="O550">
        <v>25</v>
      </c>
      <c r="P550">
        <v>29</v>
      </c>
      <c r="Q550">
        <v>1</v>
      </c>
      <c r="R550">
        <v>20</v>
      </c>
      <c r="S550">
        <v>31</v>
      </c>
      <c r="T550">
        <v>1</v>
      </c>
      <c r="W550">
        <v>389</v>
      </c>
      <c r="X550">
        <v>123</v>
      </c>
      <c r="Y550">
        <v>1114</v>
      </c>
      <c r="AC550" s="106">
        <v>1</v>
      </c>
    </row>
    <row r="551" spans="1:29">
      <c r="A551">
        <f t="shared" si="8"/>
        <v>551</v>
      </c>
      <c r="B551" s="127" t="s">
        <v>278</v>
      </c>
      <c r="C551" s="106">
        <v>112005</v>
      </c>
      <c r="D551">
        <v>1</v>
      </c>
      <c r="E551">
        <v>3</v>
      </c>
      <c r="F551">
        <v>0</v>
      </c>
      <c r="G551">
        <v>47</v>
      </c>
      <c r="H551">
        <v>1</v>
      </c>
      <c r="I551">
        <v>25</v>
      </c>
      <c r="J551">
        <v>48</v>
      </c>
      <c r="K551">
        <v>1</v>
      </c>
      <c r="L551">
        <v>25</v>
      </c>
      <c r="M551">
        <v>50</v>
      </c>
      <c r="N551">
        <v>1</v>
      </c>
      <c r="O551">
        <v>25</v>
      </c>
      <c r="P551">
        <v>53</v>
      </c>
      <c r="Q551">
        <v>1</v>
      </c>
      <c r="R551">
        <v>20</v>
      </c>
      <c r="S551">
        <v>51</v>
      </c>
      <c r="T551">
        <v>1</v>
      </c>
      <c r="W551">
        <v>389</v>
      </c>
      <c r="X551">
        <v>123</v>
      </c>
      <c r="Y551">
        <v>1114</v>
      </c>
      <c r="AC551" s="106">
        <v>1</v>
      </c>
    </row>
    <row r="552" spans="1:29">
      <c r="A552">
        <f t="shared" si="8"/>
        <v>552</v>
      </c>
      <c r="B552" s="127" t="s">
        <v>279</v>
      </c>
      <c r="C552" s="106">
        <v>112005</v>
      </c>
      <c r="D552">
        <v>1</v>
      </c>
      <c r="E552">
        <v>2</v>
      </c>
      <c r="F552">
        <v>0</v>
      </c>
      <c r="G552">
        <v>47</v>
      </c>
      <c r="H552">
        <v>1</v>
      </c>
      <c r="I552">
        <v>25</v>
      </c>
      <c r="J552">
        <v>48</v>
      </c>
      <c r="K552">
        <v>1</v>
      </c>
      <c r="L552">
        <v>25</v>
      </c>
      <c r="M552">
        <v>50</v>
      </c>
      <c r="N552">
        <v>1</v>
      </c>
      <c r="O552">
        <v>25</v>
      </c>
      <c r="P552">
        <v>53</v>
      </c>
      <c r="Q552">
        <v>1</v>
      </c>
      <c r="R552">
        <v>20</v>
      </c>
      <c r="S552">
        <v>51</v>
      </c>
      <c r="T552">
        <v>1</v>
      </c>
      <c r="W552">
        <v>62</v>
      </c>
      <c r="X552">
        <v>19</v>
      </c>
      <c r="Y552">
        <v>242</v>
      </c>
      <c r="AC552" s="106">
        <v>1</v>
      </c>
    </row>
    <row r="553" spans="1:29">
      <c r="A553">
        <f t="shared" si="8"/>
        <v>553</v>
      </c>
      <c r="B553" s="127" t="s">
        <v>279</v>
      </c>
      <c r="C553" s="106">
        <v>112001</v>
      </c>
      <c r="D553">
        <v>1</v>
      </c>
      <c r="E553">
        <v>1</v>
      </c>
      <c r="F553">
        <v>0</v>
      </c>
      <c r="G553">
        <v>1</v>
      </c>
      <c r="H553">
        <v>1</v>
      </c>
      <c r="I553">
        <v>25</v>
      </c>
      <c r="J553">
        <v>2</v>
      </c>
      <c r="K553">
        <v>1</v>
      </c>
      <c r="L553">
        <v>25</v>
      </c>
      <c r="M553">
        <v>6</v>
      </c>
      <c r="N553">
        <v>1</v>
      </c>
      <c r="O553">
        <v>25</v>
      </c>
      <c r="P553">
        <v>8</v>
      </c>
      <c r="Q553">
        <v>1</v>
      </c>
      <c r="R553">
        <v>20</v>
      </c>
      <c r="S553">
        <v>3</v>
      </c>
      <c r="T553">
        <v>1</v>
      </c>
      <c r="W553">
        <v>62</v>
      </c>
      <c r="X553">
        <v>19</v>
      </c>
      <c r="Y553">
        <v>242</v>
      </c>
      <c r="AC553" s="106">
        <v>1</v>
      </c>
    </row>
    <row r="554" spans="1:29">
      <c r="A554">
        <f t="shared" si="8"/>
        <v>554</v>
      </c>
      <c r="B554" s="127" t="s">
        <v>279</v>
      </c>
      <c r="C554" s="106">
        <v>112002</v>
      </c>
      <c r="D554">
        <v>1</v>
      </c>
      <c r="E554">
        <v>3</v>
      </c>
      <c r="F554">
        <v>0</v>
      </c>
      <c r="G554">
        <v>24</v>
      </c>
      <c r="H554">
        <v>1</v>
      </c>
      <c r="I554">
        <v>25</v>
      </c>
      <c r="J554">
        <v>25</v>
      </c>
      <c r="K554">
        <v>1</v>
      </c>
      <c r="L554">
        <v>25</v>
      </c>
      <c r="M554">
        <v>26</v>
      </c>
      <c r="N554">
        <v>1</v>
      </c>
      <c r="O554">
        <v>25</v>
      </c>
      <c r="P554">
        <v>29</v>
      </c>
      <c r="Q554">
        <v>1</v>
      </c>
      <c r="R554">
        <v>20</v>
      </c>
      <c r="S554">
        <v>31</v>
      </c>
      <c r="T554">
        <v>1</v>
      </c>
      <c r="W554">
        <v>62</v>
      </c>
      <c r="X554">
        <v>19</v>
      </c>
      <c r="Y554">
        <v>242</v>
      </c>
      <c r="AC554" s="106">
        <v>1</v>
      </c>
    </row>
    <row r="555" spans="1:29">
      <c r="A555">
        <f t="shared" si="8"/>
        <v>555</v>
      </c>
      <c r="B555" s="127" t="s">
        <v>280</v>
      </c>
      <c r="C555" s="106">
        <v>111007</v>
      </c>
      <c r="D555">
        <v>1</v>
      </c>
      <c r="E555">
        <v>2</v>
      </c>
      <c r="F555">
        <v>0</v>
      </c>
      <c r="G555">
        <v>179</v>
      </c>
      <c r="H555">
        <v>1</v>
      </c>
      <c r="I555">
        <v>25</v>
      </c>
      <c r="J555">
        <v>180</v>
      </c>
      <c r="K555">
        <v>1</v>
      </c>
      <c r="L555">
        <v>25</v>
      </c>
      <c r="M555">
        <v>181</v>
      </c>
      <c r="N555">
        <v>1</v>
      </c>
      <c r="O555">
        <v>25</v>
      </c>
      <c r="P555">
        <v>182</v>
      </c>
      <c r="Q555">
        <v>1</v>
      </c>
      <c r="W555">
        <v>213</v>
      </c>
      <c r="X555">
        <v>73</v>
      </c>
      <c r="Y555">
        <v>699</v>
      </c>
      <c r="AC555" s="106">
        <v>1</v>
      </c>
    </row>
    <row r="556" spans="1:29">
      <c r="A556">
        <f t="shared" si="8"/>
        <v>556</v>
      </c>
      <c r="B556" s="127" t="s">
        <v>280</v>
      </c>
      <c r="C556" s="106">
        <v>121008</v>
      </c>
      <c r="D556">
        <v>1</v>
      </c>
      <c r="E556">
        <v>1</v>
      </c>
      <c r="F556">
        <v>0</v>
      </c>
      <c r="G556">
        <v>10009</v>
      </c>
      <c r="H556">
        <v>1</v>
      </c>
      <c r="W556">
        <v>213</v>
      </c>
      <c r="X556">
        <v>73</v>
      </c>
      <c r="Y556">
        <v>699</v>
      </c>
      <c r="AC556" s="106">
        <v>1</v>
      </c>
    </row>
    <row r="557" spans="1:29">
      <c r="A557">
        <f t="shared" si="8"/>
        <v>557</v>
      </c>
      <c r="B557" s="127" t="s">
        <v>280</v>
      </c>
      <c r="C557" s="106">
        <v>121008</v>
      </c>
      <c r="D557">
        <v>1</v>
      </c>
      <c r="E557">
        <v>3</v>
      </c>
      <c r="F557">
        <v>0</v>
      </c>
      <c r="G557">
        <v>10009</v>
      </c>
      <c r="H557">
        <v>1</v>
      </c>
      <c r="W557">
        <v>213</v>
      </c>
      <c r="X557">
        <v>73</v>
      </c>
      <c r="Y557">
        <v>699</v>
      </c>
      <c r="AC557" s="106">
        <v>1</v>
      </c>
    </row>
    <row r="558" spans="1:29">
      <c r="A558">
        <f t="shared" si="8"/>
        <v>558</v>
      </c>
      <c r="B558" s="127" t="s">
        <v>281</v>
      </c>
      <c r="C558" s="106">
        <v>112001</v>
      </c>
      <c r="D558">
        <v>1</v>
      </c>
      <c r="E558">
        <v>2</v>
      </c>
      <c r="F558">
        <v>0</v>
      </c>
      <c r="G558">
        <v>1</v>
      </c>
      <c r="H558">
        <v>1</v>
      </c>
      <c r="I558">
        <v>25</v>
      </c>
      <c r="J558">
        <v>2</v>
      </c>
      <c r="K558">
        <v>1</v>
      </c>
      <c r="L558">
        <v>25</v>
      </c>
      <c r="M558">
        <v>6</v>
      </c>
      <c r="N558">
        <v>1</v>
      </c>
      <c r="O558">
        <v>25</v>
      </c>
      <c r="P558">
        <v>8</v>
      </c>
      <c r="Q558">
        <v>1</v>
      </c>
      <c r="R558">
        <v>20</v>
      </c>
      <c r="S558">
        <v>3</v>
      </c>
      <c r="T558">
        <v>1</v>
      </c>
      <c r="W558">
        <v>389</v>
      </c>
      <c r="X558">
        <v>123</v>
      </c>
      <c r="Y558">
        <v>1114</v>
      </c>
      <c r="AC558" s="106">
        <v>1</v>
      </c>
    </row>
    <row r="559" spans="1:29">
      <c r="A559">
        <f t="shared" si="8"/>
        <v>559</v>
      </c>
      <c r="B559" s="127" t="s">
        <v>281</v>
      </c>
      <c r="C559" s="106">
        <v>112002</v>
      </c>
      <c r="D559">
        <v>1</v>
      </c>
      <c r="E559">
        <v>1</v>
      </c>
      <c r="F559">
        <v>0</v>
      </c>
      <c r="G559">
        <v>24</v>
      </c>
      <c r="H559">
        <v>1</v>
      </c>
      <c r="I559">
        <v>25</v>
      </c>
      <c r="J559">
        <v>25</v>
      </c>
      <c r="K559">
        <v>1</v>
      </c>
      <c r="L559">
        <v>25</v>
      </c>
      <c r="M559">
        <v>26</v>
      </c>
      <c r="N559">
        <v>1</v>
      </c>
      <c r="O559">
        <v>25</v>
      </c>
      <c r="P559">
        <v>29</v>
      </c>
      <c r="Q559">
        <v>1</v>
      </c>
      <c r="R559">
        <v>20</v>
      </c>
      <c r="S559">
        <v>31</v>
      </c>
      <c r="T559">
        <v>1</v>
      </c>
      <c r="W559">
        <v>389</v>
      </c>
      <c r="X559">
        <v>123</v>
      </c>
      <c r="Y559">
        <v>1114</v>
      </c>
      <c r="AC559" s="106">
        <v>1</v>
      </c>
    </row>
    <row r="560" spans="1:29">
      <c r="A560">
        <f t="shared" si="8"/>
        <v>560</v>
      </c>
      <c r="B560" s="127" t="s">
        <v>281</v>
      </c>
      <c r="C560" s="106">
        <v>112005</v>
      </c>
      <c r="D560">
        <v>1</v>
      </c>
      <c r="E560">
        <v>3</v>
      </c>
      <c r="F560">
        <v>0</v>
      </c>
      <c r="G560">
        <v>47</v>
      </c>
      <c r="H560">
        <v>1</v>
      </c>
      <c r="I560">
        <v>25</v>
      </c>
      <c r="J560">
        <v>48</v>
      </c>
      <c r="K560">
        <v>1</v>
      </c>
      <c r="L560">
        <v>25</v>
      </c>
      <c r="M560">
        <v>50</v>
      </c>
      <c r="N560">
        <v>1</v>
      </c>
      <c r="O560">
        <v>25</v>
      </c>
      <c r="P560">
        <v>53</v>
      </c>
      <c r="Q560">
        <v>1</v>
      </c>
      <c r="R560">
        <v>20</v>
      </c>
      <c r="S560">
        <v>51</v>
      </c>
      <c r="T560">
        <v>1</v>
      </c>
      <c r="W560">
        <v>389</v>
      </c>
      <c r="X560">
        <v>123</v>
      </c>
      <c r="Y560">
        <v>1114</v>
      </c>
      <c r="AC560" s="106">
        <v>1</v>
      </c>
    </row>
    <row r="561" spans="1:29">
      <c r="A561">
        <f t="shared" si="8"/>
        <v>561</v>
      </c>
      <c r="B561" s="127" t="s">
        <v>282</v>
      </c>
      <c r="C561" s="106">
        <v>121008</v>
      </c>
      <c r="D561">
        <v>1</v>
      </c>
      <c r="E561">
        <v>2</v>
      </c>
      <c r="F561">
        <v>0</v>
      </c>
      <c r="G561">
        <v>10009</v>
      </c>
      <c r="H561">
        <v>1</v>
      </c>
      <c r="W561">
        <v>62</v>
      </c>
      <c r="X561">
        <v>19</v>
      </c>
      <c r="Y561">
        <v>242</v>
      </c>
      <c r="AC561" s="106">
        <v>1</v>
      </c>
    </row>
    <row r="562" spans="1:29">
      <c r="A562">
        <f t="shared" si="8"/>
        <v>562</v>
      </c>
      <c r="B562" s="127" t="s">
        <v>282</v>
      </c>
      <c r="C562" s="106">
        <v>121008</v>
      </c>
      <c r="D562">
        <v>1</v>
      </c>
      <c r="E562">
        <v>1</v>
      </c>
      <c r="F562">
        <v>0</v>
      </c>
      <c r="G562">
        <v>10009</v>
      </c>
      <c r="H562">
        <v>1</v>
      </c>
      <c r="W562">
        <v>62</v>
      </c>
      <c r="X562">
        <v>19</v>
      </c>
      <c r="Y562">
        <v>242</v>
      </c>
      <c r="AC562" s="106">
        <v>1</v>
      </c>
    </row>
    <row r="563" spans="1:29">
      <c r="A563">
        <f t="shared" si="8"/>
        <v>563</v>
      </c>
      <c r="B563" s="127" t="s">
        <v>282</v>
      </c>
      <c r="C563" s="106">
        <v>121008</v>
      </c>
      <c r="D563">
        <v>1</v>
      </c>
      <c r="E563">
        <v>3</v>
      </c>
      <c r="F563">
        <v>0</v>
      </c>
      <c r="G563">
        <v>10009</v>
      </c>
      <c r="H563">
        <v>1</v>
      </c>
      <c r="W563">
        <v>62</v>
      </c>
      <c r="X563">
        <v>19</v>
      </c>
      <c r="Y563">
        <v>242</v>
      </c>
      <c r="AC563" s="106">
        <v>1</v>
      </c>
    </row>
    <row r="564" spans="1:29">
      <c r="A564">
        <f t="shared" si="8"/>
        <v>564</v>
      </c>
      <c r="B564" s="127" t="s">
        <v>283</v>
      </c>
      <c r="C564" s="106">
        <v>121008</v>
      </c>
      <c r="D564">
        <v>1</v>
      </c>
      <c r="E564">
        <v>2</v>
      </c>
      <c r="F564">
        <v>0</v>
      </c>
      <c r="G564">
        <v>10009</v>
      </c>
      <c r="H564">
        <v>1</v>
      </c>
      <c r="W564">
        <v>213</v>
      </c>
      <c r="X564">
        <v>73</v>
      </c>
      <c r="Y564">
        <v>699</v>
      </c>
      <c r="AC564" s="106">
        <v>1</v>
      </c>
    </row>
    <row r="565" spans="1:29">
      <c r="A565">
        <f t="shared" si="8"/>
        <v>565</v>
      </c>
      <c r="B565" s="127" t="s">
        <v>283</v>
      </c>
      <c r="C565" s="106">
        <v>121008</v>
      </c>
      <c r="D565">
        <v>1</v>
      </c>
      <c r="E565">
        <v>1</v>
      </c>
      <c r="F565">
        <v>0</v>
      </c>
      <c r="G565">
        <v>10009</v>
      </c>
      <c r="H565">
        <v>1</v>
      </c>
      <c r="W565">
        <v>213</v>
      </c>
      <c r="X565">
        <v>73</v>
      </c>
      <c r="Y565">
        <v>699</v>
      </c>
      <c r="AC565" s="106">
        <v>1</v>
      </c>
    </row>
    <row r="566" spans="1:29">
      <c r="A566">
        <f t="shared" si="8"/>
        <v>566</v>
      </c>
      <c r="B566" s="127" t="s">
        <v>283</v>
      </c>
      <c r="C566" s="106">
        <v>121008</v>
      </c>
      <c r="D566">
        <v>1</v>
      </c>
      <c r="E566">
        <v>3</v>
      </c>
      <c r="F566">
        <v>0</v>
      </c>
      <c r="G566">
        <v>10009</v>
      </c>
      <c r="H566">
        <v>1</v>
      </c>
      <c r="W566">
        <v>213</v>
      </c>
      <c r="X566">
        <v>73</v>
      </c>
      <c r="Y566">
        <v>699</v>
      </c>
      <c r="AC566" s="106">
        <v>1</v>
      </c>
    </row>
    <row r="567" spans="1:29">
      <c r="A567">
        <f t="shared" si="8"/>
        <v>567</v>
      </c>
      <c r="B567" s="127" t="s">
        <v>284</v>
      </c>
      <c r="C567" s="106">
        <v>112005</v>
      </c>
      <c r="D567">
        <v>1</v>
      </c>
      <c r="E567">
        <v>2</v>
      </c>
      <c r="F567">
        <v>0</v>
      </c>
      <c r="G567">
        <v>47</v>
      </c>
      <c r="H567">
        <v>1</v>
      </c>
      <c r="I567">
        <v>25</v>
      </c>
      <c r="J567">
        <v>48</v>
      </c>
      <c r="K567">
        <v>1</v>
      </c>
      <c r="L567">
        <v>25</v>
      </c>
      <c r="M567">
        <v>50</v>
      </c>
      <c r="N567">
        <v>1</v>
      </c>
      <c r="O567">
        <v>25</v>
      </c>
      <c r="P567">
        <v>53</v>
      </c>
      <c r="Q567">
        <v>1</v>
      </c>
      <c r="R567">
        <v>20</v>
      </c>
      <c r="S567">
        <v>51</v>
      </c>
      <c r="T567">
        <v>1</v>
      </c>
      <c r="W567">
        <v>389</v>
      </c>
      <c r="X567">
        <v>123</v>
      </c>
      <c r="Y567">
        <v>1114</v>
      </c>
      <c r="AC567" s="106">
        <v>1</v>
      </c>
    </row>
    <row r="568" spans="1:29">
      <c r="A568">
        <f t="shared" si="8"/>
        <v>568</v>
      </c>
      <c r="B568" s="127" t="s">
        <v>284</v>
      </c>
      <c r="C568" s="106">
        <v>112001</v>
      </c>
      <c r="D568">
        <v>1</v>
      </c>
      <c r="E568">
        <v>1</v>
      </c>
      <c r="F568">
        <v>0</v>
      </c>
      <c r="G568">
        <v>1</v>
      </c>
      <c r="H568">
        <v>1</v>
      </c>
      <c r="I568">
        <v>25</v>
      </c>
      <c r="J568">
        <v>2</v>
      </c>
      <c r="K568">
        <v>1</v>
      </c>
      <c r="L568">
        <v>25</v>
      </c>
      <c r="M568">
        <v>6</v>
      </c>
      <c r="N568">
        <v>1</v>
      </c>
      <c r="O568">
        <v>25</v>
      </c>
      <c r="P568">
        <v>8</v>
      </c>
      <c r="Q568">
        <v>1</v>
      </c>
      <c r="R568">
        <v>20</v>
      </c>
      <c r="S568">
        <v>3</v>
      </c>
      <c r="T568">
        <v>1</v>
      </c>
      <c r="W568">
        <v>389</v>
      </c>
      <c r="X568">
        <v>123</v>
      </c>
      <c r="Y568">
        <v>1114</v>
      </c>
      <c r="AC568" s="106">
        <v>1</v>
      </c>
    </row>
    <row r="569" spans="1:29">
      <c r="A569">
        <f t="shared" si="8"/>
        <v>569</v>
      </c>
      <c r="B569" s="127" t="s">
        <v>284</v>
      </c>
      <c r="C569" s="106">
        <v>112002</v>
      </c>
      <c r="D569">
        <v>1</v>
      </c>
      <c r="E569">
        <v>3</v>
      </c>
      <c r="F569">
        <v>0</v>
      </c>
      <c r="G569">
        <v>24</v>
      </c>
      <c r="H569">
        <v>1</v>
      </c>
      <c r="I569">
        <v>25</v>
      </c>
      <c r="J569">
        <v>25</v>
      </c>
      <c r="K569">
        <v>1</v>
      </c>
      <c r="L569">
        <v>25</v>
      </c>
      <c r="M569">
        <v>26</v>
      </c>
      <c r="N569">
        <v>1</v>
      </c>
      <c r="O569">
        <v>25</v>
      </c>
      <c r="P569">
        <v>29</v>
      </c>
      <c r="Q569">
        <v>1</v>
      </c>
      <c r="R569">
        <v>20</v>
      </c>
      <c r="S569">
        <v>31</v>
      </c>
      <c r="T569">
        <v>1</v>
      </c>
      <c r="W569">
        <v>389</v>
      </c>
      <c r="X569">
        <v>123</v>
      </c>
      <c r="Y569">
        <v>1114</v>
      </c>
      <c r="AC569" s="106">
        <v>1</v>
      </c>
    </row>
    <row r="570" spans="1:29">
      <c r="A570">
        <f t="shared" si="8"/>
        <v>570</v>
      </c>
      <c r="B570" s="127" t="s">
        <v>285</v>
      </c>
      <c r="C570" s="106">
        <v>121008</v>
      </c>
      <c r="D570">
        <v>1</v>
      </c>
      <c r="E570">
        <v>2</v>
      </c>
      <c r="F570">
        <v>0</v>
      </c>
      <c r="G570">
        <v>10009</v>
      </c>
      <c r="H570">
        <v>1</v>
      </c>
      <c r="W570">
        <v>62</v>
      </c>
      <c r="X570">
        <v>19</v>
      </c>
      <c r="Y570">
        <v>242</v>
      </c>
      <c r="AC570" s="106">
        <v>1</v>
      </c>
    </row>
    <row r="571" spans="1:29">
      <c r="A571">
        <f t="shared" si="8"/>
        <v>571</v>
      </c>
      <c r="B571" s="127" t="s">
        <v>285</v>
      </c>
      <c r="C571" s="106">
        <v>121008</v>
      </c>
      <c r="D571">
        <v>1</v>
      </c>
      <c r="E571">
        <v>1</v>
      </c>
      <c r="F571">
        <v>0</v>
      </c>
      <c r="G571">
        <v>10009</v>
      </c>
      <c r="H571">
        <v>1</v>
      </c>
      <c r="W571">
        <v>62</v>
      </c>
      <c r="X571">
        <v>19</v>
      </c>
      <c r="Y571">
        <v>242</v>
      </c>
      <c r="AC571" s="106">
        <v>1</v>
      </c>
    </row>
    <row r="572" spans="1:29">
      <c r="A572">
        <f t="shared" si="8"/>
        <v>572</v>
      </c>
      <c r="B572" s="127" t="s">
        <v>285</v>
      </c>
      <c r="C572" s="106">
        <v>121008</v>
      </c>
      <c r="D572">
        <v>1</v>
      </c>
      <c r="E572">
        <v>3</v>
      </c>
      <c r="F572">
        <v>0</v>
      </c>
      <c r="G572">
        <v>10009</v>
      </c>
      <c r="H572">
        <v>1</v>
      </c>
      <c r="W572">
        <v>62</v>
      </c>
      <c r="X572">
        <v>19</v>
      </c>
      <c r="Y572">
        <v>242</v>
      </c>
      <c r="AC572" s="106">
        <v>1</v>
      </c>
    </row>
    <row r="573" spans="1:29">
      <c r="A573">
        <f t="shared" si="8"/>
        <v>573</v>
      </c>
      <c r="B573" s="127" t="s">
        <v>286</v>
      </c>
      <c r="C573" s="106">
        <v>112005</v>
      </c>
      <c r="D573">
        <v>1</v>
      </c>
      <c r="E573">
        <v>2</v>
      </c>
      <c r="F573">
        <v>0</v>
      </c>
      <c r="G573">
        <v>47</v>
      </c>
      <c r="H573">
        <v>1</v>
      </c>
      <c r="I573">
        <v>25</v>
      </c>
      <c r="J573">
        <v>48</v>
      </c>
      <c r="K573">
        <v>1</v>
      </c>
      <c r="L573">
        <v>25</v>
      </c>
      <c r="M573">
        <v>50</v>
      </c>
      <c r="N573">
        <v>1</v>
      </c>
      <c r="O573">
        <v>25</v>
      </c>
      <c r="P573">
        <v>53</v>
      </c>
      <c r="Q573">
        <v>1</v>
      </c>
      <c r="R573">
        <v>20</v>
      </c>
      <c r="S573">
        <v>51</v>
      </c>
      <c r="T573">
        <v>1</v>
      </c>
      <c r="W573">
        <v>213</v>
      </c>
      <c r="X573">
        <v>73</v>
      </c>
      <c r="Y573">
        <v>699</v>
      </c>
      <c r="AC573" s="106">
        <v>1</v>
      </c>
    </row>
    <row r="574" spans="1:29">
      <c r="A574">
        <f t="shared" si="8"/>
        <v>574</v>
      </c>
      <c r="B574" s="127" t="s">
        <v>286</v>
      </c>
      <c r="C574" s="106">
        <v>112001</v>
      </c>
      <c r="D574">
        <v>1</v>
      </c>
      <c r="E574">
        <v>1</v>
      </c>
      <c r="F574">
        <v>0</v>
      </c>
      <c r="G574">
        <v>1</v>
      </c>
      <c r="H574">
        <v>1</v>
      </c>
      <c r="I574">
        <v>25</v>
      </c>
      <c r="J574">
        <v>2</v>
      </c>
      <c r="K574">
        <v>1</v>
      </c>
      <c r="L574">
        <v>25</v>
      </c>
      <c r="M574">
        <v>6</v>
      </c>
      <c r="N574">
        <v>1</v>
      </c>
      <c r="O574">
        <v>25</v>
      </c>
      <c r="P574">
        <v>8</v>
      </c>
      <c r="Q574">
        <v>1</v>
      </c>
      <c r="R574">
        <v>20</v>
      </c>
      <c r="S574">
        <v>3</v>
      </c>
      <c r="T574">
        <v>1</v>
      </c>
      <c r="W574">
        <v>213</v>
      </c>
      <c r="X574">
        <v>73</v>
      </c>
      <c r="Y574">
        <v>699</v>
      </c>
      <c r="AC574" s="106">
        <v>1</v>
      </c>
    </row>
    <row r="575" spans="1:29">
      <c r="A575">
        <f t="shared" si="8"/>
        <v>575</v>
      </c>
      <c r="B575" s="127" t="s">
        <v>286</v>
      </c>
      <c r="C575" s="106">
        <v>112002</v>
      </c>
      <c r="D575">
        <v>1</v>
      </c>
      <c r="E575">
        <v>3</v>
      </c>
      <c r="F575">
        <v>0</v>
      </c>
      <c r="G575">
        <v>24</v>
      </c>
      <c r="H575">
        <v>1</v>
      </c>
      <c r="I575">
        <v>25</v>
      </c>
      <c r="J575">
        <v>25</v>
      </c>
      <c r="K575">
        <v>1</v>
      </c>
      <c r="L575">
        <v>25</v>
      </c>
      <c r="M575">
        <v>26</v>
      </c>
      <c r="N575">
        <v>1</v>
      </c>
      <c r="O575">
        <v>25</v>
      </c>
      <c r="P575">
        <v>29</v>
      </c>
      <c r="Q575">
        <v>1</v>
      </c>
      <c r="R575">
        <v>20</v>
      </c>
      <c r="S575">
        <v>31</v>
      </c>
      <c r="T575">
        <v>1</v>
      </c>
      <c r="W575">
        <v>213</v>
      </c>
      <c r="X575">
        <v>73</v>
      </c>
      <c r="Y575">
        <v>699</v>
      </c>
      <c r="AC575" s="106">
        <v>1</v>
      </c>
    </row>
    <row r="576" spans="1:29">
      <c r="A576">
        <f t="shared" si="8"/>
        <v>576</v>
      </c>
      <c r="B576" s="127" t="s">
        <v>287</v>
      </c>
      <c r="C576" s="106">
        <v>112001</v>
      </c>
      <c r="D576">
        <v>1</v>
      </c>
      <c r="E576">
        <v>2</v>
      </c>
      <c r="F576">
        <v>0</v>
      </c>
      <c r="G576">
        <v>1</v>
      </c>
      <c r="H576">
        <v>1</v>
      </c>
      <c r="I576">
        <v>25</v>
      </c>
      <c r="J576">
        <v>2</v>
      </c>
      <c r="K576">
        <v>1</v>
      </c>
      <c r="L576">
        <v>25</v>
      </c>
      <c r="M576">
        <v>6</v>
      </c>
      <c r="N576">
        <v>1</v>
      </c>
      <c r="O576">
        <v>25</v>
      </c>
      <c r="P576">
        <v>8</v>
      </c>
      <c r="Q576">
        <v>1</v>
      </c>
      <c r="R576">
        <v>20</v>
      </c>
      <c r="S576">
        <v>3</v>
      </c>
      <c r="T576">
        <v>1</v>
      </c>
      <c r="W576">
        <v>389</v>
      </c>
      <c r="X576">
        <v>123</v>
      </c>
      <c r="Y576">
        <v>1114</v>
      </c>
      <c r="AC576" s="106">
        <v>1</v>
      </c>
    </row>
    <row r="577" spans="1:29">
      <c r="A577">
        <f t="shared" si="8"/>
        <v>577</v>
      </c>
      <c r="B577" s="127" t="s">
        <v>287</v>
      </c>
      <c r="C577" s="106">
        <v>112002</v>
      </c>
      <c r="D577">
        <v>1</v>
      </c>
      <c r="E577">
        <v>1</v>
      </c>
      <c r="F577">
        <v>0</v>
      </c>
      <c r="G577">
        <v>24</v>
      </c>
      <c r="H577">
        <v>1</v>
      </c>
      <c r="I577">
        <v>25</v>
      </c>
      <c r="J577">
        <v>25</v>
      </c>
      <c r="K577">
        <v>1</v>
      </c>
      <c r="L577">
        <v>25</v>
      </c>
      <c r="M577">
        <v>26</v>
      </c>
      <c r="N577">
        <v>1</v>
      </c>
      <c r="O577">
        <v>25</v>
      </c>
      <c r="P577">
        <v>29</v>
      </c>
      <c r="Q577">
        <v>1</v>
      </c>
      <c r="R577">
        <v>20</v>
      </c>
      <c r="S577">
        <v>31</v>
      </c>
      <c r="T577">
        <v>1</v>
      </c>
      <c r="W577">
        <v>389</v>
      </c>
      <c r="X577">
        <v>123</v>
      </c>
      <c r="Y577">
        <v>1114</v>
      </c>
      <c r="AC577" s="106">
        <v>1</v>
      </c>
    </row>
    <row r="578" spans="1:29">
      <c r="A578">
        <f t="shared" ref="A578:A641" si="9">ROW(A578)</f>
        <v>578</v>
      </c>
      <c r="B578" s="127" t="s">
        <v>287</v>
      </c>
      <c r="C578" s="106">
        <v>112005</v>
      </c>
      <c r="D578">
        <v>1</v>
      </c>
      <c r="E578">
        <v>3</v>
      </c>
      <c r="F578">
        <v>0</v>
      </c>
      <c r="G578">
        <v>47</v>
      </c>
      <c r="H578">
        <v>1</v>
      </c>
      <c r="I578">
        <v>25</v>
      </c>
      <c r="J578">
        <v>48</v>
      </c>
      <c r="K578">
        <v>1</v>
      </c>
      <c r="L578">
        <v>25</v>
      </c>
      <c r="M578">
        <v>50</v>
      </c>
      <c r="N578">
        <v>1</v>
      </c>
      <c r="O578">
        <v>25</v>
      </c>
      <c r="P578">
        <v>53</v>
      </c>
      <c r="Q578">
        <v>1</v>
      </c>
      <c r="R578">
        <v>20</v>
      </c>
      <c r="S578">
        <v>51</v>
      </c>
      <c r="T578">
        <v>1</v>
      </c>
      <c r="W578">
        <v>389</v>
      </c>
      <c r="X578">
        <v>123</v>
      </c>
      <c r="Y578">
        <v>1114</v>
      </c>
      <c r="AC578" s="106">
        <v>1</v>
      </c>
    </row>
    <row r="579" spans="1:29">
      <c r="A579">
        <f t="shared" si="9"/>
        <v>579</v>
      </c>
      <c r="B579" s="127" t="s">
        <v>288</v>
      </c>
      <c r="C579" s="106">
        <v>112005</v>
      </c>
      <c r="D579">
        <v>1</v>
      </c>
      <c r="E579">
        <v>2</v>
      </c>
      <c r="F579">
        <v>0</v>
      </c>
      <c r="G579">
        <v>47</v>
      </c>
      <c r="H579">
        <v>1</v>
      </c>
      <c r="I579">
        <v>25</v>
      </c>
      <c r="J579">
        <v>48</v>
      </c>
      <c r="K579">
        <v>1</v>
      </c>
      <c r="L579">
        <v>25</v>
      </c>
      <c r="M579">
        <v>50</v>
      </c>
      <c r="N579">
        <v>1</v>
      </c>
      <c r="O579">
        <v>25</v>
      </c>
      <c r="P579">
        <v>53</v>
      </c>
      <c r="Q579">
        <v>1</v>
      </c>
      <c r="R579">
        <v>20</v>
      </c>
      <c r="S579">
        <v>51</v>
      </c>
      <c r="T579">
        <v>1</v>
      </c>
      <c r="W579">
        <v>62</v>
      </c>
      <c r="X579">
        <v>19</v>
      </c>
      <c r="Y579">
        <v>242</v>
      </c>
      <c r="AC579" s="106">
        <v>1</v>
      </c>
    </row>
    <row r="580" spans="1:29">
      <c r="A580">
        <f t="shared" si="9"/>
        <v>580</v>
      </c>
      <c r="B580" s="127" t="s">
        <v>288</v>
      </c>
      <c r="C580" s="106">
        <v>112001</v>
      </c>
      <c r="D580">
        <v>1</v>
      </c>
      <c r="E580">
        <v>1</v>
      </c>
      <c r="F580">
        <v>0</v>
      </c>
      <c r="G580">
        <v>1</v>
      </c>
      <c r="H580">
        <v>1</v>
      </c>
      <c r="I580">
        <v>25</v>
      </c>
      <c r="J580">
        <v>2</v>
      </c>
      <c r="K580">
        <v>1</v>
      </c>
      <c r="L580">
        <v>25</v>
      </c>
      <c r="M580">
        <v>6</v>
      </c>
      <c r="N580">
        <v>1</v>
      </c>
      <c r="O580">
        <v>25</v>
      </c>
      <c r="P580">
        <v>8</v>
      </c>
      <c r="Q580">
        <v>1</v>
      </c>
      <c r="R580">
        <v>20</v>
      </c>
      <c r="S580">
        <v>3</v>
      </c>
      <c r="T580">
        <v>1</v>
      </c>
      <c r="W580">
        <v>62</v>
      </c>
      <c r="X580">
        <v>19</v>
      </c>
      <c r="Y580">
        <v>242</v>
      </c>
      <c r="AC580" s="106">
        <v>1</v>
      </c>
    </row>
    <row r="581" spans="1:29">
      <c r="A581">
        <f t="shared" si="9"/>
        <v>581</v>
      </c>
      <c r="B581" s="127" t="s">
        <v>288</v>
      </c>
      <c r="C581" s="106">
        <v>112002</v>
      </c>
      <c r="D581">
        <v>1</v>
      </c>
      <c r="E581">
        <v>3</v>
      </c>
      <c r="F581">
        <v>0</v>
      </c>
      <c r="G581">
        <v>24</v>
      </c>
      <c r="H581">
        <v>1</v>
      </c>
      <c r="I581">
        <v>25</v>
      </c>
      <c r="J581">
        <v>25</v>
      </c>
      <c r="K581">
        <v>1</v>
      </c>
      <c r="L581">
        <v>25</v>
      </c>
      <c r="M581">
        <v>26</v>
      </c>
      <c r="N581">
        <v>1</v>
      </c>
      <c r="O581">
        <v>25</v>
      </c>
      <c r="P581">
        <v>29</v>
      </c>
      <c r="Q581">
        <v>1</v>
      </c>
      <c r="R581">
        <v>20</v>
      </c>
      <c r="S581">
        <v>31</v>
      </c>
      <c r="T581">
        <v>1</v>
      </c>
      <c r="W581">
        <v>62</v>
      </c>
      <c r="X581">
        <v>19</v>
      </c>
      <c r="Y581">
        <v>242</v>
      </c>
      <c r="AC581" s="106">
        <v>1</v>
      </c>
    </row>
    <row r="582" spans="1:29">
      <c r="A582">
        <f t="shared" si="9"/>
        <v>582</v>
      </c>
      <c r="B582" s="127" t="s">
        <v>289</v>
      </c>
      <c r="C582" s="106">
        <v>112002</v>
      </c>
      <c r="D582">
        <v>1</v>
      </c>
      <c r="E582">
        <v>2</v>
      </c>
      <c r="F582">
        <v>0</v>
      </c>
      <c r="G582">
        <v>24</v>
      </c>
      <c r="H582">
        <v>1</v>
      </c>
      <c r="I582">
        <v>25</v>
      </c>
      <c r="J582">
        <v>25</v>
      </c>
      <c r="K582">
        <v>1</v>
      </c>
      <c r="L582">
        <v>25</v>
      </c>
      <c r="M582">
        <v>26</v>
      </c>
      <c r="N582">
        <v>1</v>
      </c>
      <c r="O582">
        <v>25</v>
      </c>
      <c r="P582">
        <v>29</v>
      </c>
      <c r="Q582">
        <v>1</v>
      </c>
      <c r="R582">
        <v>20</v>
      </c>
      <c r="S582">
        <v>31</v>
      </c>
      <c r="T582">
        <v>1</v>
      </c>
      <c r="W582">
        <v>213</v>
      </c>
      <c r="X582">
        <v>73</v>
      </c>
      <c r="Y582">
        <v>699</v>
      </c>
      <c r="AC582" s="106">
        <v>1</v>
      </c>
    </row>
    <row r="583" spans="1:29">
      <c r="A583">
        <f t="shared" si="9"/>
        <v>583</v>
      </c>
      <c r="B583" s="127" t="s">
        <v>289</v>
      </c>
      <c r="C583" s="106">
        <v>112001</v>
      </c>
      <c r="D583">
        <v>1</v>
      </c>
      <c r="E583">
        <v>1</v>
      </c>
      <c r="F583">
        <v>0</v>
      </c>
      <c r="G583">
        <v>1</v>
      </c>
      <c r="H583">
        <v>1</v>
      </c>
      <c r="I583">
        <v>25</v>
      </c>
      <c r="J583">
        <v>2</v>
      </c>
      <c r="K583">
        <v>1</v>
      </c>
      <c r="L583">
        <v>25</v>
      </c>
      <c r="M583">
        <v>6</v>
      </c>
      <c r="N583">
        <v>1</v>
      </c>
      <c r="O583">
        <v>25</v>
      </c>
      <c r="P583">
        <v>8</v>
      </c>
      <c r="Q583">
        <v>1</v>
      </c>
      <c r="R583">
        <v>20</v>
      </c>
      <c r="S583">
        <v>3</v>
      </c>
      <c r="T583">
        <v>1</v>
      </c>
      <c r="W583">
        <v>213</v>
      </c>
      <c r="X583">
        <v>73</v>
      </c>
      <c r="Y583">
        <v>699</v>
      </c>
      <c r="AC583" s="106">
        <v>1</v>
      </c>
    </row>
    <row r="584" spans="1:29">
      <c r="A584">
        <f t="shared" si="9"/>
        <v>584</v>
      </c>
      <c r="B584" s="127" t="s">
        <v>289</v>
      </c>
      <c r="C584" s="106">
        <v>112005</v>
      </c>
      <c r="D584">
        <v>1</v>
      </c>
      <c r="E584">
        <v>3</v>
      </c>
      <c r="F584">
        <v>0</v>
      </c>
      <c r="G584">
        <v>47</v>
      </c>
      <c r="H584">
        <v>1</v>
      </c>
      <c r="I584">
        <v>25</v>
      </c>
      <c r="J584">
        <v>48</v>
      </c>
      <c r="K584">
        <v>1</v>
      </c>
      <c r="L584">
        <v>25</v>
      </c>
      <c r="M584">
        <v>50</v>
      </c>
      <c r="N584">
        <v>1</v>
      </c>
      <c r="O584">
        <v>25</v>
      </c>
      <c r="P584">
        <v>53</v>
      </c>
      <c r="Q584">
        <v>1</v>
      </c>
      <c r="R584">
        <v>20</v>
      </c>
      <c r="S584">
        <v>51</v>
      </c>
      <c r="T584">
        <v>1</v>
      </c>
      <c r="W584">
        <v>213</v>
      </c>
      <c r="X584">
        <v>73</v>
      </c>
      <c r="Y584">
        <v>699</v>
      </c>
      <c r="AC584" s="106">
        <v>1</v>
      </c>
    </row>
    <row r="585" spans="1:29">
      <c r="A585">
        <f t="shared" si="9"/>
        <v>585</v>
      </c>
      <c r="B585" s="127" t="s">
        <v>290</v>
      </c>
      <c r="C585" s="106">
        <v>112001</v>
      </c>
      <c r="D585">
        <v>1</v>
      </c>
      <c r="E585">
        <v>2</v>
      </c>
      <c r="F585">
        <v>0</v>
      </c>
      <c r="G585">
        <v>1</v>
      </c>
      <c r="H585">
        <v>1</v>
      </c>
      <c r="I585">
        <v>25</v>
      </c>
      <c r="J585">
        <v>2</v>
      </c>
      <c r="K585">
        <v>1</v>
      </c>
      <c r="L585">
        <v>25</v>
      </c>
      <c r="M585">
        <v>6</v>
      </c>
      <c r="N585">
        <v>1</v>
      </c>
      <c r="O585">
        <v>25</v>
      </c>
      <c r="P585">
        <v>8</v>
      </c>
      <c r="Q585">
        <v>1</v>
      </c>
      <c r="R585">
        <v>20</v>
      </c>
      <c r="S585">
        <v>3</v>
      </c>
      <c r="T585">
        <v>1</v>
      </c>
      <c r="W585">
        <v>389</v>
      </c>
      <c r="X585">
        <v>123</v>
      </c>
      <c r="Y585">
        <v>1114</v>
      </c>
      <c r="AC585" s="106">
        <v>1</v>
      </c>
    </row>
    <row r="586" spans="1:29">
      <c r="A586">
        <f t="shared" si="9"/>
        <v>586</v>
      </c>
      <c r="B586" s="127" t="s">
        <v>290</v>
      </c>
      <c r="C586" s="106">
        <v>112002</v>
      </c>
      <c r="D586">
        <v>1</v>
      </c>
      <c r="E586">
        <v>1</v>
      </c>
      <c r="F586">
        <v>0</v>
      </c>
      <c r="G586">
        <v>24</v>
      </c>
      <c r="H586">
        <v>1</v>
      </c>
      <c r="I586">
        <v>25</v>
      </c>
      <c r="J586">
        <v>25</v>
      </c>
      <c r="K586">
        <v>1</v>
      </c>
      <c r="L586">
        <v>25</v>
      </c>
      <c r="M586">
        <v>26</v>
      </c>
      <c r="N586">
        <v>1</v>
      </c>
      <c r="O586">
        <v>25</v>
      </c>
      <c r="P586">
        <v>29</v>
      </c>
      <c r="Q586">
        <v>1</v>
      </c>
      <c r="R586">
        <v>20</v>
      </c>
      <c r="S586">
        <v>31</v>
      </c>
      <c r="T586">
        <v>1</v>
      </c>
      <c r="W586">
        <v>389</v>
      </c>
      <c r="X586">
        <v>123</v>
      </c>
      <c r="Y586">
        <v>1114</v>
      </c>
      <c r="AC586" s="106">
        <v>1</v>
      </c>
    </row>
    <row r="587" spans="1:29">
      <c r="A587">
        <f t="shared" si="9"/>
        <v>587</v>
      </c>
      <c r="B587" s="127" t="s">
        <v>290</v>
      </c>
      <c r="C587" s="106">
        <v>112005</v>
      </c>
      <c r="D587">
        <v>1</v>
      </c>
      <c r="E587">
        <v>3</v>
      </c>
      <c r="F587">
        <v>0</v>
      </c>
      <c r="G587">
        <v>47</v>
      </c>
      <c r="H587">
        <v>1</v>
      </c>
      <c r="I587">
        <v>25</v>
      </c>
      <c r="J587">
        <v>48</v>
      </c>
      <c r="K587">
        <v>1</v>
      </c>
      <c r="L587">
        <v>25</v>
      </c>
      <c r="M587">
        <v>50</v>
      </c>
      <c r="N587">
        <v>1</v>
      </c>
      <c r="O587">
        <v>25</v>
      </c>
      <c r="P587">
        <v>53</v>
      </c>
      <c r="Q587">
        <v>1</v>
      </c>
      <c r="R587">
        <v>20</v>
      </c>
      <c r="S587">
        <v>51</v>
      </c>
      <c r="T587">
        <v>1</v>
      </c>
      <c r="W587">
        <v>389</v>
      </c>
      <c r="X587">
        <v>123</v>
      </c>
      <c r="Y587">
        <v>1114</v>
      </c>
      <c r="AC587" s="106">
        <v>1</v>
      </c>
    </row>
    <row r="588" spans="1:29">
      <c r="A588">
        <f t="shared" si="9"/>
        <v>588</v>
      </c>
      <c r="B588" s="127" t="s">
        <v>291</v>
      </c>
      <c r="C588" s="106">
        <v>121008</v>
      </c>
      <c r="D588">
        <v>1</v>
      </c>
      <c r="E588">
        <v>2</v>
      </c>
      <c r="F588">
        <v>0</v>
      </c>
      <c r="G588">
        <v>10009</v>
      </c>
      <c r="H588">
        <v>1</v>
      </c>
      <c r="W588">
        <v>62</v>
      </c>
      <c r="X588">
        <v>19</v>
      </c>
      <c r="Y588">
        <v>242</v>
      </c>
      <c r="AC588" s="106">
        <v>1</v>
      </c>
    </row>
    <row r="589" spans="1:29">
      <c r="A589">
        <f t="shared" si="9"/>
        <v>589</v>
      </c>
      <c r="B589" s="127" t="s">
        <v>291</v>
      </c>
      <c r="C589" s="106">
        <v>121008</v>
      </c>
      <c r="D589">
        <v>1</v>
      </c>
      <c r="E589">
        <v>1</v>
      </c>
      <c r="F589">
        <v>0</v>
      </c>
      <c r="G589">
        <v>10009</v>
      </c>
      <c r="H589">
        <v>1</v>
      </c>
      <c r="W589">
        <v>62</v>
      </c>
      <c r="X589">
        <v>19</v>
      </c>
      <c r="Y589">
        <v>242</v>
      </c>
      <c r="AC589" s="106">
        <v>1</v>
      </c>
    </row>
    <row r="590" spans="1:29">
      <c r="A590">
        <f t="shared" si="9"/>
        <v>590</v>
      </c>
      <c r="B590" s="127" t="s">
        <v>291</v>
      </c>
      <c r="C590" s="106">
        <v>121008</v>
      </c>
      <c r="D590">
        <v>1</v>
      </c>
      <c r="E590">
        <v>3</v>
      </c>
      <c r="F590">
        <v>0</v>
      </c>
      <c r="G590">
        <v>10009</v>
      </c>
      <c r="H590">
        <v>1</v>
      </c>
      <c r="W590">
        <v>62</v>
      </c>
      <c r="X590">
        <v>19</v>
      </c>
      <c r="Y590">
        <v>242</v>
      </c>
      <c r="AC590" s="106">
        <v>1</v>
      </c>
    </row>
    <row r="591" spans="1:29">
      <c r="A591">
        <f t="shared" si="9"/>
        <v>591</v>
      </c>
      <c r="B591" s="127" t="s">
        <v>292</v>
      </c>
      <c r="C591" s="106">
        <v>121008</v>
      </c>
      <c r="D591">
        <v>1</v>
      </c>
      <c r="E591">
        <v>2</v>
      </c>
      <c r="F591">
        <v>0</v>
      </c>
      <c r="G591">
        <v>10009</v>
      </c>
      <c r="H591">
        <v>1</v>
      </c>
      <c r="W591">
        <v>213</v>
      </c>
      <c r="X591">
        <v>73</v>
      </c>
      <c r="Y591">
        <v>699</v>
      </c>
      <c r="AC591" s="106">
        <v>1</v>
      </c>
    </row>
    <row r="592" spans="1:29">
      <c r="A592">
        <f t="shared" si="9"/>
        <v>592</v>
      </c>
      <c r="B592" s="127" t="s">
        <v>292</v>
      </c>
      <c r="C592" s="106">
        <v>121008</v>
      </c>
      <c r="D592">
        <v>1</v>
      </c>
      <c r="E592">
        <v>1</v>
      </c>
      <c r="F592">
        <v>0</v>
      </c>
      <c r="G592">
        <v>10009</v>
      </c>
      <c r="H592">
        <v>1</v>
      </c>
      <c r="W592">
        <v>213</v>
      </c>
      <c r="X592">
        <v>73</v>
      </c>
      <c r="Y592">
        <v>699</v>
      </c>
      <c r="AC592" s="106">
        <v>1</v>
      </c>
    </row>
    <row r="593" spans="1:29">
      <c r="A593">
        <f t="shared" si="9"/>
        <v>593</v>
      </c>
      <c r="B593" s="127" t="s">
        <v>292</v>
      </c>
      <c r="C593" s="106">
        <v>121008</v>
      </c>
      <c r="D593">
        <v>1</v>
      </c>
      <c r="E593">
        <v>3</v>
      </c>
      <c r="F593">
        <v>0</v>
      </c>
      <c r="G593">
        <v>10009</v>
      </c>
      <c r="H593">
        <v>1</v>
      </c>
      <c r="W593">
        <v>213</v>
      </c>
      <c r="X593">
        <v>73</v>
      </c>
      <c r="Y593">
        <v>699</v>
      </c>
      <c r="AC593" s="106">
        <v>1</v>
      </c>
    </row>
    <row r="594" spans="1:29">
      <c r="A594">
        <f t="shared" si="9"/>
        <v>594</v>
      </c>
      <c r="B594" s="127" t="s">
        <v>293</v>
      </c>
      <c r="C594" s="106">
        <v>112002</v>
      </c>
      <c r="D594">
        <v>1</v>
      </c>
      <c r="E594">
        <v>2</v>
      </c>
      <c r="F594">
        <v>0</v>
      </c>
      <c r="G594">
        <v>24</v>
      </c>
      <c r="H594">
        <v>1</v>
      </c>
      <c r="I594">
        <v>25</v>
      </c>
      <c r="J594">
        <v>25</v>
      </c>
      <c r="K594">
        <v>1</v>
      </c>
      <c r="L594">
        <v>25</v>
      </c>
      <c r="M594">
        <v>26</v>
      </c>
      <c r="N594">
        <v>1</v>
      </c>
      <c r="O594">
        <v>25</v>
      </c>
      <c r="P594">
        <v>29</v>
      </c>
      <c r="Q594">
        <v>1</v>
      </c>
      <c r="R594">
        <v>20</v>
      </c>
      <c r="S594">
        <v>31</v>
      </c>
      <c r="T594">
        <v>1</v>
      </c>
      <c r="W594">
        <v>389</v>
      </c>
      <c r="X594">
        <v>123</v>
      </c>
      <c r="Y594">
        <v>1114</v>
      </c>
      <c r="AC594" s="106">
        <v>1</v>
      </c>
    </row>
    <row r="595" spans="1:29">
      <c r="A595">
        <f t="shared" si="9"/>
        <v>595</v>
      </c>
      <c r="B595" s="127" t="s">
        <v>293</v>
      </c>
      <c r="C595" s="106">
        <v>112001</v>
      </c>
      <c r="D595">
        <v>1</v>
      </c>
      <c r="E595">
        <v>1</v>
      </c>
      <c r="F595">
        <v>0</v>
      </c>
      <c r="G595">
        <v>1</v>
      </c>
      <c r="H595">
        <v>1</v>
      </c>
      <c r="I595">
        <v>25</v>
      </c>
      <c r="J595">
        <v>2</v>
      </c>
      <c r="K595">
        <v>1</v>
      </c>
      <c r="L595">
        <v>25</v>
      </c>
      <c r="M595">
        <v>6</v>
      </c>
      <c r="N595">
        <v>1</v>
      </c>
      <c r="O595">
        <v>25</v>
      </c>
      <c r="P595">
        <v>8</v>
      </c>
      <c r="Q595">
        <v>1</v>
      </c>
      <c r="R595">
        <v>20</v>
      </c>
      <c r="S595">
        <v>3</v>
      </c>
      <c r="T595">
        <v>1</v>
      </c>
      <c r="W595">
        <v>389</v>
      </c>
      <c r="X595">
        <v>123</v>
      </c>
      <c r="Y595">
        <v>1114</v>
      </c>
      <c r="AC595" s="106">
        <v>1</v>
      </c>
    </row>
    <row r="596" spans="1:29">
      <c r="A596">
        <f t="shared" si="9"/>
        <v>596</v>
      </c>
      <c r="B596" s="127" t="s">
        <v>293</v>
      </c>
      <c r="C596" s="106">
        <v>112005</v>
      </c>
      <c r="D596">
        <v>1</v>
      </c>
      <c r="E596">
        <v>3</v>
      </c>
      <c r="F596">
        <v>0</v>
      </c>
      <c r="G596">
        <v>47</v>
      </c>
      <c r="H596">
        <v>1</v>
      </c>
      <c r="I596">
        <v>25</v>
      </c>
      <c r="J596">
        <v>48</v>
      </c>
      <c r="K596">
        <v>1</v>
      </c>
      <c r="L596">
        <v>25</v>
      </c>
      <c r="M596">
        <v>50</v>
      </c>
      <c r="N596">
        <v>1</v>
      </c>
      <c r="O596">
        <v>25</v>
      </c>
      <c r="P596">
        <v>53</v>
      </c>
      <c r="Q596">
        <v>1</v>
      </c>
      <c r="R596">
        <v>20</v>
      </c>
      <c r="S596">
        <v>51</v>
      </c>
      <c r="T596">
        <v>1</v>
      </c>
      <c r="W596">
        <v>389</v>
      </c>
      <c r="X596">
        <v>123</v>
      </c>
      <c r="Y596">
        <v>1114</v>
      </c>
      <c r="AC596" s="106">
        <v>1</v>
      </c>
    </row>
    <row r="597" spans="1:29">
      <c r="A597">
        <f t="shared" si="9"/>
        <v>597</v>
      </c>
      <c r="B597" s="103">
        <v>11300201</v>
      </c>
      <c r="C597" s="106">
        <v>121008</v>
      </c>
      <c r="D597">
        <v>1</v>
      </c>
      <c r="E597">
        <v>2</v>
      </c>
      <c r="F597">
        <v>0</v>
      </c>
      <c r="G597">
        <v>10009</v>
      </c>
      <c r="H597">
        <v>1</v>
      </c>
      <c r="W597">
        <v>62</v>
      </c>
      <c r="X597">
        <v>19</v>
      </c>
      <c r="Y597">
        <v>242</v>
      </c>
      <c r="AC597" s="106">
        <v>1</v>
      </c>
    </row>
    <row r="598" spans="1:29">
      <c r="A598">
        <f t="shared" si="9"/>
        <v>598</v>
      </c>
      <c r="B598" s="103">
        <v>11300201</v>
      </c>
      <c r="C598" s="106">
        <v>121008</v>
      </c>
      <c r="D598">
        <v>1</v>
      </c>
      <c r="E598">
        <v>1</v>
      </c>
      <c r="F598">
        <v>0</v>
      </c>
      <c r="G598">
        <v>10009</v>
      </c>
      <c r="H598">
        <v>1</v>
      </c>
      <c r="W598">
        <v>62</v>
      </c>
      <c r="X598">
        <v>19</v>
      </c>
      <c r="Y598">
        <v>242</v>
      </c>
      <c r="AC598" s="106">
        <v>1</v>
      </c>
    </row>
    <row r="599" spans="1:29">
      <c r="A599">
        <f t="shared" si="9"/>
        <v>599</v>
      </c>
      <c r="B599" s="103">
        <v>11300201</v>
      </c>
      <c r="C599" s="106">
        <v>121008</v>
      </c>
      <c r="D599">
        <v>1</v>
      </c>
      <c r="E599">
        <v>3</v>
      </c>
      <c r="F599">
        <v>0</v>
      </c>
      <c r="G599">
        <v>10009</v>
      </c>
      <c r="H599">
        <v>1</v>
      </c>
      <c r="W599">
        <v>62</v>
      </c>
      <c r="X599">
        <v>19</v>
      </c>
      <c r="Y599">
        <v>242</v>
      </c>
      <c r="AC599" s="106">
        <v>1</v>
      </c>
    </row>
    <row r="600" spans="1:29">
      <c r="A600">
        <f t="shared" si="9"/>
        <v>600</v>
      </c>
      <c r="B600" s="103">
        <v>11300202</v>
      </c>
      <c r="C600" s="106">
        <v>121008</v>
      </c>
      <c r="D600">
        <v>1</v>
      </c>
      <c r="E600">
        <v>2</v>
      </c>
      <c r="F600">
        <v>0</v>
      </c>
      <c r="G600">
        <v>10009</v>
      </c>
      <c r="H600">
        <v>1</v>
      </c>
      <c r="W600">
        <v>213</v>
      </c>
      <c r="X600">
        <v>73</v>
      </c>
      <c r="Y600">
        <v>699</v>
      </c>
      <c r="AC600" s="106">
        <v>1</v>
      </c>
    </row>
    <row r="601" spans="1:29">
      <c r="A601">
        <f t="shared" si="9"/>
        <v>601</v>
      </c>
      <c r="B601" s="103">
        <v>11300202</v>
      </c>
      <c r="C601" s="106">
        <v>121008</v>
      </c>
      <c r="D601">
        <v>1</v>
      </c>
      <c r="E601">
        <v>1</v>
      </c>
      <c r="F601">
        <v>0</v>
      </c>
      <c r="G601">
        <v>10009</v>
      </c>
      <c r="H601">
        <v>1</v>
      </c>
      <c r="W601">
        <v>213</v>
      </c>
      <c r="X601">
        <v>73</v>
      </c>
      <c r="Y601">
        <v>699</v>
      </c>
      <c r="AC601" s="106">
        <v>1</v>
      </c>
    </row>
    <row r="602" spans="1:29">
      <c r="A602">
        <f t="shared" si="9"/>
        <v>602</v>
      </c>
      <c r="B602" s="103">
        <v>11300202</v>
      </c>
      <c r="C602" s="106">
        <v>121008</v>
      </c>
      <c r="D602">
        <v>1</v>
      </c>
      <c r="E602">
        <v>3</v>
      </c>
      <c r="F602">
        <v>0</v>
      </c>
      <c r="G602">
        <v>10009</v>
      </c>
      <c r="H602">
        <v>1</v>
      </c>
      <c r="W602">
        <v>213</v>
      </c>
      <c r="X602">
        <v>73</v>
      </c>
      <c r="Y602">
        <v>699</v>
      </c>
      <c r="AC602" s="106">
        <v>1</v>
      </c>
    </row>
    <row r="603" spans="1:29">
      <c r="A603">
        <f t="shared" si="9"/>
        <v>603</v>
      </c>
      <c r="B603" s="103">
        <v>11300203</v>
      </c>
      <c r="C603" s="106">
        <v>121008</v>
      </c>
      <c r="D603">
        <v>1</v>
      </c>
      <c r="E603">
        <v>2</v>
      </c>
      <c r="F603">
        <v>0</v>
      </c>
      <c r="G603">
        <v>10009</v>
      </c>
      <c r="H603">
        <v>1</v>
      </c>
      <c r="W603">
        <v>389</v>
      </c>
      <c r="X603">
        <v>123</v>
      </c>
      <c r="Y603">
        <v>1114</v>
      </c>
      <c r="AC603" s="106">
        <v>1</v>
      </c>
    </row>
    <row r="604" spans="1:29">
      <c r="A604">
        <f t="shared" si="9"/>
        <v>604</v>
      </c>
      <c r="B604" s="103">
        <v>11300203</v>
      </c>
      <c r="C604" s="106">
        <v>121008</v>
      </c>
      <c r="D604">
        <v>1</v>
      </c>
      <c r="E604">
        <v>1</v>
      </c>
      <c r="F604">
        <v>0</v>
      </c>
      <c r="G604">
        <v>10009</v>
      </c>
      <c r="H604">
        <v>1</v>
      </c>
      <c r="W604">
        <v>389</v>
      </c>
      <c r="X604">
        <v>123</v>
      </c>
      <c r="Y604">
        <v>1114</v>
      </c>
      <c r="AC604" s="106">
        <v>1</v>
      </c>
    </row>
    <row r="605" spans="1:29">
      <c r="A605">
        <f t="shared" si="9"/>
        <v>605</v>
      </c>
      <c r="B605" s="103">
        <v>11300203</v>
      </c>
      <c r="C605" s="106">
        <v>121008</v>
      </c>
      <c r="D605">
        <v>1</v>
      </c>
      <c r="E605">
        <v>3</v>
      </c>
      <c r="F605">
        <v>0</v>
      </c>
      <c r="G605">
        <v>10009</v>
      </c>
      <c r="H605">
        <v>1</v>
      </c>
      <c r="W605">
        <v>389</v>
      </c>
      <c r="X605">
        <v>123</v>
      </c>
      <c r="Y605">
        <v>1114</v>
      </c>
      <c r="AC605" s="106">
        <v>1</v>
      </c>
    </row>
    <row r="606" spans="1:29">
      <c r="A606">
        <f t="shared" si="9"/>
        <v>606</v>
      </c>
      <c r="B606" s="103">
        <v>11300204</v>
      </c>
      <c r="C606" s="106">
        <v>112002</v>
      </c>
      <c r="D606">
        <v>1</v>
      </c>
      <c r="E606">
        <v>2</v>
      </c>
      <c r="F606">
        <v>0</v>
      </c>
      <c r="G606">
        <v>24</v>
      </c>
      <c r="H606">
        <v>1</v>
      </c>
      <c r="I606">
        <v>25</v>
      </c>
      <c r="J606">
        <v>25</v>
      </c>
      <c r="K606">
        <v>1</v>
      </c>
      <c r="L606">
        <v>25</v>
      </c>
      <c r="M606">
        <v>26</v>
      </c>
      <c r="N606">
        <v>1</v>
      </c>
      <c r="O606">
        <v>25</v>
      </c>
      <c r="P606">
        <v>29</v>
      </c>
      <c r="Q606">
        <v>1</v>
      </c>
      <c r="R606">
        <v>20</v>
      </c>
      <c r="S606">
        <v>31</v>
      </c>
      <c r="T606">
        <v>1</v>
      </c>
      <c r="W606">
        <v>675</v>
      </c>
      <c r="X606">
        <v>196</v>
      </c>
      <c r="Y606">
        <v>1771</v>
      </c>
      <c r="AC606" s="106">
        <v>1</v>
      </c>
    </row>
    <row r="607" spans="1:29">
      <c r="A607">
        <f t="shared" si="9"/>
        <v>607</v>
      </c>
      <c r="B607" s="103">
        <v>11300204</v>
      </c>
      <c r="C607" s="106">
        <v>112001</v>
      </c>
      <c r="D607">
        <v>1</v>
      </c>
      <c r="E607">
        <v>1</v>
      </c>
      <c r="F607">
        <v>0</v>
      </c>
      <c r="G607">
        <v>1</v>
      </c>
      <c r="H607">
        <v>1</v>
      </c>
      <c r="I607">
        <v>25</v>
      </c>
      <c r="J607">
        <v>2</v>
      </c>
      <c r="K607">
        <v>1</v>
      </c>
      <c r="L607">
        <v>25</v>
      </c>
      <c r="M607">
        <v>6</v>
      </c>
      <c r="N607">
        <v>1</v>
      </c>
      <c r="O607">
        <v>25</v>
      </c>
      <c r="P607">
        <v>8</v>
      </c>
      <c r="Q607">
        <v>1</v>
      </c>
      <c r="R607">
        <v>20</v>
      </c>
      <c r="S607">
        <v>3</v>
      </c>
      <c r="T607">
        <v>1</v>
      </c>
      <c r="W607">
        <v>675</v>
      </c>
      <c r="X607">
        <v>196</v>
      </c>
      <c r="Y607">
        <v>1771</v>
      </c>
      <c r="AC607" s="106">
        <v>1</v>
      </c>
    </row>
    <row r="608" spans="1:29">
      <c r="A608">
        <f t="shared" si="9"/>
        <v>608</v>
      </c>
      <c r="B608" s="103">
        <v>11300204</v>
      </c>
      <c r="C608" s="106">
        <v>112005</v>
      </c>
      <c r="D608">
        <v>1</v>
      </c>
      <c r="E608">
        <v>3</v>
      </c>
      <c r="F608">
        <v>0</v>
      </c>
      <c r="G608">
        <v>47</v>
      </c>
      <c r="H608">
        <v>1</v>
      </c>
      <c r="I608">
        <v>25</v>
      </c>
      <c r="J608">
        <v>48</v>
      </c>
      <c r="K608">
        <v>1</v>
      </c>
      <c r="L608">
        <v>25</v>
      </c>
      <c r="M608">
        <v>50</v>
      </c>
      <c r="N608">
        <v>1</v>
      </c>
      <c r="O608">
        <v>25</v>
      </c>
      <c r="P608">
        <v>53</v>
      </c>
      <c r="Q608">
        <v>1</v>
      </c>
      <c r="R608">
        <v>20</v>
      </c>
      <c r="S608">
        <v>51</v>
      </c>
      <c r="T608">
        <v>1</v>
      </c>
      <c r="W608">
        <v>675</v>
      </c>
      <c r="X608">
        <v>196</v>
      </c>
      <c r="Y608">
        <v>1771</v>
      </c>
      <c r="AC608" s="106">
        <v>1</v>
      </c>
    </row>
    <row r="609" spans="1:29">
      <c r="A609">
        <f t="shared" si="9"/>
        <v>609</v>
      </c>
      <c r="B609" s="103">
        <v>11300205</v>
      </c>
      <c r="C609" s="106">
        <v>112001</v>
      </c>
      <c r="D609">
        <v>1</v>
      </c>
      <c r="E609">
        <v>2</v>
      </c>
      <c r="F609">
        <v>0</v>
      </c>
      <c r="G609">
        <v>1</v>
      </c>
      <c r="H609">
        <v>1</v>
      </c>
      <c r="I609">
        <v>25</v>
      </c>
      <c r="J609">
        <v>2</v>
      </c>
      <c r="K609">
        <v>1</v>
      </c>
      <c r="L609">
        <v>25</v>
      </c>
      <c r="M609">
        <v>6</v>
      </c>
      <c r="N609">
        <v>1</v>
      </c>
      <c r="O609">
        <v>25</v>
      </c>
      <c r="P609">
        <v>8</v>
      </c>
      <c r="Q609">
        <v>1</v>
      </c>
      <c r="R609">
        <v>20</v>
      </c>
      <c r="S609">
        <v>3</v>
      </c>
      <c r="T609">
        <v>1</v>
      </c>
      <c r="W609">
        <v>1064</v>
      </c>
      <c r="X609">
        <v>354</v>
      </c>
      <c r="Y609">
        <v>3190</v>
      </c>
      <c r="AC609" s="106">
        <v>1</v>
      </c>
    </row>
    <row r="610" spans="1:29">
      <c r="A610">
        <f t="shared" si="9"/>
        <v>610</v>
      </c>
      <c r="B610" s="103">
        <v>11300205</v>
      </c>
      <c r="C610" s="106">
        <v>112003</v>
      </c>
      <c r="D610">
        <v>1</v>
      </c>
      <c r="E610">
        <v>1</v>
      </c>
      <c r="F610">
        <v>0</v>
      </c>
      <c r="G610">
        <v>63</v>
      </c>
      <c r="H610">
        <v>1</v>
      </c>
      <c r="I610">
        <v>25</v>
      </c>
      <c r="J610">
        <v>65</v>
      </c>
      <c r="K610">
        <v>1</v>
      </c>
      <c r="L610">
        <v>25</v>
      </c>
      <c r="M610">
        <v>66</v>
      </c>
      <c r="N610">
        <v>1</v>
      </c>
      <c r="O610">
        <v>25</v>
      </c>
      <c r="P610">
        <v>68</v>
      </c>
      <c r="Q610">
        <v>1</v>
      </c>
      <c r="R610">
        <v>20</v>
      </c>
      <c r="S610">
        <v>67</v>
      </c>
      <c r="T610">
        <v>1</v>
      </c>
      <c r="W610">
        <v>1064</v>
      </c>
      <c r="X610">
        <v>354</v>
      </c>
      <c r="Y610">
        <v>3190</v>
      </c>
      <c r="AC610" s="106">
        <v>1</v>
      </c>
    </row>
    <row r="611" spans="1:29">
      <c r="A611">
        <f t="shared" si="9"/>
        <v>611</v>
      </c>
      <c r="B611" s="103">
        <v>11300205</v>
      </c>
      <c r="C611" s="106">
        <v>112004</v>
      </c>
      <c r="D611">
        <v>1</v>
      </c>
      <c r="E611">
        <v>3</v>
      </c>
      <c r="F611">
        <v>0</v>
      </c>
      <c r="G611">
        <v>55</v>
      </c>
      <c r="H611">
        <v>1</v>
      </c>
      <c r="I611">
        <v>25</v>
      </c>
      <c r="J611">
        <v>58</v>
      </c>
      <c r="K611">
        <v>1</v>
      </c>
      <c r="L611">
        <v>25</v>
      </c>
      <c r="M611">
        <v>59</v>
      </c>
      <c r="N611">
        <v>1</v>
      </c>
      <c r="O611">
        <v>25</v>
      </c>
      <c r="P611">
        <v>60</v>
      </c>
      <c r="Q611">
        <v>1</v>
      </c>
      <c r="R611">
        <v>20</v>
      </c>
      <c r="S611">
        <v>62</v>
      </c>
      <c r="T611">
        <v>1</v>
      </c>
      <c r="W611">
        <v>1064</v>
      </c>
      <c r="X611">
        <v>354</v>
      </c>
      <c r="Y611">
        <v>3190</v>
      </c>
      <c r="AC611" s="106">
        <v>1</v>
      </c>
    </row>
    <row r="612" spans="1:29">
      <c r="A612">
        <f t="shared" si="9"/>
        <v>612</v>
      </c>
      <c r="B612" s="103">
        <v>11300601</v>
      </c>
      <c r="C612" s="106">
        <v>121008</v>
      </c>
      <c r="D612">
        <v>1</v>
      </c>
      <c r="E612">
        <v>2</v>
      </c>
      <c r="F612">
        <v>0</v>
      </c>
      <c r="G612">
        <v>10009</v>
      </c>
      <c r="H612">
        <v>1</v>
      </c>
      <c r="W612">
        <v>62</v>
      </c>
      <c r="X612">
        <v>19</v>
      </c>
      <c r="Y612">
        <v>242</v>
      </c>
      <c r="AC612" s="106">
        <v>1</v>
      </c>
    </row>
    <row r="613" spans="1:29">
      <c r="A613">
        <f t="shared" si="9"/>
        <v>613</v>
      </c>
      <c r="B613" s="103">
        <v>11300601</v>
      </c>
      <c r="C613" s="106">
        <v>121008</v>
      </c>
      <c r="D613">
        <v>1</v>
      </c>
      <c r="E613">
        <v>1</v>
      </c>
      <c r="F613">
        <v>0</v>
      </c>
      <c r="G613">
        <v>10009</v>
      </c>
      <c r="H613">
        <v>1</v>
      </c>
      <c r="W613">
        <v>62</v>
      </c>
      <c r="X613">
        <v>19</v>
      </c>
      <c r="Y613">
        <v>242</v>
      </c>
      <c r="AC613" s="106">
        <v>1</v>
      </c>
    </row>
    <row r="614" spans="1:29">
      <c r="A614">
        <f t="shared" si="9"/>
        <v>614</v>
      </c>
      <c r="B614" s="103">
        <v>11300601</v>
      </c>
      <c r="C614" s="106">
        <v>121008</v>
      </c>
      <c r="D614">
        <v>1</v>
      </c>
      <c r="E614">
        <v>3</v>
      </c>
      <c r="F614">
        <v>0</v>
      </c>
      <c r="G614">
        <v>10009</v>
      </c>
      <c r="H614">
        <v>1</v>
      </c>
      <c r="W614">
        <v>62</v>
      </c>
      <c r="X614">
        <v>19</v>
      </c>
      <c r="Y614">
        <v>242</v>
      </c>
      <c r="AC614" s="106">
        <v>1</v>
      </c>
    </row>
    <row r="615" spans="1:29">
      <c r="A615">
        <f t="shared" si="9"/>
        <v>615</v>
      </c>
      <c r="B615" s="103">
        <v>11300602</v>
      </c>
      <c r="C615" s="106">
        <v>121008</v>
      </c>
      <c r="D615">
        <v>1</v>
      </c>
      <c r="E615">
        <v>2</v>
      </c>
      <c r="F615">
        <v>0</v>
      </c>
      <c r="G615">
        <v>10009</v>
      </c>
      <c r="H615">
        <v>1</v>
      </c>
      <c r="W615">
        <v>213</v>
      </c>
      <c r="X615">
        <v>73</v>
      </c>
      <c r="Y615">
        <v>699</v>
      </c>
      <c r="AC615" s="106">
        <v>1</v>
      </c>
    </row>
    <row r="616" spans="1:29">
      <c r="A616">
        <f t="shared" si="9"/>
        <v>616</v>
      </c>
      <c r="B616" s="103">
        <v>11300602</v>
      </c>
      <c r="C616" s="106">
        <v>121008</v>
      </c>
      <c r="D616">
        <v>1</v>
      </c>
      <c r="E616">
        <v>1</v>
      </c>
      <c r="F616">
        <v>0</v>
      </c>
      <c r="G616">
        <v>10009</v>
      </c>
      <c r="H616">
        <v>1</v>
      </c>
      <c r="W616">
        <v>213</v>
      </c>
      <c r="X616">
        <v>73</v>
      </c>
      <c r="Y616">
        <v>699</v>
      </c>
      <c r="AC616" s="106">
        <v>1</v>
      </c>
    </row>
    <row r="617" spans="1:29">
      <c r="A617">
        <f t="shared" si="9"/>
        <v>617</v>
      </c>
      <c r="B617" s="103">
        <v>11300602</v>
      </c>
      <c r="C617" s="106">
        <v>121008</v>
      </c>
      <c r="D617">
        <v>1</v>
      </c>
      <c r="E617">
        <v>3</v>
      </c>
      <c r="F617">
        <v>0</v>
      </c>
      <c r="G617">
        <v>10009</v>
      </c>
      <c r="H617">
        <v>1</v>
      </c>
      <c r="W617">
        <v>213</v>
      </c>
      <c r="X617">
        <v>73</v>
      </c>
      <c r="Y617">
        <v>699</v>
      </c>
      <c r="AC617" s="106">
        <v>1</v>
      </c>
    </row>
    <row r="618" spans="1:29">
      <c r="A618">
        <f t="shared" si="9"/>
        <v>618</v>
      </c>
      <c r="B618" s="103">
        <v>11300603</v>
      </c>
      <c r="C618" s="106">
        <v>112002</v>
      </c>
      <c r="D618">
        <v>1</v>
      </c>
      <c r="E618">
        <v>2</v>
      </c>
      <c r="F618">
        <v>0</v>
      </c>
      <c r="G618">
        <v>24</v>
      </c>
      <c r="H618">
        <v>1</v>
      </c>
      <c r="I618">
        <v>25</v>
      </c>
      <c r="J618">
        <v>25</v>
      </c>
      <c r="K618">
        <v>1</v>
      </c>
      <c r="L618">
        <v>25</v>
      </c>
      <c r="M618">
        <v>26</v>
      </c>
      <c r="N618">
        <v>1</v>
      </c>
      <c r="O618">
        <v>25</v>
      </c>
      <c r="P618">
        <v>29</v>
      </c>
      <c r="Q618">
        <v>1</v>
      </c>
      <c r="R618">
        <v>20</v>
      </c>
      <c r="S618">
        <v>31</v>
      </c>
      <c r="T618">
        <v>1</v>
      </c>
      <c r="W618">
        <v>389</v>
      </c>
      <c r="X618">
        <v>123</v>
      </c>
      <c r="Y618">
        <v>1114</v>
      </c>
      <c r="AC618" s="106">
        <v>1</v>
      </c>
    </row>
    <row r="619" spans="1:29">
      <c r="A619">
        <f t="shared" si="9"/>
        <v>619</v>
      </c>
      <c r="B619" s="103">
        <v>11300603</v>
      </c>
      <c r="C619" s="106">
        <v>112003</v>
      </c>
      <c r="D619">
        <v>1</v>
      </c>
      <c r="E619">
        <v>1</v>
      </c>
      <c r="F619">
        <v>0</v>
      </c>
      <c r="G619">
        <v>63</v>
      </c>
      <c r="H619">
        <v>1</v>
      </c>
      <c r="I619">
        <v>25</v>
      </c>
      <c r="J619">
        <v>65</v>
      </c>
      <c r="K619">
        <v>1</v>
      </c>
      <c r="L619">
        <v>25</v>
      </c>
      <c r="M619">
        <v>66</v>
      </c>
      <c r="N619">
        <v>1</v>
      </c>
      <c r="O619">
        <v>25</v>
      </c>
      <c r="P619">
        <v>68</v>
      </c>
      <c r="Q619">
        <v>1</v>
      </c>
      <c r="R619">
        <v>20</v>
      </c>
      <c r="S619">
        <v>67</v>
      </c>
      <c r="T619">
        <v>1</v>
      </c>
      <c r="W619">
        <v>389</v>
      </c>
      <c r="X619">
        <v>123</v>
      </c>
      <c r="Y619">
        <v>1114</v>
      </c>
      <c r="AC619" s="106">
        <v>1</v>
      </c>
    </row>
    <row r="620" spans="1:29">
      <c r="A620">
        <f t="shared" si="9"/>
        <v>620</v>
      </c>
      <c r="B620" s="103">
        <v>11300603</v>
      </c>
      <c r="C620" s="106">
        <v>112001</v>
      </c>
      <c r="D620">
        <v>1</v>
      </c>
      <c r="E620">
        <v>3</v>
      </c>
      <c r="F620">
        <v>0</v>
      </c>
      <c r="G620">
        <v>1</v>
      </c>
      <c r="H620">
        <v>1</v>
      </c>
      <c r="I620">
        <v>25</v>
      </c>
      <c r="J620">
        <v>2</v>
      </c>
      <c r="K620">
        <v>1</v>
      </c>
      <c r="L620">
        <v>25</v>
      </c>
      <c r="M620">
        <v>6</v>
      </c>
      <c r="N620">
        <v>1</v>
      </c>
      <c r="O620">
        <v>25</v>
      </c>
      <c r="P620">
        <v>8</v>
      </c>
      <c r="Q620">
        <v>1</v>
      </c>
      <c r="R620">
        <v>20</v>
      </c>
      <c r="S620">
        <v>3</v>
      </c>
      <c r="T620">
        <v>1</v>
      </c>
      <c r="W620">
        <v>389</v>
      </c>
      <c r="X620">
        <v>123</v>
      </c>
      <c r="Y620">
        <v>1114</v>
      </c>
      <c r="AC620" s="106">
        <v>1</v>
      </c>
    </row>
    <row r="621" spans="1:29">
      <c r="A621">
        <f t="shared" si="9"/>
        <v>621</v>
      </c>
      <c r="B621" s="103">
        <v>11200801</v>
      </c>
      <c r="C621" s="106">
        <v>112004</v>
      </c>
      <c r="D621">
        <v>1</v>
      </c>
      <c r="E621">
        <v>2</v>
      </c>
      <c r="F621">
        <v>0</v>
      </c>
      <c r="G621">
        <v>55</v>
      </c>
      <c r="H621">
        <v>1</v>
      </c>
      <c r="I621">
        <v>25</v>
      </c>
      <c r="J621">
        <v>58</v>
      </c>
      <c r="K621">
        <v>1</v>
      </c>
      <c r="L621">
        <v>25</v>
      </c>
      <c r="M621">
        <v>59</v>
      </c>
      <c r="N621">
        <v>1</v>
      </c>
      <c r="O621">
        <v>25</v>
      </c>
      <c r="P621">
        <v>60</v>
      </c>
      <c r="Q621">
        <v>1</v>
      </c>
      <c r="R621">
        <v>20</v>
      </c>
      <c r="S621">
        <v>62</v>
      </c>
      <c r="T621">
        <v>1</v>
      </c>
      <c r="W621">
        <v>62</v>
      </c>
      <c r="X621">
        <v>19</v>
      </c>
      <c r="Y621">
        <v>242</v>
      </c>
      <c r="AC621" s="106">
        <v>1</v>
      </c>
    </row>
    <row r="622" spans="1:29">
      <c r="A622">
        <f t="shared" si="9"/>
        <v>622</v>
      </c>
      <c r="B622" s="103">
        <v>11200801</v>
      </c>
      <c r="C622" s="106">
        <v>112002</v>
      </c>
      <c r="D622">
        <v>1</v>
      </c>
      <c r="E622">
        <v>1</v>
      </c>
      <c r="F622">
        <v>0</v>
      </c>
      <c r="G622">
        <v>24</v>
      </c>
      <c r="H622">
        <v>1</v>
      </c>
      <c r="I622">
        <v>25</v>
      </c>
      <c r="J622">
        <v>25</v>
      </c>
      <c r="K622">
        <v>1</v>
      </c>
      <c r="L622">
        <v>25</v>
      </c>
      <c r="M622">
        <v>26</v>
      </c>
      <c r="N622">
        <v>1</v>
      </c>
      <c r="O622">
        <v>25</v>
      </c>
      <c r="P622">
        <v>29</v>
      </c>
      <c r="Q622">
        <v>1</v>
      </c>
      <c r="R622">
        <v>20</v>
      </c>
      <c r="S622">
        <v>31</v>
      </c>
      <c r="T622">
        <v>1</v>
      </c>
      <c r="W622">
        <v>62</v>
      </c>
      <c r="X622">
        <v>19</v>
      </c>
      <c r="Y622">
        <v>242</v>
      </c>
      <c r="AC622" s="106">
        <v>1</v>
      </c>
    </row>
    <row r="623" spans="1:29">
      <c r="A623">
        <f t="shared" si="9"/>
        <v>623</v>
      </c>
      <c r="B623" s="103">
        <v>11200801</v>
      </c>
      <c r="C623" s="106">
        <v>112005</v>
      </c>
      <c r="D623">
        <v>1</v>
      </c>
      <c r="E623">
        <v>3</v>
      </c>
      <c r="F623">
        <v>0</v>
      </c>
      <c r="G623">
        <v>47</v>
      </c>
      <c r="H623">
        <v>1</v>
      </c>
      <c r="I623">
        <v>25</v>
      </c>
      <c r="J623">
        <v>48</v>
      </c>
      <c r="K623">
        <v>1</v>
      </c>
      <c r="L623">
        <v>25</v>
      </c>
      <c r="M623">
        <v>50</v>
      </c>
      <c r="N623">
        <v>1</v>
      </c>
      <c r="O623">
        <v>25</v>
      </c>
      <c r="P623">
        <v>53</v>
      </c>
      <c r="Q623">
        <v>1</v>
      </c>
      <c r="R623">
        <v>20</v>
      </c>
      <c r="S623">
        <v>51</v>
      </c>
      <c r="T623">
        <v>1</v>
      </c>
      <c r="W623">
        <v>62</v>
      </c>
      <c r="X623">
        <v>19</v>
      </c>
      <c r="Y623">
        <v>242</v>
      </c>
      <c r="AC623" s="106">
        <v>1</v>
      </c>
    </row>
    <row r="624" spans="1:29">
      <c r="A624">
        <f t="shared" si="9"/>
        <v>624</v>
      </c>
      <c r="B624" s="103">
        <v>11200802</v>
      </c>
      <c r="C624" s="106">
        <v>112001</v>
      </c>
      <c r="D624">
        <v>1</v>
      </c>
      <c r="E624">
        <v>2</v>
      </c>
      <c r="F624">
        <v>0</v>
      </c>
      <c r="G624">
        <v>1</v>
      </c>
      <c r="H624">
        <v>1</v>
      </c>
      <c r="I624">
        <v>25</v>
      </c>
      <c r="J624">
        <v>2</v>
      </c>
      <c r="K624">
        <v>1</v>
      </c>
      <c r="L624">
        <v>25</v>
      </c>
      <c r="M624">
        <v>6</v>
      </c>
      <c r="N624">
        <v>1</v>
      </c>
      <c r="O624">
        <v>25</v>
      </c>
      <c r="P624">
        <v>8</v>
      </c>
      <c r="Q624">
        <v>1</v>
      </c>
      <c r="R624">
        <v>20</v>
      </c>
      <c r="S624">
        <v>3</v>
      </c>
      <c r="T624">
        <v>1</v>
      </c>
      <c r="W624">
        <v>213</v>
      </c>
      <c r="X624">
        <v>73</v>
      </c>
      <c r="Y624">
        <v>699</v>
      </c>
      <c r="AC624" s="106">
        <v>1</v>
      </c>
    </row>
    <row r="625" spans="1:29">
      <c r="A625">
        <f t="shared" si="9"/>
        <v>625</v>
      </c>
      <c r="B625" s="103">
        <v>11200802</v>
      </c>
      <c r="C625" s="106">
        <v>112002</v>
      </c>
      <c r="D625">
        <v>1</v>
      </c>
      <c r="E625">
        <v>1</v>
      </c>
      <c r="F625">
        <v>0</v>
      </c>
      <c r="G625">
        <v>24</v>
      </c>
      <c r="H625">
        <v>1</v>
      </c>
      <c r="I625">
        <v>25</v>
      </c>
      <c r="J625">
        <v>25</v>
      </c>
      <c r="K625">
        <v>1</v>
      </c>
      <c r="L625">
        <v>25</v>
      </c>
      <c r="M625">
        <v>26</v>
      </c>
      <c r="N625">
        <v>1</v>
      </c>
      <c r="O625">
        <v>25</v>
      </c>
      <c r="P625">
        <v>29</v>
      </c>
      <c r="Q625">
        <v>1</v>
      </c>
      <c r="R625">
        <v>20</v>
      </c>
      <c r="S625">
        <v>31</v>
      </c>
      <c r="T625">
        <v>1</v>
      </c>
      <c r="W625">
        <v>213</v>
      </c>
      <c r="X625">
        <v>73</v>
      </c>
      <c r="Y625">
        <v>699</v>
      </c>
      <c r="AC625" s="106">
        <v>1</v>
      </c>
    </row>
    <row r="626" spans="1:29">
      <c r="A626">
        <f t="shared" si="9"/>
        <v>626</v>
      </c>
      <c r="B626" s="103">
        <v>11200802</v>
      </c>
      <c r="C626" s="106">
        <v>112005</v>
      </c>
      <c r="D626">
        <v>1</v>
      </c>
      <c r="E626">
        <v>3</v>
      </c>
      <c r="F626">
        <v>0</v>
      </c>
      <c r="G626">
        <v>47</v>
      </c>
      <c r="H626">
        <v>1</v>
      </c>
      <c r="I626">
        <v>25</v>
      </c>
      <c r="J626">
        <v>48</v>
      </c>
      <c r="K626">
        <v>1</v>
      </c>
      <c r="L626">
        <v>25</v>
      </c>
      <c r="M626">
        <v>50</v>
      </c>
      <c r="N626">
        <v>1</v>
      </c>
      <c r="O626">
        <v>25</v>
      </c>
      <c r="P626">
        <v>53</v>
      </c>
      <c r="Q626">
        <v>1</v>
      </c>
      <c r="R626">
        <v>20</v>
      </c>
      <c r="S626">
        <v>51</v>
      </c>
      <c r="T626">
        <v>1</v>
      </c>
      <c r="W626">
        <v>213</v>
      </c>
      <c r="X626">
        <v>73</v>
      </c>
      <c r="Y626">
        <v>699</v>
      </c>
      <c r="AC626" s="106">
        <v>1</v>
      </c>
    </row>
    <row r="627" spans="1:29">
      <c r="A627">
        <f t="shared" si="9"/>
        <v>627</v>
      </c>
      <c r="B627" s="103">
        <v>11200803</v>
      </c>
      <c r="C627" s="106">
        <v>121008</v>
      </c>
      <c r="D627">
        <v>1</v>
      </c>
      <c r="E627">
        <v>2</v>
      </c>
      <c r="F627">
        <v>0</v>
      </c>
      <c r="G627">
        <v>10009</v>
      </c>
      <c r="H627">
        <v>1</v>
      </c>
      <c r="W627">
        <v>389</v>
      </c>
      <c r="X627">
        <v>123</v>
      </c>
      <c r="Y627">
        <v>1114</v>
      </c>
      <c r="AC627" s="106">
        <v>1</v>
      </c>
    </row>
    <row r="628" spans="1:29">
      <c r="A628">
        <f t="shared" si="9"/>
        <v>628</v>
      </c>
      <c r="B628" s="103">
        <v>11200803</v>
      </c>
      <c r="C628" s="106">
        <v>121008</v>
      </c>
      <c r="D628">
        <v>1</v>
      </c>
      <c r="E628">
        <v>1</v>
      </c>
      <c r="F628">
        <v>0</v>
      </c>
      <c r="G628">
        <v>10009</v>
      </c>
      <c r="H628">
        <v>1</v>
      </c>
      <c r="W628">
        <v>389</v>
      </c>
      <c r="X628">
        <v>123</v>
      </c>
      <c r="Y628">
        <v>1114</v>
      </c>
      <c r="AC628" s="106">
        <v>1</v>
      </c>
    </row>
    <row r="629" spans="1:29">
      <c r="A629">
        <f t="shared" si="9"/>
        <v>629</v>
      </c>
      <c r="B629" s="103">
        <v>11200803</v>
      </c>
      <c r="C629" s="106">
        <v>121008</v>
      </c>
      <c r="D629">
        <v>1</v>
      </c>
      <c r="E629">
        <v>3</v>
      </c>
      <c r="F629">
        <v>0</v>
      </c>
      <c r="G629">
        <v>10009</v>
      </c>
      <c r="H629">
        <v>1</v>
      </c>
      <c r="W629">
        <v>389</v>
      </c>
      <c r="X629">
        <v>123</v>
      </c>
      <c r="Y629">
        <v>1114</v>
      </c>
      <c r="AC629" s="106">
        <v>1</v>
      </c>
    </row>
    <row r="630" spans="1:29">
      <c r="A630">
        <f t="shared" si="9"/>
        <v>630</v>
      </c>
      <c r="B630" s="103">
        <v>11200804</v>
      </c>
      <c r="C630" s="106">
        <v>121008</v>
      </c>
      <c r="D630">
        <v>1</v>
      </c>
      <c r="E630">
        <v>2</v>
      </c>
      <c r="F630">
        <v>0</v>
      </c>
      <c r="G630">
        <v>10009</v>
      </c>
      <c r="H630">
        <v>1</v>
      </c>
      <c r="W630">
        <v>675</v>
      </c>
      <c r="X630">
        <v>196</v>
      </c>
      <c r="Y630">
        <v>1771</v>
      </c>
      <c r="AC630" s="106">
        <v>1</v>
      </c>
    </row>
    <row r="631" spans="1:29">
      <c r="A631">
        <f t="shared" si="9"/>
        <v>631</v>
      </c>
      <c r="B631" s="103">
        <v>11200804</v>
      </c>
      <c r="C631" s="106">
        <v>121008</v>
      </c>
      <c r="D631">
        <v>1</v>
      </c>
      <c r="E631">
        <v>1</v>
      </c>
      <c r="F631">
        <v>0</v>
      </c>
      <c r="G631">
        <v>10009</v>
      </c>
      <c r="H631">
        <v>1</v>
      </c>
      <c r="W631">
        <v>675</v>
      </c>
      <c r="X631">
        <v>196</v>
      </c>
      <c r="Y631">
        <v>1771</v>
      </c>
      <c r="AC631" s="106">
        <v>1</v>
      </c>
    </row>
    <row r="632" spans="1:29">
      <c r="A632">
        <f t="shared" si="9"/>
        <v>632</v>
      </c>
      <c r="B632" s="103">
        <v>11200804</v>
      </c>
      <c r="C632" s="106">
        <v>121008</v>
      </c>
      <c r="D632">
        <v>1</v>
      </c>
      <c r="E632">
        <v>3</v>
      </c>
      <c r="F632">
        <v>0</v>
      </c>
      <c r="G632">
        <v>10009</v>
      </c>
      <c r="H632">
        <v>1</v>
      </c>
      <c r="W632">
        <v>675</v>
      </c>
      <c r="X632">
        <v>196</v>
      </c>
      <c r="Y632">
        <v>1771</v>
      </c>
      <c r="AC632" s="106">
        <v>1</v>
      </c>
    </row>
    <row r="633" spans="1:29">
      <c r="A633">
        <f t="shared" si="9"/>
        <v>633</v>
      </c>
      <c r="B633" s="103">
        <v>11201301</v>
      </c>
      <c r="C633" s="106">
        <v>112003</v>
      </c>
      <c r="D633">
        <v>1</v>
      </c>
      <c r="E633">
        <v>2</v>
      </c>
      <c r="F633">
        <v>0</v>
      </c>
      <c r="G633">
        <v>63</v>
      </c>
      <c r="H633">
        <v>1</v>
      </c>
      <c r="I633">
        <v>25</v>
      </c>
      <c r="J633">
        <v>65</v>
      </c>
      <c r="K633">
        <v>1</v>
      </c>
      <c r="L633">
        <v>25</v>
      </c>
      <c r="M633">
        <v>66</v>
      </c>
      <c r="N633">
        <v>1</v>
      </c>
      <c r="O633">
        <v>25</v>
      </c>
      <c r="P633">
        <v>68</v>
      </c>
      <c r="Q633">
        <v>1</v>
      </c>
      <c r="R633">
        <v>20</v>
      </c>
      <c r="S633">
        <v>67</v>
      </c>
      <c r="T633">
        <v>1</v>
      </c>
      <c r="W633">
        <v>62</v>
      </c>
      <c r="X633">
        <v>19</v>
      </c>
      <c r="Y633">
        <v>242</v>
      </c>
      <c r="AC633" s="106">
        <v>1</v>
      </c>
    </row>
    <row r="634" spans="1:29">
      <c r="A634">
        <f t="shared" si="9"/>
        <v>634</v>
      </c>
      <c r="B634" s="103">
        <v>11201301</v>
      </c>
      <c r="C634" s="106">
        <v>112005</v>
      </c>
      <c r="D634">
        <v>1</v>
      </c>
      <c r="E634">
        <v>1</v>
      </c>
      <c r="F634">
        <v>0</v>
      </c>
      <c r="G634">
        <v>47</v>
      </c>
      <c r="H634">
        <v>1</v>
      </c>
      <c r="I634">
        <v>25</v>
      </c>
      <c r="J634">
        <v>48</v>
      </c>
      <c r="K634">
        <v>1</v>
      </c>
      <c r="L634">
        <v>25</v>
      </c>
      <c r="M634">
        <v>50</v>
      </c>
      <c r="N634">
        <v>1</v>
      </c>
      <c r="O634">
        <v>25</v>
      </c>
      <c r="P634">
        <v>53</v>
      </c>
      <c r="Q634">
        <v>1</v>
      </c>
      <c r="R634">
        <v>20</v>
      </c>
      <c r="S634">
        <v>51</v>
      </c>
      <c r="T634">
        <v>1</v>
      </c>
      <c r="W634">
        <v>62</v>
      </c>
      <c r="X634">
        <v>19</v>
      </c>
      <c r="Y634">
        <v>242</v>
      </c>
      <c r="AC634" s="106">
        <v>1</v>
      </c>
    </row>
    <row r="635" spans="1:29">
      <c r="A635">
        <f t="shared" si="9"/>
        <v>635</v>
      </c>
      <c r="B635" s="103">
        <v>11201301</v>
      </c>
      <c r="C635" s="106">
        <v>112004</v>
      </c>
      <c r="D635">
        <v>1</v>
      </c>
      <c r="E635">
        <v>3</v>
      </c>
      <c r="F635">
        <v>0</v>
      </c>
      <c r="G635">
        <v>55</v>
      </c>
      <c r="H635">
        <v>1</v>
      </c>
      <c r="I635">
        <v>25</v>
      </c>
      <c r="J635">
        <v>58</v>
      </c>
      <c r="K635">
        <v>1</v>
      </c>
      <c r="L635">
        <v>25</v>
      </c>
      <c r="M635">
        <v>59</v>
      </c>
      <c r="N635">
        <v>1</v>
      </c>
      <c r="O635">
        <v>25</v>
      </c>
      <c r="P635">
        <v>60</v>
      </c>
      <c r="Q635">
        <v>1</v>
      </c>
      <c r="R635">
        <v>20</v>
      </c>
      <c r="S635">
        <v>62</v>
      </c>
      <c r="T635">
        <v>1</v>
      </c>
      <c r="W635">
        <v>62</v>
      </c>
      <c r="X635">
        <v>19</v>
      </c>
      <c r="Y635">
        <v>242</v>
      </c>
      <c r="AC635" s="106">
        <v>1</v>
      </c>
    </row>
    <row r="636" spans="1:29">
      <c r="A636">
        <f t="shared" si="9"/>
        <v>636</v>
      </c>
      <c r="B636" s="103">
        <v>11201302</v>
      </c>
      <c r="C636" s="106">
        <v>112002</v>
      </c>
      <c r="D636">
        <v>1</v>
      </c>
      <c r="E636">
        <v>2</v>
      </c>
      <c r="F636">
        <v>0</v>
      </c>
      <c r="G636">
        <v>24</v>
      </c>
      <c r="H636">
        <v>1</v>
      </c>
      <c r="I636">
        <v>25</v>
      </c>
      <c r="J636">
        <v>25</v>
      </c>
      <c r="K636">
        <v>1</v>
      </c>
      <c r="L636">
        <v>25</v>
      </c>
      <c r="M636">
        <v>26</v>
      </c>
      <c r="N636">
        <v>1</v>
      </c>
      <c r="O636">
        <v>25</v>
      </c>
      <c r="P636">
        <v>29</v>
      </c>
      <c r="Q636">
        <v>1</v>
      </c>
      <c r="R636">
        <v>20</v>
      </c>
      <c r="S636">
        <v>31</v>
      </c>
      <c r="T636">
        <v>1</v>
      </c>
      <c r="W636">
        <v>213</v>
      </c>
      <c r="X636">
        <v>73</v>
      </c>
      <c r="Y636">
        <v>699</v>
      </c>
      <c r="AC636" s="106">
        <v>1</v>
      </c>
    </row>
    <row r="637" spans="1:29">
      <c r="A637">
        <f t="shared" si="9"/>
        <v>637</v>
      </c>
      <c r="B637" s="103">
        <v>11201302</v>
      </c>
      <c r="C637" s="106">
        <v>112005</v>
      </c>
      <c r="D637">
        <v>1</v>
      </c>
      <c r="E637">
        <v>1</v>
      </c>
      <c r="F637">
        <v>0</v>
      </c>
      <c r="G637">
        <v>47</v>
      </c>
      <c r="H637">
        <v>1</v>
      </c>
      <c r="I637">
        <v>25</v>
      </c>
      <c r="J637">
        <v>48</v>
      </c>
      <c r="K637">
        <v>1</v>
      </c>
      <c r="L637">
        <v>25</v>
      </c>
      <c r="M637">
        <v>50</v>
      </c>
      <c r="N637">
        <v>1</v>
      </c>
      <c r="O637">
        <v>25</v>
      </c>
      <c r="P637">
        <v>53</v>
      </c>
      <c r="Q637">
        <v>1</v>
      </c>
      <c r="R637">
        <v>20</v>
      </c>
      <c r="S637">
        <v>51</v>
      </c>
      <c r="T637">
        <v>1</v>
      </c>
      <c r="W637">
        <v>213</v>
      </c>
      <c r="X637">
        <v>73</v>
      </c>
      <c r="Y637">
        <v>699</v>
      </c>
      <c r="AC637" s="106">
        <v>1</v>
      </c>
    </row>
    <row r="638" spans="1:29">
      <c r="A638">
        <f t="shared" si="9"/>
        <v>638</v>
      </c>
      <c r="B638" s="103">
        <v>11201302</v>
      </c>
      <c r="C638" s="106">
        <v>112003</v>
      </c>
      <c r="D638">
        <v>1</v>
      </c>
      <c r="E638">
        <v>3</v>
      </c>
      <c r="F638">
        <v>0</v>
      </c>
      <c r="G638">
        <v>63</v>
      </c>
      <c r="H638">
        <v>1</v>
      </c>
      <c r="I638">
        <v>25</v>
      </c>
      <c r="J638">
        <v>65</v>
      </c>
      <c r="K638">
        <v>1</v>
      </c>
      <c r="L638">
        <v>25</v>
      </c>
      <c r="M638">
        <v>66</v>
      </c>
      <c r="N638">
        <v>1</v>
      </c>
      <c r="O638">
        <v>25</v>
      </c>
      <c r="P638">
        <v>68</v>
      </c>
      <c r="Q638">
        <v>1</v>
      </c>
      <c r="R638">
        <v>20</v>
      </c>
      <c r="S638">
        <v>67</v>
      </c>
      <c r="T638">
        <v>1</v>
      </c>
      <c r="W638">
        <v>213</v>
      </c>
      <c r="X638">
        <v>73</v>
      </c>
      <c r="Y638">
        <v>699</v>
      </c>
      <c r="AC638" s="106">
        <v>1</v>
      </c>
    </row>
    <row r="639" spans="1:29">
      <c r="A639">
        <f t="shared" si="9"/>
        <v>639</v>
      </c>
      <c r="B639" s="103">
        <v>11201303</v>
      </c>
      <c r="C639" s="106">
        <v>112002</v>
      </c>
      <c r="D639">
        <v>1</v>
      </c>
      <c r="E639">
        <v>2</v>
      </c>
      <c r="F639">
        <v>0</v>
      </c>
      <c r="G639">
        <v>24</v>
      </c>
      <c r="H639">
        <v>1</v>
      </c>
      <c r="I639">
        <v>25</v>
      </c>
      <c r="J639">
        <v>25</v>
      </c>
      <c r="K639">
        <v>1</v>
      </c>
      <c r="L639">
        <v>25</v>
      </c>
      <c r="M639">
        <v>26</v>
      </c>
      <c r="N639">
        <v>1</v>
      </c>
      <c r="O639">
        <v>25</v>
      </c>
      <c r="P639">
        <v>29</v>
      </c>
      <c r="Q639">
        <v>1</v>
      </c>
      <c r="R639">
        <v>20</v>
      </c>
      <c r="S639">
        <v>31</v>
      </c>
      <c r="T639">
        <v>1</v>
      </c>
      <c r="W639">
        <v>389</v>
      </c>
      <c r="X639">
        <v>123</v>
      </c>
      <c r="Y639">
        <v>1114</v>
      </c>
      <c r="AC639" s="106">
        <v>1</v>
      </c>
    </row>
    <row r="640" spans="1:29">
      <c r="A640">
        <f t="shared" si="9"/>
        <v>640</v>
      </c>
      <c r="B640" s="103">
        <v>11201303</v>
      </c>
      <c r="C640" s="106">
        <v>112005</v>
      </c>
      <c r="D640">
        <v>1</v>
      </c>
      <c r="E640">
        <v>1</v>
      </c>
      <c r="F640">
        <v>0</v>
      </c>
      <c r="G640">
        <v>47</v>
      </c>
      <c r="H640">
        <v>1</v>
      </c>
      <c r="I640">
        <v>25</v>
      </c>
      <c r="J640">
        <v>48</v>
      </c>
      <c r="K640">
        <v>1</v>
      </c>
      <c r="L640">
        <v>25</v>
      </c>
      <c r="M640">
        <v>50</v>
      </c>
      <c r="N640">
        <v>1</v>
      </c>
      <c r="O640">
        <v>25</v>
      </c>
      <c r="P640">
        <v>53</v>
      </c>
      <c r="Q640">
        <v>1</v>
      </c>
      <c r="R640">
        <v>20</v>
      </c>
      <c r="S640">
        <v>51</v>
      </c>
      <c r="T640">
        <v>1</v>
      </c>
      <c r="W640">
        <v>389</v>
      </c>
      <c r="X640">
        <v>123</v>
      </c>
      <c r="Y640">
        <v>1114</v>
      </c>
      <c r="AC640" s="106">
        <v>1</v>
      </c>
    </row>
    <row r="641" spans="1:29">
      <c r="A641">
        <f t="shared" si="9"/>
        <v>641</v>
      </c>
      <c r="B641" s="103">
        <v>11201303</v>
      </c>
      <c r="C641" s="106">
        <v>112003</v>
      </c>
      <c r="D641">
        <v>1</v>
      </c>
      <c r="E641">
        <v>3</v>
      </c>
      <c r="F641">
        <v>0</v>
      </c>
      <c r="G641">
        <v>63</v>
      </c>
      <c r="H641">
        <v>1</v>
      </c>
      <c r="I641">
        <v>25</v>
      </c>
      <c r="J641">
        <v>65</v>
      </c>
      <c r="K641">
        <v>1</v>
      </c>
      <c r="L641">
        <v>25</v>
      </c>
      <c r="M641">
        <v>66</v>
      </c>
      <c r="N641">
        <v>1</v>
      </c>
      <c r="O641">
        <v>25</v>
      </c>
      <c r="P641">
        <v>68</v>
      </c>
      <c r="Q641">
        <v>1</v>
      </c>
      <c r="R641">
        <v>20</v>
      </c>
      <c r="S641">
        <v>67</v>
      </c>
      <c r="T641">
        <v>1</v>
      </c>
      <c r="W641">
        <v>389</v>
      </c>
      <c r="X641">
        <v>123</v>
      </c>
      <c r="Y641">
        <v>1114</v>
      </c>
      <c r="AC641" s="106">
        <v>1</v>
      </c>
    </row>
    <row r="642" spans="1:29">
      <c r="A642">
        <f t="shared" ref="A642:A705" si="10">ROW(A642)</f>
        <v>642</v>
      </c>
      <c r="B642" s="103">
        <v>11201401</v>
      </c>
      <c r="C642" s="106">
        <v>112004</v>
      </c>
      <c r="D642">
        <v>1</v>
      </c>
      <c r="E642">
        <v>2</v>
      </c>
      <c r="F642">
        <v>0</v>
      </c>
      <c r="G642">
        <v>55</v>
      </c>
      <c r="H642">
        <v>1</v>
      </c>
      <c r="I642">
        <v>25</v>
      </c>
      <c r="J642">
        <v>58</v>
      </c>
      <c r="K642">
        <v>1</v>
      </c>
      <c r="L642">
        <v>25</v>
      </c>
      <c r="M642">
        <v>59</v>
      </c>
      <c r="N642">
        <v>1</v>
      </c>
      <c r="O642">
        <v>25</v>
      </c>
      <c r="P642">
        <v>60</v>
      </c>
      <c r="Q642">
        <v>1</v>
      </c>
      <c r="R642">
        <v>20</v>
      </c>
      <c r="S642">
        <v>62</v>
      </c>
      <c r="T642">
        <v>1</v>
      </c>
      <c r="W642">
        <v>62</v>
      </c>
      <c r="X642">
        <v>19</v>
      </c>
      <c r="Y642">
        <v>242</v>
      </c>
      <c r="AC642" s="106">
        <v>1</v>
      </c>
    </row>
    <row r="643" spans="1:29">
      <c r="A643">
        <f t="shared" si="10"/>
        <v>643</v>
      </c>
      <c r="B643" s="103">
        <v>11201401</v>
      </c>
      <c r="C643" s="106">
        <v>112003</v>
      </c>
      <c r="D643">
        <v>1</v>
      </c>
      <c r="E643">
        <v>1</v>
      </c>
      <c r="F643">
        <v>0</v>
      </c>
      <c r="G643">
        <v>63</v>
      </c>
      <c r="H643">
        <v>1</v>
      </c>
      <c r="I643">
        <v>25</v>
      </c>
      <c r="J643">
        <v>65</v>
      </c>
      <c r="K643">
        <v>1</v>
      </c>
      <c r="L643">
        <v>25</v>
      </c>
      <c r="M643">
        <v>66</v>
      </c>
      <c r="N643">
        <v>1</v>
      </c>
      <c r="O643">
        <v>25</v>
      </c>
      <c r="P643">
        <v>68</v>
      </c>
      <c r="Q643">
        <v>1</v>
      </c>
      <c r="R643">
        <v>20</v>
      </c>
      <c r="S643">
        <v>67</v>
      </c>
      <c r="T643">
        <v>1</v>
      </c>
      <c r="W643">
        <v>62</v>
      </c>
      <c r="X643">
        <v>19</v>
      </c>
      <c r="Y643">
        <v>242</v>
      </c>
      <c r="AC643" s="106">
        <v>1</v>
      </c>
    </row>
    <row r="644" spans="1:29">
      <c r="A644">
        <f t="shared" si="10"/>
        <v>644</v>
      </c>
      <c r="B644" s="103">
        <v>11201401</v>
      </c>
      <c r="C644" s="106">
        <v>112005</v>
      </c>
      <c r="D644">
        <v>1</v>
      </c>
      <c r="E644">
        <v>3</v>
      </c>
      <c r="F644">
        <v>0</v>
      </c>
      <c r="G644">
        <v>47</v>
      </c>
      <c r="H644">
        <v>1</v>
      </c>
      <c r="I644">
        <v>25</v>
      </c>
      <c r="J644">
        <v>48</v>
      </c>
      <c r="K644">
        <v>1</v>
      </c>
      <c r="L644">
        <v>25</v>
      </c>
      <c r="M644">
        <v>50</v>
      </c>
      <c r="N644">
        <v>1</v>
      </c>
      <c r="O644">
        <v>25</v>
      </c>
      <c r="P644">
        <v>53</v>
      </c>
      <c r="Q644">
        <v>1</v>
      </c>
      <c r="R644">
        <v>20</v>
      </c>
      <c r="S644">
        <v>51</v>
      </c>
      <c r="T644">
        <v>1</v>
      </c>
      <c r="W644">
        <v>62</v>
      </c>
      <c r="X644">
        <v>19</v>
      </c>
      <c r="Y644">
        <v>242</v>
      </c>
      <c r="AC644" s="106">
        <v>1</v>
      </c>
    </row>
    <row r="645" spans="1:29">
      <c r="A645">
        <f t="shared" si="10"/>
        <v>645</v>
      </c>
      <c r="B645" s="103">
        <v>11201402</v>
      </c>
      <c r="C645" s="106">
        <v>112005</v>
      </c>
      <c r="D645">
        <v>1</v>
      </c>
      <c r="E645">
        <v>3</v>
      </c>
      <c r="F645">
        <v>0</v>
      </c>
      <c r="G645">
        <v>47</v>
      </c>
      <c r="H645">
        <v>1</v>
      </c>
      <c r="I645">
        <v>25</v>
      </c>
      <c r="J645">
        <v>48</v>
      </c>
      <c r="K645">
        <v>1</v>
      </c>
      <c r="L645">
        <v>25</v>
      </c>
      <c r="M645">
        <v>50</v>
      </c>
      <c r="N645">
        <v>1</v>
      </c>
      <c r="O645">
        <v>25</v>
      </c>
      <c r="P645">
        <v>53</v>
      </c>
      <c r="Q645">
        <v>1</v>
      </c>
      <c r="R645">
        <v>20</v>
      </c>
      <c r="S645">
        <v>51</v>
      </c>
      <c r="T645">
        <v>1</v>
      </c>
      <c r="W645">
        <v>213</v>
      </c>
      <c r="X645">
        <v>73</v>
      </c>
      <c r="Y645">
        <v>699</v>
      </c>
      <c r="AC645" s="106">
        <v>1</v>
      </c>
    </row>
    <row r="646" spans="1:29">
      <c r="A646">
        <f t="shared" si="10"/>
        <v>646</v>
      </c>
      <c r="B646" s="103">
        <v>11201402</v>
      </c>
      <c r="C646" s="106">
        <v>112002</v>
      </c>
      <c r="D646">
        <v>1</v>
      </c>
      <c r="E646">
        <v>1</v>
      </c>
      <c r="F646">
        <v>0</v>
      </c>
      <c r="G646">
        <v>24</v>
      </c>
      <c r="H646">
        <v>1</v>
      </c>
      <c r="I646">
        <v>25</v>
      </c>
      <c r="J646">
        <v>25</v>
      </c>
      <c r="K646">
        <v>1</v>
      </c>
      <c r="L646">
        <v>25</v>
      </c>
      <c r="M646">
        <v>26</v>
      </c>
      <c r="N646">
        <v>1</v>
      </c>
      <c r="O646">
        <v>25</v>
      </c>
      <c r="P646">
        <v>29</v>
      </c>
      <c r="Q646">
        <v>1</v>
      </c>
      <c r="R646">
        <v>20</v>
      </c>
      <c r="S646">
        <v>31</v>
      </c>
      <c r="T646">
        <v>1</v>
      </c>
      <c r="W646">
        <v>213</v>
      </c>
      <c r="X646">
        <v>73</v>
      </c>
      <c r="Y646">
        <v>699</v>
      </c>
      <c r="AC646" s="106">
        <v>1</v>
      </c>
    </row>
    <row r="647" spans="1:29">
      <c r="A647">
        <f t="shared" si="10"/>
        <v>647</v>
      </c>
      <c r="B647" s="103">
        <v>11201402</v>
      </c>
      <c r="C647" s="106">
        <v>112001</v>
      </c>
      <c r="D647">
        <v>1</v>
      </c>
      <c r="E647">
        <v>3</v>
      </c>
      <c r="F647">
        <v>0</v>
      </c>
      <c r="G647">
        <v>1</v>
      </c>
      <c r="H647">
        <v>1</v>
      </c>
      <c r="I647">
        <v>25</v>
      </c>
      <c r="J647">
        <v>2</v>
      </c>
      <c r="K647">
        <v>1</v>
      </c>
      <c r="L647">
        <v>25</v>
      </c>
      <c r="M647">
        <v>6</v>
      </c>
      <c r="N647">
        <v>1</v>
      </c>
      <c r="O647">
        <v>25</v>
      </c>
      <c r="P647">
        <v>8</v>
      </c>
      <c r="Q647">
        <v>1</v>
      </c>
      <c r="R647">
        <v>20</v>
      </c>
      <c r="S647">
        <v>3</v>
      </c>
      <c r="T647">
        <v>1</v>
      </c>
      <c r="W647">
        <v>213</v>
      </c>
      <c r="X647">
        <v>73</v>
      </c>
      <c r="Y647">
        <v>699</v>
      </c>
      <c r="AC647" s="106">
        <v>1</v>
      </c>
    </row>
    <row r="648" spans="1:29">
      <c r="A648">
        <f t="shared" si="10"/>
        <v>648</v>
      </c>
      <c r="B648" s="103">
        <v>11201403</v>
      </c>
      <c r="C648" s="106">
        <v>121008</v>
      </c>
      <c r="D648">
        <v>1</v>
      </c>
      <c r="E648">
        <v>2</v>
      </c>
      <c r="F648">
        <v>0</v>
      </c>
      <c r="G648">
        <v>10009</v>
      </c>
      <c r="H648">
        <v>1</v>
      </c>
      <c r="W648">
        <v>389</v>
      </c>
      <c r="X648">
        <v>123</v>
      </c>
      <c r="Y648">
        <v>1114</v>
      </c>
      <c r="AC648" s="106">
        <v>1</v>
      </c>
    </row>
    <row r="649" spans="1:29">
      <c r="A649">
        <f t="shared" si="10"/>
        <v>649</v>
      </c>
      <c r="B649" s="103">
        <v>11201403</v>
      </c>
      <c r="C649" s="106">
        <v>121008</v>
      </c>
      <c r="D649">
        <v>1</v>
      </c>
      <c r="E649">
        <v>1</v>
      </c>
      <c r="F649">
        <v>0</v>
      </c>
      <c r="G649">
        <v>10009</v>
      </c>
      <c r="H649">
        <v>1</v>
      </c>
      <c r="W649">
        <v>389</v>
      </c>
      <c r="X649">
        <v>123</v>
      </c>
      <c r="Y649">
        <v>1114</v>
      </c>
      <c r="AC649" s="106">
        <v>1</v>
      </c>
    </row>
    <row r="650" spans="1:29">
      <c r="A650">
        <f t="shared" si="10"/>
        <v>650</v>
      </c>
      <c r="B650" s="103">
        <v>11201403</v>
      </c>
      <c r="C650" s="106">
        <v>121008</v>
      </c>
      <c r="D650">
        <v>1</v>
      </c>
      <c r="E650">
        <v>3</v>
      </c>
      <c r="F650">
        <v>0</v>
      </c>
      <c r="G650">
        <v>10009</v>
      </c>
      <c r="H650">
        <v>1</v>
      </c>
      <c r="W650">
        <v>389</v>
      </c>
      <c r="X650">
        <v>123</v>
      </c>
      <c r="Y650">
        <v>1114</v>
      </c>
      <c r="AC650" s="106">
        <v>1</v>
      </c>
    </row>
    <row r="651" spans="1:29">
      <c r="A651">
        <f t="shared" si="10"/>
        <v>651</v>
      </c>
      <c r="B651" s="103">
        <v>11201501</v>
      </c>
      <c r="C651" s="106">
        <v>112001</v>
      </c>
      <c r="D651">
        <v>1</v>
      </c>
      <c r="E651">
        <v>2</v>
      </c>
      <c r="F651">
        <v>0</v>
      </c>
      <c r="G651">
        <v>1</v>
      </c>
      <c r="H651">
        <v>1</v>
      </c>
      <c r="I651">
        <v>25</v>
      </c>
      <c r="J651">
        <v>2</v>
      </c>
      <c r="K651">
        <v>1</v>
      </c>
      <c r="L651">
        <v>25</v>
      </c>
      <c r="M651">
        <v>6</v>
      </c>
      <c r="N651">
        <v>1</v>
      </c>
      <c r="O651">
        <v>25</v>
      </c>
      <c r="P651">
        <v>8</v>
      </c>
      <c r="Q651">
        <v>1</v>
      </c>
      <c r="R651">
        <v>20</v>
      </c>
      <c r="S651">
        <v>3</v>
      </c>
      <c r="T651">
        <v>1</v>
      </c>
      <c r="W651">
        <v>62</v>
      </c>
      <c r="X651">
        <v>19</v>
      </c>
      <c r="Y651">
        <v>242</v>
      </c>
      <c r="AC651" s="106">
        <v>1</v>
      </c>
    </row>
    <row r="652" spans="1:29">
      <c r="A652">
        <f t="shared" si="10"/>
        <v>652</v>
      </c>
      <c r="B652" s="103">
        <v>11201501</v>
      </c>
      <c r="C652" s="106">
        <v>112002</v>
      </c>
      <c r="D652">
        <v>1</v>
      </c>
      <c r="E652">
        <v>1</v>
      </c>
      <c r="F652">
        <v>0</v>
      </c>
      <c r="G652">
        <v>24</v>
      </c>
      <c r="H652">
        <v>1</v>
      </c>
      <c r="I652">
        <v>25</v>
      </c>
      <c r="J652">
        <v>25</v>
      </c>
      <c r="K652">
        <v>1</v>
      </c>
      <c r="L652">
        <v>25</v>
      </c>
      <c r="M652">
        <v>26</v>
      </c>
      <c r="N652">
        <v>1</v>
      </c>
      <c r="O652">
        <v>25</v>
      </c>
      <c r="P652">
        <v>29</v>
      </c>
      <c r="Q652">
        <v>1</v>
      </c>
      <c r="R652">
        <v>20</v>
      </c>
      <c r="S652">
        <v>31</v>
      </c>
      <c r="T652">
        <v>1</v>
      </c>
      <c r="W652">
        <v>62</v>
      </c>
      <c r="X652">
        <v>19</v>
      </c>
      <c r="Y652">
        <v>242</v>
      </c>
      <c r="AC652" s="106">
        <v>1</v>
      </c>
    </row>
    <row r="653" spans="1:29">
      <c r="A653">
        <f t="shared" si="10"/>
        <v>653</v>
      </c>
      <c r="B653" s="103">
        <v>11201501</v>
      </c>
      <c r="C653" s="106">
        <v>112005</v>
      </c>
      <c r="D653">
        <v>1</v>
      </c>
      <c r="E653">
        <v>3</v>
      </c>
      <c r="F653">
        <v>0</v>
      </c>
      <c r="G653">
        <v>47</v>
      </c>
      <c r="H653">
        <v>1</v>
      </c>
      <c r="I653">
        <v>25</v>
      </c>
      <c r="J653">
        <v>48</v>
      </c>
      <c r="K653">
        <v>1</v>
      </c>
      <c r="L653">
        <v>25</v>
      </c>
      <c r="M653">
        <v>50</v>
      </c>
      <c r="N653">
        <v>1</v>
      </c>
      <c r="O653">
        <v>25</v>
      </c>
      <c r="P653">
        <v>53</v>
      </c>
      <c r="Q653">
        <v>1</v>
      </c>
      <c r="R653">
        <v>20</v>
      </c>
      <c r="S653">
        <v>51</v>
      </c>
      <c r="T653">
        <v>1</v>
      </c>
      <c r="W653">
        <v>62</v>
      </c>
      <c r="X653">
        <v>19</v>
      </c>
      <c r="Y653">
        <v>242</v>
      </c>
      <c r="AC653" s="106">
        <v>1</v>
      </c>
    </row>
    <row r="654" spans="1:29">
      <c r="A654">
        <f t="shared" si="10"/>
        <v>654</v>
      </c>
      <c r="B654" s="103">
        <v>11201502</v>
      </c>
      <c r="C654" s="106">
        <v>112001</v>
      </c>
      <c r="D654">
        <v>1</v>
      </c>
      <c r="E654">
        <v>2</v>
      </c>
      <c r="F654">
        <v>0</v>
      </c>
      <c r="G654">
        <v>1</v>
      </c>
      <c r="H654">
        <v>1</v>
      </c>
      <c r="I654">
        <v>25</v>
      </c>
      <c r="J654">
        <v>2</v>
      </c>
      <c r="K654">
        <v>1</v>
      </c>
      <c r="L654">
        <v>25</v>
      </c>
      <c r="M654">
        <v>6</v>
      </c>
      <c r="N654">
        <v>1</v>
      </c>
      <c r="O654">
        <v>25</v>
      </c>
      <c r="P654">
        <v>8</v>
      </c>
      <c r="Q654">
        <v>1</v>
      </c>
      <c r="R654">
        <v>20</v>
      </c>
      <c r="S654">
        <v>3</v>
      </c>
      <c r="T654">
        <v>1</v>
      </c>
      <c r="W654">
        <v>213</v>
      </c>
      <c r="X654">
        <v>73</v>
      </c>
      <c r="Y654">
        <v>699</v>
      </c>
      <c r="AC654" s="106">
        <v>1</v>
      </c>
    </row>
    <row r="655" spans="1:29">
      <c r="A655">
        <f t="shared" si="10"/>
        <v>655</v>
      </c>
      <c r="B655" s="103">
        <v>11201502</v>
      </c>
      <c r="C655" s="106">
        <v>112003</v>
      </c>
      <c r="D655">
        <v>1</v>
      </c>
      <c r="E655">
        <v>1</v>
      </c>
      <c r="F655">
        <v>0</v>
      </c>
      <c r="G655">
        <v>63</v>
      </c>
      <c r="H655">
        <v>1</v>
      </c>
      <c r="I655">
        <v>25</v>
      </c>
      <c r="J655">
        <v>65</v>
      </c>
      <c r="K655">
        <v>1</v>
      </c>
      <c r="L655">
        <v>25</v>
      </c>
      <c r="M655">
        <v>66</v>
      </c>
      <c r="N655">
        <v>1</v>
      </c>
      <c r="O655">
        <v>25</v>
      </c>
      <c r="P655">
        <v>68</v>
      </c>
      <c r="Q655">
        <v>1</v>
      </c>
      <c r="R655">
        <v>20</v>
      </c>
      <c r="S655">
        <v>67</v>
      </c>
      <c r="T655">
        <v>1</v>
      </c>
      <c r="W655">
        <v>213</v>
      </c>
      <c r="X655">
        <v>73</v>
      </c>
      <c r="Y655">
        <v>699</v>
      </c>
      <c r="AC655" s="106">
        <v>1</v>
      </c>
    </row>
    <row r="656" spans="1:29">
      <c r="A656">
        <f t="shared" si="10"/>
        <v>656</v>
      </c>
      <c r="B656" s="103">
        <v>11201502</v>
      </c>
      <c r="C656" s="106">
        <v>112004</v>
      </c>
      <c r="D656">
        <v>1</v>
      </c>
      <c r="E656">
        <v>3</v>
      </c>
      <c r="F656">
        <v>0</v>
      </c>
      <c r="G656">
        <v>55</v>
      </c>
      <c r="H656">
        <v>1</v>
      </c>
      <c r="I656">
        <v>25</v>
      </c>
      <c r="J656">
        <v>58</v>
      </c>
      <c r="K656">
        <v>1</v>
      </c>
      <c r="L656">
        <v>25</v>
      </c>
      <c r="M656">
        <v>59</v>
      </c>
      <c r="N656">
        <v>1</v>
      </c>
      <c r="O656">
        <v>25</v>
      </c>
      <c r="P656">
        <v>60</v>
      </c>
      <c r="Q656">
        <v>1</v>
      </c>
      <c r="R656">
        <v>20</v>
      </c>
      <c r="S656">
        <v>62</v>
      </c>
      <c r="T656">
        <v>1</v>
      </c>
      <c r="W656">
        <v>213</v>
      </c>
      <c r="X656">
        <v>73</v>
      </c>
      <c r="Y656">
        <v>699</v>
      </c>
      <c r="AC656" s="106">
        <v>1</v>
      </c>
    </row>
    <row r="657" spans="1:29">
      <c r="A657">
        <f t="shared" si="10"/>
        <v>657</v>
      </c>
      <c r="B657" s="103">
        <v>11201503</v>
      </c>
      <c r="C657" s="106">
        <v>112005</v>
      </c>
      <c r="D657">
        <v>1</v>
      </c>
      <c r="E657">
        <v>2</v>
      </c>
      <c r="F657">
        <v>0</v>
      </c>
      <c r="G657">
        <v>47</v>
      </c>
      <c r="H657">
        <v>1</v>
      </c>
      <c r="I657">
        <v>25</v>
      </c>
      <c r="J657">
        <v>48</v>
      </c>
      <c r="K657">
        <v>1</v>
      </c>
      <c r="L657">
        <v>25</v>
      </c>
      <c r="M657">
        <v>50</v>
      </c>
      <c r="N657">
        <v>1</v>
      </c>
      <c r="O657">
        <v>25</v>
      </c>
      <c r="P657">
        <v>53</v>
      </c>
      <c r="Q657">
        <v>1</v>
      </c>
      <c r="R657">
        <v>20</v>
      </c>
      <c r="S657">
        <v>51</v>
      </c>
      <c r="T657">
        <v>1</v>
      </c>
      <c r="W657">
        <v>389</v>
      </c>
      <c r="X657">
        <v>123</v>
      </c>
      <c r="Y657">
        <v>1114</v>
      </c>
      <c r="AC657" s="106">
        <v>1</v>
      </c>
    </row>
    <row r="658" spans="1:29">
      <c r="A658">
        <f t="shared" si="10"/>
        <v>658</v>
      </c>
      <c r="B658" s="103">
        <v>11201503</v>
      </c>
      <c r="C658" s="106">
        <v>112002</v>
      </c>
      <c r="D658">
        <v>1</v>
      </c>
      <c r="E658">
        <v>1</v>
      </c>
      <c r="F658">
        <v>0</v>
      </c>
      <c r="G658">
        <v>24</v>
      </c>
      <c r="H658">
        <v>1</v>
      </c>
      <c r="I658">
        <v>25</v>
      </c>
      <c r="J658">
        <v>25</v>
      </c>
      <c r="K658">
        <v>1</v>
      </c>
      <c r="L658">
        <v>25</v>
      </c>
      <c r="M658">
        <v>26</v>
      </c>
      <c r="N658">
        <v>1</v>
      </c>
      <c r="O658">
        <v>25</v>
      </c>
      <c r="P658">
        <v>29</v>
      </c>
      <c r="Q658">
        <v>1</v>
      </c>
      <c r="R658">
        <v>20</v>
      </c>
      <c r="S658">
        <v>31</v>
      </c>
      <c r="T658">
        <v>1</v>
      </c>
      <c r="W658">
        <v>389</v>
      </c>
      <c r="X658">
        <v>123</v>
      </c>
      <c r="Y658">
        <v>1114</v>
      </c>
      <c r="AC658" s="106">
        <v>1</v>
      </c>
    </row>
    <row r="659" spans="1:29">
      <c r="A659">
        <f t="shared" si="10"/>
        <v>659</v>
      </c>
      <c r="B659" s="103">
        <v>11201503</v>
      </c>
      <c r="C659" s="106">
        <v>112003</v>
      </c>
      <c r="D659">
        <v>1</v>
      </c>
      <c r="E659">
        <v>3</v>
      </c>
      <c r="F659">
        <v>0</v>
      </c>
      <c r="G659">
        <v>63</v>
      </c>
      <c r="H659">
        <v>1</v>
      </c>
      <c r="I659">
        <v>25</v>
      </c>
      <c r="J659">
        <v>65</v>
      </c>
      <c r="K659">
        <v>1</v>
      </c>
      <c r="L659">
        <v>25</v>
      </c>
      <c r="M659">
        <v>66</v>
      </c>
      <c r="N659">
        <v>1</v>
      </c>
      <c r="O659">
        <v>25</v>
      </c>
      <c r="P659">
        <v>68</v>
      </c>
      <c r="Q659">
        <v>1</v>
      </c>
      <c r="R659">
        <v>20</v>
      </c>
      <c r="S659">
        <v>67</v>
      </c>
      <c r="T659">
        <v>1</v>
      </c>
      <c r="W659">
        <v>389</v>
      </c>
      <c r="X659">
        <v>123</v>
      </c>
      <c r="Y659">
        <v>1114</v>
      </c>
      <c r="AC659" s="106">
        <v>1</v>
      </c>
    </row>
    <row r="660" spans="1:29">
      <c r="A660">
        <f t="shared" si="10"/>
        <v>660</v>
      </c>
      <c r="B660" s="103">
        <v>11201701</v>
      </c>
      <c r="C660" s="106">
        <v>121008</v>
      </c>
      <c r="D660">
        <v>1</v>
      </c>
      <c r="E660">
        <v>2</v>
      </c>
      <c r="F660">
        <v>0</v>
      </c>
      <c r="G660">
        <v>10009</v>
      </c>
      <c r="H660">
        <v>1</v>
      </c>
      <c r="W660">
        <v>62</v>
      </c>
      <c r="X660">
        <v>19</v>
      </c>
      <c r="Y660">
        <v>242</v>
      </c>
      <c r="AC660" s="106">
        <v>1</v>
      </c>
    </row>
    <row r="661" spans="1:29">
      <c r="A661">
        <f t="shared" si="10"/>
        <v>661</v>
      </c>
      <c r="B661" s="103">
        <v>11201701</v>
      </c>
      <c r="C661" s="106">
        <v>121008</v>
      </c>
      <c r="D661">
        <v>1</v>
      </c>
      <c r="E661">
        <v>1</v>
      </c>
      <c r="F661">
        <v>0</v>
      </c>
      <c r="G661">
        <v>10009</v>
      </c>
      <c r="H661">
        <v>1</v>
      </c>
      <c r="W661">
        <v>62</v>
      </c>
      <c r="X661">
        <v>19</v>
      </c>
      <c r="Y661">
        <v>242</v>
      </c>
      <c r="AC661" s="106">
        <v>1</v>
      </c>
    </row>
    <row r="662" spans="1:29">
      <c r="A662">
        <f t="shared" si="10"/>
        <v>662</v>
      </c>
      <c r="B662" s="103">
        <v>11201701</v>
      </c>
      <c r="C662" s="106">
        <v>121008</v>
      </c>
      <c r="D662">
        <v>1</v>
      </c>
      <c r="E662">
        <v>3</v>
      </c>
      <c r="F662">
        <v>0</v>
      </c>
      <c r="G662">
        <v>10009</v>
      </c>
      <c r="H662">
        <v>1</v>
      </c>
      <c r="W662">
        <v>62</v>
      </c>
      <c r="X662">
        <v>19</v>
      </c>
      <c r="Y662">
        <v>242</v>
      </c>
      <c r="AC662" s="106">
        <v>1</v>
      </c>
    </row>
    <row r="663" spans="1:29">
      <c r="A663">
        <f t="shared" si="10"/>
        <v>663</v>
      </c>
      <c r="B663" s="103">
        <v>11201702</v>
      </c>
      <c r="C663" s="106">
        <v>112001</v>
      </c>
      <c r="D663">
        <v>1</v>
      </c>
      <c r="E663">
        <v>2</v>
      </c>
      <c r="F663">
        <v>0</v>
      </c>
      <c r="G663">
        <v>1</v>
      </c>
      <c r="H663">
        <v>1</v>
      </c>
      <c r="I663">
        <v>25</v>
      </c>
      <c r="J663">
        <v>2</v>
      </c>
      <c r="K663">
        <v>1</v>
      </c>
      <c r="L663">
        <v>25</v>
      </c>
      <c r="M663">
        <v>6</v>
      </c>
      <c r="N663">
        <v>1</v>
      </c>
      <c r="O663">
        <v>25</v>
      </c>
      <c r="P663">
        <v>8</v>
      </c>
      <c r="Q663">
        <v>1</v>
      </c>
      <c r="R663">
        <v>20</v>
      </c>
      <c r="S663">
        <v>3</v>
      </c>
      <c r="T663">
        <v>1</v>
      </c>
      <c r="W663">
        <v>213</v>
      </c>
      <c r="X663">
        <v>73</v>
      </c>
      <c r="Y663">
        <v>699</v>
      </c>
      <c r="AC663" s="106">
        <v>1</v>
      </c>
    </row>
    <row r="664" spans="1:29">
      <c r="A664">
        <f t="shared" si="10"/>
        <v>664</v>
      </c>
      <c r="B664" s="103">
        <v>11201702</v>
      </c>
      <c r="C664" s="106">
        <v>112002</v>
      </c>
      <c r="D664">
        <v>1</v>
      </c>
      <c r="E664">
        <v>1</v>
      </c>
      <c r="F664">
        <v>0</v>
      </c>
      <c r="G664">
        <v>24</v>
      </c>
      <c r="H664">
        <v>1</v>
      </c>
      <c r="I664">
        <v>25</v>
      </c>
      <c r="J664">
        <v>25</v>
      </c>
      <c r="K664">
        <v>1</v>
      </c>
      <c r="L664">
        <v>25</v>
      </c>
      <c r="M664">
        <v>26</v>
      </c>
      <c r="N664">
        <v>1</v>
      </c>
      <c r="O664">
        <v>25</v>
      </c>
      <c r="P664">
        <v>29</v>
      </c>
      <c r="Q664">
        <v>1</v>
      </c>
      <c r="R664">
        <v>20</v>
      </c>
      <c r="S664">
        <v>31</v>
      </c>
      <c r="T664">
        <v>1</v>
      </c>
      <c r="W664">
        <v>213</v>
      </c>
      <c r="X664">
        <v>73</v>
      </c>
      <c r="Y664">
        <v>699</v>
      </c>
      <c r="AC664" s="106">
        <v>1</v>
      </c>
    </row>
    <row r="665" spans="1:29">
      <c r="A665">
        <f t="shared" si="10"/>
        <v>665</v>
      </c>
      <c r="B665" s="103">
        <v>11201702</v>
      </c>
      <c r="C665" s="106">
        <v>112005</v>
      </c>
      <c r="D665">
        <v>1</v>
      </c>
      <c r="E665">
        <v>3</v>
      </c>
      <c r="F665">
        <v>0</v>
      </c>
      <c r="G665">
        <v>47</v>
      </c>
      <c r="H665">
        <v>1</v>
      </c>
      <c r="I665">
        <v>25</v>
      </c>
      <c r="J665">
        <v>48</v>
      </c>
      <c r="K665">
        <v>1</v>
      </c>
      <c r="L665">
        <v>25</v>
      </c>
      <c r="M665">
        <v>50</v>
      </c>
      <c r="N665">
        <v>1</v>
      </c>
      <c r="O665">
        <v>25</v>
      </c>
      <c r="P665">
        <v>53</v>
      </c>
      <c r="Q665">
        <v>1</v>
      </c>
      <c r="R665">
        <v>20</v>
      </c>
      <c r="S665">
        <v>51</v>
      </c>
      <c r="T665">
        <v>1</v>
      </c>
      <c r="W665">
        <v>213</v>
      </c>
      <c r="X665">
        <v>73</v>
      </c>
      <c r="Y665">
        <v>699</v>
      </c>
      <c r="AC665" s="106">
        <v>1</v>
      </c>
    </row>
    <row r="666" spans="1:29">
      <c r="A666">
        <f t="shared" si="10"/>
        <v>666</v>
      </c>
      <c r="B666" s="103">
        <v>11201703</v>
      </c>
      <c r="C666" s="106">
        <v>112001</v>
      </c>
      <c r="D666">
        <v>1</v>
      </c>
      <c r="E666">
        <v>2</v>
      </c>
      <c r="F666">
        <v>0</v>
      </c>
      <c r="G666">
        <v>1</v>
      </c>
      <c r="H666">
        <v>1</v>
      </c>
      <c r="I666">
        <v>25</v>
      </c>
      <c r="J666">
        <v>2</v>
      </c>
      <c r="K666">
        <v>1</v>
      </c>
      <c r="L666">
        <v>25</v>
      </c>
      <c r="M666">
        <v>6</v>
      </c>
      <c r="N666">
        <v>1</v>
      </c>
      <c r="O666">
        <v>25</v>
      </c>
      <c r="P666">
        <v>8</v>
      </c>
      <c r="Q666">
        <v>1</v>
      </c>
      <c r="R666">
        <v>20</v>
      </c>
      <c r="S666">
        <v>3</v>
      </c>
      <c r="T666">
        <v>1</v>
      </c>
      <c r="W666">
        <v>389</v>
      </c>
      <c r="X666">
        <v>123</v>
      </c>
      <c r="Y666">
        <v>1114</v>
      </c>
      <c r="AC666" s="106">
        <v>1</v>
      </c>
    </row>
    <row r="667" spans="1:29">
      <c r="A667">
        <f t="shared" si="10"/>
        <v>667</v>
      </c>
      <c r="B667" s="103">
        <v>11201703</v>
      </c>
      <c r="C667" s="106">
        <v>112002</v>
      </c>
      <c r="D667">
        <v>1</v>
      </c>
      <c r="E667">
        <v>1</v>
      </c>
      <c r="F667">
        <v>0</v>
      </c>
      <c r="G667">
        <v>24</v>
      </c>
      <c r="H667">
        <v>1</v>
      </c>
      <c r="I667">
        <v>25</v>
      </c>
      <c r="J667">
        <v>25</v>
      </c>
      <c r="K667">
        <v>1</v>
      </c>
      <c r="L667">
        <v>25</v>
      </c>
      <c r="M667">
        <v>26</v>
      </c>
      <c r="N667">
        <v>1</v>
      </c>
      <c r="O667">
        <v>25</v>
      </c>
      <c r="P667">
        <v>29</v>
      </c>
      <c r="Q667">
        <v>1</v>
      </c>
      <c r="R667">
        <v>20</v>
      </c>
      <c r="S667">
        <v>31</v>
      </c>
      <c r="T667">
        <v>1</v>
      </c>
      <c r="W667">
        <v>389</v>
      </c>
      <c r="X667">
        <v>123</v>
      </c>
      <c r="Y667">
        <v>1114</v>
      </c>
      <c r="AC667" s="106">
        <v>1</v>
      </c>
    </row>
    <row r="668" spans="1:29">
      <c r="A668">
        <f t="shared" si="10"/>
        <v>668</v>
      </c>
      <c r="B668" s="103">
        <v>11201703</v>
      </c>
      <c r="C668" s="106">
        <v>112005</v>
      </c>
      <c r="D668">
        <v>1</v>
      </c>
      <c r="E668">
        <v>3</v>
      </c>
      <c r="F668">
        <v>0</v>
      </c>
      <c r="G668">
        <v>47</v>
      </c>
      <c r="H668">
        <v>1</v>
      </c>
      <c r="I668">
        <v>25</v>
      </c>
      <c r="J668">
        <v>48</v>
      </c>
      <c r="K668">
        <v>1</v>
      </c>
      <c r="L668">
        <v>25</v>
      </c>
      <c r="M668">
        <v>50</v>
      </c>
      <c r="N668">
        <v>1</v>
      </c>
      <c r="O668">
        <v>25</v>
      </c>
      <c r="P668">
        <v>53</v>
      </c>
      <c r="Q668">
        <v>1</v>
      </c>
      <c r="R668">
        <v>20</v>
      </c>
      <c r="S668">
        <v>51</v>
      </c>
      <c r="T668">
        <v>1</v>
      </c>
      <c r="W668">
        <v>389</v>
      </c>
      <c r="X668">
        <v>123</v>
      </c>
      <c r="Y668">
        <v>1114</v>
      </c>
      <c r="AC668" s="106">
        <v>1</v>
      </c>
    </row>
    <row r="669" spans="1:29">
      <c r="A669">
        <f t="shared" si="10"/>
        <v>669</v>
      </c>
      <c r="B669" s="103">
        <v>11201901</v>
      </c>
      <c r="C669" s="106">
        <v>121008</v>
      </c>
      <c r="D669">
        <v>1</v>
      </c>
      <c r="E669">
        <v>2</v>
      </c>
      <c r="F669">
        <v>0</v>
      </c>
      <c r="G669">
        <v>10009</v>
      </c>
      <c r="H669">
        <v>1</v>
      </c>
      <c r="W669">
        <v>62</v>
      </c>
      <c r="X669">
        <v>19</v>
      </c>
      <c r="Y669">
        <v>242</v>
      </c>
      <c r="AC669" s="106">
        <v>1</v>
      </c>
    </row>
    <row r="670" spans="1:29">
      <c r="A670">
        <f t="shared" si="10"/>
        <v>670</v>
      </c>
      <c r="B670" s="103">
        <v>11201901</v>
      </c>
      <c r="C670" s="106">
        <v>121008</v>
      </c>
      <c r="D670">
        <v>1</v>
      </c>
      <c r="E670">
        <v>1</v>
      </c>
      <c r="F670">
        <v>0</v>
      </c>
      <c r="G670">
        <v>10009</v>
      </c>
      <c r="H670">
        <v>1</v>
      </c>
      <c r="W670">
        <v>62</v>
      </c>
      <c r="X670">
        <v>19</v>
      </c>
      <c r="Y670">
        <v>242</v>
      </c>
      <c r="AC670" s="106">
        <v>1</v>
      </c>
    </row>
    <row r="671" spans="1:29">
      <c r="A671">
        <f t="shared" si="10"/>
        <v>671</v>
      </c>
      <c r="B671" s="103">
        <v>11201901</v>
      </c>
      <c r="C671" s="106">
        <v>121008</v>
      </c>
      <c r="D671">
        <v>1</v>
      </c>
      <c r="E671">
        <v>3</v>
      </c>
      <c r="F671">
        <v>0</v>
      </c>
      <c r="G671">
        <v>10009</v>
      </c>
      <c r="H671">
        <v>1</v>
      </c>
      <c r="W671">
        <v>62</v>
      </c>
      <c r="X671">
        <v>19</v>
      </c>
      <c r="Y671">
        <v>242</v>
      </c>
      <c r="AC671" s="106">
        <v>1</v>
      </c>
    </row>
    <row r="672" spans="1:29">
      <c r="A672">
        <f t="shared" si="10"/>
        <v>672</v>
      </c>
      <c r="B672" s="103">
        <v>11201902</v>
      </c>
      <c r="C672" s="106">
        <v>112004</v>
      </c>
      <c r="D672">
        <v>1</v>
      </c>
      <c r="E672">
        <v>2</v>
      </c>
      <c r="F672">
        <v>0</v>
      </c>
      <c r="G672">
        <v>55</v>
      </c>
      <c r="H672">
        <v>1</v>
      </c>
      <c r="I672">
        <v>25</v>
      </c>
      <c r="J672">
        <v>58</v>
      </c>
      <c r="K672">
        <v>1</v>
      </c>
      <c r="L672">
        <v>25</v>
      </c>
      <c r="M672">
        <v>59</v>
      </c>
      <c r="N672">
        <v>1</v>
      </c>
      <c r="O672">
        <v>25</v>
      </c>
      <c r="P672">
        <v>60</v>
      </c>
      <c r="Q672">
        <v>1</v>
      </c>
      <c r="R672">
        <v>20</v>
      </c>
      <c r="S672">
        <v>62</v>
      </c>
      <c r="T672">
        <v>1</v>
      </c>
      <c r="W672">
        <v>213</v>
      </c>
      <c r="X672">
        <v>73</v>
      </c>
      <c r="Y672">
        <v>699</v>
      </c>
      <c r="AC672" s="106">
        <v>1</v>
      </c>
    </row>
    <row r="673" spans="1:29">
      <c r="A673">
        <f t="shared" si="10"/>
        <v>673</v>
      </c>
      <c r="B673" s="103">
        <v>11201902</v>
      </c>
      <c r="C673" s="106">
        <v>112002</v>
      </c>
      <c r="D673">
        <v>1</v>
      </c>
      <c r="E673">
        <v>1</v>
      </c>
      <c r="F673">
        <v>0</v>
      </c>
      <c r="G673">
        <v>24</v>
      </c>
      <c r="H673">
        <v>1</v>
      </c>
      <c r="I673">
        <v>25</v>
      </c>
      <c r="J673">
        <v>25</v>
      </c>
      <c r="K673">
        <v>1</v>
      </c>
      <c r="L673">
        <v>25</v>
      </c>
      <c r="M673">
        <v>26</v>
      </c>
      <c r="N673">
        <v>1</v>
      </c>
      <c r="O673">
        <v>25</v>
      </c>
      <c r="P673">
        <v>29</v>
      </c>
      <c r="Q673">
        <v>1</v>
      </c>
      <c r="R673">
        <v>20</v>
      </c>
      <c r="S673">
        <v>31</v>
      </c>
      <c r="T673">
        <v>1</v>
      </c>
      <c r="W673">
        <v>213</v>
      </c>
      <c r="X673">
        <v>73</v>
      </c>
      <c r="Y673">
        <v>699</v>
      </c>
      <c r="AC673" s="106">
        <v>1</v>
      </c>
    </row>
    <row r="674" spans="1:29">
      <c r="A674">
        <f t="shared" si="10"/>
        <v>674</v>
      </c>
      <c r="B674" s="103">
        <v>11201902</v>
      </c>
      <c r="C674" s="106">
        <v>112002</v>
      </c>
      <c r="D674">
        <v>1</v>
      </c>
      <c r="E674">
        <v>3</v>
      </c>
      <c r="F674">
        <v>0</v>
      </c>
      <c r="G674">
        <v>24</v>
      </c>
      <c r="H674">
        <v>1</v>
      </c>
      <c r="I674">
        <v>25</v>
      </c>
      <c r="J674">
        <v>25</v>
      </c>
      <c r="K674">
        <v>1</v>
      </c>
      <c r="L674">
        <v>25</v>
      </c>
      <c r="M674">
        <v>26</v>
      </c>
      <c r="N674">
        <v>1</v>
      </c>
      <c r="O674">
        <v>25</v>
      </c>
      <c r="P674">
        <v>29</v>
      </c>
      <c r="Q674">
        <v>1</v>
      </c>
      <c r="R674">
        <v>20</v>
      </c>
      <c r="S674">
        <v>31</v>
      </c>
      <c r="T674">
        <v>1</v>
      </c>
      <c r="W674">
        <v>213</v>
      </c>
      <c r="X674">
        <v>73</v>
      </c>
      <c r="Y674">
        <v>699</v>
      </c>
      <c r="AC674" s="106">
        <v>1</v>
      </c>
    </row>
    <row r="675" spans="1:29">
      <c r="A675">
        <f t="shared" si="10"/>
        <v>675</v>
      </c>
      <c r="B675" s="103">
        <v>11201903</v>
      </c>
      <c r="C675" s="106">
        <v>112005</v>
      </c>
      <c r="D675">
        <v>1</v>
      </c>
      <c r="E675">
        <v>2</v>
      </c>
      <c r="F675">
        <v>0</v>
      </c>
      <c r="G675">
        <v>47</v>
      </c>
      <c r="H675">
        <v>1</v>
      </c>
      <c r="I675">
        <v>25</v>
      </c>
      <c r="J675">
        <v>48</v>
      </c>
      <c r="K675">
        <v>1</v>
      </c>
      <c r="L675">
        <v>25</v>
      </c>
      <c r="M675">
        <v>50</v>
      </c>
      <c r="N675">
        <v>1</v>
      </c>
      <c r="O675">
        <v>25</v>
      </c>
      <c r="P675">
        <v>53</v>
      </c>
      <c r="Q675">
        <v>1</v>
      </c>
      <c r="R675">
        <v>20</v>
      </c>
      <c r="S675">
        <v>51</v>
      </c>
      <c r="T675">
        <v>1</v>
      </c>
      <c r="W675">
        <v>389</v>
      </c>
      <c r="X675">
        <v>123</v>
      </c>
      <c r="Y675">
        <v>1114</v>
      </c>
      <c r="AC675" s="106">
        <v>1</v>
      </c>
    </row>
    <row r="676" spans="1:29">
      <c r="A676">
        <f t="shared" si="10"/>
        <v>676</v>
      </c>
      <c r="B676" s="103">
        <v>11201903</v>
      </c>
      <c r="C676" s="106">
        <v>112003</v>
      </c>
      <c r="D676">
        <v>1</v>
      </c>
      <c r="E676">
        <v>1</v>
      </c>
      <c r="F676">
        <v>0</v>
      </c>
      <c r="G676">
        <v>63</v>
      </c>
      <c r="H676">
        <v>1</v>
      </c>
      <c r="I676">
        <v>25</v>
      </c>
      <c r="J676">
        <v>65</v>
      </c>
      <c r="K676">
        <v>1</v>
      </c>
      <c r="L676">
        <v>25</v>
      </c>
      <c r="M676">
        <v>66</v>
      </c>
      <c r="N676">
        <v>1</v>
      </c>
      <c r="O676">
        <v>25</v>
      </c>
      <c r="P676">
        <v>68</v>
      </c>
      <c r="Q676">
        <v>1</v>
      </c>
      <c r="R676">
        <v>20</v>
      </c>
      <c r="S676">
        <v>67</v>
      </c>
      <c r="T676">
        <v>1</v>
      </c>
      <c r="W676">
        <v>389</v>
      </c>
      <c r="X676">
        <v>123</v>
      </c>
      <c r="Y676">
        <v>1114</v>
      </c>
      <c r="AC676" s="106">
        <v>1</v>
      </c>
    </row>
    <row r="677" spans="1:29">
      <c r="A677">
        <f t="shared" si="10"/>
        <v>677</v>
      </c>
      <c r="B677" s="103">
        <v>11201903</v>
      </c>
      <c r="C677" s="106">
        <v>112004</v>
      </c>
      <c r="D677">
        <v>1</v>
      </c>
      <c r="E677">
        <v>3</v>
      </c>
      <c r="F677">
        <v>0</v>
      </c>
      <c r="G677">
        <v>55</v>
      </c>
      <c r="H677">
        <v>1</v>
      </c>
      <c r="I677">
        <v>25</v>
      </c>
      <c r="J677">
        <v>58</v>
      </c>
      <c r="K677">
        <v>1</v>
      </c>
      <c r="L677">
        <v>25</v>
      </c>
      <c r="M677">
        <v>59</v>
      </c>
      <c r="N677">
        <v>1</v>
      </c>
      <c r="O677">
        <v>25</v>
      </c>
      <c r="P677">
        <v>60</v>
      </c>
      <c r="Q677">
        <v>1</v>
      </c>
      <c r="R677">
        <v>20</v>
      </c>
      <c r="S677">
        <v>62</v>
      </c>
      <c r="T677">
        <v>1</v>
      </c>
      <c r="W677">
        <v>389</v>
      </c>
      <c r="X677">
        <v>123</v>
      </c>
      <c r="Y677">
        <v>1114</v>
      </c>
      <c r="AC677" s="106">
        <v>1</v>
      </c>
    </row>
    <row r="678" spans="1:64">
      <c r="A678">
        <f t="shared" si="10"/>
        <v>678</v>
      </c>
      <c r="B678" s="103">
        <v>1</v>
      </c>
      <c r="C678">
        <v>121003</v>
      </c>
      <c r="D678">
        <v>1</v>
      </c>
      <c r="E678">
        <v>4</v>
      </c>
      <c r="F678">
        <v>0</v>
      </c>
      <c r="G678">
        <v>10001</v>
      </c>
      <c r="H678" s="121">
        <v>1</v>
      </c>
      <c r="I678" s="121"/>
      <c r="J678" s="121"/>
      <c r="W678">
        <v>22</v>
      </c>
      <c r="X678">
        <v>7</v>
      </c>
      <c r="Y678">
        <v>650</v>
      </c>
      <c r="AC678" s="106">
        <v>1</v>
      </c>
      <c r="AM678" s="126"/>
      <c r="AN678" s="126"/>
      <c r="AO678" s="126"/>
      <c r="AP678" s="126"/>
      <c r="AQ678" s="126"/>
      <c r="AR678" s="126"/>
      <c r="AS678" s="126"/>
      <c r="AT678" s="126"/>
      <c r="AU678" s="126"/>
      <c r="AV678" s="126"/>
      <c r="AW678" s="126"/>
      <c r="AX678" s="126"/>
      <c r="AY678" s="126"/>
      <c r="AZ678" s="126"/>
      <c r="BA678" s="126"/>
      <c r="BB678" s="126"/>
      <c r="BC678" s="126"/>
      <c r="BD678" s="126"/>
      <c r="BE678" s="126"/>
      <c r="BF678" s="126"/>
      <c r="BG678" s="126"/>
      <c r="BH678" s="126"/>
      <c r="BI678" s="126"/>
      <c r="BJ678" s="126"/>
      <c r="BK678" s="126"/>
      <c r="BL678" s="126"/>
    </row>
    <row r="679" spans="1:64">
      <c r="A679">
        <f t="shared" si="10"/>
        <v>679</v>
      </c>
      <c r="B679" s="103">
        <v>1</v>
      </c>
      <c r="C679">
        <v>121004</v>
      </c>
      <c r="D679">
        <v>1</v>
      </c>
      <c r="E679">
        <v>5</v>
      </c>
      <c r="F679">
        <v>0</v>
      </c>
      <c r="G679">
        <v>10002</v>
      </c>
      <c r="H679" s="121">
        <v>1</v>
      </c>
      <c r="I679" s="121"/>
      <c r="J679" s="121"/>
      <c r="K679" s="121"/>
      <c r="W679">
        <v>22</v>
      </c>
      <c r="X679">
        <v>7</v>
      </c>
      <c r="Y679">
        <v>650</v>
      </c>
      <c r="AC679" s="106">
        <v>1</v>
      </c>
      <c r="AM679" s="126"/>
      <c r="AN679" s="126"/>
      <c r="AO679" s="126"/>
      <c r="AP679" s="126"/>
      <c r="AQ679" s="126"/>
      <c r="AR679" s="126"/>
      <c r="AS679" s="126"/>
      <c r="AT679" s="126"/>
      <c r="AU679" s="126"/>
      <c r="AV679" s="126"/>
      <c r="AW679" s="126"/>
      <c r="AX679" s="126"/>
      <c r="AY679" s="126"/>
      <c r="AZ679" s="126"/>
      <c r="BA679" s="126"/>
      <c r="BB679" s="126"/>
      <c r="BC679" s="126"/>
      <c r="BD679" s="126"/>
      <c r="BE679" s="126"/>
      <c r="BF679" s="126"/>
      <c r="BG679" s="126"/>
      <c r="BH679" s="126"/>
      <c r="BI679" s="126"/>
      <c r="BJ679" s="126"/>
      <c r="BK679" s="126"/>
      <c r="BL679" s="126"/>
    </row>
    <row r="680" spans="1:64">
      <c r="A680">
        <f t="shared" si="10"/>
        <v>680</v>
      </c>
      <c r="B680" s="103">
        <v>1</v>
      </c>
      <c r="C680">
        <v>121001</v>
      </c>
      <c r="D680">
        <v>1</v>
      </c>
      <c r="E680">
        <v>6</v>
      </c>
      <c r="F680">
        <v>0</v>
      </c>
      <c r="G680">
        <v>10003</v>
      </c>
      <c r="H680" s="121">
        <v>1</v>
      </c>
      <c r="I680" s="121"/>
      <c r="J680" s="121"/>
      <c r="K680" s="121"/>
      <c r="W680">
        <v>22</v>
      </c>
      <c r="X680">
        <v>7</v>
      </c>
      <c r="Y680">
        <v>650</v>
      </c>
      <c r="AC680" s="106">
        <v>1</v>
      </c>
      <c r="AM680" s="126"/>
      <c r="AN680" s="126"/>
      <c r="AO680" s="126"/>
      <c r="AP680" s="126"/>
      <c r="AQ680" s="126"/>
      <c r="AR680" s="126"/>
      <c r="AS680" s="126"/>
      <c r="AT680" s="126"/>
      <c r="AU680" s="126"/>
      <c r="AV680" s="126"/>
      <c r="AW680" s="126"/>
      <c r="AX680" s="126"/>
      <c r="AY680" s="126"/>
      <c r="AZ680" s="126"/>
      <c r="BA680" s="126"/>
      <c r="BB680" s="126"/>
      <c r="BC680" s="126"/>
      <c r="BD680" s="126"/>
      <c r="BE680" s="126"/>
      <c r="BF680" s="126"/>
      <c r="BG680" s="126"/>
      <c r="BH680" s="126"/>
      <c r="BI680" s="126"/>
      <c r="BJ680" s="126"/>
      <c r="BK680" s="126"/>
      <c r="BL680" s="126"/>
    </row>
    <row r="681" spans="1:64">
      <c r="A681">
        <f t="shared" si="10"/>
        <v>681</v>
      </c>
      <c r="B681" s="103">
        <v>2</v>
      </c>
      <c r="C681">
        <v>121002</v>
      </c>
      <c r="D681">
        <v>1</v>
      </c>
      <c r="E681">
        <v>4</v>
      </c>
      <c r="F681">
        <v>0</v>
      </c>
      <c r="G681">
        <v>10004</v>
      </c>
      <c r="H681" s="121">
        <v>1</v>
      </c>
      <c r="I681" s="121"/>
      <c r="J681" s="121"/>
      <c r="W681">
        <v>22</v>
      </c>
      <c r="X681">
        <v>7</v>
      </c>
      <c r="Y681">
        <v>650</v>
      </c>
      <c r="AC681" s="106">
        <v>1</v>
      </c>
      <c r="AM681" s="126"/>
      <c r="AN681" s="126"/>
      <c r="AO681" s="126"/>
      <c r="AP681" s="126"/>
      <c r="AQ681" s="126"/>
      <c r="AR681" s="126"/>
      <c r="AS681" s="126"/>
      <c r="AT681" s="126"/>
      <c r="AU681" s="126"/>
      <c r="AV681" s="126"/>
      <c r="AW681" s="126"/>
      <c r="AX681" s="126"/>
      <c r="AY681" s="126"/>
      <c r="AZ681" s="126"/>
      <c r="BA681" s="126"/>
      <c r="BB681" s="126"/>
      <c r="BC681" s="126"/>
      <c r="BD681" s="126"/>
      <c r="BE681" s="126"/>
      <c r="BF681" s="126"/>
      <c r="BG681" s="126"/>
      <c r="BH681" s="126"/>
      <c r="BI681" s="126"/>
      <c r="BJ681" s="126"/>
      <c r="BK681" s="126"/>
      <c r="BL681" s="126"/>
    </row>
    <row r="682" spans="1:64">
      <c r="A682">
        <f t="shared" si="10"/>
        <v>682</v>
      </c>
      <c r="B682" s="103">
        <v>2</v>
      </c>
      <c r="C682">
        <v>121005</v>
      </c>
      <c r="D682">
        <v>1</v>
      </c>
      <c r="E682">
        <v>5</v>
      </c>
      <c r="F682">
        <v>0</v>
      </c>
      <c r="G682">
        <v>10005</v>
      </c>
      <c r="H682" s="121">
        <v>1</v>
      </c>
      <c r="I682" s="121"/>
      <c r="J682" s="121"/>
      <c r="K682" s="121"/>
      <c r="W682">
        <v>22</v>
      </c>
      <c r="X682">
        <v>7</v>
      </c>
      <c r="Y682">
        <v>650</v>
      </c>
      <c r="AC682" s="106">
        <v>1</v>
      </c>
      <c r="AM682" s="126"/>
      <c r="AN682" s="126"/>
      <c r="AO682" s="126"/>
      <c r="AP682" s="126"/>
      <c r="AQ682" s="126"/>
      <c r="AR682" s="126"/>
      <c r="AS682" s="126"/>
      <c r="AT682" s="126"/>
      <c r="AU682" s="126"/>
      <c r="AV682" s="126"/>
      <c r="AW682" s="126"/>
      <c r="AX682" s="126"/>
      <c r="AY682" s="126"/>
      <c r="AZ682" s="126"/>
      <c r="BA682" s="126"/>
      <c r="BB682" s="126"/>
      <c r="BC682" s="126"/>
      <c r="BD682" s="126"/>
      <c r="BE682" s="126"/>
      <c r="BF682" s="126"/>
      <c r="BG682" s="126"/>
      <c r="BH682" s="126"/>
      <c r="BI682" s="126"/>
      <c r="BJ682" s="126"/>
      <c r="BK682" s="126"/>
      <c r="BL682" s="126"/>
    </row>
    <row r="683" spans="1:64">
      <c r="A683">
        <f t="shared" si="10"/>
        <v>683</v>
      </c>
      <c r="B683" s="103">
        <v>2</v>
      </c>
      <c r="C683">
        <v>121005</v>
      </c>
      <c r="D683">
        <v>1</v>
      </c>
      <c r="E683">
        <v>6</v>
      </c>
      <c r="F683">
        <v>0</v>
      </c>
      <c r="G683">
        <v>10006</v>
      </c>
      <c r="H683" s="121">
        <v>1</v>
      </c>
      <c r="I683" s="121"/>
      <c r="J683" s="121"/>
      <c r="K683" s="121"/>
      <c r="W683">
        <v>22</v>
      </c>
      <c r="X683">
        <v>7</v>
      </c>
      <c r="Y683">
        <v>650</v>
      </c>
      <c r="AC683" s="106">
        <v>1</v>
      </c>
      <c r="AM683" s="126"/>
      <c r="AN683" s="126"/>
      <c r="AO683" s="126"/>
      <c r="AP683" s="126"/>
      <c r="AQ683" s="126"/>
      <c r="AR683" s="126"/>
      <c r="AS683" s="126"/>
      <c r="AT683" s="126"/>
      <c r="AU683" s="126"/>
      <c r="AV683" s="126"/>
      <c r="AW683" s="126"/>
      <c r="AX683" s="126"/>
      <c r="AY683" s="126"/>
      <c r="AZ683" s="126"/>
      <c r="BA683" s="126"/>
      <c r="BB683" s="126"/>
      <c r="BC683" s="126"/>
      <c r="BD683" s="126"/>
      <c r="BE683" s="126"/>
      <c r="BF683" s="126"/>
      <c r="BG683" s="126"/>
      <c r="BH683" s="126"/>
      <c r="BI683" s="126"/>
      <c r="BJ683" s="126"/>
      <c r="BK683" s="126"/>
      <c r="BL683" s="126"/>
    </row>
    <row r="684" spans="1:64">
      <c r="A684">
        <f t="shared" si="10"/>
        <v>684</v>
      </c>
      <c r="B684" s="103">
        <v>3</v>
      </c>
      <c r="C684">
        <v>121006</v>
      </c>
      <c r="D684">
        <v>1</v>
      </c>
      <c r="E684">
        <v>4</v>
      </c>
      <c r="F684">
        <v>0</v>
      </c>
      <c r="G684">
        <v>10007</v>
      </c>
      <c r="H684" s="121">
        <v>1</v>
      </c>
      <c r="I684" s="121"/>
      <c r="J684" s="121"/>
      <c r="W684">
        <v>22</v>
      </c>
      <c r="X684">
        <v>7</v>
      </c>
      <c r="Y684">
        <v>65</v>
      </c>
      <c r="AC684" s="106">
        <v>1</v>
      </c>
      <c r="AM684" s="126"/>
      <c r="AN684" s="126"/>
      <c r="AO684" s="126"/>
      <c r="AP684" s="126"/>
      <c r="AQ684" s="126"/>
      <c r="AR684" s="126"/>
      <c r="AS684" s="126"/>
      <c r="AT684" s="126"/>
      <c r="AU684" s="126"/>
      <c r="AV684" s="126"/>
      <c r="AW684" s="126"/>
      <c r="AX684" s="126"/>
      <c r="AY684" s="126"/>
      <c r="AZ684" s="126"/>
      <c r="BA684" s="126"/>
      <c r="BB684" s="126"/>
      <c r="BC684" s="126"/>
      <c r="BD684" s="126"/>
      <c r="BE684" s="126"/>
      <c r="BF684" s="126"/>
      <c r="BG684" s="126"/>
      <c r="BH684" s="126"/>
      <c r="BI684" s="126"/>
      <c r="BJ684" s="126"/>
      <c r="BK684" s="126"/>
      <c r="BL684" s="126"/>
    </row>
    <row r="685" spans="1:64">
      <c r="A685">
        <f t="shared" si="10"/>
        <v>685</v>
      </c>
      <c r="B685" s="103">
        <v>3</v>
      </c>
      <c r="C685">
        <v>121008</v>
      </c>
      <c r="D685">
        <v>1</v>
      </c>
      <c r="E685">
        <v>5</v>
      </c>
      <c r="F685">
        <v>0</v>
      </c>
      <c r="G685">
        <v>10008</v>
      </c>
      <c r="H685" s="121">
        <v>1</v>
      </c>
      <c r="I685" s="121"/>
      <c r="J685" s="121"/>
      <c r="K685" s="121"/>
      <c r="W685">
        <v>22</v>
      </c>
      <c r="X685">
        <v>7</v>
      </c>
      <c r="Y685">
        <v>65</v>
      </c>
      <c r="AC685" s="106">
        <v>1</v>
      </c>
      <c r="AM685" s="126"/>
      <c r="AN685" s="126"/>
      <c r="AO685" s="126"/>
      <c r="AP685" s="126"/>
      <c r="AQ685" s="126"/>
      <c r="AR685" s="126"/>
      <c r="AS685" s="126"/>
      <c r="AT685" s="126"/>
      <c r="AU685" s="126"/>
      <c r="AV685" s="126"/>
      <c r="AW685" s="126"/>
      <c r="AX685" s="126"/>
      <c r="AY685" s="126"/>
      <c r="AZ685" s="126"/>
      <c r="BA685" s="126"/>
      <c r="BB685" s="126"/>
      <c r="BC685" s="126"/>
      <c r="BD685" s="126"/>
      <c r="BE685" s="126"/>
      <c r="BF685" s="126"/>
      <c r="BG685" s="126"/>
      <c r="BH685" s="126"/>
      <c r="BI685" s="126"/>
      <c r="BJ685" s="126"/>
      <c r="BK685" s="126"/>
      <c r="BL685" s="126"/>
    </row>
    <row r="686" spans="1:64">
      <c r="A686">
        <f t="shared" si="10"/>
        <v>686</v>
      </c>
      <c r="B686" s="103">
        <v>3</v>
      </c>
      <c r="C686">
        <v>121009</v>
      </c>
      <c r="D686">
        <v>1</v>
      </c>
      <c r="E686">
        <v>6</v>
      </c>
      <c r="F686">
        <v>0</v>
      </c>
      <c r="G686">
        <v>10009</v>
      </c>
      <c r="H686" s="121">
        <v>1</v>
      </c>
      <c r="I686" s="121"/>
      <c r="J686" s="121"/>
      <c r="K686" s="121"/>
      <c r="W686">
        <v>22</v>
      </c>
      <c r="X686">
        <v>7</v>
      </c>
      <c r="Y686">
        <v>65</v>
      </c>
      <c r="AC686" s="106">
        <v>1</v>
      </c>
      <c r="AM686" s="126"/>
      <c r="AN686" s="126"/>
      <c r="AO686" s="126"/>
      <c r="AP686" s="126"/>
      <c r="AQ686" s="126"/>
      <c r="AR686" s="126"/>
      <c r="AS686" s="126"/>
      <c r="AT686" s="126"/>
      <c r="AU686" s="126"/>
      <c r="AV686" s="126"/>
      <c r="AW686" s="126"/>
      <c r="AX686" s="126"/>
      <c r="AY686" s="126"/>
      <c r="AZ686" s="126"/>
      <c r="BA686" s="126"/>
      <c r="BB686" s="126"/>
      <c r="BC686" s="126"/>
      <c r="BD686" s="126"/>
      <c r="BE686" s="126"/>
      <c r="BF686" s="126"/>
      <c r="BG686" s="126"/>
      <c r="BH686" s="126"/>
      <c r="BI686" s="126"/>
      <c r="BJ686" s="126"/>
      <c r="BK686" s="126"/>
      <c r="BL686" s="126"/>
    </row>
    <row r="687" spans="1:64">
      <c r="A687">
        <f t="shared" si="10"/>
        <v>687</v>
      </c>
      <c r="B687" s="103">
        <v>4</v>
      </c>
      <c r="C687">
        <v>121009</v>
      </c>
      <c r="D687">
        <v>1</v>
      </c>
      <c r="E687">
        <v>4</v>
      </c>
      <c r="F687">
        <v>0</v>
      </c>
      <c r="G687">
        <v>10010</v>
      </c>
      <c r="H687" s="121">
        <v>1</v>
      </c>
      <c r="I687" s="121"/>
      <c r="J687" s="121"/>
      <c r="K687" s="121"/>
      <c r="L687" s="121"/>
      <c r="M687" s="121"/>
      <c r="N687" s="121"/>
      <c r="W687">
        <v>22</v>
      </c>
      <c r="X687">
        <v>7</v>
      </c>
      <c r="Y687">
        <v>65</v>
      </c>
      <c r="AC687" s="106">
        <v>1</v>
      </c>
      <c r="AM687" s="126"/>
      <c r="AN687" s="126"/>
      <c r="AO687" s="126"/>
      <c r="AP687" s="126"/>
      <c r="AQ687" s="126"/>
      <c r="AR687" s="126"/>
      <c r="AS687" s="126"/>
      <c r="AT687" s="126"/>
      <c r="AU687" s="126"/>
      <c r="AV687" s="126"/>
      <c r="AW687" s="126"/>
      <c r="AX687" s="126"/>
      <c r="AY687" s="126"/>
      <c r="AZ687" s="126"/>
      <c r="BA687" s="126"/>
      <c r="BB687" s="126"/>
      <c r="BC687" s="126"/>
      <c r="BD687" s="126"/>
      <c r="BE687" s="126"/>
      <c r="BF687" s="126"/>
      <c r="BG687" s="126"/>
      <c r="BH687" s="126"/>
      <c r="BI687" s="126"/>
      <c r="BJ687" s="126"/>
      <c r="BK687" s="126"/>
      <c r="BL687" s="126"/>
    </row>
    <row r="688" spans="1:64">
      <c r="A688">
        <f t="shared" si="10"/>
        <v>688</v>
      </c>
      <c r="B688" s="103">
        <v>4</v>
      </c>
      <c r="C688">
        <v>121010</v>
      </c>
      <c r="D688">
        <v>1</v>
      </c>
      <c r="E688">
        <v>5</v>
      </c>
      <c r="F688">
        <v>0</v>
      </c>
      <c r="G688">
        <v>10011</v>
      </c>
      <c r="H688" s="121">
        <v>1</v>
      </c>
      <c r="I688" s="121"/>
      <c r="J688" s="121"/>
      <c r="L688" s="121"/>
      <c r="M688" s="121"/>
      <c r="W688">
        <v>22</v>
      </c>
      <c r="X688">
        <v>7</v>
      </c>
      <c r="Y688">
        <v>65</v>
      </c>
      <c r="AC688" s="106">
        <v>1</v>
      </c>
      <c r="AM688" s="126"/>
      <c r="AN688" s="126"/>
      <c r="AO688" s="126"/>
      <c r="AP688" s="126"/>
      <c r="AQ688" s="126"/>
      <c r="AR688" s="126"/>
      <c r="AS688" s="126"/>
      <c r="AT688" s="126"/>
      <c r="AU688" s="126"/>
      <c r="AV688" s="126"/>
      <c r="AW688" s="126"/>
      <c r="AX688" s="126"/>
      <c r="AY688" s="126"/>
      <c r="AZ688" s="126"/>
      <c r="BA688" s="126"/>
      <c r="BB688" s="126"/>
      <c r="BC688" s="126"/>
      <c r="BD688" s="126"/>
      <c r="BE688" s="126"/>
      <c r="BF688" s="126"/>
      <c r="BG688" s="126"/>
      <c r="BH688" s="126"/>
      <c r="BI688" s="126"/>
      <c r="BJ688" s="126"/>
      <c r="BK688" s="126"/>
      <c r="BL688" s="126"/>
    </row>
    <row r="689" spans="1:64">
      <c r="A689">
        <f t="shared" si="10"/>
        <v>689</v>
      </c>
      <c r="B689" s="103">
        <v>4</v>
      </c>
      <c r="C689">
        <v>121011</v>
      </c>
      <c r="D689">
        <v>1</v>
      </c>
      <c r="E689">
        <v>6</v>
      </c>
      <c r="F689">
        <v>0</v>
      </c>
      <c r="G689">
        <v>10012</v>
      </c>
      <c r="H689" s="121">
        <v>1</v>
      </c>
      <c r="I689" s="121"/>
      <c r="J689" s="121"/>
      <c r="L689" s="121"/>
      <c r="M689" s="121"/>
      <c r="W689">
        <v>22</v>
      </c>
      <c r="X689">
        <v>7</v>
      </c>
      <c r="Y689">
        <v>65</v>
      </c>
      <c r="AC689" s="106">
        <v>1</v>
      </c>
      <c r="AM689" s="126"/>
      <c r="AN689" s="126"/>
      <c r="AO689" s="126"/>
      <c r="AP689" s="126"/>
      <c r="AQ689" s="126"/>
      <c r="AR689" s="126"/>
      <c r="AS689" s="126"/>
      <c r="AT689" s="126"/>
      <c r="AU689" s="126"/>
      <c r="AV689" s="126"/>
      <c r="AW689" s="126"/>
      <c r="AX689" s="126"/>
      <c r="AY689" s="126"/>
      <c r="AZ689" s="126"/>
      <c r="BA689" s="126"/>
      <c r="BB689" s="126"/>
      <c r="BC689" s="126"/>
      <c r="BD689" s="126"/>
      <c r="BE689" s="126"/>
      <c r="BF689" s="126"/>
      <c r="BG689" s="126"/>
      <c r="BH689" s="126"/>
      <c r="BI689" s="126"/>
      <c r="BJ689" s="126"/>
      <c r="BK689" s="126"/>
      <c r="BL689" s="126"/>
    </row>
    <row r="690" spans="1:64">
      <c r="A690">
        <f t="shared" si="10"/>
        <v>690</v>
      </c>
      <c r="B690" s="103">
        <v>5</v>
      </c>
      <c r="C690">
        <v>121012</v>
      </c>
      <c r="D690">
        <v>1</v>
      </c>
      <c r="E690">
        <v>2</v>
      </c>
      <c r="F690">
        <v>0</v>
      </c>
      <c r="G690">
        <v>10013</v>
      </c>
      <c r="H690" s="121">
        <v>1</v>
      </c>
      <c r="I690" s="121"/>
      <c r="J690" s="121"/>
      <c r="L690" s="121"/>
      <c r="W690">
        <v>22</v>
      </c>
      <c r="X690">
        <v>7</v>
      </c>
      <c r="Y690">
        <v>65</v>
      </c>
      <c r="AC690" s="106">
        <v>1</v>
      </c>
      <c r="AM690" s="126"/>
      <c r="AN690" s="126"/>
      <c r="AO690" s="126"/>
      <c r="AP690" s="126"/>
      <c r="AQ690" s="126"/>
      <c r="AR690" s="126"/>
      <c r="AS690" s="126"/>
      <c r="AT690" s="126"/>
      <c r="AU690" s="126"/>
      <c r="AV690" s="126"/>
      <c r="AW690" s="126"/>
      <c r="AX690" s="126"/>
      <c r="AY690" s="126"/>
      <c r="AZ690" s="126"/>
      <c r="BA690" s="126"/>
      <c r="BB690" s="126"/>
      <c r="BC690" s="126"/>
      <c r="BD690" s="126"/>
      <c r="BE690" s="126"/>
      <c r="BF690" s="126"/>
      <c r="BG690" s="126"/>
      <c r="BH690" s="126"/>
      <c r="BI690" s="126"/>
      <c r="BJ690" s="126"/>
      <c r="BK690" s="126"/>
      <c r="BL690" s="126"/>
    </row>
    <row r="691" spans="1:64">
      <c r="A691">
        <f t="shared" si="10"/>
        <v>691</v>
      </c>
      <c r="B691" s="103">
        <v>5</v>
      </c>
      <c r="C691">
        <v>121012</v>
      </c>
      <c r="D691">
        <v>1</v>
      </c>
      <c r="E691">
        <v>4</v>
      </c>
      <c r="F691">
        <v>0</v>
      </c>
      <c r="G691">
        <v>10014</v>
      </c>
      <c r="H691" s="121">
        <v>1</v>
      </c>
      <c r="I691" s="121"/>
      <c r="J691" s="121"/>
      <c r="L691" s="121"/>
      <c r="M691" s="121"/>
      <c r="W691">
        <v>22</v>
      </c>
      <c r="X691">
        <v>7</v>
      </c>
      <c r="Y691">
        <v>65</v>
      </c>
      <c r="AC691" s="106">
        <v>1</v>
      </c>
      <c r="AM691" s="126"/>
      <c r="AN691" s="126"/>
      <c r="AO691" s="126"/>
      <c r="AP691" s="126"/>
      <c r="AQ691" s="126"/>
      <c r="AR691" s="126"/>
      <c r="AS691" s="126"/>
      <c r="AT691" s="126"/>
      <c r="AU691" s="126"/>
      <c r="AV691" s="126"/>
      <c r="AW691" s="126"/>
      <c r="AX691" s="126"/>
      <c r="AY691" s="126"/>
      <c r="AZ691" s="126"/>
      <c r="BA691" s="126"/>
      <c r="BB691" s="126"/>
      <c r="BC691" s="126"/>
      <c r="BD691" s="126"/>
      <c r="BE691" s="126"/>
      <c r="BF691" s="126"/>
      <c r="BG691" s="126"/>
      <c r="BH691" s="126"/>
      <c r="BI691" s="126"/>
      <c r="BJ691" s="126"/>
      <c r="BK691" s="126"/>
      <c r="BL691" s="126"/>
    </row>
    <row r="692" spans="1:64">
      <c r="A692">
        <f t="shared" si="10"/>
        <v>692</v>
      </c>
      <c r="B692" s="103">
        <v>5</v>
      </c>
      <c r="C692">
        <v>121003</v>
      </c>
      <c r="D692">
        <v>1</v>
      </c>
      <c r="E692">
        <v>6</v>
      </c>
      <c r="F692">
        <v>0</v>
      </c>
      <c r="G692">
        <v>10001</v>
      </c>
      <c r="H692" s="121">
        <v>1</v>
      </c>
      <c r="I692" s="121"/>
      <c r="J692" s="121"/>
      <c r="L692" s="121"/>
      <c r="M692" s="121"/>
      <c r="W692">
        <v>22</v>
      </c>
      <c r="X692">
        <v>7</v>
      </c>
      <c r="Y692">
        <v>65</v>
      </c>
      <c r="AC692" s="106">
        <v>1</v>
      </c>
      <c r="AM692" s="126"/>
      <c r="AN692" s="126"/>
      <c r="AO692" s="126"/>
      <c r="AP692" s="126"/>
      <c r="AQ692" s="126"/>
      <c r="AR692" s="126"/>
      <c r="AS692" s="126"/>
      <c r="AT692" s="126"/>
      <c r="AU692" s="126"/>
      <c r="AV692" s="126"/>
      <c r="AW692" s="126"/>
      <c r="AX692" s="126"/>
      <c r="AY692" s="126"/>
      <c r="AZ692" s="126"/>
      <c r="BA692" s="126"/>
      <c r="BB692" s="126"/>
      <c r="BC692" s="126"/>
      <c r="BD692" s="126"/>
      <c r="BE692" s="126"/>
      <c r="BF692" s="126"/>
      <c r="BG692" s="126"/>
      <c r="BH692" s="126"/>
      <c r="BI692" s="126"/>
      <c r="BJ692" s="126"/>
      <c r="BK692" s="126"/>
      <c r="BL692" s="126"/>
    </row>
    <row r="693" spans="1:64">
      <c r="A693">
        <f t="shared" si="10"/>
        <v>693</v>
      </c>
      <c r="B693" s="103">
        <v>6</v>
      </c>
      <c r="C693">
        <v>121004</v>
      </c>
      <c r="D693">
        <v>1</v>
      </c>
      <c r="E693">
        <v>1</v>
      </c>
      <c r="F693">
        <v>0</v>
      </c>
      <c r="G693">
        <v>10002</v>
      </c>
      <c r="H693" s="121">
        <v>1</v>
      </c>
      <c r="I693" s="121"/>
      <c r="J693" s="121"/>
      <c r="W693">
        <v>22</v>
      </c>
      <c r="X693">
        <v>7</v>
      </c>
      <c r="Y693">
        <v>65</v>
      </c>
      <c r="AC693" s="106">
        <v>1</v>
      </c>
      <c r="AM693" s="126"/>
      <c r="AN693" s="126"/>
      <c r="AO693" s="126"/>
      <c r="AP693" s="126"/>
      <c r="AQ693" s="126"/>
      <c r="AR693" s="126"/>
      <c r="AS693" s="126"/>
      <c r="AT693" s="126"/>
      <c r="AU693" s="126"/>
      <c r="AV693" s="126"/>
      <c r="AW693" s="126"/>
      <c r="AX693" s="126"/>
      <c r="AY693" s="126"/>
      <c r="AZ693" s="126"/>
      <c r="BA693" s="126"/>
      <c r="BB693" s="126"/>
      <c r="BC693" s="126"/>
      <c r="BD693" s="126"/>
      <c r="BE693" s="126"/>
      <c r="BF693" s="126"/>
      <c r="BG693" s="126"/>
      <c r="BH693" s="126"/>
      <c r="BI693" s="126"/>
      <c r="BJ693" s="126"/>
      <c r="BK693" s="126"/>
      <c r="BL693" s="126"/>
    </row>
    <row r="694" spans="1:29">
      <c r="A694">
        <f t="shared" si="10"/>
        <v>694</v>
      </c>
      <c r="B694" s="103">
        <v>6</v>
      </c>
      <c r="C694">
        <v>121001</v>
      </c>
      <c r="D694">
        <v>1</v>
      </c>
      <c r="E694">
        <v>3</v>
      </c>
      <c r="F694">
        <v>0</v>
      </c>
      <c r="G694">
        <v>10003</v>
      </c>
      <c r="H694" s="121">
        <v>1</v>
      </c>
      <c r="I694" s="121"/>
      <c r="J694" s="121"/>
      <c r="M694" s="121"/>
      <c r="W694">
        <v>22</v>
      </c>
      <c r="X694">
        <v>7</v>
      </c>
      <c r="Y694">
        <v>65</v>
      </c>
      <c r="AC694" s="106">
        <v>1</v>
      </c>
    </row>
    <row r="695" spans="1:29">
      <c r="A695">
        <f t="shared" si="10"/>
        <v>695</v>
      </c>
      <c r="B695" s="103">
        <v>6</v>
      </c>
      <c r="C695">
        <v>121002</v>
      </c>
      <c r="D695">
        <v>1</v>
      </c>
      <c r="E695">
        <v>4</v>
      </c>
      <c r="F695">
        <v>0</v>
      </c>
      <c r="G695">
        <v>10004</v>
      </c>
      <c r="H695" s="121">
        <v>1</v>
      </c>
      <c r="I695" s="121"/>
      <c r="J695" s="121"/>
      <c r="M695" s="121"/>
      <c r="W695">
        <v>22</v>
      </c>
      <c r="X695">
        <v>7</v>
      </c>
      <c r="Y695">
        <v>65</v>
      </c>
      <c r="AC695" s="106">
        <v>1</v>
      </c>
    </row>
    <row r="696" spans="1:29">
      <c r="A696">
        <f t="shared" si="10"/>
        <v>696</v>
      </c>
      <c r="B696" s="103">
        <v>7</v>
      </c>
      <c r="C696">
        <v>121005</v>
      </c>
      <c r="D696">
        <v>1</v>
      </c>
      <c r="E696">
        <v>2</v>
      </c>
      <c r="F696">
        <v>0</v>
      </c>
      <c r="G696">
        <v>10005</v>
      </c>
      <c r="H696" s="121">
        <v>1</v>
      </c>
      <c r="I696" s="121"/>
      <c r="K696" s="121"/>
      <c r="N696" s="121"/>
      <c r="W696">
        <v>22</v>
      </c>
      <c r="X696">
        <v>7</v>
      </c>
      <c r="Y696">
        <v>65</v>
      </c>
      <c r="AC696" s="106">
        <v>1</v>
      </c>
    </row>
    <row r="697" spans="1:29">
      <c r="A697">
        <f t="shared" si="10"/>
        <v>697</v>
      </c>
      <c r="B697" s="103">
        <v>7</v>
      </c>
      <c r="C697">
        <v>121005</v>
      </c>
      <c r="D697">
        <v>1</v>
      </c>
      <c r="E697">
        <v>5</v>
      </c>
      <c r="F697">
        <v>0</v>
      </c>
      <c r="G697">
        <v>10006</v>
      </c>
      <c r="H697" s="121">
        <v>1</v>
      </c>
      <c r="I697" s="121"/>
      <c r="J697" s="121"/>
      <c r="K697" s="121"/>
      <c r="W697">
        <v>22</v>
      </c>
      <c r="X697">
        <v>7</v>
      </c>
      <c r="Y697">
        <v>65</v>
      </c>
      <c r="AC697" s="106">
        <v>1</v>
      </c>
    </row>
    <row r="698" spans="1:29">
      <c r="A698">
        <f t="shared" si="10"/>
        <v>698</v>
      </c>
      <c r="B698" s="103">
        <v>7</v>
      </c>
      <c r="C698">
        <v>121006</v>
      </c>
      <c r="D698">
        <v>1</v>
      </c>
      <c r="E698">
        <v>8</v>
      </c>
      <c r="F698">
        <v>0</v>
      </c>
      <c r="G698">
        <v>10007</v>
      </c>
      <c r="H698" s="121">
        <v>1</v>
      </c>
      <c r="I698" s="121"/>
      <c r="J698" s="121"/>
      <c r="K698" s="121"/>
      <c r="W698">
        <v>22</v>
      </c>
      <c r="X698">
        <v>7</v>
      </c>
      <c r="Y698">
        <v>65</v>
      </c>
      <c r="AC698" s="106">
        <v>1</v>
      </c>
    </row>
    <row r="699" spans="1:38">
      <c r="A699">
        <f t="shared" si="10"/>
        <v>699</v>
      </c>
      <c r="B699" s="129">
        <v>9999</v>
      </c>
      <c r="C699" s="130">
        <v>112001</v>
      </c>
      <c r="D699" s="126">
        <v>1</v>
      </c>
      <c r="E699" s="126">
        <v>2</v>
      </c>
      <c r="F699">
        <v>0</v>
      </c>
      <c r="G699" s="126">
        <v>1</v>
      </c>
      <c r="H699" s="130">
        <v>1</v>
      </c>
      <c r="I699" s="130"/>
      <c r="J699" s="130"/>
      <c r="K699" s="130"/>
      <c r="L699" s="130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0">
        <v>1</v>
      </c>
      <c r="X699" s="119">
        <v>10</v>
      </c>
      <c r="Y699" s="120">
        <v>100000</v>
      </c>
      <c r="Z699" s="120"/>
      <c r="AA699" s="120"/>
      <c r="AB699" s="120"/>
      <c r="AC699">
        <v>1</v>
      </c>
      <c r="AD699" s="120"/>
      <c r="AE699" s="120"/>
      <c r="AF699" s="120"/>
      <c r="AG699" s="120"/>
      <c r="AH699" s="119"/>
      <c r="AI699" s="126"/>
      <c r="AJ699" s="126"/>
      <c r="AK699" s="126"/>
      <c r="AL699" s="126"/>
    </row>
    <row r="700" spans="1:38">
      <c r="A700">
        <f t="shared" si="10"/>
        <v>700</v>
      </c>
      <c r="B700" s="129">
        <v>9999</v>
      </c>
      <c r="C700" s="130">
        <v>112002</v>
      </c>
      <c r="D700" s="126">
        <v>1</v>
      </c>
      <c r="E700" s="126">
        <v>4</v>
      </c>
      <c r="F700">
        <v>0</v>
      </c>
      <c r="G700" s="126">
        <v>24</v>
      </c>
      <c r="H700" s="130">
        <v>1</v>
      </c>
      <c r="I700" s="130"/>
      <c r="J700" s="130"/>
      <c r="K700" s="130"/>
      <c r="L700" s="130"/>
      <c r="M700" s="130"/>
      <c r="N700" s="130"/>
      <c r="O700" s="126"/>
      <c r="P700" s="126"/>
      <c r="Q700" s="126"/>
      <c r="R700" s="126"/>
      <c r="S700" s="126"/>
      <c r="T700" s="126"/>
      <c r="U700" s="126"/>
      <c r="V700" s="126"/>
      <c r="W700" s="120">
        <v>1</v>
      </c>
      <c r="X700" s="119">
        <v>10</v>
      </c>
      <c r="Y700" s="120">
        <v>100000</v>
      </c>
      <c r="Z700" s="120"/>
      <c r="AA700" s="120"/>
      <c r="AB700" s="120"/>
      <c r="AC700">
        <v>1</v>
      </c>
      <c r="AD700" s="120"/>
      <c r="AE700" s="120"/>
      <c r="AF700" s="120"/>
      <c r="AG700" s="120"/>
      <c r="AH700" s="119"/>
      <c r="AI700" s="126"/>
      <c r="AJ700" s="126"/>
      <c r="AK700" s="126"/>
      <c r="AL700" s="126"/>
    </row>
    <row r="701" spans="1:38">
      <c r="A701">
        <f t="shared" si="10"/>
        <v>701</v>
      </c>
      <c r="B701" s="129">
        <v>9999</v>
      </c>
      <c r="C701" s="130">
        <v>112003</v>
      </c>
      <c r="D701" s="126">
        <v>1</v>
      </c>
      <c r="E701" s="126">
        <v>6</v>
      </c>
      <c r="F701">
        <v>0</v>
      </c>
      <c r="G701" s="126">
        <v>63</v>
      </c>
      <c r="H701" s="130">
        <v>1</v>
      </c>
      <c r="I701" s="130"/>
      <c r="J701" s="130"/>
      <c r="K701" s="130"/>
      <c r="L701" s="130"/>
      <c r="M701" s="130"/>
      <c r="N701" s="130"/>
      <c r="O701" s="126"/>
      <c r="P701" s="126"/>
      <c r="Q701" s="126"/>
      <c r="R701" s="126"/>
      <c r="S701" s="126"/>
      <c r="T701" s="126"/>
      <c r="U701" s="126"/>
      <c r="V701" s="126"/>
      <c r="W701" s="120">
        <v>1</v>
      </c>
      <c r="X701" s="119">
        <v>10</v>
      </c>
      <c r="Y701" s="120">
        <v>100000</v>
      </c>
      <c r="Z701" s="120"/>
      <c r="AA701" s="120"/>
      <c r="AB701" s="120"/>
      <c r="AC701">
        <v>1</v>
      </c>
      <c r="AD701" s="120"/>
      <c r="AE701" s="120"/>
      <c r="AF701" s="120"/>
      <c r="AG701" s="120"/>
      <c r="AH701" s="119"/>
      <c r="AI701" s="126"/>
      <c r="AJ701" s="126"/>
      <c r="AK701" s="126"/>
      <c r="AL701" s="126"/>
    </row>
    <row r="702" spans="1:38">
      <c r="A702">
        <f t="shared" si="10"/>
        <v>702</v>
      </c>
      <c r="B702" s="129">
        <v>9998</v>
      </c>
      <c r="C702" s="130">
        <v>112001</v>
      </c>
      <c r="D702" s="126">
        <v>1</v>
      </c>
      <c r="E702" s="126">
        <v>2</v>
      </c>
      <c r="F702">
        <v>0</v>
      </c>
      <c r="G702" s="126">
        <v>1</v>
      </c>
      <c r="H702" s="130">
        <v>1</v>
      </c>
      <c r="I702" s="130"/>
      <c r="J702" s="130"/>
      <c r="K702" s="130"/>
      <c r="L702" s="130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0">
        <v>1</v>
      </c>
      <c r="X702" s="119">
        <v>10</v>
      </c>
      <c r="Y702" s="120">
        <v>100000</v>
      </c>
      <c r="Z702" s="120"/>
      <c r="AA702" s="120"/>
      <c r="AB702" s="120"/>
      <c r="AC702">
        <v>1</v>
      </c>
      <c r="AD702" s="120"/>
      <c r="AE702" s="120"/>
      <c r="AF702" s="120"/>
      <c r="AG702" s="120"/>
      <c r="AH702" s="119"/>
      <c r="AI702" s="126"/>
      <c r="AJ702" s="126"/>
      <c r="AK702" s="126"/>
      <c r="AL702" s="126"/>
    </row>
    <row r="703" spans="1:38">
      <c r="A703">
        <f t="shared" si="10"/>
        <v>703</v>
      </c>
      <c r="B703" s="129">
        <v>9998</v>
      </c>
      <c r="C703" s="130">
        <v>112001</v>
      </c>
      <c r="D703" s="126">
        <v>1</v>
      </c>
      <c r="E703" s="126">
        <v>5</v>
      </c>
      <c r="F703">
        <v>0</v>
      </c>
      <c r="G703" s="126">
        <v>1</v>
      </c>
      <c r="H703" s="130">
        <v>1</v>
      </c>
      <c r="I703" s="130"/>
      <c r="J703" s="130"/>
      <c r="K703" s="130"/>
      <c r="L703" s="130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0">
        <v>1</v>
      </c>
      <c r="X703" s="119">
        <v>10</v>
      </c>
      <c r="Y703" s="120">
        <v>100000</v>
      </c>
      <c r="Z703" s="120"/>
      <c r="AA703" s="120"/>
      <c r="AB703" s="120"/>
      <c r="AC703">
        <v>1</v>
      </c>
      <c r="AD703" s="120"/>
      <c r="AE703" s="120"/>
      <c r="AF703" s="120"/>
      <c r="AG703" s="120"/>
      <c r="AH703" s="119"/>
      <c r="AI703" s="126"/>
      <c r="AJ703" s="126"/>
      <c r="AK703" s="126"/>
      <c r="AL703" s="126"/>
    </row>
    <row r="704" spans="1:38">
      <c r="A704">
        <f t="shared" si="10"/>
        <v>704</v>
      </c>
      <c r="B704" s="129">
        <v>9998</v>
      </c>
      <c r="C704" s="130">
        <v>112001</v>
      </c>
      <c r="D704" s="126">
        <v>1</v>
      </c>
      <c r="E704" s="126">
        <v>8</v>
      </c>
      <c r="F704">
        <v>0</v>
      </c>
      <c r="G704" s="126">
        <v>1</v>
      </c>
      <c r="H704" s="130">
        <v>1</v>
      </c>
      <c r="I704" s="130"/>
      <c r="J704" s="130"/>
      <c r="K704" s="130"/>
      <c r="L704" s="130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0">
        <v>1</v>
      </c>
      <c r="X704" s="119">
        <v>10</v>
      </c>
      <c r="Y704" s="120">
        <v>100000</v>
      </c>
      <c r="Z704" s="120"/>
      <c r="AA704" s="120"/>
      <c r="AB704" s="120"/>
      <c r="AC704">
        <v>1</v>
      </c>
      <c r="AD704" s="120"/>
      <c r="AE704" s="120"/>
      <c r="AF704" s="120"/>
      <c r="AG704" s="120"/>
      <c r="AH704" s="119"/>
      <c r="AI704" s="126"/>
      <c r="AJ704" s="126"/>
      <c r="AK704" s="126"/>
      <c r="AL704" s="126"/>
    </row>
    <row r="705" spans="1:38">
      <c r="A705">
        <f t="shared" si="10"/>
        <v>705</v>
      </c>
      <c r="B705" s="129">
        <v>9998</v>
      </c>
      <c r="C705" s="130">
        <v>112001</v>
      </c>
      <c r="D705" s="126">
        <v>1</v>
      </c>
      <c r="E705" s="126">
        <v>11</v>
      </c>
      <c r="F705">
        <v>0</v>
      </c>
      <c r="G705" s="126">
        <v>1</v>
      </c>
      <c r="H705" s="130">
        <v>1</v>
      </c>
      <c r="I705" s="130"/>
      <c r="J705" s="130"/>
      <c r="K705" s="130"/>
      <c r="L705" s="130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0">
        <v>1</v>
      </c>
      <c r="X705" s="119">
        <v>10</v>
      </c>
      <c r="Y705" s="120">
        <v>100000</v>
      </c>
      <c r="Z705" s="120"/>
      <c r="AA705" s="120"/>
      <c r="AB705" s="120"/>
      <c r="AC705">
        <v>1</v>
      </c>
      <c r="AD705" s="120"/>
      <c r="AE705" s="120"/>
      <c r="AF705" s="120"/>
      <c r="AG705" s="120"/>
      <c r="AH705" s="119"/>
      <c r="AI705" s="126"/>
      <c r="AJ705" s="126"/>
      <c r="AK705" s="126"/>
      <c r="AL705" s="126"/>
    </row>
    <row r="706" spans="1:38">
      <c r="A706">
        <f t="shared" ref="A706:A729" si="11">ROW(A706)</f>
        <v>706</v>
      </c>
      <c r="B706" s="129">
        <v>9997</v>
      </c>
      <c r="C706" s="130">
        <v>112001</v>
      </c>
      <c r="D706" s="126">
        <v>1</v>
      </c>
      <c r="E706" s="126">
        <v>1</v>
      </c>
      <c r="F706">
        <v>0</v>
      </c>
      <c r="G706" s="126">
        <v>1</v>
      </c>
      <c r="H706" s="130">
        <v>1</v>
      </c>
      <c r="I706" s="130"/>
      <c r="J706" s="130"/>
      <c r="K706" s="130"/>
      <c r="L706" s="130"/>
      <c r="M706" s="130"/>
      <c r="N706" s="130"/>
      <c r="O706" s="126"/>
      <c r="P706" s="126"/>
      <c r="Q706" s="126"/>
      <c r="R706" s="126"/>
      <c r="S706" s="126"/>
      <c r="T706" s="126"/>
      <c r="U706" s="126"/>
      <c r="V706" s="126"/>
      <c r="W706" s="120">
        <v>1</v>
      </c>
      <c r="X706" s="119">
        <v>10</v>
      </c>
      <c r="Y706" s="120">
        <v>100000</v>
      </c>
      <c r="Z706" s="120"/>
      <c r="AA706" s="120"/>
      <c r="AB706" s="120"/>
      <c r="AC706">
        <v>1</v>
      </c>
      <c r="AD706" s="120"/>
      <c r="AE706" s="120"/>
      <c r="AF706" s="120"/>
      <c r="AG706" s="120"/>
      <c r="AH706" s="119"/>
      <c r="AI706" s="126"/>
      <c r="AJ706" s="126"/>
      <c r="AK706" s="126"/>
      <c r="AL706" s="126"/>
    </row>
    <row r="707" spans="1:38">
      <c r="A707">
        <f t="shared" si="11"/>
        <v>707</v>
      </c>
      <c r="B707" s="129">
        <v>9996</v>
      </c>
      <c r="C707" s="130">
        <v>111003</v>
      </c>
      <c r="D707" s="126">
        <v>1</v>
      </c>
      <c r="E707" s="126">
        <v>2</v>
      </c>
      <c r="F707">
        <v>0</v>
      </c>
      <c r="G707" s="126">
        <v>186</v>
      </c>
      <c r="H707" s="130">
        <v>1</v>
      </c>
      <c r="I707" s="130"/>
      <c r="J707" s="130"/>
      <c r="K707" s="130"/>
      <c r="L707" s="130"/>
      <c r="M707" s="130"/>
      <c r="N707" s="130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  <c r="AA707" s="126"/>
      <c r="AB707" s="126"/>
      <c r="AC707" s="126"/>
      <c r="AD707" s="126"/>
      <c r="AE707" s="126"/>
      <c r="AF707" s="126"/>
      <c r="AG707" s="126"/>
      <c r="AH707" s="126"/>
      <c r="AI707" s="126"/>
      <c r="AJ707" s="126"/>
      <c r="AK707" s="126"/>
      <c r="AL707" s="126"/>
    </row>
    <row r="708" spans="1:29">
      <c r="A708">
        <f t="shared" si="11"/>
        <v>708</v>
      </c>
      <c r="B708" s="129">
        <v>9995</v>
      </c>
      <c r="C708" s="130">
        <v>121002</v>
      </c>
      <c r="D708" s="126">
        <v>1</v>
      </c>
      <c r="E708" s="126">
        <v>4</v>
      </c>
      <c r="F708">
        <v>0</v>
      </c>
      <c r="G708" s="126">
        <v>10004</v>
      </c>
      <c r="H708" s="130">
        <v>1</v>
      </c>
      <c r="W708" s="120">
        <v>20</v>
      </c>
      <c r="X708" s="119">
        <v>10</v>
      </c>
      <c r="Y708" s="120">
        <v>100000</v>
      </c>
      <c r="Z708" s="120"/>
      <c r="AA708" s="120"/>
      <c r="AB708" s="120"/>
      <c r="AC708">
        <v>1</v>
      </c>
    </row>
    <row r="709" spans="1:29">
      <c r="A709">
        <f t="shared" si="11"/>
        <v>709</v>
      </c>
      <c r="B709" s="129">
        <v>9995</v>
      </c>
      <c r="C709" s="130">
        <v>111004</v>
      </c>
      <c r="D709" s="126">
        <v>1</v>
      </c>
      <c r="E709" s="126">
        <v>2</v>
      </c>
      <c r="F709">
        <v>0</v>
      </c>
      <c r="G709" s="126">
        <v>167</v>
      </c>
      <c r="H709" s="130">
        <v>1</v>
      </c>
      <c r="W709" s="120">
        <v>20</v>
      </c>
      <c r="X709" s="119">
        <v>10</v>
      </c>
      <c r="Y709" s="120">
        <v>100000</v>
      </c>
      <c r="Z709" s="120"/>
      <c r="AA709" s="120"/>
      <c r="AB709" s="120"/>
      <c r="AC709">
        <v>1</v>
      </c>
    </row>
    <row r="710" spans="1:29">
      <c r="A710">
        <f t="shared" si="11"/>
        <v>710</v>
      </c>
      <c r="B710" s="129">
        <v>9995</v>
      </c>
      <c r="C710" s="130">
        <v>111005</v>
      </c>
      <c r="D710" s="126">
        <v>1</v>
      </c>
      <c r="E710" s="126">
        <v>5</v>
      </c>
      <c r="F710">
        <v>0</v>
      </c>
      <c r="G710" s="126">
        <v>88</v>
      </c>
      <c r="H710" s="130">
        <v>1</v>
      </c>
      <c r="W710" s="120">
        <v>20</v>
      </c>
      <c r="X710" s="119">
        <v>10</v>
      </c>
      <c r="Y710" s="120">
        <v>100000</v>
      </c>
      <c r="Z710" s="120"/>
      <c r="AA710" s="120"/>
      <c r="AB710" s="120"/>
      <c r="AC710">
        <v>1</v>
      </c>
    </row>
    <row r="711" spans="1:38">
      <c r="A711">
        <f t="shared" si="11"/>
        <v>711</v>
      </c>
      <c r="B711" s="129">
        <v>10000</v>
      </c>
      <c r="C711" s="130">
        <v>112001</v>
      </c>
      <c r="D711" s="126">
        <v>1</v>
      </c>
      <c r="E711" s="126">
        <v>1</v>
      </c>
      <c r="F711">
        <v>0</v>
      </c>
      <c r="G711" s="126">
        <v>1</v>
      </c>
      <c r="H711" s="130">
        <v>1</v>
      </c>
      <c r="I711" s="130"/>
      <c r="J711" s="130"/>
      <c r="K711" s="130"/>
      <c r="L711" s="130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0">
        <v>1</v>
      </c>
      <c r="X711" s="119">
        <v>10</v>
      </c>
      <c r="Y711" s="120">
        <v>100000</v>
      </c>
      <c r="Z711" s="120"/>
      <c r="AA711" s="120"/>
      <c r="AB711" s="120"/>
      <c r="AC711">
        <v>1</v>
      </c>
      <c r="AD711" s="120"/>
      <c r="AE711" s="120"/>
      <c r="AF711" s="120"/>
      <c r="AG711" s="120"/>
      <c r="AH711" s="119"/>
      <c r="AI711" s="126"/>
      <c r="AJ711" s="126"/>
      <c r="AK711" s="126"/>
      <c r="AL711" s="126"/>
    </row>
    <row r="712" spans="1:38">
      <c r="A712">
        <f t="shared" si="11"/>
        <v>712</v>
      </c>
      <c r="B712" s="129">
        <v>10000</v>
      </c>
      <c r="C712" s="130">
        <v>112001</v>
      </c>
      <c r="D712" s="126">
        <v>1</v>
      </c>
      <c r="E712" s="126">
        <v>2</v>
      </c>
      <c r="F712">
        <v>0</v>
      </c>
      <c r="G712" s="126">
        <v>1</v>
      </c>
      <c r="H712" s="130">
        <v>1</v>
      </c>
      <c r="I712" s="130"/>
      <c r="J712" s="130"/>
      <c r="K712" s="130"/>
      <c r="L712" s="130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0">
        <v>1</v>
      </c>
      <c r="X712" s="119">
        <v>10</v>
      </c>
      <c r="Y712" s="120">
        <v>100000</v>
      </c>
      <c r="Z712" s="120"/>
      <c r="AA712" s="120"/>
      <c r="AB712" s="120"/>
      <c r="AC712">
        <v>1</v>
      </c>
      <c r="AD712" s="120"/>
      <c r="AE712" s="120"/>
      <c r="AF712" s="120"/>
      <c r="AG712" s="120"/>
      <c r="AH712" s="119"/>
      <c r="AI712" s="126"/>
      <c r="AJ712" s="126"/>
      <c r="AK712" s="126"/>
      <c r="AL712" s="126"/>
    </row>
    <row r="713" spans="1:38">
      <c r="A713">
        <f t="shared" si="11"/>
        <v>713</v>
      </c>
      <c r="B713" s="129">
        <v>10000</v>
      </c>
      <c r="C713" s="130">
        <v>112001</v>
      </c>
      <c r="D713" s="126">
        <v>1</v>
      </c>
      <c r="E713" s="126">
        <v>3</v>
      </c>
      <c r="F713">
        <v>0</v>
      </c>
      <c r="G713" s="126">
        <v>1</v>
      </c>
      <c r="H713" s="130">
        <v>1</v>
      </c>
      <c r="I713" s="130"/>
      <c r="J713" s="130"/>
      <c r="K713" s="130"/>
      <c r="L713" s="130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0">
        <v>1</v>
      </c>
      <c r="X713" s="119">
        <v>10</v>
      </c>
      <c r="Y713" s="120">
        <v>100000</v>
      </c>
      <c r="Z713" s="120"/>
      <c r="AA713" s="120"/>
      <c r="AB713" s="120"/>
      <c r="AC713">
        <v>1</v>
      </c>
      <c r="AD713" s="120"/>
      <c r="AE713" s="120"/>
      <c r="AF713" s="120"/>
      <c r="AG713" s="120"/>
      <c r="AH713" s="119"/>
      <c r="AI713" s="126"/>
      <c r="AJ713" s="126"/>
      <c r="AK713" s="126"/>
      <c r="AL713" s="126"/>
    </row>
    <row r="714" spans="1:38">
      <c r="A714">
        <f t="shared" si="11"/>
        <v>714</v>
      </c>
      <c r="B714" s="129">
        <v>10000</v>
      </c>
      <c r="C714" s="130">
        <v>112001</v>
      </c>
      <c r="D714" s="126">
        <v>1</v>
      </c>
      <c r="E714" s="126">
        <v>4</v>
      </c>
      <c r="F714">
        <v>0</v>
      </c>
      <c r="G714" s="126">
        <v>1</v>
      </c>
      <c r="H714" s="130">
        <v>1</v>
      </c>
      <c r="I714" s="130"/>
      <c r="J714" s="130"/>
      <c r="K714" s="130"/>
      <c r="L714" s="130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0">
        <v>1</v>
      </c>
      <c r="X714" s="119">
        <v>10</v>
      </c>
      <c r="Y714" s="120">
        <v>100000</v>
      </c>
      <c r="Z714" s="120"/>
      <c r="AA714" s="120"/>
      <c r="AB714" s="120"/>
      <c r="AC714">
        <v>1</v>
      </c>
      <c r="AD714" s="120"/>
      <c r="AE714" s="120"/>
      <c r="AF714" s="120"/>
      <c r="AG714" s="120"/>
      <c r="AH714" s="119"/>
      <c r="AI714" s="126"/>
      <c r="AJ714" s="126"/>
      <c r="AK714" s="126"/>
      <c r="AL714" s="126"/>
    </row>
    <row r="715" spans="1:38">
      <c r="A715">
        <f t="shared" si="11"/>
        <v>715</v>
      </c>
      <c r="B715" s="129">
        <v>10000</v>
      </c>
      <c r="C715" s="130">
        <v>112001</v>
      </c>
      <c r="D715" s="126">
        <v>1</v>
      </c>
      <c r="E715" s="126">
        <v>5</v>
      </c>
      <c r="F715">
        <v>0</v>
      </c>
      <c r="G715" s="126">
        <v>1</v>
      </c>
      <c r="H715" s="130">
        <v>1</v>
      </c>
      <c r="I715" s="130"/>
      <c r="J715" s="130"/>
      <c r="K715" s="130"/>
      <c r="L715" s="130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0">
        <v>1</v>
      </c>
      <c r="X715" s="119">
        <v>10</v>
      </c>
      <c r="Y715" s="120">
        <v>100000</v>
      </c>
      <c r="Z715" s="120"/>
      <c r="AA715" s="120"/>
      <c r="AB715" s="120"/>
      <c r="AC715">
        <v>1</v>
      </c>
      <c r="AD715" s="120"/>
      <c r="AE715" s="120"/>
      <c r="AF715" s="120"/>
      <c r="AG715" s="120"/>
      <c r="AH715" s="119"/>
      <c r="AI715" s="126"/>
      <c r="AJ715" s="126"/>
      <c r="AK715" s="126"/>
      <c r="AL715" s="126"/>
    </row>
    <row r="716" spans="1:38">
      <c r="A716">
        <f t="shared" si="11"/>
        <v>716</v>
      </c>
      <c r="B716" s="129">
        <v>10000</v>
      </c>
      <c r="C716" s="130">
        <v>112001</v>
      </c>
      <c r="D716" s="126">
        <v>1</v>
      </c>
      <c r="E716" s="126">
        <v>6</v>
      </c>
      <c r="F716">
        <v>0</v>
      </c>
      <c r="G716" s="126">
        <v>1</v>
      </c>
      <c r="H716" s="130">
        <v>1</v>
      </c>
      <c r="I716" s="130"/>
      <c r="J716" s="130"/>
      <c r="K716" s="130"/>
      <c r="L716" s="130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0">
        <v>1</v>
      </c>
      <c r="X716" s="119">
        <v>10</v>
      </c>
      <c r="Y716" s="120">
        <v>100000</v>
      </c>
      <c r="Z716" s="120"/>
      <c r="AA716" s="120"/>
      <c r="AB716" s="120"/>
      <c r="AC716">
        <v>1</v>
      </c>
      <c r="AD716" s="120"/>
      <c r="AE716" s="120"/>
      <c r="AF716" s="120"/>
      <c r="AG716" s="120"/>
      <c r="AH716" s="119"/>
      <c r="AI716" s="126"/>
      <c r="AJ716" s="126"/>
      <c r="AK716" s="126"/>
      <c r="AL716" s="126"/>
    </row>
    <row r="717" spans="1:38">
      <c r="A717">
        <f t="shared" si="11"/>
        <v>717</v>
      </c>
      <c r="B717" s="129">
        <v>10000</v>
      </c>
      <c r="C717" s="130">
        <v>112001</v>
      </c>
      <c r="D717" s="126">
        <v>1</v>
      </c>
      <c r="E717" s="126">
        <v>7</v>
      </c>
      <c r="F717">
        <v>0</v>
      </c>
      <c r="G717" s="126">
        <v>1</v>
      </c>
      <c r="H717" s="130">
        <v>1</v>
      </c>
      <c r="I717" s="130"/>
      <c r="J717" s="130"/>
      <c r="K717" s="130"/>
      <c r="L717" s="130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0">
        <v>1</v>
      </c>
      <c r="X717" s="119">
        <v>10</v>
      </c>
      <c r="Y717" s="120">
        <v>100000</v>
      </c>
      <c r="Z717" s="120"/>
      <c r="AA717" s="120"/>
      <c r="AB717" s="120"/>
      <c r="AC717">
        <v>1</v>
      </c>
      <c r="AD717" s="120"/>
      <c r="AE717" s="120"/>
      <c r="AF717" s="120"/>
      <c r="AG717" s="120"/>
      <c r="AH717" s="119"/>
      <c r="AI717" s="126"/>
      <c r="AJ717" s="126"/>
      <c r="AK717" s="126"/>
      <c r="AL717" s="126"/>
    </row>
    <row r="718" spans="1:38">
      <c r="A718">
        <f t="shared" si="11"/>
        <v>718</v>
      </c>
      <c r="B718" s="129">
        <v>10000</v>
      </c>
      <c r="C718" s="130">
        <v>112001</v>
      </c>
      <c r="D718" s="126">
        <v>1</v>
      </c>
      <c r="E718" s="126">
        <v>8</v>
      </c>
      <c r="F718">
        <v>0</v>
      </c>
      <c r="G718" s="126">
        <v>1</v>
      </c>
      <c r="H718" s="130">
        <v>1</v>
      </c>
      <c r="I718" s="130"/>
      <c r="J718" s="130"/>
      <c r="K718" s="130"/>
      <c r="L718" s="130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0">
        <v>1</v>
      </c>
      <c r="X718" s="119">
        <v>10</v>
      </c>
      <c r="Y718" s="120">
        <v>100000</v>
      </c>
      <c r="Z718" s="120"/>
      <c r="AA718" s="120"/>
      <c r="AB718" s="120"/>
      <c r="AC718">
        <v>1</v>
      </c>
      <c r="AD718" s="120"/>
      <c r="AE718" s="120"/>
      <c r="AF718" s="120"/>
      <c r="AG718" s="120"/>
      <c r="AH718" s="119"/>
      <c r="AI718" s="126"/>
      <c r="AJ718" s="126"/>
      <c r="AK718" s="126"/>
      <c r="AL718" s="126"/>
    </row>
    <row r="719" spans="1:38">
      <c r="A719">
        <f t="shared" si="11"/>
        <v>719</v>
      </c>
      <c r="B719" s="129">
        <v>10000</v>
      </c>
      <c r="C719" s="130">
        <v>112001</v>
      </c>
      <c r="D719" s="126">
        <v>1</v>
      </c>
      <c r="E719" s="126">
        <v>9</v>
      </c>
      <c r="F719">
        <v>0</v>
      </c>
      <c r="G719" s="126">
        <v>1</v>
      </c>
      <c r="H719" s="130">
        <v>1</v>
      </c>
      <c r="I719" s="130"/>
      <c r="J719" s="130"/>
      <c r="K719" s="130"/>
      <c r="L719" s="130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0">
        <v>1</v>
      </c>
      <c r="X719" s="119">
        <v>10</v>
      </c>
      <c r="Y719" s="120">
        <v>100000</v>
      </c>
      <c r="Z719" s="120"/>
      <c r="AA719" s="120"/>
      <c r="AB719" s="120"/>
      <c r="AC719">
        <v>1</v>
      </c>
      <c r="AD719" s="120"/>
      <c r="AE719" s="120"/>
      <c r="AF719" s="120"/>
      <c r="AG719" s="120"/>
      <c r="AH719" s="119"/>
      <c r="AI719" s="126"/>
      <c r="AJ719" s="126"/>
      <c r="AK719" s="126"/>
      <c r="AL719" s="126"/>
    </row>
    <row r="720" spans="1:38">
      <c r="A720">
        <f t="shared" si="11"/>
        <v>720</v>
      </c>
      <c r="B720" s="129">
        <v>10000</v>
      </c>
      <c r="C720" s="130">
        <v>112001</v>
      </c>
      <c r="D720" s="126">
        <v>1</v>
      </c>
      <c r="E720" s="126">
        <v>10</v>
      </c>
      <c r="F720">
        <v>0</v>
      </c>
      <c r="G720" s="126">
        <v>1</v>
      </c>
      <c r="H720" s="130">
        <v>1</v>
      </c>
      <c r="I720" s="130"/>
      <c r="J720" s="130"/>
      <c r="K720" s="130"/>
      <c r="L720" s="130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0">
        <v>1</v>
      </c>
      <c r="X720" s="119">
        <v>10</v>
      </c>
      <c r="Y720" s="120">
        <v>100000</v>
      </c>
      <c r="Z720" s="120"/>
      <c r="AA720" s="120"/>
      <c r="AB720" s="120"/>
      <c r="AC720">
        <v>1</v>
      </c>
      <c r="AD720" s="120"/>
      <c r="AE720" s="120"/>
      <c r="AF720" s="120"/>
      <c r="AG720" s="120"/>
      <c r="AH720" s="119"/>
      <c r="AI720" s="126"/>
      <c r="AJ720" s="126"/>
      <c r="AK720" s="126"/>
      <c r="AL720" s="126"/>
    </row>
    <row r="721" spans="1:38">
      <c r="A721">
        <f t="shared" si="11"/>
        <v>721</v>
      </c>
      <c r="B721" s="129">
        <v>10000</v>
      </c>
      <c r="C721" s="130">
        <v>112001</v>
      </c>
      <c r="D721" s="126">
        <v>1</v>
      </c>
      <c r="E721" s="126">
        <v>11</v>
      </c>
      <c r="F721">
        <v>0</v>
      </c>
      <c r="G721" s="126">
        <v>1</v>
      </c>
      <c r="H721" s="130">
        <v>1</v>
      </c>
      <c r="I721" s="130"/>
      <c r="J721" s="130"/>
      <c r="K721" s="130"/>
      <c r="L721" s="130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0">
        <v>1</v>
      </c>
      <c r="X721" s="119">
        <v>10</v>
      </c>
      <c r="Y721" s="120">
        <v>100000</v>
      </c>
      <c r="Z721" s="120"/>
      <c r="AA721" s="120"/>
      <c r="AB721" s="120"/>
      <c r="AC721">
        <v>1</v>
      </c>
      <c r="AD721" s="120"/>
      <c r="AE721" s="120"/>
      <c r="AF721" s="120"/>
      <c r="AG721" s="120"/>
      <c r="AH721" s="119"/>
      <c r="AI721" s="126"/>
      <c r="AJ721" s="126"/>
      <c r="AK721" s="126"/>
      <c r="AL721" s="126"/>
    </row>
    <row r="722" spans="1:38">
      <c r="A722">
        <f t="shared" si="11"/>
        <v>722</v>
      </c>
      <c r="B722" s="129">
        <v>10000</v>
      </c>
      <c r="C722" s="130">
        <v>112001</v>
      </c>
      <c r="D722" s="126">
        <v>1</v>
      </c>
      <c r="E722" s="126">
        <v>12</v>
      </c>
      <c r="F722">
        <v>0</v>
      </c>
      <c r="G722" s="126">
        <v>1</v>
      </c>
      <c r="H722" s="130">
        <v>1</v>
      </c>
      <c r="I722" s="130"/>
      <c r="J722" s="130"/>
      <c r="K722" s="130"/>
      <c r="L722" s="130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0">
        <v>1</v>
      </c>
      <c r="X722" s="119">
        <v>10</v>
      </c>
      <c r="Y722" s="120">
        <v>100000</v>
      </c>
      <c r="Z722" s="120"/>
      <c r="AA722" s="120"/>
      <c r="AB722" s="120"/>
      <c r="AC722">
        <v>1</v>
      </c>
      <c r="AD722" s="120"/>
      <c r="AE722" s="120"/>
      <c r="AF722" s="120"/>
      <c r="AG722" s="120"/>
      <c r="AH722" s="119"/>
      <c r="AI722" s="126"/>
      <c r="AJ722" s="126"/>
      <c r="AK722" s="126"/>
      <c r="AL722" s="126"/>
    </row>
    <row r="723" spans="1:38">
      <c r="A723">
        <f t="shared" si="11"/>
        <v>723</v>
      </c>
      <c r="B723" s="103">
        <v>9994</v>
      </c>
      <c r="C723" s="130">
        <v>113006</v>
      </c>
      <c r="D723" s="126">
        <v>1</v>
      </c>
      <c r="E723" s="126">
        <v>2</v>
      </c>
      <c r="F723">
        <v>0</v>
      </c>
      <c r="G723" s="126">
        <v>264</v>
      </c>
      <c r="H723" s="130">
        <v>1</v>
      </c>
      <c r="W723" s="120">
        <v>1</v>
      </c>
      <c r="X723" s="119">
        <v>10</v>
      </c>
      <c r="Y723" s="120">
        <v>100000</v>
      </c>
      <c r="Z723" s="120"/>
      <c r="AA723" s="120"/>
      <c r="AB723" s="120"/>
      <c r="AC723">
        <v>1</v>
      </c>
      <c r="AD723" s="120"/>
      <c r="AE723" s="120"/>
      <c r="AF723" s="120"/>
      <c r="AG723" s="120"/>
      <c r="AH723" s="119"/>
      <c r="AI723" s="126"/>
      <c r="AJ723" s="126"/>
      <c r="AK723" s="126"/>
      <c r="AL723" s="126"/>
    </row>
    <row r="724" spans="1:29">
      <c r="A724">
        <f t="shared" si="11"/>
        <v>724</v>
      </c>
      <c r="B724" s="103">
        <v>8</v>
      </c>
      <c r="C724">
        <v>121003</v>
      </c>
      <c r="D724">
        <v>1</v>
      </c>
      <c r="E724">
        <v>1</v>
      </c>
      <c r="F724">
        <v>0</v>
      </c>
      <c r="G724">
        <v>10001</v>
      </c>
      <c r="H724" s="121">
        <v>1</v>
      </c>
      <c r="W724">
        <v>22</v>
      </c>
      <c r="X724">
        <v>7</v>
      </c>
      <c r="Y724">
        <v>65</v>
      </c>
      <c r="Z724" s="120"/>
      <c r="AA724" s="120"/>
      <c r="AB724" s="120"/>
      <c r="AC724">
        <v>1</v>
      </c>
    </row>
    <row r="725" spans="1:29">
      <c r="A725">
        <f t="shared" si="11"/>
        <v>725</v>
      </c>
      <c r="B725" s="103">
        <v>8</v>
      </c>
      <c r="C725">
        <v>121003</v>
      </c>
      <c r="D725">
        <v>1</v>
      </c>
      <c r="E725">
        <v>3</v>
      </c>
      <c r="F725">
        <v>0</v>
      </c>
      <c r="G725">
        <v>10001</v>
      </c>
      <c r="H725" s="121">
        <v>1</v>
      </c>
      <c r="W725">
        <v>22</v>
      </c>
      <c r="X725">
        <v>7</v>
      </c>
      <c r="Y725">
        <v>65</v>
      </c>
      <c r="Z725" s="120"/>
      <c r="AA725" s="120"/>
      <c r="AB725" s="120"/>
      <c r="AC725">
        <v>1</v>
      </c>
    </row>
    <row r="726" spans="1:29">
      <c r="A726">
        <f t="shared" si="11"/>
        <v>726</v>
      </c>
      <c r="B726" s="103">
        <v>8</v>
      </c>
      <c r="C726">
        <v>121003</v>
      </c>
      <c r="D726">
        <v>1</v>
      </c>
      <c r="E726">
        <v>5</v>
      </c>
      <c r="F726">
        <v>0</v>
      </c>
      <c r="G726">
        <v>10001</v>
      </c>
      <c r="H726" s="121">
        <v>1</v>
      </c>
      <c r="W726">
        <v>22</v>
      </c>
      <c r="X726">
        <v>7</v>
      </c>
      <c r="Y726">
        <v>65</v>
      </c>
      <c r="Z726" s="120"/>
      <c r="AA726" s="120"/>
      <c r="AB726" s="120"/>
      <c r="AC726">
        <v>1</v>
      </c>
    </row>
    <row r="727" spans="1:29">
      <c r="A727">
        <f t="shared" si="11"/>
        <v>727</v>
      </c>
      <c r="B727" s="103">
        <v>9</v>
      </c>
      <c r="C727">
        <v>121004</v>
      </c>
      <c r="D727">
        <v>1</v>
      </c>
      <c r="E727">
        <v>1</v>
      </c>
      <c r="F727">
        <v>0</v>
      </c>
      <c r="G727">
        <v>10002</v>
      </c>
      <c r="H727" s="121">
        <v>1</v>
      </c>
      <c r="W727">
        <v>22</v>
      </c>
      <c r="X727">
        <v>7</v>
      </c>
      <c r="Y727">
        <v>65</v>
      </c>
      <c r="Z727" s="120"/>
      <c r="AA727" s="120"/>
      <c r="AB727" s="120"/>
      <c r="AC727">
        <v>1</v>
      </c>
    </row>
    <row r="728" spans="1:29">
      <c r="A728">
        <f t="shared" si="11"/>
        <v>728</v>
      </c>
      <c r="B728" s="103">
        <v>9</v>
      </c>
      <c r="C728">
        <v>121004</v>
      </c>
      <c r="D728">
        <v>1</v>
      </c>
      <c r="E728">
        <v>3</v>
      </c>
      <c r="F728">
        <v>0</v>
      </c>
      <c r="G728">
        <v>10002</v>
      </c>
      <c r="H728" s="121">
        <v>1</v>
      </c>
      <c r="W728">
        <v>22</v>
      </c>
      <c r="X728">
        <v>7</v>
      </c>
      <c r="Y728">
        <v>65</v>
      </c>
      <c r="Z728" s="120"/>
      <c r="AA728" s="120"/>
      <c r="AB728" s="120"/>
      <c r="AC728">
        <v>1</v>
      </c>
    </row>
    <row r="729" spans="1:29">
      <c r="A729">
        <f t="shared" si="11"/>
        <v>729</v>
      </c>
      <c r="B729" s="103">
        <v>9</v>
      </c>
      <c r="C729">
        <v>121004</v>
      </c>
      <c r="D729">
        <v>1</v>
      </c>
      <c r="E729">
        <v>5</v>
      </c>
      <c r="F729">
        <v>0</v>
      </c>
      <c r="G729">
        <v>10002</v>
      </c>
      <c r="H729" s="121">
        <v>1</v>
      </c>
      <c r="W729">
        <v>22</v>
      </c>
      <c r="X729">
        <v>7</v>
      </c>
      <c r="Y729">
        <v>65</v>
      </c>
      <c r="Z729" s="120"/>
      <c r="AA729" s="120"/>
      <c r="AB729" s="120"/>
      <c r="AC729">
        <v>1</v>
      </c>
    </row>
    <row r="745" spans="3:34">
      <c r="C745" s="121"/>
      <c r="H745" s="121"/>
      <c r="W745" s="126"/>
      <c r="X745" s="126"/>
      <c r="Y745" s="126"/>
      <c r="Z745" s="126"/>
      <c r="AA745" s="126"/>
      <c r="AB745" s="126"/>
      <c r="AC745" s="126"/>
      <c r="AD745" s="126"/>
      <c r="AE745" s="126"/>
      <c r="AF745" s="126"/>
      <c r="AG745" s="126"/>
      <c r="AH745" s="126"/>
    </row>
    <row r="746" spans="3:34">
      <c r="C746" s="121"/>
      <c r="H746" s="121"/>
      <c r="W746" s="126"/>
      <c r="X746" s="126"/>
      <c r="Y746" s="126"/>
      <c r="Z746" s="126"/>
      <c r="AA746" s="126"/>
      <c r="AB746" s="126"/>
      <c r="AC746" s="126"/>
      <c r="AD746" s="126"/>
      <c r="AE746" s="126"/>
      <c r="AF746" s="126"/>
      <c r="AG746" s="126"/>
      <c r="AH746" s="126"/>
    </row>
    <row r="747" spans="3:34">
      <c r="C747" s="121"/>
      <c r="H747" s="121"/>
      <c r="W747" s="126"/>
      <c r="X747" s="126"/>
      <c r="Y747" s="126"/>
      <c r="Z747" s="126"/>
      <c r="AA747" s="126"/>
      <c r="AB747" s="126"/>
      <c r="AC747" s="126"/>
      <c r="AD747" s="126"/>
      <c r="AE747" s="126"/>
      <c r="AF747" s="126"/>
      <c r="AG747" s="126"/>
      <c r="AH747" s="126"/>
    </row>
    <row r="748" spans="3:34">
      <c r="C748" s="121"/>
      <c r="H748" s="121"/>
      <c r="W748" s="126"/>
      <c r="X748" s="126"/>
      <c r="Y748" s="126"/>
      <c r="Z748" s="126"/>
      <c r="AA748" s="126"/>
      <c r="AB748" s="126"/>
      <c r="AC748" s="126"/>
      <c r="AD748" s="126"/>
      <c r="AE748" s="126"/>
      <c r="AF748" s="126"/>
      <c r="AG748" s="126"/>
      <c r="AH748" s="126"/>
    </row>
    <row r="749" spans="3:34">
      <c r="C749" s="121"/>
      <c r="H749" s="121"/>
      <c r="W749" s="126"/>
      <c r="X749" s="126"/>
      <c r="Y749" s="126"/>
      <c r="Z749" s="126"/>
      <c r="AA749" s="126"/>
      <c r="AB749" s="126"/>
      <c r="AC749" s="126"/>
      <c r="AD749" s="126"/>
      <c r="AE749" s="126"/>
      <c r="AF749" s="126"/>
      <c r="AG749" s="126"/>
      <c r="AH749" s="126"/>
    </row>
    <row r="750" spans="3:34">
      <c r="C750" s="121"/>
      <c r="H750" s="121"/>
      <c r="W750" s="126"/>
      <c r="X750" s="126"/>
      <c r="Y750" s="126"/>
      <c r="Z750" s="126"/>
      <c r="AA750" s="126"/>
      <c r="AB750" s="126"/>
      <c r="AC750" s="126"/>
      <c r="AD750" s="126"/>
      <c r="AE750" s="126"/>
      <c r="AF750" s="126"/>
      <c r="AG750" s="126"/>
      <c r="AH750" s="126"/>
    </row>
    <row r="751" spans="3:34">
      <c r="C751" s="121"/>
      <c r="H751" s="121"/>
      <c r="W751" s="126"/>
      <c r="X751" s="126"/>
      <c r="Y751" s="126"/>
      <c r="Z751" s="126"/>
      <c r="AA751" s="126"/>
      <c r="AB751" s="126"/>
      <c r="AC751" s="126"/>
      <c r="AD751" s="126"/>
      <c r="AE751" s="126"/>
      <c r="AF751" s="126"/>
      <c r="AG751" s="126"/>
      <c r="AH751" s="126"/>
    </row>
    <row r="752" spans="3:34">
      <c r="C752" s="121"/>
      <c r="H752" s="121"/>
      <c r="W752" s="126"/>
      <c r="X752" s="126"/>
      <c r="Y752" s="126"/>
      <c r="Z752" s="126"/>
      <c r="AA752" s="126"/>
      <c r="AB752" s="126"/>
      <c r="AC752" s="126"/>
      <c r="AD752" s="126"/>
      <c r="AE752" s="126"/>
      <c r="AF752" s="126"/>
      <c r="AG752" s="126"/>
      <c r="AH752" s="126"/>
    </row>
    <row r="753" spans="3:34">
      <c r="C753" s="121"/>
      <c r="H753" s="121"/>
      <c r="W753" s="126"/>
      <c r="X753" s="126"/>
      <c r="Y753" s="126"/>
      <c r="Z753" s="126"/>
      <c r="AA753" s="126"/>
      <c r="AB753" s="126"/>
      <c r="AC753" s="126"/>
      <c r="AD753" s="126"/>
      <c r="AE753" s="126"/>
      <c r="AF753" s="126"/>
      <c r="AG753" s="126"/>
      <c r="AH753" s="126"/>
    </row>
    <row r="754" spans="3:34">
      <c r="C754" s="121"/>
      <c r="H754" s="121"/>
      <c r="W754" s="126"/>
      <c r="X754" s="126"/>
      <c r="Y754" s="126"/>
      <c r="Z754" s="126"/>
      <c r="AA754" s="126"/>
      <c r="AB754" s="126"/>
      <c r="AC754" s="126"/>
      <c r="AD754" s="126"/>
      <c r="AE754" s="126"/>
      <c r="AF754" s="126"/>
      <c r="AG754" s="126"/>
      <c r="AH754" s="126"/>
    </row>
    <row r="755" spans="3:34">
      <c r="C755" s="121"/>
      <c r="H755" s="121"/>
      <c r="W755" s="126"/>
      <c r="X755" s="126"/>
      <c r="Y755" s="126"/>
      <c r="Z755" s="126"/>
      <c r="AA755" s="126"/>
      <c r="AB755" s="126"/>
      <c r="AC755" s="126"/>
      <c r="AD755" s="126"/>
      <c r="AE755" s="126"/>
      <c r="AF755" s="126"/>
      <c r="AG755" s="126"/>
      <c r="AH755" s="126"/>
    </row>
    <row r="756" spans="3:34">
      <c r="C756" s="121"/>
      <c r="H756" s="121"/>
      <c r="W756" s="126"/>
      <c r="X756" s="126"/>
      <c r="Y756" s="126"/>
      <c r="Z756" s="126"/>
      <c r="AA756" s="126"/>
      <c r="AB756" s="126"/>
      <c r="AC756" s="126"/>
      <c r="AD756" s="126"/>
      <c r="AE756" s="126"/>
      <c r="AF756" s="126"/>
      <c r="AG756" s="126"/>
      <c r="AH756" s="126"/>
    </row>
    <row r="757" spans="3:34">
      <c r="C757" s="121"/>
      <c r="H757" s="121"/>
      <c r="W757" s="126"/>
      <c r="X757" s="126"/>
      <c r="Y757" s="126"/>
      <c r="Z757" s="126"/>
      <c r="AA757" s="126"/>
      <c r="AB757" s="126"/>
      <c r="AC757" s="126"/>
      <c r="AD757" s="126"/>
      <c r="AE757" s="126"/>
      <c r="AF757" s="126"/>
      <c r="AG757" s="126"/>
      <c r="AH757" s="126"/>
    </row>
    <row r="758" spans="3:34">
      <c r="C758" s="121"/>
      <c r="H758" s="121"/>
      <c r="W758" s="126"/>
      <c r="X758" s="126"/>
      <c r="Y758" s="126"/>
      <c r="Z758" s="126"/>
      <c r="AA758" s="126"/>
      <c r="AB758" s="126"/>
      <c r="AC758" s="126"/>
      <c r="AD758" s="126"/>
      <c r="AE758" s="126"/>
      <c r="AF758" s="126"/>
      <c r="AG758" s="126"/>
      <c r="AH758" s="126"/>
    </row>
    <row r="759" spans="3:34">
      <c r="C759" s="121"/>
      <c r="H759" s="121"/>
      <c r="W759" s="126"/>
      <c r="X759" s="126"/>
      <c r="Y759" s="126"/>
      <c r="Z759" s="126"/>
      <c r="AA759" s="126"/>
      <c r="AB759" s="126"/>
      <c r="AC759" s="126"/>
      <c r="AD759" s="126"/>
      <c r="AE759" s="126"/>
      <c r="AF759" s="126"/>
      <c r="AG759" s="126"/>
      <c r="AH759" s="126"/>
    </row>
    <row r="760" spans="3:34">
      <c r="C760" s="121"/>
      <c r="H760" s="121"/>
      <c r="W760" s="126"/>
      <c r="X760" s="126"/>
      <c r="Y760" s="126"/>
      <c r="Z760" s="126"/>
      <c r="AA760" s="126"/>
      <c r="AB760" s="126"/>
      <c r="AC760" s="126"/>
      <c r="AD760" s="126"/>
      <c r="AE760" s="126"/>
      <c r="AF760" s="126"/>
      <c r="AG760" s="126"/>
      <c r="AH760" s="126"/>
    </row>
    <row r="761" spans="3:34">
      <c r="C761" s="121"/>
      <c r="H761" s="121"/>
      <c r="W761" s="126"/>
      <c r="X761" s="126"/>
      <c r="Y761" s="126"/>
      <c r="Z761" s="126"/>
      <c r="AA761" s="126"/>
      <c r="AB761" s="126"/>
      <c r="AC761" s="126"/>
      <c r="AD761" s="126"/>
      <c r="AE761" s="126"/>
      <c r="AF761" s="126"/>
      <c r="AG761" s="126"/>
      <c r="AH761" s="126"/>
    </row>
    <row r="762" spans="3:34">
      <c r="C762" s="121"/>
      <c r="H762" s="121"/>
      <c r="W762" s="126"/>
      <c r="X762" s="126"/>
      <c r="Y762" s="126"/>
      <c r="Z762" s="126"/>
      <c r="AA762" s="126"/>
      <c r="AB762" s="126"/>
      <c r="AC762" s="126"/>
      <c r="AD762" s="126"/>
      <c r="AE762" s="126"/>
      <c r="AF762" s="126"/>
      <c r="AG762" s="126"/>
      <c r="AH762" s="126"/>
    </row>
    <row r="763" spans="3:34">
      <c r="C763" s="121"/>
      <c r="H763" s="121"/>
      <c r="W763" s="126"/>
      <c r="X763" s="126"/>
      <c r="Y763" s="126"/>
      <c r="Z763" s="126"/>
      <c r="AA763" s="126"/>
      <c r="AB763" s="126"/>
      <c r="AC763" s="126"/>
      <c r="AD763" s="126"/>
      <c r="AE763" s="126"/>
      <c r="AF763" s="126"/>
      <c r="AG763" s="126"/>
      <c r="AH763" s="126"/>
    </row>
    <row r="764" spans="1:34">
      <c r="A764" s="126"/>
      <c r="B764" s="129"/>
      <c r="C764" s="130"/>
      <c r="D764" s="126"/>
      <c r="E764" s="126"/>
      <c r="F764" s="126"/>
      <c r="G764" s="130"/>
      <c r="H764" s="130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  <c r="AA764" s="126"/>
      <c r="AB764" s="126"/>
      <c r="AC764" s="126"/>
      <c r="AD764" s="126"/>
      <c r="AE764" s="126"/>
      <c r="AF764" s="126"/>
      <c r="AG764" s="126"/>
      <c r="AH764" s="126"/>
    </row>
    <row r="765" spans="1:34">
      <c r="A765" s="126"/>
      <c r="B765" s="129"/>
      <c r="C765" s="130"/>
      <c r="D765" s="126"/>
      <c r="E765" s="126"/>
      <c r="F765" s="126"/>
      <c r="G765" s="126"/>
      <c r="H765" s="130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  <c r="AA765" s="126"/>
      <c r="AB765" s="126"/>
      <c r="AC765" s="126"/>
      <c r="AD765" s="126"/>
      <c r="AE765" s="126"/>
      <c r="AF765" s="126"/>
      <c r="AG765" s="126"/>
      <c r="AH765" s="126"/>
    </row>
    <row r="766" spans="1:34">
      <c r="A766" s="126"/>
      <c r="B766" s="129"/>
      <c r="C766" s="130"/>
      <c r="D766" s="126"/>
      <c r="E766" s="126"/>
      <c r="F766" s="126"/>
      <c r="G766" s="126"/>
      <c r="H766" s="130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  <c r="AA766" s="126"/>
      <c r="AB766" s="126"/>
      <c r="AC766" s="126"/>
      <c r="AD766" s="126"/>
      <c r="AE766" s="126"/>
      <c r="AF766" s="126"/>
      <c r="AG766" s="126"/>
      <c r="AH766" s="126"/>
    </row>
    <row r="767" spans="1:34">
      <c r="A767" s="126"/>
      <c r="B767" s="129"/>
      <c r="C767" s="130"/>
      <c r="D767" s="126"/>
      <c r="E767" s="126"/>
      <c r="F767" s="126"/>
      <c r="G767" s="130"/>
      <c r="H767" s="130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  <c r="AA767" s="126"/>
      <c r="AB767" s="126"/>
      <c r="AC767" s="126"/>
      <c r="AD767" s="126"/>
      <c r="AE767" s="126"/>
      <c r="AF767" s="126"/>
      <c r="AG767" s="126"/>
      <c r="AH767" s="126"/>
    </row>
    <row r="768" spans="1:34">
      <c r="A768" s="126"/>
      <c r="B768" s="129"/>
      <c r="C768" s="130"/>
      <c r="D768" s="126"/>
      <c r="E768" s="126"/>
      <c r="F768" s="126"/>
      <c r="G768" s="126"/>
      <c r="H768" s="130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  <c r="AA768" s="126"/>
      <c r="AB768" s="126"/>
      <c r="AC768" s="126"/>
      <c r="AD768" s="126"/>
      <c r="AE768" s="126"/>
      <c r="AF768" s="126"/>
      <c r="AG768" s="126"/>
      <c r="AH768" s="126"/>
    </row>
    <row r="769" spans="1:34">
      <c r="A769" s="126"/>
      <c r="B769" s="129"/>
      <c r="C769" s="130"/>
      <c r="D769" s="126"/>
      <c r="E769" s="126"/>
      <c r="F769" s="126"/>
      <c r="G769" s="126"/>
      <c r="H769" s="130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  <c r="AA769" s="126"/>
      <c r="AB769" s="126"/>
      <c r="AC769" s="126"/>
      <c r="AD769" s="126"/>
      <c r="AE769" s="126"/>
      <c r="AF769" s="126"/>
      <c r="AG769" s="126"/>
      <c r="AH769" s="126"/>
    </row>
    <row r="770" spans="1:34">
      <c r="A770" s="126"/>
      <c r="B770" s="129"/>
      <c r="C770" s="130"/>
      <c r="D770" s="126"/>
      <c r="E770" s="126"/>
      <c r="F770" s="126"/>
      <c r="G770" s="130"/>
      <c r="H770" s="130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  <c r="AA770" s="126"/>
      <c r="AB770" s="126"/>
      <c r="AC770" s="126"/>
      <c r="AD770" s="126"/>
      <c r="AE770" s="126"/>
      <c r="AF770" s="126"/>
      <c r="AG770" s="126"/>
      <c r="AH770" s="126"/>
    </row>
    <row r="771" spans="1:34">
      <c r="A771" s="126"/>
      <c r="B771" s="129"/>
      <c r="C771" s="130"/>
      <c r="D771" s="126"/>
      <c r="E771" s="126"/>
      <c r="F771" s="126"/>
      <c r="G771" s="126"/>
      <c r="H771" s="130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  <c r="AA771" s="126"/>
      <c r="AB771" s="126"/>
      <c r="AC771" s="126"/>
      <c r="AD771" s="126"/>
      <c r="AE771" s="126"/>
      <c r="AF771" s="126"/>
      <c r="AG771" s="126"/>
      <c r="AH771" s="126"/>
    </row>
    <row r="772" spans="1:34">
      <c r="A772" s="126"/>
      <c r="B772" s="129"/>
      <c r="C772" s="130"/>
      <c r="D772" s="126"/>
      <c r="E772" s="126"/>
      <c r="F772" s="126"/>
      <c r="G772" s="130"/>
      <c r="H772" s="130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  <c r="AA772" s="126"/>
      <c r="AB772" s="126"/>
      <c r="AC772" s="126"/>
      <c r="AD772" s="126"/>
      <c r="AE772" s="126"/>
      <c r="AF772" s="126"/>
      <c r="AG772" s="126"/>
      <c r="AH772" s="126"/>
    </row>
    <row r="773" spans="1:34">
      <c r="A773" s="126"/>
      <c r="B773" s="129"/>
      <c r="C773" s="130"/>
      <c r="D773" s="126"/>
      <c r="E773" s="126"/>
      <c r="F773" s="126"/>
      <c r="G773" s="130"/>
      <c r="H773" s="130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  <c r="AA773" s="126"/>
      <c r="AB773" s="126"/>
      <c r="AC773" s="126"/>
      <c r="AD773" s="126"/>
      <c r="AE773" s="126"/>
      <c r="AF773" s="126"/>
      <c r="AG773" s="126"/>
      <c r="AH773" s="126"/>
    </row>
    <row r="774" spans="1:34">
      <c r="A774" s="126"/>
      <c r="B774" s="129"/>
      <c r="C774" s="130"/>
      <c r="D774" s="126"/>
      <c r="E774" s="126"/>
      <c r="F774" s="126"/>
      <c r="G774" s="130"/>
      <c r="H774" s="130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  <c r="AA774" s="126"/>
      <c r="AB774" s="126"/>
      <c r="AC774" s="126"/>
      <c r="AD774" s="126"/>
      <c r="AE774" s="126"/>
      <c r="AF774" s="126"/>
      <c r="AG774" s="126"/>
      <c r="AH774" s="126"/>
    </row>
    <row r="775" spans="1:34">
      <c r="A775" s="126"/>
      <c r="B775" s="129"/>
      <c r="C775" s="130"/>
      <c r="D775" s="126"/>
      <c r="E775" s="126"/>
      <c r="F775" s="126"/>
      <c r="G775" s="130"/>
      <c r="H775" s="130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  <c r="AA775" s="126"/>
      <c r="AB775" s="126"/>
      <c r="AC775" s="126"/>
      <c r="AD775" s="126"/>
      <c r="AE775" s="126"/>
      <c r="AF775" s="126"/>
      <c r="AG775" s="126"/>
      <c r="AH775" s="126"/>
    </row>
    <row r="776" spans="1:34">
      <c r="A776" s="126"/>
      <c r="B776" s="129"/>
      <c r="C776" s="130"/>
      <c r="D776" s="126"/>
      <c r="E776" s="126"/>
      <c r="F776" s="126"/>
      <c r="G776" s="130"/>
      <c r="H776" s="130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  <c r="AA776" s="126"/>
      <c r="AB776" s="126"/>
      <c r="AC776" s="126"/>
      <c r="AD776" s="126"/>
      <c r="AE776" s="126"/>
      <c r="AF776" s="126"/>
      <c r="AG776" s="126"/>
      <c r="AH776" s="126"/>
    </row>
    <row r="777" spans="1:34">
      <c r="A777" s="126"/>
      <c r="B777" s="129"/>
      <c r="C777" s="130"/>
      <c r="D777" s="126"/>
      <c r="E777" s="126"/>
      <c r="F777" s="126"/>
      <c r="G777" s="130"/>
      <c r="H777" s="130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  <c r="AA777" s="126"/>
      <c r="AB777" s="126"/>
      <c r="AC777" s="126"/>
      <c r="AD777" s="126"/>
      <c r="AE777" s="126"/>
      <c r="AF777" s="126"/>
      <c r="AG777" s="126"/>
      <c r="AH777" s="126"/>
    </row>
    <row r="778" spans="1:34">
      <c r="A778" s="126"/>
      <c r="B778" s="129"/>
      <c r="C778" s="130"/>
      <c r="D778" s="126"/>
      <c r="E778" s="126"/>
      <c r="F778" s="126"/>
      <c r="G778" s="130"/>
      <c r="H778" s="130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  <c r="AA778" s="126"/>
      <c r="AB778" s="126"/>
      <c r="AC778" s="126"/>
      <c r="AD778" s="126"/>
      <c r="AE778" s="126"/>
      <c r="AF778" s="126"/>
      <c r="AG778" s="126"/>
      <c r="AH778" s="126"/>
    </row>
    <row r="779" spans="1:34">
      <c r="A779" s="126"/>
      <c r="B779" s="129"/>
      <c r="C779" s="130"/>
      <c r="D779" s="126"/>
      <c r="E779" s="126"/>
      <c r="F779" s="126"/>
      <c r="G779" s="130"/>
      <c r="H779" s="130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  <c r="AA779" s="126"/>
      <c r="AB779" s="126"/>
      <c r="AC779" s="126"/>
      <c r="AD779" s="126"/>
      <c r="AE779" s="126"/>
      <c r="AF779" s="126"/>
      <c r="AG779" s="126"/>
      <c r="AH779" s="126"/>
    </row>
    <row r="780" spans="1:34">
      <c r="A780" s="126"/>
      <c r="B780" s="129"/>
      <c r="C780" s="130"/>
      <c r="D780" s="126"/>
      <c r="E780" s="126"/>
      <c r="F780" s="126"/>
      <c r="G780" s="130"/>
      <c r="H780" s="130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  <c r="AA780" s="126"/>
      <c r="AB780" s="126"/>
      <c r="AC780" s="126"/>
      <c r="AD780" s="126"/>
      <c r="AE780" s="126"/>
      <c r="AF780" s="126"/>
      <c r="AG780" s="126"/>
      <c r="AH780" s="126"/>
    </row>
    <row r="781" spans="1:34">
      <c r="A781" s="126"/>
      <c r="B781" s="129"/>
      <c r="C781" s="130"/>
      <c r="D781" s="126"/>
      <c r="E781" s="126"/>
      <c r="F781" s="126"/>
      <c r="G781" s="130"/>
      <c r="H781" s="130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  <c r="AA781" s="126"/>
      <c r="AB781" s="126"/>
      <c r="AC781" s="126"/>
      <c r="AD781" s="126"/>
      <c r="AE781" s="126"/>
      <c r="AF781" s="126"/>
      <c r="AG781" s="126"/>
      <c r="AH781" s="126"/>
    </row>
    <row r="782" spans="1:34">
      <c r="A782" s="126"/>
      <c r="B782" s="129"/>
      <c r="C782" s="130"/>
      <c r="D782" s="126"/>
      <c r="E782" s="126"/>
      <c r="F782" s="126"/>
      <c r="G782" s="130"/>
      <c r="H782" s="130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  <c r="AA782" s="126"/>
      <c r="AB782" s="126"/>
      <c r="AC782" s="126"/>
      <c r="AD782" s="126"/>
      <c r="AE782" s="126"/>
      <c r="AF782" s="126"/>
      <c r="AG782" s="126"/>
      <c r="AH782" s="126"/>
    </row>
    <row r="783" spans="1:34">
      <c r="A783" s="126"/>
      <c r="B783" s="129"/>
      <c r="C783" s="130"/>
      <c r="D783" s="126"/>
      <c r="E783" s="126"/>
      <c r="F783" s="126"/>
      <c r="G783" s="130"/>
      <c r="H783" s="130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  <c r="AA783" s="126"/>
      <c r="AB783" s="126"/>
      <c r="AC783" s="126"/>
      <c r="AD783" s="126"/>
      <c r="AE783" s="126"/>
      <c r="AF783" s="126"/>
      <c r="AG783" s="126"/>
      <c r="AH783" s="126"/>
    </row>
    <row r="784" spans="1:34">
      <c r="A784" s="126"/>
      <c r="B784" s="129"/>
      <c r="C784" s="130"/>
      <c r="D784" s="126"/>
      <c r="E784" s="126"/>
      <c r="F784" s="126"/>
      <c r="G784" s="130"/>
      <c r="H784" s="130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  <c r="AA784" s="126"/>
      <c r="AB784" s="126"/>
      <c r="AC784" s="126"/>
      <c r="AD784" s="126"/>
      <c r="AE784" s="126"/>
      <c r="AF784" s="126"/>
      <c r="AG784" s="126"/>
      <c r="AH784" s="126"/>
    </row>
    <row r="785" spans="1:34">
      <c r="A785" s="126"/>
      <c r="B785" s="129"/>
      <c r="C785" s="130"/>
      <c r="D785" s="126"/>
      <c r="E785" s="126"/>
      <c r="F785" s="126"/>
      <c r="G785" s="130"/>
      <c r="H785" s="130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  <c r="AA785" s="126"/>
      <c r="AB785" s="126"/>
      <c r="AC785" s="126"/>
      <c r="AD785" s="126"/>
      <c r="AE785" s="126"/>
      <c r="AF785" s="126"/>
      <c r="AG785" s="126"/>
      <c r="AH785" s="126"/>
    </row>
    <row r="786" spans="1:34">
      <c r="A786" s="126"/>
      <c r="B786" s="129"/>
      <c r="C786" s="130"/>
      <c r="D786" s="126"/>
      <c r="E786" s="126"/>
      <c r="F786" s="126"/>
      <c r="G786" s="130"/>
      <c r="H786" s="130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  <c r="AA786" s="126"/>
      <c r="AB786" s="126"/>
      <c r="AC786" s="126"/>
      <c r="AD786" s="126"/>
      <c r="AE786" s="126"/>
      <c r="AF786" s="126"/>
      <c r="AG786" s="126"/>
      <c r="AH786" s="126"/>
    </row>
    <row r="787" spans="1:34">
      <c r="A787" s="126"/>
      <c r="B787" s="129"/>
      <c r="C787" s="130"/>
      <c r="D787" s="126"/>
      <c r="E787" s="126"/>
      <c r="F787" s="126"/>
      <c r="G787" s="130"/>
      <c r="H787" s="130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  <c r="AA787" s="126"/>
      <c r="AB787" s="126"/>
      <c r="AC787" s="126"/>
      <c r="AD787" s="126"/>
      <c r="AE787" s="126"/>
      <c r="AF787" s="126"/>
      <c r="AG787" s="126"/>
      <c r="AH787" s="126"/>
    </row>
    <row r="788" spans="1:34">
      <c r="A788" s="126"/>
      <c r="B788" s="129"/>
      <c r="C788" s="130"/>
      <c r="D788" s="126"/>
      <c r="E788" s="126"/>
      <c r="F788" s="126"/>
      <c r="G788" s="130"/>
      <c r="H788" s="130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  <c r="AA788" s="126"/>
      <c r="AB788" s="126"/>
      <c r="AC788" s="126"/>
      <c r="AD788" s="126"/>
      <c r="AE788" s="126"/>
      <c r="AF788" s="126"/>
      <c r="AG788" s="126"/>
      <c r="AH788" s="126"/>
    </row>
    <row r="789" spans="1:34">
      <c r="A789" s="126"/>
      <c r="B789" s="129"/>
      <c r="C789" s="130"/>
      <c r="D789" s="126"/>
      <c r="E789" s="126"/>
      <c r="F789" s="126"/>
      <c r="G789" s="130"/>
      <c r="H789" s="130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  <c r="AA789" s="126"/>
      <c r="AB789" s="126"/>
      <c r="AC789" s="126"/>
      <c r="AD789" s="126"/>
      <c r="AE789" s="126"/>
      <c r="AF789" s="126"/>
      <c r="AG789" s="126"/>
      <c r="AH789" s="126"/>
    </row>
    <row r="790" spans="1:34">
      <c r="A790" s="126"/>
      <c r="B790" s="129"/>
      <c r="C790" s="130"/>
      <c r="D790" s="126"/>
      <c r="E790" s="126"/>
      <c r="F790" s="126"/>
      <c r="G790" s="130"/>
      <c r="H790" s="130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  <c r="AA790" s="126"/>
      <c r="AB790" s="126"/>
      <c r="AC790" s="126"/>
      <c r="AD790" s="126"/>
      <c r="AE790" s="126"/>
      <c r="AF790" s="126"/>
      <c r="AG790" s="126"/>
      <c r="AH790" s="126"/>
    </row>
    <row r="791" spans="3:34">
      <c r="C791" s="121"/>
      <c r="G791" s="121"/>
      <c r="H791" s="121"/>
      <c r="W791" s="126"/>
      <c r="X791" s="126"/>
      <c r="Y791" s="126"/>
      <c r="Z791" s="126"/>
      <c r="AA791" s="126"/>
      <c r="AB791" s="126"/>
      <c r="AC791" s="126"/>
      <c r="AD791" s="126"/>
      <c r="AE791" s="126"/>
      <c r="AF791" s="126"/>
      <c r="AG791" s="126"/>
      <c r="AH791" s="126"/>
    </row>
    <row r="792" spans="3:34">
      <c r="C792" s="121"/>
      <c r="H792" s="121"/>
      <c r="W792" s="126"/>
      <c r="X792" s="126"/>
      <c r="Y792" s="126"/>
      <c r="Z792" s="126"/>
      <c r="AA792" s="126"/>
      <c r="AB792" s="126"/>
      <c r="AC792" s="126"/>
      <c r="AD792" s="126"/>
      <c r="AE792" s="126"/>
      <c r="AF792" s="126"/>
      <c r="AG792" s="126"/>
      <c r="AH792" s="126"/>
    </row>
    <row r="793" spans="3:34">
      <c r="C793" s="121"/>
      <c r="H793" s="121"/>
      <c r="W793" s="126"/>
      <c r="X793" s="126"/>
      <c r="Y793" s="126"/>
      <c r="Z793" s="126"/>
      <c r="AA793" s="126"/>
      <c r="AB793" s="126"/>
      <c r="AC793" s="126"/>
      <c r="AD793" s="126"/>
      <c r="AE793" s="126"/>
      <c r="AF793" s="126"/>
      <c r="AG793" s="126"/>
      <c r="AH793" s="126"/>
    </row>
    <row r="794" spans="3:34">
      <c r="C794" s="121"/>
      <c r="G794" s="121"/>
      <c r="H794" s="121"/>
      <c r="W794" s="126"/>
      <c r="X794" s="126"/>
      <c r="Y794" s="126"/>
      <c r="Z794" s="126"/>
      <c r="AA794" s="126"/>
      <c r="AB794" s="126"/>
      <c r="AC794" s="126"/>
      <c r="AD794" s="126"/>
      <c r="AE794" s="126"/>
      <c r="AF794" s="126"/>
      <c r="AG794" s="126"/>
      <c r="AH794" s="126"/>
    </row>
    <row r="795" spans="3:34">
      <c r="C795" s="121"/>
      <c r="H795" s="121"/>
      <c r="W795" s="126"/>
      <c r="X795" s="126"/>
      <c r="Y795" s="126"/>
      <c r="Z795" s="126"/>
      <c r="AA795" s="126"/>
      <c r="AB795" s="126"/>
      <c r="AC795" s="126"/>
      <c r="AD795" s="126"/>
      <c r="AE795" s="126"/>
      <c r="AF795" s="126"/>
      <c r="AG795" s="126"/>
      <c r="AH795" s="126"/>
    </row>
    <row r="796" spans="3:34">
      <c r="C796" s="121"/>
      <c r="H796" s="121"/>
      <c r="W796" s="126"/>
      <c r="X796" s="126"/>
      <c r="Y796" s="126"/>
      <c r="Z796" s="126"/>
      <c r="AA796" s="126"/>
      <c r="AB796" s="126"/>
      <c r="AC796" s="126"/>
      <c r="AD796" s="126"/>
      <c r="AE796" s="126"/>
      <c r="AF796" s="126"/>
      <c r="AG796" s="126"/>
      <c r="AH796" s="126"/>
    </row>
    <row r="797" spans="3:34">
      <c r="C797" s="121"/>
      <c r="G797" s="121"/>
      <c r="H797" s="121"/>
      <c r="W797" s="126"/>
      <c r="X797" s="126"/>
      <c r="Y797" s="126"/>
      <c r="Z797" s="126"/>
      <c r="AA797" s="126"/>
      <c r="AB797" s="126"/>
      <c r="AC797" s="126"/>
      <c r="AD797" s="126"/>
      <c r="AE797" s="126"/>
      <c r="AF797" s="126"/>
      <c r="AG797" s="126"/>
      <c r="AH797" s="126"/>
    </row>
    <row r="798" spans="3:34">
      <c r="C798" s="121"/>
      <c r="H798" s="121"/>
      <c r="W798" s="126"/>
      <c r="X798" s="126"/>
      <c r="Y798" s="126"/>
      <c r="Z798" s="126"/>
      <c r="AA798" s="126"/>
      <c r="AB798" s="126"/>
      <c r="AC798" s="126"/>
      <c r="AD798" s="126"/>
      <c r="AE798" s="126"/>
      <c r="AF798" s="126"/>
      <c r="AG798" s="126"/>
      <c r="AH798" s="126"/>
    </row>
    <row r="799" spans="3:34">
      <c r="C799" s="121"/>
      <c r="H799" s="121"/>
      <c r="W799" s="126"/>
      <c r="X799" s="126"/>
      <c r="Y799" s="126"/>
      <c r="Z799" s="126"/>
      <c r="AA799" s="126"/>
      <c r="AB799" s="126"/>
      <c r="AC799" s="126"/>
      <c r="AD799" s="126"/>
      <c r="AE799" s="126"/>
      <c r="AF799" s="126"/>
      <c r="AG799" s="126"/>
      <c r="AH799" s="126"/>
    </row>
    <row r="800" spans="3:34">
      <c r="C800" s="121"/>
      <c r="G800" s="121"/>
      <c r="H800" s="121"/>
      <c r="W800" s="126"/>
      <c r="X800" s="126"/>
      <c r="Y800" s="126"/>
      <c r="Z800" s="126"/>
      <c r="AA800" s="126"/>
      <c r="AB800" s="126"/>
      <c r="AC800" s="126"/>
      <c r="AD800" s="126"/>
      <c r="AE800" s="126"/>
      <c r="AF800" s="126"/>
      <c r="AG800" s="126"/>
      <c r="AH800" s="126"/>
    </row>
    <row r="801" spans="3:34">
      <c r="C801" s="121"/>
      <c r="H801" s="121"/>
      <c r="W801" s="126"/>
      <c r="X801" s="126"/>
      <c r="Y801" s="126"/>
      <c r="Z801" s="126"/>
      <c r="AA801" s="126"/>
      <c r="AB801" s="126"/>
      <c r="AC801" s="126"/>
      <c r="AD801" s="126"/>
      <c r="AE801" s="126"/>
      <c r="AF801" s="126"/>
      <c r="AG801" s="126"/>
      <c r="AH801" s="126"/>
    </row>
    <row r="802" spans="3:34">
      <c r="C802" s="121"/>
      <c r="H802" s="121"/>
      <c r="W802" s="126"/>
      <c r="X802" s="126"/>
      <c r="Y802" s="126"/>
      <c r="Z802" s="126"/>
      <c r="AA802" s="126"/>
      <c r="AB802" s="126"/>
      <c r="AC802" s="126"/>
      <c r="AD802" s="126"/>
      <c r="AE802" s="126"/>
      <c r="AF802" s="126"/>
      <c r="AG802" s="126"/>
      <c r="AH802" s="126"/>
    </row>
    <row r="803" spans="3:34">
      <c r="C803" s="121"/>
      <c r="G803" s="121"/>
      <c r="H803" s="121"/>
      <c r="W803" s="126"/>
      <c r="X803" s="126"/>
      <c r="Y803" s="126"/>
      <c r="Z803" s="126"/>
      <c r="AA803" s="126"/>
      <c r="AB803" s="126"/>
      <c r="AC803" s="126"/>
      <c r="AD803" s="126"/>
      <c r="AE803" s="126"/>
      <c r="AF803" s="126"/>
      <c r="AG803" s="126"/>
      <c r="AH803" s="126"/>
    </row>
    <row r="804" spans="3:34">
      <c r="C804" s="121"/>
      <c r="H804" s="121"/>
      <c r="W804" s="126"/>
      <c r="X804" s="126"/>
      <c r="Y804" s="126"/>
      <c r="Z804" s="126"/>
      <c r="AA804" s="126"/>
      <c r="AB804" s="126"/>
      <c r="AC804" s="126"/>
      <c r="AD804" s="126"/>
      <c r="AE804" s="126"/>
      <c r="AF804" s="126"/>
      <c r="AG804" s="126"/>
      <c r="AH804" s="126"/>
    </row>
    <row r="805" spans="3:34">
      <c r="C805" s="121"/>
      <c r="H805" s="121"/>
      <c r="W805" s="126"/>
      <c r="X805" s="126"/>
      <c r="Y805" s="126"/>
      <c r="Z805" s="126"/>
      <c r="AA805" s="126"/>
      <c r="AB805" s="126"/>
      <c r="AC805" s="126"/>
      <c r="AD805" s="126"/>
      <c r="AE805" s="126"/>
      <c r="AF805" s="126"/>
      <c r="AG805" s="126"/>
      <c r="AH805" s="126"/>
    </row>
    <row r="806" spans="3:34">
      <c r="C806" s="121"/>
      <c r="G806" s="121"/>
      <c r="H806" s="121"/>
      <c r="W806" s="126"/>
      <c r="X806" s="126"/>
      <c r="Y806" s="126"/>
      <c r="Z806" s="126"/>
      <c r="AA806" s="126"/>
      <c r="AB806" s="126"/>
      <c r="AC806" s="126"/>
      <c r="AD806" s="126"/>
      <c r="AE806" s="126"/>
      <c r="AF806" s="126"/>
      <c r="AG806" s="126"/>
      <c r="AH806" s="126"/>
    </row>
  </sheetData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117"/>
  <sheetViews>
    <sheetView workbookViewId="0">
      <selection activeCell="AD32285" sqref="AD32285"/>
    </sheetView>
  </sheetViews>
  <sheetFormatPr defaultColWidth="9" defaultRowHeight="14"/>
  <sheetData>
    <row r="1" spans="2:4">
      <c r="B1" t="s">
        <v>294</v>
      </c>
      <c r="C1" t="s">
        <v>295</v>
      </c>
      <c r="D1" t="s">
        <v>296</v>
      </c>
    </row>
    <row r="2" spans="1:6">
      <c r="A2" s="110">
        <v>100201</v>
      </c>
      <c r="D2" s="102">
        <v>157</v>
      </c>
      <c r="E2">
        <v>2.5</v>
      </c>
      <c r="F2">
        <f>D2*E2</f>
        <v>392.5</v>
      </c>
    </row>
    <row r="3" spans="1:6">
      <c r="A3" s="110">
        <v>100201</v>
      </c>
      <c r="D3" s="102">
        <v>157</v>
      </c>
      <c r="E3">
        <v>2.5</v>
      </c>
      <c r="F3">
        <f t="shared" ref="F3:F14" si="0">D3*E3</f>
        <v>392.5</v>
      </c>
    </row>
    <row r="4" spans="1:6">
      <c r="A4" s="110">
        <v>100201</v>
      </c>
      <c r="D4" s="102">
        <v>157</v>
      </c>
      <c r="E4">
        <v>2.5</v>
      </c>
      <c r="F4">
        <f t="shared" si="0"/>
        <v>392.5</v>
      </c>
    </row>
    <row r="5" spans="1:6">
      <c r="A5" s="110">
        <v>100202</v>
      </c>
      <c r="D5" s="102">
        <v>237</v>
      </c>
      <c r="E5">
        <v>2.5</v>
      </c>
      <c r="F5">
        <f t="shared" si="0"/>
        <v>592.5</v>
      </c>
    </row>
    <row r="6" spans="1:6">
      <c r="A6" s="110">
        <v>100202</v>
      </c>
      <c r="D6" s="102">
        <v>170</v>
      </c>
      <c r="E6">
        <v>2.5</v>
      </c>
      <c r="F6">
        <f t="shared" si="0"/>
        <v>425</v>
      </c>
    </row>
    <row r="7" spans="1:6">
      <c r="A7" s="110">
        <v>100202</v>
      </c>
      <c r="D7" s="102">
        <v>170</v>
      </c>
      <c r="E7">
        <v>2.5</v>
      </c>
      <c r="F7">
        <f t="shared" si="0"/>
        <v>425</v>
      </c>
    </row>
    <row r="8" spans="1:6">
      <c r="A8" s="110">
        <v>100203</v>
      </c>
      <c r="D8" s="102">
        <v>322</v>
      </c>
      <c r="E8">
        <v>2.5</v>
      </c>
      <c r="F8">
        <f t="shared" si="0"/>
        <v>805</v>
      </c>
    </row>
    <row r="9" spans="1:6">
      <c r="A9" s="110">
        <v>100204</v>
      </c>
      <c r="D9" s="102">
        <v>342</v>
      </c>
      <c r="E9">
        <v>2.5</v>
      </c>
      <c r="F9">
        <f t="shared" si="0"/>
        <v>855</v>
      </c>
    </row>
    <row r="10" spans="1:6">
      <c r="A10" s="110">
        <v>100204</v>
      </c>
      <c r="D10" s="102">
        <v>213</v>
      </c>
      <c r="E10">
        <v>2.5</v>
      </c>
      <c r="F10">
        <f t="shared" si="0"/>
        <v>532.5</v>
      </c>
    </row>
    <row r="11" spans="1:6">
      <c r="A11" s="110">
        <v>100204</v>
      </c>
      <c r="D11" s="102">
        <v>213</v>
      </c>
      <c r="E11">
        <v>2.5</v>
      </c>
      <c r="F11">
        <f t="shared" si="0"/>
        <v>532.5</v>
      </c>
    </row>
    <row r="12" spans="1:6">
      <c r="A12" s="110">
        <v>100205</v>
      </c>
      <c r="D12" s="102">
        <v>353</v>
      </c>
      <c r="E12">
        <v>2.5</v>
      </c>
      <c r="F12">
        <f t="shared" si="0"/>
        <v>882.5</v>
      </c>
    </row>
    <row r="13" spans="1:6">
      <c r="A13" s="110">
        <v>100205</v>
      </c>
      <c r="D13" s="102">
        <v>235</v>
      </c>
      <c r="E13">
        <v>2.5</v>
      </c>
      <c r="F13">
        <f t="shared" si="0"/>
        <v>587.5</v>
      </c>
    </row>
    <row r="14" spans="1:6">
      <c r="A14" s="110">
        <v>100205</v>
      </c>
      <c r="D14" s="102">
        <v>235</v>
      </c>
      <c r="E14">
        <v>2.5</v>
      </c>
      <c r="F14">
        <f t="shared" si="0"/>
        <v>587.5</v>
      </c>
    </row>
    <row r="19" spans="1:70">
      <c r="A19" s="102">
        <v>4643</v>
      </c>
      <c r="B19">
        <v>615001</v>
      </c>
      <c r="C19" s="103" t="s">
        <v>297</v>
      </c>
      <c r="D19">
        <v>30</v>
      </c>
      <c r="E19">
        <v>1</v>
      </c>
      <c r="F19">
        <v>23</v>
      </c>
      <c r="G19">
        <v>1</v>
      </c>
      <c r="H19">
        <v>1</v>
      </c>
      <c r="I19">
        <v>1</v>
      </c>
      <c r="J19" s="103">
        <v>600130</v>
      </c>
      <c r="K19" s="103">
        <v>1</v>
      </c>
      <c r="L19" s="103">
        <v>25</v>
      </c>
      <c r="M19" s="103">
        <v>600131</v>
      </c>
      <c r="N19" s="103">
        <v>1</v>
      </c>
      <c r="O19" s="103">
        <v>35</v>
      </c>
      <c r="P19" s="103">
        <v>600132</v>
      </c>
      <c r="Q19" s="103">
        <v>1</v>
      </c>
      <c r="U19">
        <v>20</v>
      </c>
      <c r="V19" s="103">
        <v>600133</v>
      </c>
      <c r="W19">
        <v>1</v>
      </c>
      <c r="X19">
        <v>600176</v>
      </c>
      <c r="Y19">
        <v>1</v>
      </c>
      <c r="Z19" s="114">
        <v>700</v>
      </c>
      <c r="AA19" s="114">
        <v>60</v>
      </c>
      <c r="AB19" s="114">
        <v>3000</v>
      </c>
      <c r="AC19">
        <v>65</v>
      </c>
      <c r="AD19" s="110">
        <v>0.2</v>
      </c>
      <c r="AE19" s="110">
        <v>0</v>
      </c>
      <c r="AF19" s="110">
        <v>1</v>
      </c>
      <c r="AG19" s="110">
        <v>0</v>
      </c>
      <c r="AH19" s="110">
        <v>1.5</v>
      </c>
      <c r="AI19" s="110"/>
      <c r="AJ19" s="110">
        <v>1.3</v>
      </c>
      <c r="AK19" s="110">
        <v>0</v>
      </c>
      <c r="AL19" s="110">
        <v>0.5</v>
      </c>
      <c r="AM19" s="110">
        <v>0</v>
      </c>
      <c r="BP19" s="115" t="s">
        <v>298</v>
      </c>
      <c r="BR19" t="s">
        <v>118</v>
      </c>
    </row>
    <row r="20" spans="1:70">
      <c r="A20" s="102">
        <v>4644</v>
      </c>
      <c r="B20">
        <v>615001</v>
      </c>
      <c r="C20" s="103">
        <v>121040</v>
      </c>
      <c r="D20">
        <v>30</v>
      </c>
      <c r="E20">
        <v>6</v>
      </c>
      <c r="F20">
        <v>23</v>
      </c>
      <c r="G20">
        <v>0</v>
      </c>
      <c r="H20">
        <v>1</v>
      </c>
      <c r="I20">
        <v>1</v>
      </c>
      <c r="J20" s="103">
        <v>10123</v>
      </c>
      <c r="K20" s="103">
        <v>1</v>
      </c>
      <c r="L20" s="103">
        <v>25</v>
      </c>
      <c r="M20">
        <v>600134</v>
      </c>
      <c r="N20" s="103">
        <v>1</v>
      </c>
      <c r="O20" s="103"/>
      <c r="P20" s="103"/>
      <c r="Q20" s="103"/>
      <c r="X20">
        <v>600177</v>
      </c>
      <c r="Y20">
        <v>1</v>
      </c>
      <c r="Z20" s="114">
        <v>700</v>
      </c>
      <c r="AA20" s="114">
        <v>60</v>
      </c>
      <c r="AB20" s="114">
        <v>3000</v>
      </c>
      <c r="AC20">
        <v>65</v>
      </c>
      <c r="AD20" s="110">
        <v>0.2</v>
      </c>
      <c r="AE20" s="110">
        <v>0</v>
      </c>
      <c r="AF20" s="110">
        <v>1</v>
      </c>
      <c r="AG20" s="110">
        <v>0</v>
      </c>
      <c r="AH20" s="110">
        <v>1.5</v>
      </c>
      <c r="AI20" s="110"/>
      <c r="AJ20" s="110">
        <v>1.3</v>
      </c>
      <c r="AK20" s="110">
        <v>0</v>
      </c>
      <c r="AL20" s="110">
        <v>0.5</v>
      </c>
      <c r="AM20" s="110">
        <v>0</v>
      </c>
      <c r="BP20" s="115" t="s">
        <v>299</v>
      </c>
      <c r="BR20" t="s">
        <v>300</v>
      </c>
    </row>
    <row r="21" spans="1:70">
      <c r="A21" s="102">
        <v>4645</v>
      </c>
      <c r="B21">
        <v>615002</v>
      </c>
      <c r="C21" s="103">
        <v>1112015</v>
      </c>
      <c r="D21">
        <v>30</v>
      </c>
      <c r="E21">
        <v>2</v>
      </c>
      <c r="F21">
        <v>23</v>
      </c>
      <c r="G21">
        <v>1</v>
      </c>
      <c r="H21">
        <v>1</v>
      </c>
      <c r="I21">
        <v>1</v>
      </c>
      <c r="J21" s="103">
        <v>500132</v>
      </c>
      <c r="K21" s="103">
        <v>1</v>
      </c>
      <c r="L21" s="103">
        <v>25</v>
      </c>
      <c r="M21">
        <v>600142</v>
      </c>
      <c r="N21" s="103">
        <v>1</v>
      </c>
      <c r="O21" s="103">
        <v>35</v>
      </c>
      <c r="P21">
        <v>600144</v>
      </c>
      <c r="Q21" s="103">
        <v>1</v>
      </c>
      <c r="R21">
        <v>25</v>
      </c>
      <c r="S21">
        <v>600145</v>
      </c>
      <c r="T21">
        <v>1</v>
      </c>
      <c r="X21">
        <v>600181</v>
      </c>
      <c r="Y21">
        <v>1</v>
      </c>
      <c r="Z21" s="114">
        <v>700</v>
      </c>
      <c r="AA21" s="114">
        <v>60</v>
      </c>
      <c r="AB21" s="114">
        <v>3000</v>
      </c>
      <c r="AC21">
        <v>65</v>
      </c>
      <c r="AD21" s="110">
        <v>0.2</v>
      </c>
      <c r="AE21" s="110">
        <v>0</v>
      </c>
      <c r="AF21" s="110">
        <v>1</v>
      </c>
      <c r="AG21" s="110">
        <v>0</v>
      </c>
      <c r="AH21" s="110">
        <v>1.5</v>
      </c>
      <c r="AI21" s="110"/>
      <c r="AJ21" s="110">
        <v>1.3</v>
      </c>
      <c r="AK21" s="110">
        <v>0</v>
      </c>
      <c r="AL21" s="110">
        <v>0.5</v>
      </c>
      <c r="AM21" s="110">
        <v>0</v>
      </c>
      <c r="BP21" s="115" t="s">
        <v>301</v>
      </c>
      <c r="BR21" t="s">
        <v>138</v>
      </c>
    </row>
    <row r="22" spans="1:70">
      <c r="A22" s="102">
        <v>4646</v>
      </c>
      <c r="B22">
        <v>615002</v>
      </c>
      <c r="C22" s="103">
        <v>1111015</v>
      </c>
      <c r="D22">
        <v>30</v>
      </c>
      <c r="E22">
        <v>4</v>
      </c>
      <c r="F22">
        <v>23</v>
      </c>
      <c r="G22">
        <v>0</v>
      </c>
      <c r="H22">
        <v>1</v>
      </c>
      <c r="I22">
        <v>1</v>
      </c>
      <c r="J22" s="103">
        <v>600149</v>
      </c>
      <c r="K22" s="103">
        <v>1</v>
      </c>
      <c r="L22" s="103">
        <v>25</v>
      </c>
      <c r="M22">
        <v>600150</v>
      </c>
      <c r="N22" s="103">
        <v>1</v>
      </c>
      <c r="O22" s="103">
        <v>35</v>
      </c>
      <c r="P22">
        <v>600151</v>
      </c>
      <c r="Q22" s="103">
        <v>1</v>
      </c>
      <c r="U22">
        <v>20</v>
      </c>
      <c r="V22">
        <v>600152</v>
      </c>
      <c r="W22">
        <v>1</v>
      </c>
      <c r="Z22" s="114">
        <v>700</v>
      </c>
      <c r="AA22" s="114">
        <v>60</v>
      </c>
      <c r="AB22" s="114">
        <v>3000</v>
      </c>
      <c r="AC22">
        <v>65</v>
      </c>
      <c r="AD22" s="110">
        <v>0.2</v>
      </c>
      <c r="AE22" s="110">
        <v>0</v>
      </c>
      <c r="AF22" s="110">
        <v>1</v>
      </c>
      <c r="AG22" s="110">
        <v>0</v>
      </c>
      <c r="AH22" s="110">
        <v>1.5</v>
      </c>
      <c r="AI22" s="110"/>
      <c r="AJ22" s="110">
        <v>1.3</v>
      </c>
      <c r="AK22" s="110">
        <v>0</v>
      </c>
      <c r="AL22" s="110">
        <v>0.5</v>
      </c>
      <c r="AM22" s="110">
        <v>0</v>
      </c>
      <c r="BP22" s="115" t="s">
        <v>302</v>
      </c>
      <c r="BR22" t="s">
        <v>303</v>
      </c>
    </row>
    <row r="23" spans="1:70">
      <c r="A23" s="102">
        <v>4647</v>
      </c>
      <c r="B23">
        <v>615003</v>
      </c>
      <c r="C23" s="103">
        <v>1111013</v>
      </c>
      <c r="D23">
        <v>30</v>
      </c>
      <c r="E23">
        <v>5</v>
      </c>
      <c r="F23">
        <v>22</v>
      </c>
      <c r="G23">
        <v>1</v>
      </c>
      <c r="H23">
        <v>1</v>
      </c>
      <c r="I23">
        <v>1</v>
      </c>
      <c r="J23" s="103">
        <v>600156</v>
      </c>
      <c r="K23" s="103">
        <v>1</v>
      </c>
      <c r="L23" s="103">
        <v>25</v>
      </c>
      <c r="M23">
        <v>600158</v>
      </c>
      <c r="N23" s="103">
        <v>1</v>
      </c>
      <c r="O23" s="103">
        <v>35</v>
      </c>
      <c r="P23">
        <v>600159</v>
      </c>
      <c r="Q23" s="103">
        <v>1</v>
      </c>
      <c r="U23">
        <v>20</v>
      </c>
      <c r="V23">
        <v>600157</v>
      </c>
      <c r="W23">
        <v>1</v>
      </c>
      <c r="Z23" s="114">
        <v>700</v>
      </c>
      <c r="AA23" s="114">
        <v>60</v>
      </c>
      <c r="AB23" s="114">
        <v>3000</v>
      </c>
      <c r="AC23">
        <v>65</v>
      </c>
      <c r="AD23" s="110">
        <v>0.2</v>
      </c>
      <c r="AE23" s="110">
        <v>0</v>
      </c>
      <c r="AF23" s="110">
        <v>1</v>
      </c>
      <c r="AG23" s="110">
        <v>0</v>
      </c>
      <c r="AH23" s="110">
        <v>1.5</v>
      </c>
      <c r="AI23" s="110"/>
      <c r="AJ23" s="110">
        <v>1.3</v>
      </c>
      <c r="AK23" s="110">
        <v>0</v>
      </c>
      <c r="AL23" s="110">
        <v>0.5</v>
      </c>
      <c r="AM23" s="110">
        <v>0</v>
      </c>
      <c r="BP23" s="115"/>
      <c r="BR23" t="s">
        <v>304</v>
      </c>
    </row>
    <row r="24" spans="1:70">
      <c r="A24" s="102">
        <v>4648</v>
      </c>
      <c r="B24">
        <v>615003</v>
      </c>
      <c r="C24" s="103">
        <v>121043</v>
      </c>
      <c r="D24">
        <v>30</v>
      </c>
      <c r="E24">
        <v>1</v>
      </c>
      <c r="F24">
        <v>22</v>
      </c>
      <c r="G24">
        <v>0</v>
      </c>
      <c r="H24">
        <v>1</v>
      </c>
      <c r="I24">
        <v>1</v>
      </c>
      <c r="J24" s="103">
        <v>600136</v>
      </c>
      <c r="K24" s="103">
        <v>1</v>
      </c>
      <c r="L24" s="103">
        <v>25</v>
      </c>
      <c r="M24">
        <v>600137</v>
      </c>
      <c r="N24" s="103">
        <v>1</v>
      </c>
      <c r="O24" s="103">
        <v>35</v>
      </c>
      <c r="P24">
        <v>600138</v>
      </c>
      <c r="Q24" s="103">
        <v>1</v>
      </c>
      <c r="Z24" s="114">
        <v>700</v>
      </c>
      <c r="AA24" s="114">
        <v>60</v>
      </c>
      <c r="AB24" s="114">
        <v>3000</v>
      </c>
      <c r="AC24">
        <v>65</v>
      </c>
      <c r="AD24" s="110">
        <v>0.2</v>
      </c>
      <c r="AE24" s="110">
        <v>0</v>
      </c>
      <c r="AF24" s="110">
        <v>1</v>
      </c>
      <c r="AG24" s="110">
        <v>0</v>
      </c>
      <c r="AH24" s="110">
        <v>1.5</v>
      </c>
      <c r="AI24" s="110"/>
      <c r="AJ24" s="110">
        <v>1.3</v>
      </c>
      <c r="AK24" s="110">
        <v>0</v>
      </c>
      <c r="AL24" s="110">
        <v>0.5</v>
      </c>
      <c r="AM24" s="110">
        <v>0</v>
      </c>
      <c r="BP24" s="115"/>
      <c r="BR24" t="s">
        <v>305</v>
      </c>
    </row>
    <row r="25" spans="1:70">
      <c r="A25" s="102">
        <v>4649</v>
      </c>
      <c r="B25">
        <v>615003</v>
      </c>
      <c r="C25" s="103">
        <v>121006</v>
      </c>
      <c r="D25">
        <v>30</v>
      </c>
      <c r="E25">
        <v>3</v>
      </c>
      <c r="F25">
        <v>22</v>
      </c>
      <c r="G25">
        <v>0</v>
      </c>
      <c r="H25">
        <v>1</v>
      </c>
      <c r="I25">
        <v>1</v>
      </c>
      <c r="J25" s="103">
        <v>600139</v>
      </c>
      <c r="K25" s="103">
        <v>1</v>
      </c>
      <c r="L25" s="103">
        <v>25</v>
      </c>
      <c r="M25">
        <v>600140</v>
      </c>
      <c r="N25" s="103">
        <v>1</v>
      </c>
      <c r="O25" s="103"/>
      <c r="P25" s="103"/>
      <c r="Q25" s="103"/>
      <c r="Z25" s="114">
        <v>700</v>
      </c>
      <c r="AA25" s="114">
        <v>60</v>
      </c>
      <c r="AB25" s="114">
        <v>3000</v>
      </c>
      <c r="AC25">
        <v>65</v>
      </c>
      <c r="AD25" s="110">
        <v>0.2</v>
      </c>
      <c r="AE25" s="110">
        <v>0</v>
      </c>
      <c r="AF25" s="110">
        <v>1</v>
      </c>
      <c r="AG25" s="110">
        <v>0</v>
      </c>
      <c r="AH25" s="110">
        <v>1.5</v>
      </c>
      <c r="AI25" s="110"/>
      <c r="AJ25" s="110">
        <v>1.3</v>
      </c>
      <c r="AK25" s="110">
        <v>0</v>
      </c>
      <c r="AL25" s="110">
        <v>0.5</v>
      </c>
      <c r="AM25" s="110">
        <v>0</v>
      </c>
      <c r="BP25" s="115"/>
      <c r="BR25" t="s">
        <v>306</v>
      </c>
    </row>
    <row r="33" spans="1:6">
      <c r="A33">
        <v>8800</v>
      </c>
      <c r="B33">
        <v>560</v>
      </c>
      <c r="C33">
        <v>720000</v>
      </c>
      <c r="D33">
        <f>A33*0.85</f>
        <v>7480</v>
      </c>
      <c r="E33">
        <f t="shared" ref="E33:F33" si="1">B33*0.8</f>
        <v>448</v>
      </c>
      <c r="F33">
        <f t="shared" si="1"/>
        <v>576000</v>
      </c>
    </row>
    <row r="34" spans="1:6">
      <c r="A34">
        <v>9600</v>
      </c>
      <c r="B34">
        <v>560</v>
      </c>
      <c r="C34">
        <v>640000</v>
      </c>
      <c r="D34">
        <f t="shared" ref="D34:D37" si="2">A34*0.8</f>
        <v>7680</v>
      </c>
      <c r="E34">
        <f t="shared" ref="E34:E37" si="3">B34*0.8</f>
        <v>448</v>
      </c>
      <c r="F34">
        <f t="shared" ref="F34:F37" si="4">C34*0.8</f>
        <v>512000</v>
      </c>
    </row>
    <row r="35" spans="1:6">
      <c r="A35">
        <v>8000</v>
      </c>
      <c r="B35">
        <v>160</v>
      </c>
      <c r="C35">
        <v>400000</v>
      </c>
      <c r="D35">
        <f t="shared" si="2"/>
        <v>6400</v>
      </c>
      <c r="E35">
        <f t="shared" si="3"/>
        <v>128</v>
      </c>
      <c r="F35">
        <f t="shared" si="4"/>
        <v>320000</v>
      </c>
    </row>
    <row r="36" spans="1:6">
      <c r="A36" s="111">
        <v>8000</v>
      </c>
      <c r="B36" s="111">
        <v>240</v>
      </c>
      <c r="C36" s="111">
        <v>560000</v>
      </c>
      <c r="D36">
        <f t="shared" si="2"/>
        <v>6400</v>
      </c>
      <c r="E36">
        <f t="shared" si="3"/>
        <v>192</v>
      </c>
      <c r="F36">
        <f t="shared" si="4"/>
        <v>448000</v>
      </c>
    </row>
    <row r="37" spans="1:6">
      <c r="A37">
        <v>8000</v>
      </c>
      <c r="B37">
        <v>280</v>
      </c>
      <c r="C37">
        <v>560000</v>
      </c>
      <c r="D37">
        <f t="shared" si="2"/>
        <v>6400</v>
      </c>
      <c r="E37">
        <f t="shared" si="3"/>
        <v>224</v>
      </c>
      <c r="F37">
        <f t="shared" si="4"/>
        <v>448000</v>
      </c>
    </row>
    <row r="38" spans="1:6">
      <c r="A38" s="112">
        <v>6400</v>
      </c>
      <c r="B38" s="112">
        <v>336</v>
      </c>
      <c r="C38" s="112">
        <v>180000</v>
      </c>
      <c r="D38">
        <f t="shared" ref="D38:D70" si="5">A38*0.8</f>
        <v>5120</v>
      </c>
      <c r="E38">
        <f t="shared" ref="E38:E70" si="6">B38*0.8</f>
        <v>268.8</v>
      </c>
      <c r="F38">
        <f t="shared" ref="F38:F70" si="7">C38*0.8</f>
        <v>144000</v>
      </c>
    </row>
    <row r="39" spans="1:6">
      <c r="A39" s="112">
        <v>6400</v>
      </c>
      <c r="B39" s="112">
        <v>336</v>
      </c>
      <c r="C39" s="112">
        <v>180000</v>
      </c>
      <c r="D39">
        <f t="shared" si="5"/>
        <v>5120</v>
      </c>
      <c r="E39">
        <f t="shared" si="6"/>
        <v>268.8</v>
      </c>
      <c r="F39">
        <f t="shared" si="7"/>
        <v>144000</v>
      </c>
    </row>
    <row r="40" spans="1:6">
      <c r="A40" s="112">
        <v>6400</v>
      </c>
      <c r="B40" s="112">
        <v>336</v>
      </c>
      <c r="C40" s="112">
        <v>180000</v>
      </c>
      <c r="D40">
        <f t="shared" si="5"/>
        <v>5120</v>
      </c>
      <c r="E40">
        <f t="shared" si="6"/>
        <v>268.8</v>
      </c>
      <c r="F40">
        <f t="shared" si="7"/>
        <v>144000</v>
      </c>
    </row>
    <row r="41" spans="1:6">
      <c r="A41" s="112">
        <v>6400</v>
      </c>
      <c r="B41" s="112">
        <v>96</v>
      </c>
      <c r="C41" s="112">
        <v>180000</v>
      </c>
      <c r="D41">
        <f t="shared" si="5"/>
        <v>5120</v>
      </c>
      <c r="E41">
        <f t="shared" si="6"/>
        <v>76.8</v>
      </c>
      <c r="F41">
        <f t="shared" si="7"/>
        <v>144000</v>
      </c>
    </row>
    <row r="42" spans="1:6">
      <c r="A42" s="112">
        <v>6400</v>
      </c>
      <c r="B42" s="112">
        <v>96</v>
      </c>
      <c r="C42" s="112">
        <v>180000</v>
      </c>
      <c r="D42">
        <f t="shared" si="5"/>
        <v>5120</v>
      </c>
      <c r="E42">
        <f t="shared" si="6"/>
        <v>76.8</v>
      </c>
      <c r="F42">
        <f t="shared" si="7"/>
        <v>144000</v>
      </c>
    </row>
    <row r="43" spans="1:6">
      <c r="A43" s="112">
        <v>6400</v>
      </c>
      <c r="B43" s="112">
        <v>96</v>
      </c>
      <c r="C43" s="112">
        <v>180000</v>
      </c>
      <c r="D43">
        <f t="shared" si="5"/>
        <v>5120</v>
      </c>
      <c r="E43">
        <f t="shared" si="6"/>
        <v>76.8</v>
      </c>
      <c r="F43">
        <f t="shared" si="7"/>
        <v>144000</v>
      </c>
    </row>
    <row r="44" spans="1:6">
      <c r="A44" s="112">
        <v>4800</v>
      </c>
      <c r="B44" s="112">
        <v>80</v>
      </c>
      <c r="C44" s="112">
        <v>80000</v>
      </c>
      <c r="D44">
        <f t="shared" si="5"/>
        <v>3840</v>
      </c>
      <c r="E44">
        <f t="shared" si="6"/>
        <v>64</v>
      </c>
      <c r="F44">
        <f t="shared" si="7"/>
        <v>64000</v>
      </c>
    </row>
    <row r="45" spans="1:6">
      <c r="A45" s="112">
        <v>4800</v>
      </c>
      <c r="B45" s="112">
        <v>80</v>
      </c>
      <c r="C45" s="112">
        <v>80000</v>
      </c>
      <c r="D45">
        <f t="shared" si="5"/>
        <v>3840</v>
      </c>
      <c r="E45">
        <f t="shared" si="6"/>
        <v>64</v>
      </c>
      <c r="F45">
        <f t="shared" si="7"/>
        <v>64000</v>
      </c>
    </row>
    <row r="46" spans="1:6">
      <c r="A46" s="112">
        <v>4800</v>
      </c>
      <c r="B46" s="112">
        <v>80</v>
      </c>
      <c r="C46" s="112">
        <v>80000</v>
      </c>
      <c r="D46">
        <f t="shared" si="5"/>
        <v>3840</v>
      </c>
      <c r="E46">
        <f t="shared" si="6"/>
        <v>64</v>
      </c>
      <c r="F46">
        <f t="shared" si="7"/>
        <v>64000</v>
      </c>
    </row>
    <row r="47" spans="1:6">
      <c r="A47" s="112">
        <v>4800</v>
      </c>
      <c r="B47" s="112">
        <v>80</v>
      </c>
      <c r="C47" s="112">
        <v>80000</v>
      </c>
      <c r="D47">
        <f t="shared" si="5"/>
        <v>3840</v>
      </c>
      <c r="E47">
        <f t="shared" si="6"/>
        <v>64</v>
      </c>
      <c r="F47">
        <f t="shared" si="7"/>
        <v>64000</v>
      </c>
    </row>
    <row r="48" spans="1:6">
      <c r="A48" s="112">
        <v>4800</v>
      </c>
      <c r="B48" s="112">
        <v>80</v>
      </c>
      <c r="C48" s="112">
        <v>80000</v>
      </c>
      <c r="D48">
        <f t="shared" si="5"/>
        <v>3840</v>
      </c>
      <c r="E48">
        <f t="shared" si="6"/>
        <v>64</v>
      </c>
      <c r="F48">
        <f t="shared" si="7"/>
        <v>64000</v>
      </c>
    </row>
    <row r="49" spans="1:6">
      <c r="A49" s="112">
        <v>4800</v>
      </c>
      <c r="B49" s="112">
        <v>80</v>
      </c>
      <c r="C49" s="112">
        <v>80000</v>
      </c>
      <c r="D49">
        <f t="shared" si="5"/>
        <v>3840</v>
      </c>
      <c r="E49">
        <f t="shared" si="6"/>
        <v>64</v>
      </c>
      <c r="F49">
        <f t="shared" si="7"/>
        <v>64000</v>
      </c>
    </row>
    <row r="50" spans="1:6">
      <c r="A50" s="112">
        <v>4800</v>
      </c>
      <c r="B50" s="112">
        <v>80</v>
      </c>
      <c r="C50" s="112">
        <v>80000</v>
      </c>
      <c r="D50">
        <f t="shared" si="5"/>
        <v>3840</v>
      </c>
      <c r="E50">
        <f t="shared" si="6"/>
        <v>64</v>
      </c>
      <c r="F50">
        <f t="shared" si="7"/>
        <v>64000</v>
      </c>
    </row>
    <row r="51" spans="1:6">
      <c r="A51" s="112">
        <v>4800</v>
      </c>
      <c r="B51" s="112">
        <v>80</v>
      </c>
      <c r="C51" s="112">
        <v>80000</v>
      </c>
      <c r="D51">
        <f t="shared" si="5"/>
        <v>3840</v>
      </c>
      <c r="E51">
        <f t="shared" si="6"/>
        <v>64</v>
      </c>
      <c r="F51">
        <f t="shared" si="7"/>
        <v>64000</v>
      </c>
    </row>
    <row r="52" spans="1:6">
      <c r="A52" s="112">
        <v>4800</v>
      </c>
      <c r="B52" s="112">
        <v>80</v>
      </c>
      <c r="C52" s="112">
        <v>80000</v>
      </c>
      <c r="D52">
        <f t="shared" si="5"/>
        <v>3840</v>
      </c>
      <c r="E52">
        <f t="shared" si="6"/>
        <v>64</v>
      </c>
      <c r="F52">
        <f t="shared" si="7"/>
        <v>64000</v>
      </c>
    </row>
    <row r="53" spans="1:6">
      <c r="A53" s="112">
        <v>4800</v>
      </c>
      <c r="B53" s="112">
        <v>80</v>
      </c>
      <c r="C53" s="112">
        <v>80000</v>
      </c>
      <c r="D53">
        <f t="shared" si="5"/>
        <v>3840</v>
      </c>
      <c r="E53">
        <f t="shared" si="6"/>
        <v>64</v>
      </c>
      <c r="F53">
        <f t="shared" si="7"/>
        <v>64000</v>
      </c>
    </row>
    <row r="54" spans="1:6">
      <c r="A54" s="112">
        <v>4800</v>
      </c>
      <c r="B54" s="112">
        <v>80</v>
      </c>
      <c r="C54" s="112">
        <v>80000</v>
      </c>
      <c r="D54">
        <f t="shared" si="5"/>
        <v>3840</v>
      </c>
      <c r="E54">
        <f t="shared" si="6"/>
        <v>64</v>
      </c>
      <c r="F54">
        <f t="shared" si="7"/>
        <v>64000</v>
      </c>
    </row>
    <row r="55" spans="1:6">
      <c r="A55" s="112">
        <v>4800</v>
      </c>
      <c r="B55" s="112">
        <v>80</v>
      </c>
      <c r="C55" s="112">
        <v>80000</v>
      </c>
      <c r="D55">
        <f t="shared" si="5"/>
        <v>3840</v>
      </c>
      <c r="E55">
        <f t="shared" si="6"/>
        <v>64</v>
      </c>
      <c r="F55">
        <f t="shared" si="7"/>
        <v>64000</v>
      </c>
    </row>
    <row r="56" spans="1:6">
      <c r="A56" s="113">
        <v>8000</v>
      </c>
      <c r="B56" s="113">
        <v>480</v>
      </c>
      <c r="C56" s="113">
        <v>720000</v>
      </c>
      <c r="D56">
        <f t="shared" si="5"/>
        <v>6400</v>
      </c>
      <c r="E56">
        <f t="shared" si="6"/>
        <v>384</v>
      </c>
      <c r="F56">
        <f t="shared" si="7"/>
        <v>576000</v>
      </c>
    </row>
    <row r="57" spans="1:6">
      <c r="A57">
        <v>7200</v>
      </c>
      <c r="B57">
        <v>640</v>
      </c>
      <c r="C57">
        <v>564000</v>
      </c>
      <c r="D57">
        <f t="shared" si="5"/>
        <v>5760</v>
      </c>
      <c r="E57">
        <f t="shared" si="6"/>
        <v>512</v>
      </c>
      <c r="F57">
        <f t="shared" si="7"/>
        <v>451200</v>
      </c>
    </row>
    <row r="58" spans="1:6">
      <c r="A58">
        <v>6400</v>
      </c>
      <c r="B58">
        <v>80</v>
      </c>
      <c r="C58">
        <v>240000</v>
      </c>
      <c r="D58">
        <f t="shared" si="5"/>
        <v>5120</v>
      </c>
      <c r="E58">
        <f t="shared" si="6"/>
        <v>64</v>
      </c>
      <c r="F58">
        <f t="shared" si="7"/>
        <v>192000</v>
      </c>
    </row>
    <row r="59" spans="1:6">
      <c r="A59">
        <v>6400</v>
      </c>
      <c r="B59">
        <v>80</v>
      </c>
      <c r="C59">
        <v>240000</v>
      </c>
      <c r="D59">
        <f t="shared" si="5"/>
        <v>5120</v>
      </c>
      <c r="E59">
        <f t="shared" si="6"/>
        <v>64</v>
      </c>
      <c r="F59">
        <f t="shared" si="7"/>
        <v>192000</v>
      </c>
    </row>
    <row r="60" spans="1:6">
      <c r="A60">
        <v>6400</v>
      </c>
      <c r="B60">
        <v>80</v>
      </c>
      <c r="C60">
        <v>240000</v>
      </c>
      <c r="D60">
        <f t="shared" si="5"/>
        <v>5120</v>
      </c>
      <c r="E60">
        <f t="shared" si="6"/>
        <v>64</v>
      </c>
      <c r="F60">
        <f t="shared" si="7"/>
        <v>192000</v>
      </c>
    </row>
    <row r="61" spans="1:6">
      <c r="A61">
        <v>4800</v>
      </c>
      <c r="B61">
        <v>800</v>
      </c>
      <c r="C61">
        <v>560000</v>
      </c>
      <c r="D61">
        <f t="shared" si="5"/>
        <v>3840</v>
      </c>
      <c r="E61">
        <f t="shared" si="6"/>
        <v>640</v>
      </c>
      <c r="F61">
        <f t="shared" si="7"/>
        <v>448000</v>
      </c>
    </row>
    <row r="62" spans="1:6">
      <c r="A62">
        <v>4800</v>
      </c>
      <c r="B62">
        <v>800</v>
      </c>
      <c r="C62">
        <v>560000</v>
      </c>
      <c r="D62">
        <f t="shared" si="5"/>
        <v>3840</v>
      </c>
      <c r="E62">
        <f t="shared" si="6"/>
        <v>640</v>
      </c>
      <c r="F62">
        <f t="shared" si="7"/>
        <v>448000</v>
      </c>
    </row>
    <row r="63" spans="1:6">
      <c r="A63" s="112">
        <v>4800</v>
      </c>
      <c r="B63" s="112">
        <v>80</v>
      </c>
      <c r="C63" s="112">
        <v>80000</v>
      </c>
      <c r="D63">
        <f t="shared" si="5"/>
        <v>3840</v>
      </c>
      <c r="E63">
        <f t="shared" si="6"/>
        <v>64</v>
      </c>
      <c r="F63">
        <f t="shared" si="7"/>
        <v>64000</v>
      </c>
    </row>
    <row r="64" spans="1:6">
      <c r="A64" s="112">
        <v>4800</v>
      </c>
      <c r="B64" s="112">
        <v>80</v>
      </c>
      <c r="C64" s="112">
        <v>80000</v>
      </c>
      <c r="D64">
        <f t="shared" si="5"/>
        <v>3840</v>
      </c>
      <c r="E64">
        <f t="shared" si="6"/>
        <v>64</v>
      </c>
      <c r="F64">
        <f t="shared" si="7"/>
        <v>64000</v>
      </c>
    </row>
    <row r="65" spans="1:6">
      <c r="A65" s="112">
        <v>4800</v>
      </c>
      <c r="B65" s="112">
        <v>80</v>
      </c>
      <c r="C65" s="112">
        <v>80000</v>
      </c>
      <c r="D65">
        <f t="shared" si="5"/>
        <v>3840</v>
      </c>
      <c r="E65">
        <f t="shared" si="6"/>
        <v>64</v>
      </c>
      <c r="F65">
        <f t="shared" si="7"/>
        <v>64000</v>
      </c>
    </row>
    <row r="66" spans="1:6">
      <c r="A66" s="112">
        <v>4800</v>
      </c>
      <c r="B66" s="112">
        <v>80</v>
      </c>
      <c r="C66" s="112">
        <v>80000</v>
      </c>
      <c r="D66">
        <f t="shared" si="5"/>
        <v>3840</v>
      </c>
      <c r="E66">
        <f t="shared" si="6"/>
        <v>64</v>
      </c>
      <c r="F66">
        <f t="shared" si="7"/>
        <v>64000</v>
      </c>
    </row>
    <row r="67" spans="1:6">
      <c r="A67" s="112">
        <v>4800</v>
      </c>
      <c r="B67" s="112">
        <v>80</v>
      </c>
      <c r="C67" s="112">
        <v>80000</v>
      </c>
      <c r="D67">
        <f t="shared" si="5"/>
        <v>3840</v>
      </c>
      <c r="E67">
        <f t="shared" si="6"/>
        <v>64</v>
      </c>
      <c r="F67">
        <f t="shared" si="7"/>
        <v>64000</v>
      </c>
    </row>
    <row r="68" spans="1:6">
      <c r="A68" s="112">
        <v>4800</v>
      </c>
      <c r="B68" s="112">
        <v>80</v>
      </c>
      <c r="C68" s="112">
        <v>80000</v>
      </c>
      <c r="D68">
        <f t="shared" si="5"/>
        <v>3840</v>
      </c>
      <c r="E68">
        <f t="shared" si="6"/>
        <v>64</v>
      </c>
      <c r="F68">
        <f t="shared" si="7"/>
        <v>64000</v>
      </c>
    </row>
    <row r="69" spans="1:6">
      <c r="A69">
        <v>9600</v>
      </c>
      <c r="B69">
        <v>720</v>
      </c>
      <c r="C69">
        <v>720000</v>
      </c>
      <c r="D69">
        <f t="shared" si="5"/>
        <v>7680</v>
      </c>
      <c r="E69">
        <f t="shared" si="6"/>
        <v>576</v>
      </c>
      <c r="F69">
        <f t="shared" si="7"/>
        <v>576000</v>
      </c>
    </row>
    <row r="70" spans="1:6">
      <c r="A70">
        <v>8000</v>
      </c>
      <c r="B70">
        <v>640</v>
      </c>
      <c r="C70">
        <v>720000</v>
      </c>
      <c r="D70">
        <f t="shared" si="5"/>
        <v>6400</v>
      </c>
      <c r="E70">
        <f t="shared" si="6"/>
        <v>512</v>
      </c>
      <c r="F70">
        <f t="shared" si="7"/>
        <v>576000</v>
      </c>
    </row>
    <row r="75" spans="1:3">
      <c r="A75" s="116"/>
      <c r="B75" s="116"/>
      <c r="C75" s="116"/>
    </row>
    <row r="79" spans="1:3">
      <c r="A79" s="111"/>
      <c r="B79" s="111"/>
      <c r="C79" s="111"/>
    </row>
    <row r="81" spans="1:3">
      <c r="A81" s="112"/>
      <c r="B81" s="112"/>
      <c r="C81" s="112"/>
    </row>
    <row r="82" spans="1:3">
      <c r="A82" s="112"/>
      <c r="B82" s="112"/>
      <c r="C82" s="112"/>
    </row>
    <row r="83" spans="1:3">
      <c r="A83" s="112"/>
      <c r="B83" s="112"/>
      <c r="C83" s="112"/>
    </row>
    <row r="84" spans="1:3">
      <c r="A84" s="112"/>
      <c r="B84" s="112"/>
      <c r="C84" s="112"/>
    </row>
    <row r="85" spans="1:3">
      <c r="A85" s="112"/>
      <c r="B85" s="112"/>
      <c r="C85" s="112"/>
    </row>
    <row r="86" spans="1:3">
      <c r="A86" s="112"/>
      <c r="B86" s="112"/>
      <c r="C86" s="112"/>
    </row>
    <row r="87" spans="1:3">
      <c r="A87" s="112"/>
      <c r="B87" s="112"/>
      <c r="C87" s="112"/>
    </row>
    <row r="88" spans="1:3">
      <c r="A88" s="112"/>
      <c r="B88" s="112"/>
      <c r="C88" s="112"/>
    </row>
    <row r="89" spans="1:3">
      <c r="A89" s="112"/>
      <c r="B89" s="112"/>
      <c r="C89" s="112"/>
    </row>
    <row r="90" spans="1:3">
      <c r="A90" s="112"/>
      <c r="B90" s="112"/>
      <c r="C90" s="112"/>
    </row>
    <row r="91" spans="1:3">
      <c r="A91" s="112"/>
      <c r="B91" s="112"/>
      <c r="C91" s="112"/>
    </row>
    <row r="92" spans="1:3">
      <c r="A92" s="112"/>
      <c r="B92" s="112"/>
      <c r="C92" s="112"/>
    </row>
    <row r="93" spans="1:3">
      <c r="A93" s="112"/>
      <c r="B93" s="112"/>
      <c r="C93" s="112"/>
    </row>
    <row r="94" spans="1:3">
      <c r="A94" s="112"/>
      <c r="B94" s="112"/>
      <c r="C94" s="112"/>
    </row>
    <row r="95" spans="1:3">
      <c r="A95" s="112"/>
      <c r="B95" s="112"/>
      <c r="C95" s="112"/>
    </row>
    <row r="96" spans="1:3">
      <c r="A96" s="112"/>
      <c r="B96" s="112"/>
      <c r="C96" s="112"/>
    </row>
    <row r="97" spans="1:3">
      <c r="A97" s="112"/>
      <c r="B97" s="112"/>
      <c r="C97" s="112"/>
    </row>
    <row r="98" spans="1:3">
      <c r="A98" s="112"/>
      <c r="B98" s="112"/>
      <c r="C98" s="112"/>
    </row>
    <row r="99" spans="1:3">
      <c r="A99" s="113"/>
      <c r="B99" s="113"/>
      <c r="C99" s="113"/>
    </row>
    <row r="106" spans="1:3">
      <c r="A106" s="112"/>
      <c r="B106" s="112"/>
      <c r="C106" s="112"/>
    </row>
    <row r="107" spans="1:3">
      <c r="A107" s="112"/>
      <c r="B107" s="112"/>
      <c r="C107" s="112"/>
    </row>
    <row r="108" spans="1:3">
      <c r="A108" s="112"/>
      <c r="B108" s="112"/>
      <c r="C108" s="112"/>
    </row>
    <row r="109" spans="1:3">
      <c r="A109" s="112"/>
      <c r="B109" s="112"/>
      <c r="C109" s="112"/>
    </row>
    <row r="110" spans="1:3">
      <c r="A110" s="112"/>
      <c r="B110" s="112"/>
      <c r="C110" s="112"/>
    </row>
    <row r="111" spans="1:3">
      <c r="A111" s="112"/>
      <c r="B111" s="112"/>
      <c r="C111" s="112"/>
    </row>
    <row r="114" spans="1:3">
      <c r="A114" s="117"/>
      <c r="B114" s="117"/>
      <c r="C114" s="117"/>
    </row>
    <row r="115" spans="1:3">
      <c r="A115" s="118"/>
      <c r="B115" s="118"/>
      <c r="C115" s="118"/>
    </row>
    <row r="116" spans="1:3">
      <c r="A116" s="112"/>
      <c r="B116" s="112"/>
      <c r="C116" s="112"/>
    </row>
    <row r="117" spans="1:3">
      <c r="A117" s="113"/>
      <c r="B117" s="113"/>
      <c r="C117" s="113"/>
    </row>
  </sheetData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53"/>
  <sheetViews>
    <sheetView workbookViewId="0">
      <selection activeCell="AD32285" sqref="AD32285"/>
    </sheetView>
  </sheetViews>
  <sheetFormatPr defaultColWidth="9" defaultRowHeight="14"/>
  <cols>
    <col min="1" max="1" width="9" style="105" customWidth="1"/>
    <col min="2" max="2" width="14.3727272727273" style="105" customWidth="1"/>
    <col min="3" max="3" width="42.1272727272727" style="105" customWidth="1"/>
    <col min="4" max="16384" width="9" style="106" customWidth="1"/>
  </cols>
  <sheetData>
    <row r="2" spans="2:3">
      <c r="B2" s="105" t="s">
        <v>307</v>
      </c>
      <c r="C2" s="105" t="s">
        <v>308</v>
      </c>
    </row>
    <row r="3" spans="1:8">
      <c r="A3" s="105">
        <v>1</v>
      </c>
      <c r="B3" s="105">
        <v>10455</v>
      </c>
      <c r="C3" s="105" t="s">
        <v>309</v>
      </c>
      <c r="F3" s="106" t="s">
        <v>310</v>
      </c>
      <c r="H3" s="106" t="s">
        <v>311</v>
      </c>
    </row>
    <row r="4" spans="1:8">
      <c r="A4" s="105">
        <v>2</v>
      </c>
      <c r="B4" s="105">
        <v>10456</v>
      </c>
      <c r="C4" s="105" t="s">
        <v>312</v>
      </c>
      <c r="F4" s="106" t="s">
        <v>313</v>
      </c>
      <c r="H4" s="106" t="s">
        <v>314</v>
      </c>
    </row>
    <row r="5" spans="2:3">
      <c r="B5" s="105">
        <v>10472</v>
      </c>
      <c r="C5" s="105" t="s">
        <v>315</v>
      </c>
    </row>
    <row r="6" spans="2:8">
      <c r="B6" s="105">
        <v>700138</v>
      </c>
      <c r="C6" s="105" t="s">
        <v>316</v>
      </c>
      <c r="F6" s="106" t="s">
        <v>317</v>
      </c>
      <c r="H6" s="106" t="s">
        <v>318</v>
      </c>
    </row>
    <row r="7" spans="2:8">
      <c r="B7" s="105">
        <v>700139</v>
      </c>
      <c r="C7" s="105" t="s">
        <v>319</v>
      </c>
      <c r="F7" s="106" t="s">
        <v>320</v>
      </c>
      <c r="H7" s="106" t="s">
        <v>321</v>
      </c>
    </row>
    <row r="8" spans="2:8">
      <c r="B8" s="105">
        <v>700032</v>
      </c>
      <c r="C8" s="105" t="s">
        <v>322</v>
      </c>
      <c r="F8" s="106" t="s">
        <v>323</v>
      </c>
      <c r="H8" s="106" t="s">
        <v>324</v>
      </c>
    </row>
    <row r="9" spans="2:8">
      <c r="B9" s="105">
        <v>700075</v>
      </c>
      <c r="C9" s="105" t="s">
        <v>325</v>
      </c>
      <c r="F9" s="106" t="s">
        <v>326</v>
      </c>
      <c r="H9" s="106" t="s">
        <v>327</v>
      </c>
    </row>
    <row r="10" spans="2:3">
      <c r="B10" s="105">
        <v>600548</v>
      </c>
      <c r="C10" s="105" t="s">
        <v>328</v>
      </c>
    </row>
    <row r="11" spans="2:8">
      <c r="B11" s="105">
        <v>700358</v>
      </c>
      <c r="C11" s="105" t="s">
        <v>329</v>
      </c>
      <c r="F11" s="106" t="s">
        <v>330</v>
      </c>
      <c r="H11" s="106" t="s">
        <v>331</v>
      </c>
    </row>
    <row r="12" spans="2:8">
      <c r="B12" s="105">
        <v>700361</v>
      </c>
      <c r="C12" s="105" t="s">
        <v>332</v>
      </c>
      <c r="F12" s="106" t="s">
        <v>333</v>
      </c>
      <c r="H12" s="106" t="s">
        <v>334</v>
      </c>
    </row>
    <row r="13" spans="2:8">
      <c r="B13" s="105">
        <v>700363</v>
      </c>
      <c r="C13" s="105" t="s">
        <v>335</v>
      </c>
      <c r="F13" s="106" t="s">
        <v>336</v>
      </c>
      <c r="H13" s="106" t="s">
        <v>337</v>
      </c>
    </row>
    <row r="14" spans="2:8">
      <c r="B14" s="105">
        <v>700369</v>
      </c>
      <c r="C14" s="105" t="s">
        <v>311</v>
      </c>
      <c r="F14" s="106" t="s">
        <v>338</v>
      </c>
      <c r="H14" s="106" t="s">
        <v>339</v>
      </c>
    </row>
    <row r="15" spans="2:10">
      <c r="B15" s="105">
        <v>700372</v>
      </c>
      <c r="C15" s="105" t="s">
        <v>340</v>
      </c>
      <c r="F15" s="106" t="s">
        <v>341</v>
      </c>
      <c r="H15" s="106" t="s">
        <v>342</v>
      </c>
      <c r="J15" s="106" t="s">
        <v>343</v>
      </c>
    </row>
    <row r="16" spans="2:8">
      <c r="B16" s="105">
        <v>700409</v>
      </c>
      <c r="C16" s="105" t="s">
        <v>344</v>
      </c>
      <c r="F16" s="106" t="s">
        <v>345</v>
      </c>
      <c r="H16" s="106" t="s">
        <v>346</v>
      </c>
    </row>
    <row r="17" spans="2:3">
      <c r="B17" s="105">
        <v>700425</v>
      </c>
      <c r="C17" s="105" t="s">
        <v>346</v>
      </c>
    </row>
    <row r="21" spans="2:5">
      <c r="B21" s="107" t="s">
        <v>347</v>
      </c>
      <c r="C21" s="105" t="s">
        <v>348</v>
      </c>
      <c r="D21" s="105" t="s">
        <v>349</v>
      </c>
      <c r="E21" s="106" t="str">
        <f ca="1">PHONETIC(B21:D32)</f>
        <v>700138,1&amp;&amp;700139,1&amp;&amp;600548,1&amp;&amp;700358,1&amp;&amp;700369,1百分比伤害免疫：青雉、艾斯、新罗、乔兹、新乌索普、罗、锦卫门、减血</v>
      </c>
    </row>
    <row r="22" spans="2:4">
      <c r="B22" s="107" t="s">
        <v>350</v>
      </c>
      <c r="C22" s="105" t="s">
        <v>348</v>
      </c>
      <c r="D22" s="105" t="s">
        <v>349</v>
      </c>
    </row>
    <row r="23" spans="2:4">
      <c r="B23" s="107" t="s">
        <v>351</v>
      </c>
      <c r="C23" s="105" t="s">
        <v>348</v>
      </c>
      <c r="D23" s="105" t="s">
        <v>349</v>
      </c>
    </row>
    <row r="24" spans="2:4">
      <c r="B24" s="107" t="s">
        <v>352</v>
      </c>
      <c r="C24" s="105" t="s">
        <v>348</v>
      </c>
      <c r="D24" s="105" t="s">
        <v>349</v>
      </c>
    </row>
    <row r="25" spans="2:4">
      <c r="B25" s="107" t="s">
        <v>353</v>
      </c>
      <c r="C25" s="105" t="s">
        <v>348</v>
      </c>
      <c r="D25" s="105"/>
    </row>
    <row r="26" spans="2:4">
      <c r="B26" s="107"/>
      <c r="D26" s="105"/>
    </row>
    <row r="27" spans="2:4">
      <c r="B27" s="107"/>
      <c r="D27" s="105"/>
    </row>
    <row r="28" spans="2:5">
      <c r="B28" s="107"/>
      <c r="D28" s="105"/>
      <c r="E28" s="106" t="s">
        <v>354</v>
      </c>
    </row>
    <row r="29" spans="2:4">
      <c r="B29" s="107"/>
      <c r="D29" s="105"/>
    </row>
    <row r="30" spans="2:4">
      <c r="B30" s="107"/>
      <c r="D30" s="105"/>
    </row>
    <row r="31" spans="2:4">
      <c r="B31" s="107"/>
      <c r="D31" s="105"/>
    </row>
    <row r="32" spans="2:7">
      <c r="B32" s="108">
        <v>710001</v>
      </c>
      <c r="C32" s="109" t="s">
        <v>355</v>
      </c>
      <c r="D32" s="105"/>
      <c r="G32" s="106" t="s">
        <v>356</v>
      </c>
    </row>
    <row r="33" spans="2:7">
      <c r="B33" s="109">
        <v>710002</v>
      </c>
      <c r="C33" s="109" t="s">
        <v>357</v>
      </c>
      <c r="G33" s="106" t="s">
        <v>358</v>
      </c>
    </row>
    <row r="34" spans="2:7">
      <c r="B34" s="109">
        <v>710003</v>
      </c>
      <c r="C34" s="109" t="s">
        <v>359</v>
      </c>
      <c r="G34" s="106" t="s">
        <v>360</v>
      </c>
    </row>
    <row r="35" spans="2:7">
      <c r="B35" s="109">
        <v>710004</v>
      </c>
      <c r="C35" s="109" t="s">
        <v>361</v>
      </c>
      <c r="G35" s="106" t="s">
        <v>362</v>
      </c>
    </row>
    <row r="36" spans="2:7">
      <c r="B36" s="109">
        <v>710005</v>
      </c>
      <c r="C36" s="109" t="s">
        <v>363</v>
      </c>
      <c r="G36" s="106" t="s">
        <v>364</v>
      </c>
    </row>
    <row r="37" spans="2:7">
      <c r="B37" s="109">
        <v>710006</v>
      </c>
      <c r="C37" s="109" t="s">
        <v>365</v>
      </c>
      <c r="G37" s="106" t="s">
        <v>366</v>
      </c>
    </row>
    <row r="38" spans="2:7">
      <c r="B38" s="109">
        <v>710007</v>
      </c>
      <c r="C38" s="109" t="s">
        <v>367</v>
      </c>
      <c r="G38" s="106" t="s">
        <v>368</v>
      </c>
    </row>
    <row r="39" spans="2:7">
      <c r="B39" s="109">
        <v>710008</v>
      </c>
      <c r="C39" s="109" t="s">
        <v>369</v>
      </c>
      <c r="G39" s="106" t="s">
        <v>370</v>
      </c>
    </row>
    <row r="40" spans="2:7">
      <c r="B40" s="109">
        <v>710009</v>
      </c>
      <c r="C40" s="109" t="s">
        <v>371</v>
      </c>
      <c r="G40" s="106" t="s">
        <v>372</v>
      </c>
    </row>
    <row r="41" spans="2:7">
      <c r="B41" s="109">
        <v>710010</v>
      </c>
      <c r="C41" s="109" t="s">
        <v>373</v>
      </c>
      <c r="G41" s="106" t="s">
        <v>374</v>
      </c>
    </row>
    <row r="42" spans="2:3">
      <c r="B42" s="109">
        <v>710014</v>
      </c>
      <c r="C42" s="105" t="s">
        <v>375</v>
      </c>
    </row>
    <row r="43" spans="2:3">
      <c r="B43" s="109">
        <v>710015</v>
      </c>
      <c r="C43" s="105" t="s">
        <v>376</v>
      </c>
    </row>
    <row r="44" spans="2:3">
      <c r="B44" s="109"/>
      <c r="C44" s="109" t="str">
        <f>G32&amp;G34&amp;G35&amp;G36&amp;G377&amp;G37&amp;G38&amp;G39&amp;G40&amp;G41</f>
        <v>710001,1&amp;&amp;710003,1&amp;&amp;710004,1&amp;&amp;710005,1&amp;&amp;710006,1&amp;&amp;710007,1&amp;&amp;710008,1&amp;&amp;710009,1&amp;&amp;710010,1&amp;&amp;</v>
      </c>
    </row>
    <row r="45" spans="2:2">
      <c r="B45" s="109"/>
    </row>
    <row r="46" spans="2:2">
      <c r="B46" s="109"/>
    </row>
    <row r="47" spans="2:7">
      <c r="B47" s="109"/>
      <c r="G47" s="106" t="s">
        <v>377</v>
      </c>
    </row>
    <row r="48" spans="2:7">
      <c r="B48" s="109"/>
      <c r="G48" s="106" t="s">
        <v>378</v>
      </c>
    </row>
    <row r="49" spans="2:2">
      <c r="B49" s="109" t="str">
        <f>G32&amp;G34&amp;G35&amp;G41&amp;G39</f>
        <v>710001,1&amp;&amp;710003,1&amp;&amp;710004,1&amp;&amp;710010,1&amp;&amp;710008,1&amp;&amp;</v>
      </c>
    </row>
    <row r="50" spans="2:2">
      <c r="B50" s="109"/>
    </row>
    <row r="51" spans="2:2">
      <c r="B51" s="109" t="s">
        <v>379</v>
      </c>
    </row>
    <row r="52" spans="2:2">
      <c r="B52" s="109"/>
    </row>
    <row r="53" spans="7:7">
      <c r="G53" s="106" t="str">
        <f>G32&amp;G35&amp;G36&amp;G37&amp;G38&amp;G40</f>
        <v>710001,1&amp;&amp;710004,1&amp;&amp;710005,1&amp;&amp;710006,1&amp;&amp;710007,1&amp;&amp;710009,1&amp;&amp;</v>
      </c>
    </row>
  </sheetData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1"/>
  <sheetViews>
    <sheetView topLeftCell="A319" workbookViewId="0">
      <selection activeCell="AD32285" sqref="AD32285"/>
    </sheetView>
  </sheetViews>
  <sheetFormatPr defaultColWidth="9" defaultRowHeight="14"/>
  <cols>
    <col min="1" max="1" width="11.7545454545455" style="102" customWidth="1"/>
    <col min="2" max="2" width="19.2545454545455" style="102" customWidth="1"/>
    <col min="18" max="18" width="12.5090909090909" customWidth="1"/>
  </cols>
  <sheetData>
    <row r="1" spans="1:4">
      <c r="A1" s="102">
        <v>111001</v>
      </c>
      <c r="B1" s="102" t="s">
        <v>380</v>
      </c>
      <c r="C1" s="103">
        <v>121183</v>
      </c>
      <c r="D1" t="str">
        <f>VLOOKUP(C1,$A$1:$B$381,2,TRUE)</f>
        <v>巨锤精英海盗</v>
      </c>
    </row>
    <row r="2" spans="1:4">
      <c r="A2" s="102">
        <v>111002</v>
      </c>
      <c r="B2" s="102" t="s">
        <v>381</v>
      </c>
      <c r="C2" s="103">
        <v>121183</v>
      </c>
      <c r="D2" t="str">
        <f t="shared" ref="D2:D6" si="0">VLOOKUP(C2,$A$1:$B$381,2,TRUE)</f>
        <v>巨锤精英海盗</v>
      </c>
    </row>
    <row r="3" spans="1:4">
      <c r="A3" s="102">
        <v>111003</v>
      </c>
      <c r="B3" s="102" t="s">
        <v>108</v>
      </c>
      <c r="C3" s="103">
        <v>121185</v>
      </c>
      <c r="D3" t="str">
        <f t="shared" si="0"/>
        <v>快刀精英海盗</v>
      </c>
    </row>
    <row r="4" spans="1:4">
      <c r="A4" s="102">
        <v>111004</v>
      </c>
      <c r="B4" s="102" t="s">
        <v>110</v>
      </c>
      <c r="C4" s="103">
        <v>121199</v>
      </c>
      <c r="D4" t="str">
        <f>VLOOKUP(C4,$A$1:$B$381,2,TRUE)</f>
        <v>奈美？</v>
      </c>
    </row>
    <row r="5" spans="1:4">
      <c r="A5" s="102">
        <v>111005</v>
      </c>
      <c r="B5" s="102" t="s">
        <v>111</v>
      </c>
      <c r="C5">
        <v>121198</v>
      </c>
      <c r="D5" t="str">
        <f t="shared" si="0"/>
        <v>路飞？</v>
      </c>
    </row>
    <row r="6" spans="1:4">
      <c r="A6" s="102">
        <v>111006</v>
      </c>
      <c r="B6" s="102" t="s">
        <v>112</v>
      </c>
      <c r="C6">
        <v>121200</v>
      </c>
      <c r="D6" t="str">
        <f t="shared" si="0"/>
        <v>撒谎布？</v>
      </c>
    </row>
    <row r="7" spans="1:2">
      <c r="A7" s="102">
        <v>111007</v>
      </c>
      <c r="B7" s="102" t="s">
        <v>113</v>
      </c>
    </row>
    <row r="8" spans="1:2">
      <c r="A8" s="102">
        <v>111008</v>
      </c>
      <c r="B8" s="102" t="s">
        <v>114</v>
      </c>
    </row>
    <row r="9" spans="1:2">
      <c r="A9" s="102">
        <v>111009</v>
      </c>
      <c r="B9" s="102" t="s">
        <v>115</v>
      </c>
    </row>
    <row r="10" spans="1:2">
      <c r="A10" s="102">
        <v>111010</v>
      </c>
      <c r="B10" s="102" t="s">
        <v>382</v>
      </c>
    </row>
    <row r="11" spans="1:2">
      <c r="A11" s="102">
        <v>111011</v>
      </c>
      <c r="B11" s="102" t="s">
        <v>117</v>
      </c>
    </row>
    <row r="12" spans="1:2">
      <c r="A12" s="102">
        <v>111012</v>
      </c>
      <c r="B12" s="102" t="s">
        <v>118</v>
      </c>
    </row>
    <row r="13" spans="1:2">
      <c r="A13" s="102">
        <v>111013</v>
      </c>
      <c r="B13" s="102" t="s">
        <v>383</v>
      </c>
    </row>
    <row r="14" spans="1:2">
      <c r="A14" s="102">
        <v>111014</v>
      </c>
      <c r="B14" s="102" t="s">
        <v>120</v>
      </c>
    </row>
    <row r="15" spans="1:2">
      <c r="A15" s="102">
        <v>111015</v>
      </c>
      <c r="B15" s="102" t="s">
        <v>384</v>
      </c>
    </row>
    <row r="16" spans="1:2">
      <c r="A16" s="102">
        <v>111016</v>
      </c>
      <c r="B16" s="102" t="s">
        <v>122</v>
      </c>
    </row>
    <row r="17" spans="1:2">
      <c r="A17" s="102">
        <v>111017</v>
      </c>
      <c r="B17" s="102" t="s">
        <v>385</v>
      </c>
    </row>
    <row r="18" spans="1:2">
      <c r="A18" s="102">
        <v>111018</v>
      </c>
      <c r="B18" s="102" t="s">
        <v>386</v>
      </c>
    </row>
    <row r="19" spans="1:2">
      <c r="A19" s="102">
        <v>112001</v>
      </c>
      <c r="B19" s="102" t="s">
        <v>123</v>
      </c>
    </row>
    <row r="20" spans="1:2">
      <c r="A20" s="102">
        <v>112002</v>
      </c>
      <c r="B20" s="102" t="s">
        <v>125</v>
      </c>
    </row>
    <row r="21" spans="1:2">
      <c r="A21" s="102">
        <v>112003</v>
      </c>
      <c r="B21" s="102" t="s">
        <v>126</v>
      </c>
    </row>
    <row r="22" spans="1:2">
      <c r="A22" s="102">
        <v>112004</v>
      </c>
      <c r="B22" s="102" t="s">
        <v>127</v>
      </c>
    </row>
    <row r="23" spans="1:2">
      <c r="A23" s="102">
        <v>112005</v>
      </c>
      <c r="B23" s="102" t="s">
        <v>128</v>
      </c>
    </row>
    <row r="24" spans="1:2">
      <c r="A24" s="102">
        <v>112006</v>
      </c>
      <c r="B24" s="102" t="s">
        <v>129</v>
      </c>
    </row>
    <row r="25" spans="1:2">
      <c r="A25" s="102">
        <v>112007</v>
      </c>
      <c r="B25" s="102" t="s">
        <v>130</v>
      </c>
    </row>
    <row r="26" spans="1:2">
      <c r="A26" s="102">
        <v>112008</v>
      </c>
      <c r="B26" s="102" t="s">
        <v>131</v>
      </c>
    </row>
    <row r="27" spans="1:2">
      <c r="A27" s="102">
        <v>112009</v>
      </c>
      <c r="B27" s="102" t="s">
        <v>132</v>
      </c>
    </row>
    <row r="28" spans="1:2">
      <c r="A28" s="102">
        <v>112010</v>
      </c>
      <c r="B28" s="102" t="s">
        <v>387</v>
      </c>
    </row>
    <row r="29" spans="1:2">
      <c r="A29" s="102">
        <v>112011</v>
      </c>
      <c r="B29" s="102" t="s">
        <v>388</v>
      </c>
    </row>
    <row r="30" spans="1:2">
      <c r="A30" s="102">
        <v>112012</v>
      </c>
      <c r="B30" s="102" t="s">
        <v>389</v>
      </c>
    </row>
    <row r="31" spans="1:2">
      <c r="A31" s="102">
        <v>112013</v>
      </c>
      <c r="B31" s="102" t="s">
        <v>136</v>
      </c>
    </row>
    <row r="32" spans="1:2">
      <c r="A32" s="102">
        <v>112014</v>
      </c>
      <c r="B32" s="102" t="s">
        <v>137</v>
      </c>
    </row>
    <row r="33" spans="1:2">
      <c r="A33" s="102">
        <v>112015</v>
      </c>
      <c r="B33" s="102" t="s">
        <v>138</v>
      </c>
    </row>
    <row r="34" spans="1:2">
      <c r="A34" s="102">
        <v>112016</v>
      </c>
      <c r="B34" s="102" t="s">
        <v>390</v>
      </c>
    </row>
    <row r="35" spans="1:2">
      <c r="A35" s="102">
        <v>112017</v>
      </c>
      <c r="B35" s="102" t="s">
        <v>391</v>
      </c>
    </row>
    <row r="36" spans="1:2">
      <c r="A36" s="102">
        <v>112018</v>
      </c>
      <c r="B36" s="102" t="s">
        <v>141</v>
      </c>
    </row>
    <row r="37" spans="1:2">
      <c r="A37" s="102">
        <v>112019</v>
      </c>
      <c r="B37" s="102" t="s">
        <v>392</v>
      </c>
    </row>
    <row r="38" spans="1:2">
      <c r="A38" s="102">
        <v>112020</v>
      </c>
      <c r="B38" s="102" t="s">
        <v>143</v>
      </c>
    </row>
    <row r="39" spans="1:2">
      <c r="A39" s="102">
        <v>112021</v>
      </c>
      <c r="B39" s="102" t="s">
        <v>393</v>
      </c>
    </row>
    <row r="40" spans="1:2">
      <c r="A40" s="102">
        <v>112022</v>
      </c>
      <c r="B40" s="102" t="s">
        <v>394</v>
      </c>
    </row>
    <row r="41" spans="1:2">
      <c r="A41" s="102">
        <v>112023</v>
      </c>
      <c r="B41" s="102" t="s">
        <v>395</v>
      </c>
    </row>
    <row r="42" spans="1:2">
      <c r="A42" s="102">
        <v>112024</v>
      </c>
      <c r="B42" s="102" t="s">
        <v>144</v>
      </c>
    </row>
    <row r="43" spans="1:2">
      <c r="A43" s="102">
        <v>112025</v>
      </c>
      <c r="B43" s="102" t="s">
        <v>145</v>
      </c>
    </row>
    <row r="44" spans="1:2">
      <c r="A44" s="102">
        <v>112026</v>
      </c>
      <c r="B44" s="102" t="s">
        <v>146</v>
      </c>
    </row>
    <row r="45" spans="1:2">
      <c r="A45" s="102">
        <v>112027</v>
      </c>
      <c r="B45" s="102" t="s">
        <v>396</v>
      </c>
    </row>
    <row r="46" spans="1:2">
      <c r="A46" s="102">
        <v>112028</v>
      </c>
      <c r="B46" s="102" t="s">
        <v>397</v>
      </c>
    </row>
    <row r="47" spans="1:2">
      <c r="A47" s="102">
        <v>113001</v>
      </c>
      <c r="B47" s="102" t="s">
        <v>147</v>
      </c>
    </row>
    <row r="48" spans="1:2">
      <c r="A48" s="102">
        <v>113002</v>
      </c>
      <c r="B48" s="102" t="s">
        <v>148</v>
      </c>
    </row>
    <row r="49" spans="1:2">
      <c r="A49" s="102">
        <v>113003</v>
      </c>
      <c r="B49" s="102" t="s">
        <v>149</v>
      </c>
    </row>
    <row r="50" spans="1:2">
      <c r="A50" s="102">
        <v>113004</v>
      </c>
      <c r="B50" s="102" t="s">
        <v>150</v>
      </c>
    </row>
    <row r="51" spans="1:2">
      <c r="A51" s="102">
        <v>113005</v>
      </c>
      <c r="B51" s="102" t="s">
        <v>398</v>
      </c>
    </row>
    <row r="52" spans="1:2">
      <c r="A52" s="102">
        <v>113006</v>
      </c>
      <c r="B52" s="102" t="s">
        <v>151</v>
      </c>
    </row>
    <row r="53" spans="1:2">
      <c r="A53" s="102">
        <v>113007</v>
      </c>
      <c r="B53" s="102" t="s">
        <v>399</v>
      </c>
    </row>
    <row r="54" spans="1:2">
      <c r="A54" s="102">
        <v>113008</v>
      </c>
      <c r="B54" s="102" t="s">
        <v>152</v>
      </c>
    </row>
    <row r="55" spans="1:2">
      <c r="A55" s="102">
        <v>113009</v>
      </c>
      <c r="B55" s="102" t="s">
        <v>400</v>
      </c>
    </row>
    <row r="56" spans="1:2">
      <c r="A56" s="102">
        <v>113010</v>
      </c>
      <c r="B56" s="102" t="s">
        <v>401</v>
      </c>
    </row>
    <row r="57" spans="1:2">
      <c r="A57" s="102">
        <v>113011</v>
      </c>
      <c r="B57" s="102" t="s">
        <v>394</v>
      </c>
    </row>
    <row r="58" spans="1:2">
      <c r="A58" s="102">
        <v>113012</v>
      </c>
      <c r="B58" s="102" t="s">
        <v>402</v>
      </c>
    </row>
    <row r="59" spans="1:2">
      <c r="A59" s="102">
        <v>113013</v>
      </c>
      <c r="B59" s="102" t="s">
        <v>403</v>
      </c>
    </row>
    <row r="60" spans="1:2">
      <c r="A60" s="102">
        <v>113014</v>
      </c>
      <c r="B60" s="102" t="s">
        <v>404</v>
      </c>
    </row>
    <row r="61" spans="1:2">
      <c r="A61" s="102">
        <v>113015</v>
      </c>
      <c r="B61" s="102" t="s">
        <v>405</v>
      </c>
    </row>
    <row r="62" spans="1:2">
      <c r="A62" s="102">
        <v>113016</v>
      </c>
      <c r="B62" s="102" t="s">
        <v>406</v>
      </c>
    </row>
    <row r="63" spans="1:2">
      <c r="A63" s="102">
        <v>113017</v>
      </c>
      <c r="B63" s="102" t="s">
        <v>407</v>
      </c>
    </row>
    <row r="64" spans="1:2">
      <c r="A64" s="102">
        <v>113018</v>
      </c>
      <c r="B64" s="102" t="s">
        <v>408</v>
      </c>
    </row>
    <row r="65" spans="1:2">
      <c r="A65" s="102">
        <v>113019</v>
      </c>
      <c r="B65" s="102" t="s">
        <v>409</v>
      </c>
    </row>
    <row r="66" spans="1:2">
      <c r="A66" s="102">
        <v>113020</v>
      </c>
      <c r="B66" s="102" t="s">
        <v>410</v>
      </c>
    </row>
    <row r="67" spans="1:2">
      <c r="A67" s="102">
        <v>113021</v>
      </c>
      <c r="B67" s="102" t="s">
        <v>411</v>
      </c>
    </row>
    <row r="68" spans="1:2">
      <c r="A68" s="102">
        <v>113022</v>
      </c>
      <c r="B68" s="102" t="s">
        <v>412</v>
      </c>
    </row>
    <row r="69" spans="1:2">
      <c r="A69" s="102">
        <v>113023</v>
      </c>
      <c r="B69" s="102" t="s">
        <v>413</v>
      </c>
    </row>
    <row r="70" spans="1:2">
      <c r="A70" s="102">
        <v>113024</v>
      </c>
      <c r="B70" s="102" t="s">
        <v>414</v>
      </c>
    </row>
    <row r="71" spans="1:2">
      <c r="A71" s="102">
        <v>113025</v>
      </c>
      <c r="B71" s="102" t="s">
        <v>415</v>
      </c>
    </row>
    <row r="72" spans="1:2">
      <c r="A72" s="102">
        <v>113026</v>
      </c>
      <c r="B72" s="102" t="s">
        <v>416</v>
      </c>
    </row>
    <row r="73" spans="1:2">
      <c r="A73" s="102">
        <v>113027</v>
      </c>
      <c r="B73" s="102" t="s">
        <v>417</v>
      </c>
    </row>
    <row r="74" spans="1:2">
      <c r="A74" s="102">
        <v>113028</v>
      </c>
      <c r="B74" s="102" t="s">
        <v>418</v>
      </c>
    </row>
    <row r="75" spans="1:2">
      <c r="A75" s="102">
        <v>113029</v>
      </c>
      <c r="B75" s="102" t="s">
        <v>419</v>
      </c>
    </row>
    <row r="76" spans="1:2">
      <c r="A76" s="102">
        <v>121001</v>
      </c>
      <c r="B76" s="102" t="s">
        <v>420</v>
      </c>
    </row>
    <row r="77" spans="1:2">
      <c r="A77" s="102">
        <v>121002</v>
      </c>
      <c r="B77" s="102" t="s">
        <v>421</v>
      </c>
    </row>
    <row r="78" spans="1:2">
      <c r="A78" s="102">
        <v>121003</v>
      </c>
      <c r="B78" s="102" t="s">
        <v>422</v>
      </c>
    </row>
    <row r="79" spans="1:2">
      <c r="A79" s="102">
        <v>121004</v>
      </c>
      <c r="B79" s="102" t="s">
        <v>423</v>
      </c>
    </row>
    <row r="80" spans="1:2">
      <c r="A80" s="102">
        <v>121005</v>
      </c>
      <c r="B80" s="102" t="s">
        <v>424</v>
      </c>
    </row>
    <row r="81" spans="1:2">
      <c r="A81" s="102">
        <v>121006</v>
      </c>
      <c r="B81" s="102" t="s">
        <v>425</v>
      </c>
    </row>
    <row r="82" spans="1:2">
      <c r="A82" s="102">
        <v>121007</v>
      </c>
      <c r="B82" s="102" t="s">
        <v>426</v>
      </c>
    </row>
    <row r="83" spans="1:2">
      <c r="A83" s="102">
        <v>121008</v>
      </c>
      <c r="B83" s="102" t="s">
        <v>427</v>
      </c>
    </row>
    <row r="84" spans="1:2">
      <c r="A84" s="102">
        <v>121009</v>
      </c>
      <c r="B84" s="102" t="s">
        <v>428</v>
      </c>
    </row>
    <row r="85" spans="1:2">
      <c r="A85" s="102">
        <v>121010</v>
      </c>
      <c r="B85" s="102" t="s">
        <v>429</v>
      </c>
    </row>
    <row r="86" spans="1:2">
      <c r="A86" s="102">
        <v>121011</v>
      </c>
      <c r="B86" s="102" t="s">
        <v>430</v>
      </c>
    </row>
    <row r="87" spans="1:2">
      <c r="A87" s="102">
        <v>121012</v>
      </c>
      <c r="B87" s="102" t="s">
        <v>431</v>
      </c>
    </row>
    <row r="88" spans="1:2">
      <c r="A88" s="102">
        <v>121013</v>
      </c>
      <c r="B88" s="102" t="s">
        <v>432</v>
      </c>
    </row>
    <row r="89" spans="1:19">
      <c r="A89" s="102">
        <v>121014</v>
      </c>
      <c r="B89" s="102" t="s">
        <v>433</v>
      </c>
      <c r="Q89" s="104">
        <v>701144</v>
      </c>
      <c r="R89" t="s">
        <v>434</v>
      </c>
      <c r="S89" t="str">
        <f>S88&amp;"&amp;&amp;"&amp;R89</f>
        <v>&amp;&amp;701144,1</v>
      </c>
    </row>
    <row r="90" spans="1:19">
      <c r="A90" s="102">
        <v>121015</v>
      </c>
      <c r="B90" s="102" t="s">
        <v>435</v>
      </c>
      <c r="Q90" s="104">
        <v>701145</v>
      </c>
      <c r="R90" t="s">
        <v>436</v>
      </c>
      <c r="S90" t="str">
        <f t="shared" ref="S90:S96" si="1">S89&amp;"&amp;&amp;"&amp;R90</f>
        <v>&amp;&amp;701144,1&amp;&amp;701145,1</v>
      </c>
    </row>
    <row r="91" spans="1:19">
      <c r="A91" s="102">
        <v>121016</v>
      </c>
      <c r="B91" s="102" t="s">
        <v>437</v>
      </c>
      <c r="Q91" s="104">
        <v>701146</v>
      </c>
      <c r="R91" t="s">
        <v>438</v>
      </c>
      <c r="S91" t="str">
        <f t="shared" si="1"/>
        <v>&amp;&amp;701144,1&amp;&amp;701145,1&amp;&amp;701146,1</v>
      </c>
    </row>
    <row r="92" spans="1:19">
      <c r="A92" s="102">
        <v>121017</v>
      </c>
      <c r="B92" s="102" t="s">
        <v>439</v>
      </c>
      <c r="Q92" s="104">
        <v>701147</v>
      </c>
      <c r="R92" t="s">
        <v>440</v>
      </c>
      <c r="S92" t="str">
        <f t="shared" si="1"/>
        <v>&amp;&amp;701144,1&amp;&amp;701145,1&amp;&amp;701146,1&amp;&amp;701147,1</v>
      </c>
    </row>
    <row r="93" spans="1:19">
      <c r="A93" s="102">
        <v>121018</v>
      </c>
      <c r="B93" s="102" t="s">
        <v>441</v>
      </c>
      <c r="Q93" s="104">
        <v>701148</v>
      </c>
      <c r="R93" t="s">
        <v>442</v>
      </c>
      <c r="S93" t="str">
        <f t="shared" si="1"/>
        <v>&amp;&amp;701144,1&amp;&amp;701145,1&amp;&amp;701146,1&amp;&amp;701147,1&amp;&amp;701148,1</v>
      </c>
    </row>
    <row r="94" spans="1:19">
      <c r="A94" s="102">
        <v>121019</v>
      </c>
      <c r="B94" s="102" t="s">
        <v>443</v>
      </c>
      <c r="Q94" s="104">
        <v>701149</v>
      </c>
      <c r="R94" t="s">
        <v>444</v>
      </c>
      <c r="S94" t="str">
        <f t="shared" si="1"/>
        <v>&amp;&amp;701144,1&amp;&amp;701145,1&amp;&amp;701146,1&amp;&amp;701147,1&amp;&amp;701148,1&amp;&amp;701149,1</v>
      </c>
    </row>
    <row r="95" spans="1:19">
      <c r="A95" s="102">
        <v>121020</v>
      </c>
      <c r="B95" s="102" t="s">
        <v>445</v>
      </c>
      <c r="Q95" s="104">
        <v>701150</v>
      </c>
      <c r="R95" t="s">
        <v>446</v>
      </c>
      <c r="S95" t="str">
        <f t="shared" si="1"/>
        <v>&amp;&amp;701144,1&amp;&amp;701145,1&amp;&amp;701146,1&amp;&amp;701147,1&amp;&amp;701148,1&amp;&amp;701149,1&amp;&amp;701150,1</v>
      </c>
    </row>
    <row r="96" spans="1:19">
      <c r="A96" s="102">
        <v>121021</v>
      </c>
      <c r="B96" s="102" t="s">
        <v>447</v>
      </c>
      <c r="Q96" s="104">
        <v>701151</v>
      </c>
      <c r="R96" t="s">
        <v>448</v>
      </c>
      <c r="S96" t="str">
        <f t="shared" si="1"/>
        <v>&amp;&amp;701144,1&amp;&amp;701145,1&amp;&amp;701146,1&amp;&amp;701147,1&amp;&amp;701148,1&amp;&amp;701149,1&amp;&amp;701150,1&amp;&amp;701151,1</v>
      </c>
    </row>
    <row r="97" spans="1:2">
      <c r="A97" s="102">
        <v>121022</v>
      </c>
      <c r="B97" s="102" t="s">
        <v>449</v>
      </c>
    </row>
    <row r="98" spans="1:2">
      <c r="A98" s="102">
        <v>121023</v>
      </c>
      <c r="B98" s="102" t="s">
        <v>450</v>
      </c>
    </row>
    <row r="99" spans="1:19">
      <c r="A99" s="102">
        <v>121025</v>
      </c>
      <c r="B99" s="102" t="s">
        <v>451</v>
      </c>
      <c r="S99" t="s">
        <v>349</v>
      </c>
    </row>
    <row r="100" spans="1:2">
      <c r="A100" s="102">
        <v>121026</v>
      </c>
      <c r="B100" s="102" t="s">
        <v>452</v>
      </c>
    </row>
    <row r="101" spans="1:2">
      <c r="A101" s="102">
        <v>121027</v>
      </c>
      <c r="B101" s="102" t="s">
        <v>453</v>
      </c>
    </row>
    <row r="102" spans="1:2">
      <c r="A102" s="102">
        <v>121028</v>
      </c>
      <c r="B102" s="102" t="s">
        <v>454</v>
      </c>
    </row>
    <row r="103" spans="1:2">
      <c r="A103" s="102">
        <v>121032</v>
      </c>
      <c r="B103" s="102" t="s">
        <v>455</v>
      </c>
    </row>
    <row r="104" spans="1:2">
      <c r="A104" s="102">
        <v>121033</v>
      </c>
      <c r="B104" s="102" t="s">
        <v>456</v>
      </c>
    </row>
    <row r="105" spans="1:2">
      <c r="A105" s="102">
        <v>121034</v>
      </c>
      <c r="B105" s="102" t="s">
        <v>457</v>
      </c>
    </row>
    <row r="106" spans="1:2">
      <c r="A106" s="102">
        <v>121035</v>
      </c>
      <c r="B106" s="102" t="s">
        <v>458</v>
      </c>
    </row>
    <row r="107" spans="1:2">
      <c r="A107" s="102">
        <v>121036</v>
      </c>
      <c r="B107" s="102" t="s">
        <v>459</v>
      </c>
    </row>
    <row r="108" spans="1:2">
      <c r="A108" s="102">
        <v>121037</v>
      </c>
      <c r="B108" s="102" t="s">
        <v>460</v>
      </c>
    </row>
    <row r="109" spans="1:2">
      <c r="A109" s="102">
        <v>121038</v>
      </c>
      <c r="B109" s="102" t="s">
        <v>461</v>
      </c>
    </row>
    <row r="110" spans="1:2">
      <c r="A110" s="102">
        <v>121039</v>
      </c>
      <c r="B110" s="102" t="s">
        <v>462</v>
      </c>
    </row>
    <row r="111" spans="1:2">
      <c r="A111" s="102">
        <v>121040</v>
      </c>
      <c r="B111" s="102" t="s">
        <v>463</v>
      </c>
    </row>
    <row r="112" spans="1:2">
      <c r="A112" s="102">
        <v>121041</v>
      </c>
      <c r="B112" s="102" t="s">
        <v>464</v>
      </c>
    </row>
    <row r="113" spans="1:2">
      <c r="A113" s="102">
        <v>121042</v>
      </c>
      <c r="B113" s="102" t="s">
        <v>465</v>
      </c>
    </row>
    <row r="114" spans="1:2">
      <c r="A114" s="102">
        <v>121043</v>
      </c>
      <c r="B114" s="102" t="s">
        <v>305</v>
      </c>
    </row>
    <row r="115" spans="1:2">
      <c r="A115" s="102">
        <v>121044</v>
      </c>
      <c r="B115" s="102" t="s">
        <v>466</v>
      </c>
    </row>
    <row r="116" spans="1:2">
      <c r="A116" s="102">
        <v>121045</v>
      </c>
      <c r="B116" s="102" t="s">
        <v>467</v>
      </c>
    </row>
    <row r="117" spans="1:2">
      <c r="A117" s="102">
        <v>121046</v>
      </c>
      <c r="B117" s="102" t="s">
        <v>468</v>
      </c>
    </row>
    <row r="118" spans="1:2">
      <c r="A118" s="102">
        <v>121047</v>
      </c>
      <c r="B118" s="102" t="s">
        <v>469</v>
      </c>
    </row>
    <row r="119" spans="1:2">
      <c r="A119" s="102">
        <v>121048</v>
      </c>
      <c r="B119" s="102" t="s">
        <v>470</v>
      </c>
    </row>
    <row r="120" spans="1:2">
      <c r="A120" s="102">
        <v>121049</v>
      </c>
      <c r="B120" s="102" t="s">
        <v>471</v>
      </c>
    </row>
    <row r="121" spans="1:2">
      <c r="A121" s="102">
        <v>121050</v>
      </c>
      <c r="B121" s="102" t="s">
        <v>472</v>
      </c>
    </row>
    <row r="122" spans="1:2">
      <c r="A122" s="102">
        <v>121051</v>
      </c>
      <c r="B122" s="102" t="s">
        <v>473</v>
      </c>
    </row>
    <row r="123" spans="1:2">
      <c r="A123" s="102">
        <v>121052</v>
      </c>
      <c r="B123" s="102" t="s">
        <v>474</v>
      </c>
    </row>
    <row r="124" spans="1:2">
      <c r="A124" s="102">
        <v>121053</v>
      </c>
      <c r="B124" s="102" t="s">
        <v>475</v>
      </c>
    </row>
    <row r="125" spans="1:2">
      <c r="A125" s="102">
        <v>121054</v>
      </c>
      <c r="B125" s="102" t="s">
        <v>476</v>
      </c>
    </row>
    <row r="126" spans="1:2">
      <c r="A126" s="102">
        <v>121055</v>
      </c>
      <c r="B126" s="102" t="s">
        <v>477</v>
      </c>
    </row>
    <row r="127" spans="1:2">
      <c r="A127" s="102">
        <v>121056</v>
      </c>
      <c r="B127" s="102" t="s">
        <v>478</v>
      </c>
    </row>
    <row r="128" spans="1:2">
      <c r="A128" s="102">
        <v>121057</v>
      </c>
      <c r="B128" s="102" t="s">
        <v>479</v>
      </c>
    </row>
    <row r="129" spans="1:2">
      <c r="A129" s="102">
        <v>121058</v>
      </c>
      <c r="B129" s="102" t="s">
        <v>480</v>
      </c>
    </row>
    <row r="130" spans="1:2">
      <c r="A130" s="102">
        <v>121059</v>
      </c>
      <c r="B130" s="102" t="s">
        <v>481</v>
      </c>
    </row>
    <row r="131" spans="1:2">
      <c r="A131" s="102">
        <v>121060</v>
      </c>
      <c r="B131" s="102" t="s">
        <v>482</v>
      </c>
    </row>
    <row r="132" spans="1:2">
      <c r="A132" s="102">
        <v>121061</v>
      </c>
      <c r="B132" s="102" t="s">
        <v>483</v>
      </c>
    </row>
    <row r="133" spans="1:2">
      <c r="A133" s="102">
        <v>121062</v>
      </c>
      <c r="B133" s="102" t="s">
        <v>484</v>
      </c>
    </row>
    <row r="134" spans="1:2">
      <c r="A134" s="102">
        <v>121063</v>
      </c>
      <c r="B134" s="102" t="s">
        <v>485</v>
      </c>
    </row>
    <row r="135" spans="1:2">
      <c r="A135" s="102">
        <v>121064</v>
      </c>
      <c r="B135" s="102" t="s">
        <v>486</v>
      </c>
    </row>
    <row r="136" spans="1:2">
      <c r="A136" s="102">
        <v>121065</v>
      </c>
      <c r="B136" s="102" t="s">
        <v>487</v>
      </c>
    </row>
    <row r="137" spans="1:2">
      <c r="A137" s="102">
        <v>121066</v>
      </c>
      <c r="B137" s="102" t="s">
        <v>488</v>
      </c>
    </row>
    <row r="138" spans="1:2">
      <c r="A138" s="102">
        <v>121067</v>
      </c>
      <c r="B138" s="102" t="s">
        <v>489</v>
      </c>
    </row>
    <row r="139" spans="1:2">
      <c r="A139" s="102">
        <v>121068</v>
      </c>
      <c r="B139" s="102" t="s">
        <v>490</v>
      </c>
    </row>
    <row r="140" spans="1:2">
      <c r="A140" s="102">
        <v>121069</v>
      </c>
      <c r="B140" s="102" t="s">
        <v>491</v>
      </c>
    </row>
    <row r="141" spans="1:2">
      <c r="A141" s="102">
        <v>121070</v>
      </c>
      <c r="B141" s="102" t="s">
        <v>492</v>
      </c>
    </row>
    <row r="142" spans="1:2">
      <c r="A142" s="102">
        <v>121071</v>
      </c>
      <c r="B142" s="102" t="s">
        <v>493</v>
      </c>
    </row>
    <row r="143" spans="1:2">
      <c r="A143" s="102">
        <v>121072</v>
      </c>
      <c r="B143" s="102" t="s">
        <v>494</v>
      </c>
    </row>
    <row r="144" spans="1:2">
      <c r="A144" s="102">
        <v>121073</v>
      </c>
      <c r="B144" s="102" t="s">
        <v>495</v>
      </c>
    </row>
    <row r="145" spans="1:2">
      <c r="A145" s="102">
        <v>121074</v>
      </c>
      <c r="B145" s="102" t="s">
        <v>496</v>
      </c>
    </row>
    <row r="146" spans="1:2">
      <c r="A146" s="102">
        <v>121075</v>
      </c>
      <c r="B146" s="102" t="s">
        <v>497</v>
      </c>
    </row>
    <row r="147" spans="1:2">
      <c r="A147" s="102">
        <v>121076</v>
      </c>
      <c r="B147" s="102" t="s">
        <v>498</v>
      </c>
    </row>
    <row r="148" spans="1:2">
      <c r="A148" s="102">
        <v>121077</v>
      </c>
      <c r="B148" s="102" t="s">
        <v>499</v>
      </c>
    </row>
    <row r="149" spans="1:2">
      <c r="A149" s="102">
        <v>121078</v>
      </c>
      <c r="B149" s="102" t="s">
        <v>500</v>
      </c>
    </row>
    <row r="150" spans="1:2">
      <c r="A150" s="102">
        <v>121079</v>
      </c>
      <c r="B150" s="102" t="s">
        <v>501</v>
      </c>
    </row>
    <row r="151" spans="1:2">
      <c r="A151" s="102">
        <v>121080</v>
      </c>
      <c r="B151" s="102" t="s">
        <v>502</v>
      </c>
    </row>
    <row r="152" spans="1:2">
      <c r="A152" s="102">
        <v>121081</v>
      </c>
      <c r="B152" s="102" t="s">
        <v>138</v>
      </c>
    </row>
    <row r="153" spans="1:2">
      <c r="A153" s="102">
        <v>121082</v>
      </c>
      <c r="B153" s="102" t="s">
        <v>503</v>
      </c>
    </row>
    <row r="154" spans="1:2">
      <c r="A154" s="102">
        <v>121083</v>
      </c>
      <c r="B154" s="102" t="s">
        <v>504</v>
      </c>
    </row>
    <row r="155" spans="1:2">
      <c r="A155" s="102">
        <v>121084</v>
      </c>
      <c r="B155" s="102" t="s">
        <v>504</v>
      </c>
    </row>
    <row r="156" spans="1:2">
      <c r="A156" s="102">
        <v>121085</v>
      </c>
      <c r="B156" s="102" t="s">
        <v>505</v>
      </c>
    </row>
    <row r="157" spans="1:2">
      <c r="A157" s="102">
        <v>121086</v>
      </c>
      <c r="B157" s="102" t="s">
        <v>506</v>
      </c>
    </row>
    <row r="158" spans="1:2">
      <c r="A158" s="102">
        <v>121087</v>
      </c>
      <c r="B158" s="102" t="s">
        <v>507</v>
      </c>
    </row>
    <row r="159" spans="1:2">
      <c r="A159" s="102">
        <v>121088</v>
      </c>
      <c r="B159" s="102" t="s">
        <v>508</v>
      </c>
    </row>
    <row r="160" spans="1:2">
      <c r="A160" s="102">
        <v>121089</v>
      </c>
      <c r="B160" s="102" t="s">
        <v>509</v>
      </c>
    </row>
    <row r="161" spans="1:2">
      <c r="A161" s="102">
        <v>121090</v>
      </c>
      <c r="B161" s="102" t="s">
        <v>510</v>
      </c>
    </row>
    <row r="162" spans="1:2">
      <c r="A162" s="102">
        <v>121091</v>
      </c>
      <c r="B162" s="102" t="s">
        <v>511</v>
      </c>
    </row>
    <row r="163" spans="1:2">
      <c r="A163" s="102">
        <v>121092</v>
      </c>
      <c r="B163" s="102" t="s">
        <v>512</v>
      </c>
    </row>
    <row r="164" spans="1:2">
      <c r="A164" s="102">
        <v>121093</v>
      </c>
      <c r="B164" s="102" t="s">
        <v>513</v>
      </c>
    </row>
    <row r="165" spans="1:2">
      <c r="A165" s="102">
        <v>121094</v>
      </c>
      <c r="B165" s="102" t="s">
        <v>380</v>
      </c>
    </row>
    <row r="166" spans="1:2">
      <c r="A166" s="102">
        <v>121095</v>
      </c>
      <c r="B166" s="102" t="s">
        <v>429</v>
      </c>
    </row>
    <row r="167" spans="1:2">
      <c r="A167" s="102">
        <v>121096</v>
      </c>
      <c r="B167" s="102" t="s">
        <v>514</v>
      </c>
    </row>
    <row r="168" spans="1:2">
      <c r="A168" s="102">
        <v>121097</v>
      </c>
      <c r="B168" s="102" t="s">
        <v>515</v>
      </c>
    </row>
    <row r="169" spans="1:2">
      <c r="A169" s="102">
        <v>121098</v>
      </c>
      <c r="B169" s="102" t="s">
        <v>385</v>
      </c>
    </row>
    <row r="170" spans="1:2">
      <c r="A170" s="102">
        <v>121099</v>
      </c>
      <c r="B170" s="102" t="s">
        <v>516</v>
      </c>
    </row>
    <row r="171" spans="1:2">
      <c r="A171" s="102">
        <v>121100</v>
      </c>
      <c r="B171" s="102" t="s">
        <v>516</v>
      </c>
    </row>
    <row r="172" spans="1:2">
      <c r="A172" s="102">
        <v>121101</v>
      </c>
      <c r="B172" s="102" t="s">
        <v>517</v>
      </c>
    </row>
    <row r="173" spans="1:2">
      <c r="A173" s="102">
        <v>121102</v>
      </c>
      <c r="B173" s="102" t="s">
        <v>518</v>
      </c>
    </row>
    <row r="174" spans="1:2">
      <c r="A174" s="102">
        <v>121103</v>
      </c>
      <c r="B174" s="102" t="s">
        <v>518</v>
      </c>
    </row>
    <row r="175" spans="1:2">
      <c r="A175" s="102">
        <v>121104</v>
      </c>
      <c r="B175" s="102" t="s">
        <v>518</v>
      </c>
    </row>
    <row r="176" spans="1:2">
      <c r="A176" s="102">
        <v>121105</v>
      </c>
      <c r="B176" s="102" t="s">
        <v>519</v>
      </c>
    </row>
    <row r="177" spans="1:2">
      <c r="A177" s="102">
        <v>121106</v>
      </c>
      <c r="B177" s="102" t="s">
        <v>520</v>
      </c>
    </row>
    <row r="178" spans="1:2">
      <c r="A178" s="102">
        <v>121107</v>
      </c>
      <c r="B178" s="102" t="s">
        <v>521</v>
      </c>
    </row>
    <row r="179" spans="1:2">
      <c r="A179" s="102">
        <v>121108</v>
      </c>
      <c r="B179" s="102" t="s">
        <v>521</v>
      </c>
    </row>
    <row r="180" spans="1:2">
      <c r="A180" s="102">
        <v>121109</v>
      </c>
      <c r="B180" s="102" t="s">
        <v>522</v>
      </c>
    </row>
    <row r="181" spans="1:2">
      <c r="A181" s="102">
        <v>121110</v>
      </c>
      <c r="B181" s="102" t="s">
        <v>522</v>
      </c>
    </row>
    <row r="182" spans="1:2">
      <c r="A182" s="102">
        <v>121111</v>
      </c>
      <c r="B182" s="102" t="s">
        <v>523</v>
      </c>
    </row>
    <row r="183" spans="1:2">
      <c r="A183" s="102">
        <v>121112</v>
      </c>
      <c r="B183" s="102" t="s">
        <v>524</v>
      </c>
    </row>
    <row r="184" spans="1:2">
      <c r="A184" s="102">
        <v>121113</v>
      </c>
      <c r="B184" s="102" t="s">
        <v>525</v>
      </c>
    </row>
    <row r="185" spans="1:2">
      <c r="A185" s="102">
        <v>121114</v>
      </c>
      <c r="B185" s="102" t="s">
        <v>526</v>
      </c>
    </row>
    <row r="186" spans="1:2">
      <c r="A186" s="102">
        <v>121115</v>
      </c>
      <c r="B186" s="102" t="s">
        <v>527</v>
      </c>
    </row>
    <row r="187" spans="1:2">
      <c r="A187" s="102">
        <v>121116</v>
      </c>
      <c r="B187" s="102" t="s">
        <v>528</v>
      </c>
    </row>
    <row r="188" spans="1:2">
      <c r="A188" s="102">
        <v>121117</v>
      </c>
      <c r="B188" s="102" t="s">
        <v>529</v>
      </c>
    </row>
    <row r="189" spans="1:2">
      <c r="A189" s="102">
        <v>121118</v>
      </c>
      <c r="B189" s="102" t="s">
        <v>530</v>
      </c>
    </row>
    <row r="190" spans="1:2">
      <c r="A190" s="102">
        <v>121119</v>
      </c>
      <c r="B190" s="102" t="s">
        <v>531</v>
      </c>
    </row>
    <row r="191" spans="1:2">
      <c r="A191" s="102">
        <v>121120</v>
      </c>
      <c r="B191" s="102" t="s">
        <v>532</v>
      </c>
    </row>
    <row r="192" spans="1:2">
      <c r="A192" s="102">
        <v>121121</v>
      </c>
      <c r="B192" s="102" t="s">
        <v>533</v>
      </c>
    </row>
    <row r="193" spans="1:2">
      <c r="A193" s="102">
        <v>121122</v>
      </c>
      <c r="B193" s="102" t="s">
        <v>534</v>
      </c>
    </row>
    <row r="194" spans="1:2">
      <c r="A194" s="102">
        <v>121123</v>
      </c>
      <c r="B194" s="102" t="s">
        <v>535</v>
      </c>
    </row>
    <row r="195" spans="1:2">
      <c r="A195" s="102">
        <v>121124</v>
      </c>
      <c r="B195" s="102" t="s">
        <v>536</v>
      </c>
    </row>
    <row r="196" spans="1:2">
      <c r="A196" s="102">
        <v>121125</v>
      </c>
      <c r="B196" s="102" t="s">
        <v>537</v>
      </c>
    </row>
    <row r="197" spans="1:2">
      <c r="A197" s="102">
        <v>121126</v>
      </c>
      <c r="B197" s="102" t="s">
        <v>538</v>
      </c>
    </row>
    <row r="198" spans="1:2">
      <c r="A198" s="102">
        <v>121127</v>
      </c>
      <c r="B198" s="102" t="s">
        <v>539</v>
      </c>
    </row>
    <row r="199" spans="1:2">
      <c r="A199" s="102">
        <v>121128</v>
      </c>
      <c r="B199" s="102" t="s">
        <v>540</v>
      </c>
    </row>
    <row r="200" spans="1:2">
      <c r="A200" s="102">
        <v>121129</v>
      </c>
      <c r="B200" s="102" t="s">
        <v>541</v>
      </c>
    </row>
    <row r="201" spans="1:2">
      <c r="A201" s="102">
        <v>121130</v>
      </c>
      <c r="B201" s="102" t="s">
        <v>393</v>
      </c>
    </row>
    <row r="202" spans="1:2">
      <c r="A202" s="102">
        <v>121131</v>
      </c>
      <c r="B202" s="102" t="s">
        <v>542</v>
      </c>
    </row>
    <row r="203" spans="1:2">
      <c r="A203" s="102">
        <v>121132</v>
      </c>
      <c r="B203" s="102" t="s">
        <v>527</v>
      </c>
    </row>
    <row r="204" spans="1:2">
      <c r="A204" s="102">
        <v>121133</v>
      </c>
      <c r="B204" s="102" t="s">
        <v>543</v>
      </c>
    </row>
    <row r="205" spans="1:2">
      <c r="A205" s="102">
        <v>121134</v>
      </c>
      <c r="B205" s="102" t="s">
        <v>544</v>
      </c>
    </row>
    <row r="206" spans="1:2">
      <c r="A206" s="102">
        <v>121135</v>
      </c>
      <c r="B206" s="102" t="s">
        <v>545</v>
      </c>
    </row>
    <row r="207" spans="1:2">
      <c r="A207" s="102">
        <v>121136</v>
      </c>
      <c r="B207" s="102" t="s">
        <v>546</v>
      </c>
    </row>
    <row r="208" spans="1:2">
      <c r="A208" s="102">
        <v>121137</v>
      </c>
      <c r="B208" s="102" t="s">
        <v>547</v>
      </c>
    </row>
    <row r="209" spans="1:2">
      <c r="A209" s="102">
        <v>121138</v>
      </c>
      <c r="B209" s="102" t="s">
        <v>548</v>
      </c>
    </row>
    <row r="210" spans="1:2">
      <c r="A210" s="102">
        <v>121139</v>
      </c>
      <c r="B210" s="102" t="s">
        <v>549</v>
      </c>
    </row>
    <row r="211" spans="1:2">
      <c r="A211" s="102">
        <v>121140</v>
      </c>
      <c r="B211" s="102" t="s">
        <v>550</v>
      </c>
    </row>
    <row r="212" spans="1:2">
      <c r="A212" s="102">
        <v>121141</v>
      </c>
      <c r="B212" s="102" t="s">
        <v>551</v>
      </c>
    </row>
    <row r="213" spans="1:2">
      <c r="A213" s="102">
        <v>121142</v>
      </c>
      <c r="B213" s="102" t="s">
        <v>552</v>
      </c>
    </row>
    <row r="214" spans="1:2">
      <c r="A214" s="102">
        <v>121143</v>
      </c>
      <c r="B214" s="102" t="s">
        <v>553</v>
      </c>
    </row>
    <row r="215" spans="1:2">
      <c r="A215" s="102">
        <v>121144</v>
      </c>
      <c r="B215" s="102" t="s">
        <v>554</v>
      </c>
    </row>
    <row r="216" spans="1:2">
      <c r="A216" s="102">
        <v>121145</v>
      </c>
      <c r="B216" s="102" t="s">
        <v>555</v>
      </c>
    </row>
    <row r="217" spans="1:2">
      <c r="A217" s="102">
        <v>121146</v>
      </c>
      <c r="B217" s="102" t="s">
        <v>556</v>
      </c>
    </row>
    <row r="218" spans="1:2">
      <c r="A218" s="102">
        <v>121147</v>
      </c>
      <c r="B218" s="102" t="s">
        <v>557</v>
      </c>
    </row>
    <row r="219" spans="1:2">
      <c r="A219" s="102">
        <v>121148</v>
      </c>
      <c r="B219" s="102" t="s">
        <v>558</v>
      </c>
    </row>
    <row r="220" spans="1:2">
      <c r="A220" s="102">
        <v>121149</v>
      </c>
      <c r="B220" s="102" t="s">
        <v>559</v>
      </c>
    </row>
    <row r="221" spans="1:2">
      <c r="A221" s="102">
        <v>121150</v>
      </c>
      <c r="B221" s="102" t="s">
        <v>560</v>
      </c>
    </row>
    <row r="222" spans="1:2">
      <c r="A222" s="102">
        <v>121151</v>
      </c>
      <c r="B222" s="102" t="s">
        <v>561</v>
      </c>
    </row>
    <row r="223" spans="1:2">
      <c r="A223" s="102">
        <v>121152</v>
      </c>
      <c r="B223" s="102" t="s">
        <v>562</v>
      </c>
    </row>
    <row r="224" spans="1:2">
      <c r="A224" s="102">
        <v>121153</v>
      </c>
      <c r="B224" s="102" t="s">
        <v>563</v>
      </c>
    </row>
    <row r="225" spans="1:2">
      <c r="A225" s="102">
        <v>121154</v>
      </c>
      <c r="B225" s="102" t="s">
        <v>564</v>
      </c>
    </row>
    <row r="226" spans="1:2">
      <c r="A226" s="102">
        <v>121155</v>
      </c>
      <c r="B226" s="102" t="s">
        <v>565</v>
      </c>
    </row>
    <row r="227" spans="1:2">
      <c r="A227" s="102">
        <v>121156</v>
      </c>
      <c r="B227" s="102" t="s">
        <v>566</v>
      </c>
    </row>
    <row r="228" spans="1:2">
      <c r="A228" s="102">
        <v>121157</v>
      </c>
      <c r="B228" s="102" t="s">
        <v>567</v>
      </c>
    </row>
    <row r="229" spans="1:2">
      <c r="A229" s="102">
        <v>121158</v>
      </c>
      <c r="B229" s="102" t="s">
        <v>568</v>
      </c>
    </row>
    <row r="230" spans="1:2">
      <c r="A230" s="102">
        <v>121159</v>
      </c>
      <c r="B230" s="102" t="s">
        <v>569</v>
      </c>
    </row>
    <row r="231" spans="1:2">
      <c r="A231" s="102">
        <v>121160</v>
      </c>
      <c r="B231" s="102" t="s">
        <v>570</v>
      </c>
    </row>
    <row r="232" spans="1:2">
      <c r="A232" s="102">
        <v>121161</v>
      </c>
      <c r="B232" s="102" t="s">
        <v>571</v>
      </c>
    </row>
    <row r="233" spans="1:2">
      <c r="A233" s="102">
        <v>121162</v>
      </c>
      <c r="B233" s="102" t="s">
        <v>572</v>
      </c>
    </row>
    <row r="234" spans="1:2">
      <c r="A234" s="102">
        <v>121163</v>
      </c>
      <c r="B234" s="102" t="s">
        <v>573</v>
      </c>
    </row>
    <row r="235" spans="1:2">
      <c r="A235" s="102">
        <v>121164</v>
      </c>
      <c r="B235" s="102" t="s">
        <v>574</v>
      </c>
    </row>
    <row r="236" spans="1:2">
      <c r="A236" s="102">
        <v>121165</v>
      </c>
      <c r="B236" s="102" t="s">
        <v>568</v>
      </c>
    </row>
    <row r="237" spans="1:2">
      <c r="A237" s="102">
        <v>121166</v>
      </c>
      <c r="B237" s="102" t="s">
        <v>569</v>
      </c>
    </row>
    <row r="238" spans="1:2">
      <c r="A238" s="102">
        <v>121167</v>
      </c>
      <c r="B238" s="102" t="s">
        <v>568</v>
      </c>
    </row>
    <row r="239" spans="1:2">
      <c r="A239" s="102">
        <v>121168</v>
      </c>
      <c r="B239" s="102" t="s">
        <v>569</v>
      </c>
    </row>
    <row r="240" spans="1:2">
      <c r="A240" s="102">
        <v>121169</v>
      </c>
      <c r="B240" s="102" t="s">
        <v>575</v>
      </c>
    </row>
    <row r="241" spans="1:2">
      <c r="A241" s="102">
        <v>121170</v>
      </c>
      <c r="B241" s="102" t="s">
        <v>576</v>
      </c>
    </row>
    <row r="242" spans="1:2">
      <c r="A242" s="102">
        <v>121171</v>
      </c>
      <c r="B242" s="102" t="s">
        <v>577</v>
      </c>
    </row>
    <row r="243" spans="1:2">
      <c r="A243" s="102">
        <v>121172</v>
      </c>
      <c r="B243" s="102" t="s">
        <v>578</v>
      </c>
    </row>
    <row r="244" spans="1:2">
      <c r="A244" s="102">
        <v>121173</v>
      </c>
      <c r="B244" s="102" t="s">
        <v>579</v>
      </c>
    </row>
    <row r="245" spans="1:2">
      <c r="A245" s="102">
        <v>121174</v>
      </c>
      <c r="B245" s="102" t="s">
        <v>580</v>
      </c>
    </row>
    <row r="246" spans="1:2">
      <c r="A246" s="102">
        <v>121175</v>
      </c>
      <c r="B246" s="102" t="s">
        <v>581</v>
      </c>
    </row>
    <row r="247" spans="1:2">
      <c r="A247" s="102">
        <v>121176</v>
      </c>
      <c r="B247" s="102" t="s">
        <v>582</v>
      </c>
    </row>
    <row r="248" spans="1:2">
      <c r="A248" s="102">
        <v>121177</v>
      </c>
      <c r="B248" s="102" t="s">
        <v>583</v>
      </c>
    </row>
    <row r="249" spans="1:2">
      <c r="A249" s="102">
        <v>121178</v>
      </c>
      <c r="B249" s="102" t="s">
        <v>584</v>
      </c>
    </row>
    <row r="250" spans="1:2">
      <c r="A250" s="102">
        <v>121179</v>
      </c>
      <c r="B250" s="102" t="s">
        <v>585</v>
      </c>
    </row>
    <row r="251" spans="1:2">
      <c r="A251" s="102">
        <v>121180</v>
      </c>
      <c r="B251" s="102" t="s">
        <v>586</v>
      </c>
    </row>
    <row r="252" spans="1:2">
      <c r="A252" s="102">
        <v>121181</v>
      </c>
      <c r="B252" s="102" t="s">
        <v>587</v>
      </c>
    </row>
    <row r="253" spans="1:2">
      <c r="A253" s="102">
        <v>121182</v>
      </c>
      <c r="B253" s="102" t="s">
        <v>588</v>
      </c>
    </row>
    <row r="254" spans="1:2">
      <c r="A254" s="102">
        <v>121183</v>
      </c>
      <c r="B254" s="102" t="s">
        <v>589</v>
      </c>
    </row>
    <row r="255" spans="1:2">
      <c r="A255" s="102">
        <v>121184</v>
      </c>
      <c r="B255" s="102" t="s">
        <v>590</v>
      </c>
    </row>
    <row r="256" spans="1:2">
      <c r="A256" s="102">
        <v>121185</v>
      </c>
      <c r="B256" s="102" t="s">
        <v>591</v>
      </c>
    </row>
    <row r="257" spans="1:2">
      <c r="A257" s="102">
        <v>121186</v>
      </c>
      <c r="B257" s="102" t="s">
        <v>592</v>
      </c>
    </row>
    <row r="258" spans="1:2">
      <c r="A258" s="102">
        <v>121187</v>
      </c>
      <c r="B258" s="102" t="s">
        <v>593</v>
      </c>
    </row>
    <row r="259" spans="1:2">
      <c r="A259" s="102">
        <v>121188</v>
      </c>
      <c r="B259" s="102" t="s">
        <v>594</v>
      </c>
    </row>
    <row r="260" spans="1:2">
      <c r="A260" s="102">
        <v>121189</v>
      </c>
      <c r="B260" s="102" t="s">
        <v>595</v>
      </c>
    </row>
    <row r="261" spans="1:2">
      <c r="A261" s="102">
        <v>121190</v>
      </c>
      <c r="B261" s="102" t="s">
        <v>596</v>
      </c>
    </row>
    <row r="262" spans="1:2">
      <c r="A262" s="102">
        <v>121191</v>
      </c>
      <c r="B262" s="102" t="s">
        <v>597</v>
      </c>
    </row>
    <row r="263" spans="1:2">
      <c r="A263" s="102">
        <v>121192</v>
      </c>
      <c r="B263" s="102" t="s">
        <v>598</v>
      </c>
    </row>
    <row r="264" spans="1:2">
      <c r="A264" s="102">
        <v>121193</v>
      </c>
      <c r="B264" s="102" t="s">
        <v>599</v>
      </c>
    </row>
    <row r="265" spans="1:2">
      <c r="A265" s="102">
        <v>121194</v>
      </c>
      <c r="B265" s="102" t="s">
        <v>598</v>
      </c>
    </row>
    <row r="266" spans="1:2">
      <c r="A266" s="102">
        <v>121195</v>
      </c>
      <c r="B266" s="102" t="s">
        <v>147</v>
      </c>
    </row>
    <row r="267" spans="1:2">
      <c r="A267" s="102">
        <v>121196</v>
      </c>
      <c r="B267" s="102" t="s">
        <v>403</v>
      </c>
    </row>
    <row r="268" spans="1:2">
      <c r="A268" s="102">
        <v>121197</v>
      </c>
      <c r="B268" s="102" t="s">
        <v>600</v>
      </c>
    </row>
    <row r="269" spans="1:2">
      <c r="A269" s="102">
        <v>121198</v>
      </c>
      <c r="B269" s="102" t="s">
        <v>601</v>
      </c>
    </row>
    <row r="270" spans="1:2">
      <c r="A270" s="102">
        <v>121199</v>
      </c>
      <c r="B270" s="102" t="s">
        <v>602</v>
      </c>
    </row>
    <row r="271" spans="1:2">
      <c r="A271" s="102">
        <v>121200</v>
      </c>
      <c r="B271" s="102" t="s">
        <v>603</v>
      </c>
    </row>
    <row r="272" spans="1:2">
      <c r="A272" s="102">
        <v>121201</v>
      </c>
      <c r="B272" s="102" t="s">
        <v>521</v>
      </c>
    </row>
    <row r="273" spans="1:2">
      <c r="A273" s="102">
        <v>121202</v>
      </c>
      <c r="B273" s="102" t="s">
        <v>521</v>
      </c>
    </row>
    <row r="274" spans="1:2">
      <c r="A274" s="102">
        <v>121203</v>
      </c>
      <c r="B274" s="102" t="s">
        <v>604</v>
      </c>
    </row>
    <row r="275" spans="1:2">
      <c r="A275" s="102">
        <v>1111001</v>
      </c>
      <c r="B275" s="102" t="s">
        <v>380</v>
      </c>
    </row>
    <row r="276" spans="1:2">
      <c r="A276" s="102">
        <v>1111002</v>
      </c>
      <c r="B276" s="102" t="s">
        <v>381</v>
      </c>
    </row>
    <row r="277" spans="1:2">
      <c r="A277" s="102">
        <v>1111003</v>
      </c>
      <c r="B277" s="102" t="s">
        <v>108</v>
      </c>
    </row>
    <row r="278" spans="1:2">
      <c r="A278" s="102">
        <v>1111004</v>
      </c>
      <c r="B278" s="102" t="s">
        <v>110</v>
      </c>
    </row>
    <row r="279" spans="1:2">
      <c r="A279" s="102">
        <v>1111005</v>
      </c>
      <c r="B279" s="102" t="s">
        <v>111</v>
      </c>
    </row>
    <row r="280" spans="1:2">
      <c r="A280" s="102">
        <v>1111006</v>
      </c>
      <c r="B280" s="102" t="s">
        <v>112</v>
      </c>
    </row>
    <row r="281" spans="1:2">
      <c r="A281" s="102">
        <v>1111007</v>
      </c>
      <c r="B281" s="102" t="s">
        <v>113</v>
      </c>
    </row>
    <row r="282" spans="1:2">
      <c r="A282" s="102">
        <v>1111008</v>
      </c>
      <c r="B282" s="102" t="s">
        <v>114</v>
      </c>
    </row>
    <row r="283" spans="1:2">
      <c r="A283" s="102">
        <v>1111009</v>
      </c>
      <c r="B283" s="102" t="s">
        <v>115</v>
      </c>
    </row>
    <row r="284" spans="1:2">
      <c r="A284" s="102">
        <v>1111010</v>
      </c>
      <c r="B284" s="102" t="s">
        <v>382</v>
      </c>
    </row>
    <row r="285" spans="1:2">
      <c r="A285" s="102">
        <v>1111011</v>
      </c>
      <c r="B285" s="102" t="s">
        <v>117</v>
      </c>
    </row>
    <row r="286" spans="1:2">
      <c r="A286" s="102">
        <v>1111012</v>
      </c>
      <c r="B286" s="102" t="s">
        <v>118</v>
      </c>
    </row>
    <row r="287" spans="1:2">
      <c r="A287" s="102">
        <v>1111013</v>
      </c>
      <c r="B287" s="102" t="s">
        <v>383</v>
      </c>
    </row>
    <row r="288" spans="1:2">
      <c r="A288" s="102">
        <v>1111014</v>
      </c>
      <c r="B288" s="102" t="s">
        <v>120</v>
      </c>
    </row>
    <row r="289" spans="1:2">
      <c r="A289" s="102">
        <v>1111015</v>
      </c>
      <c r="B289" s="102" t="s">
        <v>384</v>
      </c>
    </row>
    <row r="290" spans="1:2">
      <c r="A290" s="102">
        <v>1111016</v>
      </c>
      <c r="B290" s="102" t="s">
        <v>122</v>
      </c>
    </row>
    <row r="291" spans="1:2">
      <c r="A291" s="102">
        <v>1111018</v>
      </c>
      <c r="B291" s="102" t="s">
        <v>386</v>
      </c>
    </row>
    <row r="292" spans="1:2">
      <c r="A292" s="102">
        <v>1112001</v>
      </c>
      <c r="B292" s="102" t="s">
        <v>123</v>
      </c>
    </row>
    <row r="293" spans="1:2">
      <c r="A293" s="102">
        <v>1112002</v>
      </c>
      <c r="B293" s="102" t="s">
        <v>125</v>
      </c>
    </row>
    <row r="294" spans="1:2">
      <c r="A294" s="102">
        <v>1112003</v>
      </c>
      <c r="B294" s="102" t="s">
        <v>126</v>
      </c>
    </row>
    <row r="295" spans="1:2">
      <c r="A295" s="102">
        <v>1112004</v>
      </c>
      <c r="B295" s="102" t="s">
        <v>127</v>
      </c>
    </row>
    <row r="296" spans="1:2">
      <c r="A296" s="102">
        <v>1112005</v>
      </c>
      <c r="B296" s="102" t="s">
        <v>128</v>
      </c>
    </row>
    <row r="297" spans="1:2">
      <c r="A297" s="102">
        <v>1112006</v>
      </c>
      <c r="B297" s="102" t="s">
        <v>129</v>
      </c>
    </row>
    <row r="298" spans="1:2">
      <c r="A298" s="102">
        <v>1112007</v>
      </c>
      <c r="B298" s="102" t="s">
        <v>130</v>
      </c>
    </row>
    <row r="299" spans="1:2">
      <c r="A299" s="102">
        <v>1112008</v>
      </c>
      <c r="B299" s="102" t="s">
        <v>131</v>
      </c>
    </row>
    <row r="300" spans="1:2">
      <c r="A300" s="102">
        <v>1112009</v>
      </c>
      <c r="B300" s="102" t="s">
        <v>132</v>
      </c>
    </row>
    <row r="301" spans="1:2">
      <c r="A301" s="102">
        <v>1112010</v>
      </c>
      <c r="B301" s="102" t="s">
        <v>387</v>
      </c>
    </row>
    <row r="302" spans="1:2">
      <c r="A302" s="102">
        <v>1112011</v>
      </c>
      <c r="B302" s="102" t="s">
        <v>388</v>
      </c>
    </row>
    <row r="303" spans="1:2">
      <c r="A303" s="102">
        <v>1112012</v>
      </c>
      <c r="B303" s="102" t="s">
        <v>389</v>
      </c>
    </row>
    <row r="304" spans="1:2">
      <c r="A304" s="102">
        <v>1112013</v>
      </c>
      <c r="B304" s="102" t="s">
        <v>136</v>
      </c>
    </row>
    <row r="305" spans="1:2">
      <c r="A305" s="102">
        <v>1112014</v>
      </c>
      <c r="B305" s="102" t="s">
        <v>137</v>
      </c>
    </row>
    <row r="306" spans="1:2">
      <c r="A306" s="102">
        <v>1112015</v>
      </c>
      <c r="B306" s="102" t="s">
        <v>138</v>
      </c>
    </row>
    <row r="307" spans="1:2">
      <c r="A307" s="102">
        <v>1112016</v>
      </c>
      <c r="B307" s="102" t="s">
        <v>390</v>
      </c>
    </row>
    <row r="308" spans="1:2">
      <c r="A308" s="102">
        <v>1112017</v>
      </c>
      <c r="B308" s="102" t="s">
        <v>391</v>
      </c>
    </row>
    <row r="309" spans="1:2">
      <c r="A309" s="102">
        <v>1112018</v>
      </c>
      <c r="B309" s="102" t="s">
        <v>141</v>
      </c>
    </row>
    <row r="310" spans="1:2">
      <c r="A310" s="102">
        <v>1112019</v>
      </c>
      <c r="B310" s="102" t="s">
        <v>392</v>
      </c>
    </row>
    <row r="311" spans="1:2">
      <c r="A311" s="102">
        <v>1112020</v>
      </c>
      <c r="B311" s="102" t="s">
        <v>143</v>
      </c>
    </row>
    <row r="312" spans="1:2">
      <c r="A312" s="102">
        <v>1112021</v>
      </c>
      <c r="B312" s="102" t="s">
        <v>393</v>
      </c>
    </row>
    <row r="313" spans="1:2">
      <c r="A313" s="102">
        <v>1112022</v>
      </c>
      <c r="B313" s="102" t="s">
        <v>394</v>
      </c>
    </row>
    <row r="314" spans="1:2">
      <c r="A314" s="102">
        <v>1112023</v>
      </c>
      <c r="B314" s="102" t="s">
        <v>395</v>
      </c>
    </row>
    <row r="315" spans="1:2">
      <c r="A315" s="102">
        <v>1112024</v>
      </c>
      <c r="B315" s="102" t="s">
        <v>144</v>
      </c>
    </row>
    <row r="316" spans="1:2">
      <c r="A316" s="102">
        <v>1112025</v>
      </c>
      <c r="B316" s="102" t="s">
        <v>145</v>
      </c>
    </row>
    <row r="317" spans="1:2">
      <c r="A317" s="102">
        <v>1112026</v>
      </c>
      <c r="B317" s="102" t="s">
        <v>146</v>
      </c>
    </row>
    <row r="318" spans="1:2">
      <c r="A318" s="102">
        <v>1112027</v>
      </c>
      <c r="B318" s="102" t="s">
        <v>396</v>
      </c>
    </row>
    <row r="319" spans="1:2">
      <c r="A319" s="102">
        <v>1112028</v>
      </c>
      <c r="B319" s="102" t="s">
        <v>397</v>
      </c>
    </row>
    <row r="320" spans="1:2">
      <c r="A320" s="102">
        <v>1113001</v>
      </c>
      <c r="B320" s="102" t="s">
        <v>147</v>
      </c>
    </row>
    <row r="321" spans="1:2">
      <c r="A321" s="102">
        <v>1113002</v>
      </c>
      <c r="B321" s="102" t="s">
        <v>148</v>
      </c>
    </row>
    <row r="322" spans="1:2">
      <c r="A322" s="102">
        <v>1113003</v>
      </c>
      <c r="B322" s="102" t="s">
        <v>149</v>
      </c>
    </row>
    <row r="323" spans="1:2">
      <c r="A323" s="102">
        <v>1113004</v>
      </c>
      <c r="B323" s="102" t="s">
        <v>150</v>
      </c>
    </row>
    <row r="324" spans="1:2">
      <c r="A324" s="102">
        <v>1113005</v>
      </c>
      <c r="B324" s="102" t="s">
        <v>398</v>
      </c>
    </row>
    <row r="325" spans="1:2">
      <c r="A325" s="102">
        <v>1113006</v>
      </c>
      <c r="B325" s="102" t="s">
        <v>151</v>
      </c>
    </row>
    <row r="326" spans="1:2">
      <c r="A326" s="102">
        <v>1113007</v>
      </c>
      <c r="B326" s="102" t="s">
        <v>399</v>
      </c>
    </row>
    <row r="327" spans="1:2">
      <c r="A327" s="102">
        <v>1113008</v>
      </c>
      <c r="B327" s="102" t="s">
        <v>152</v>
      </c>
    </row>
    <row r="328" spans="1:2">
      <c r="A328" s="102">
        <v>1113009</v>
      </c>
      <c r="B328" s="102" t="s">
        <v>400</v>
      </c>
    </row>
    <row r="329" spans="1:2">
      <c r="A329" s="102">
        <v>1113010</v>
      </c>
      <c r="B329" s="102" t="s">
        <v>401</v>
      </c>
    </row>
    <row r="330" spans="1:2">
      <c r="A330" s="102">
        <v>1113011</v>
      </c>
      <c r="B330" s="102" t="s">
        <v>394</v>
      </c>
    </row>
    <row r="331" spans="1:2">
      <c r="A331" s="102">
        <v>11113011</v>
      </c>
      <c r="B331" s="102" t="s">
        <v>138</v>
      </c>
    </row>
    <row r="332" spans="1:2">
      <c r="A332" s="102">
        <v>1114001</v>
      </c>
      <c r="B332" s="102" t="s">
        <v>394</v>
      </c>
    </row>
    <row r="333" spans="1:2">
      <c r="A333" s="102">
        <v>11113005</v>
      </c>
      <c r="B333" s="102" t="s">
        <v>605</v>
      </c>
    </row>
    <row r="334" spans="1:2">
      <c r="A334" s="102">
        <v>1113012</v>
      </c>
      <c r="B334" s="102" t="s">
        <v>402</v>
      </c>
    </row>
    <row r="335" spans="1:2">
      <c r="A335" s="102">
        <v>1113013</v>
      </c>
      <c r="B335" s="102" t="s">
        <v>403</v>
      </c>
    </row>
    <row r="336" spans="1:2">
      <c r="A336" s="102">
        <v>1113014</v>
      </c>
      <c r="B336" s="102" t="s">
        <v>404</v>
      </c>
    </row>
    <row r="337" spans="1:2">
      <c r="A337" s="102">
        <v>1113015</v>
      </c>
      <c r="B337" s="102" t="s">
        <v>405</v>
      </c>
    </row>
    <row r="338" spans="1:2">
      <c r="A338" s="102">
        <v>1113016</v>
      </c>
      <c r="B338" s="102" t="s">
        <v>406</v>
      </c>
    </row>
    <row r="339" spans="1:2">
      <c r="A339" s="102">
        <v>1113017</v>
      </c>
      <c r="B339" s="102" t="s">
        <v>407</v>
      </c>
    </row>
    <row r="340" spans="1:2">
      <c r="A340" s="102">
        <v>11113017</v>
      </c>
      <c r="B340" s="102" t="s">
        <v>606</v>
      </c>
    </row>
    <row r="341" spans="1:2">
      <c r="A341" s="102">
        <v>1113018</v>
      </c>
      <c r="B341" s="102" t="s">
        <v>408</v>
      </c>
    </row>
    <row r="342" spans="1:2">
      <c r="A342" s="102">
        <v>1113019</v>
      </c>
      <c r="B342" s="102" t="s">
        <v>607</v>
      </c>
    </row>
    <row r="343" spans="1:2">
      <c r="A343" s="102">
        <v>1113027</v>
      </c>
      <c r="B343" s="102" t="s">
        <v>417</v>
      </c>
    </row>
    <row r="344" spans="1:2">
      <c r="A344" s="102">
        <v>4000001</v>
      </c>
      <c r="B344" s="102" t="s">
        <v>608</v>
      </c>
    </row>
    <row r="345" spans="1:2">
      <c r="A345" s="102">
        <v>4000002</v>
      </c>
      <c r="B345" s="102" t="s">
        <v>609</v>
      </c>
    </row>
    <row r="346" spans="1:2">
      <c r="A346" s="102">
        <v>4000003</v>
      </c>
      <c r="B346" s="102" t="s">
        <v>610</v>
      </c>
    </row>
    <row r="347" spans="1:2">
      <c r="A347" s="102">
        <v>4000004</v>
      </c>
      <c r="B347" s="102" t="s">
        <v>611</v>
      </c>
    </row>
    <row r="348" spans="1:2">
      <c r="A348" s="102">
        <v>4000005</v>
      </c>
      <c r="B348" s="102" t="s">
        <v>612</v>
      </c>
    </row>
    <row r="349" spans="1:2">
      <c r="A349" s="102">
        <v>4000006</v>
      </c>
      <c r="B349" s="102" t="s">
        <v>613</v>
      </c>
    </row>
    <row r="350" spans="1:2">
      <c r="A350" s="102">
        <v>4000007</v>
      </c>
      <c r="B350" s="102" t="s">
        <v>614</v>
      </c>
    </row>
    <row r="351" spans="1:2">
      <c r="A351" s="102">
        <v>4000008</v>
      </c>
      <c r="B351" s="102" t="s">
        <v>615</v>
      </c>
    </row>
    <row r="352" spans="1:2">
      <c r="A352" s="102">
        <v>4000009</v>
      </c>
      <c r="B352" s="102" t="s">
        <v>616</v>
      </c>
    </row>
    <row r="353" spans="1:2">
      <c r="A353" s="102">
        <v>4000010</v>
      </c>
      <c r="B353" s="102" t="s">
        <v>617</v>
      </c>
    </row>
    <row r="354" spans="1:2">
      <c r="A354" s="102">
        <v>4000011</v>
      </c>
      <c r="B354" s="102" t="s">
        <v>618</v>
      </c>
    </row>
    <row r="355" spans="1:2">
      <c r="A355" s="102">
        <v>4000012</v>
      </c>
      <c r="B355" s="102" t="s">
        <v>619</v>
      </c>
    </row>
    <row r="356" spans="1:2">
      <c r="A356" s="102">
        <v>4000013</v>
      </c>
      <c r="B356" s="102" t="s">
        <v>620</v>
      </c>
    </row>
    <row r="357" spans="1:2">
      <c r="A357" s="102">
        <v>4000014</v>
      </c>
      <c r="B357" s="102" t="s">
        <v>621</v>
      </c>
    </row>
    <row r="358" spans="1:2">
      <c r="A358" s="102">
        <v>4000015</v>
      </c>
      <c r="B358" s="102" t="s">
        <v>622</v>
      </c>
    </row>
    <row r="359" spans="1:2">
      <c r="A359" s="102">
        <v>4000016</v>
      </c>
      <c r="B359" s="102" t="s">
        <v>623</v>
      </c>
    </row>
    <row r="360" spans="1:2">
      <c r="A360" s="102">
        <v>4000017</v>
      </c>
      <c r="B360" s="102" t="s">
        <v>624</v>
      </c>
    </row>
    <row r="361" spans="1:2">
      <c r="A361" s="102">
        <v>4000018</v>
      </c>
      <c r="B361" s="102" t="s">
        <v>625</v>
      </c>
    </row>
    <row r="362" spans="1:2">
      <c r="A362" s="102">
        <v>4000019</v>
      </c>
      <c r="B362" s="102" t="s">
        <v>626</v>
      </c>
    </row>
    <row r="363" spans="1:2">
      <c r="A363" s="102">
        <v>4000020</v>
      </c>
      <c r="B363" s="102" t="s">
        <v>627</v>
      </c>
    </row>
    <row r="364" spans="1:2">
      <c r="A364" s="102">
        <v>4000021</v>
      </c>
      <c r="B364" s="102" t="s">
        <v>628</v>
      </c>
    </row>
    <row r="365" spans="1:2">
      <c r="A365" s="102">
        <v>4000022</v>
      </c>
      <c r="B365" s="102" t="s">
        <v>629</v>
      </c>
    </row>
    <row r="366" spans="1:2">
      <c r="A366" s="102">
        <v>4000023</v>
      </c>
      <c r="B366" s="102" t="s">
        <v>630</v>
      </c>
    </row>
    <row r="367" spans="1:2">
      <c r="A367" s="102">
        <v>4000024</v>
      </c>
      <c r="B367" s="102" t="s">
        <v>631</v>
      </c>
    </row>
    <row r="368" spans="1:2">
      <c r="A368" s="102">
        <v>4000025</v>
      </c>
      <c r="B368" s="102" t="s">
        <v>632</v>
      </c>
    </row>
    <row r="369" spans="1:2">
      <c r="A369" s="102">
        <v>4000026</v>
      </c>
      <c r="B369" s="102" t="s">
        <v>633</v>
      </c>
    </row>
    <row r="370" spans="1:2">
      <c r="A370" s="102">
        <v>4000027</v>
      </c>
      <c r="B370" s="102" t="s">
        <v>634</v>
      </c>
    </row>
    <row r="371" spans="1:2">
      <c r="A371" s="102">
        <v>4000028</v>
      </c>
      <c r="B371" s="102" t="s">
        <v>635</v>
      </c>
    </row>
    <row r="372" spans="1:2">
      <c r="A372" s="102">
        <v>4000029</v>
      </c>
      <c r="B372" s="102" t="s">
        <v>636</v>
      </c>
    </row>
    <row r="373" spans="1:2">
      <c r="A373" s="102">
        <v>4000030</v>
      </c>
      <c r="B373" s="102" t="s">
        <v>637</v>
      </c>
    </row>
    <row r="374" spans="1:2">
      <c r="A374" s="102">
        <v>4000031</v>
      </c>
      <c r="B374" s="102" t="s">
        <v>638</v>
      </c>
    </row>
    <row r="375" spans="1:2">
      <c r="A375" s="102">
        <v>4000032</v>
      </c>
      <c r="B375" s="102" t="s">
        <v>639</v>
      </c>
    </row>
    <row r="376" spans="1:2">
      <c r="A376" s="102">
        <v>4000033</v>
      </c>
      <c r="B376" s="102" t="s">
        <v>640</v>
      </c>
    </row>
    <row r="377" spans="1:2">
      <c r="A377" s="102">
        <v>4000034</v>
      </c>
      <c r="B377" s="102" t="s">
        <v>641</v>
      </c>
    </row>
    <row r="378" spans="1:2">
      <c r="A378" s="102">
        <v>4000035</v>
      </c>
      <c r="B378" s="102" t="s">
        <v>642</v>
      </c>
    </row>
    <row r="379" spans="1:2">
      <c r="A379" s="102">
        <v>4000036</v>
      </c>
      <c r="B379" s="102" t="s">
        <v>643</v>
      </c>
    </row>
    <row r="380" spans="1:2">
      <c r="A380" s="102">
        <v>4000037</v>
      </c>
      <c r="B380" s="102" t="s">
        <v>644</v>
      </c>
    </row>
    <row r="381" spans="1:2">
      <c r="A381" s="102">
        <v>4000038</v>
      </c>
      <c r="B381" s="102" t="s">
        <v>645</v>
      </c>
    </row>
  </sheetData>
  <conditionalFormatting sqref="A39">
    <cfRule type="duplicateValues" dxfId="1" priority="28"/>
  </conditionalFormatting>
  <conditionalFormatting sqref="A40">
    <cfRule type="duplicateValues" dxfId="1" priority="27"/>
  </conditionalFormatting>
  <conditionalFormatting sqref="A41">
    <cfRule type="duplicateValues" dxfId="1" priority="26"/>
  </conditionalFormatting>
  <conditionalFormatting sqref="A46">
    <cfRule type="duplicateValues" dxfId="1" priority="9"/>
  </conditionalFormatting>
  <conditionalFormatting sqref="A51">
    <cfRule type="duplicateValues" dxfId="1" priority="23"/>
  </conditionalFormatting>
  <conditionalFormatting sqref="A53">
    <cfRule type="duplicateValues" dxfId="1" priority="25"/>
  </conditionalFormatting>
  <conditionalFormatting sqref="A62">
    <cfRule type="duplicateValues" dxfId="1" priority="13"/>
  </conditionalFormatting>
  <conditionalFormatting sqref="A64">
    <cfRule type="duplicateValues" dxfId="1" priority="10"/>
  </conditionalFormatting>
  <conditionalFormatting sqref="A67">
    <cfRule type="duplicateValues" dxfId="1" priority="6"/>
  </conditionalFormatting>
  <conditionalFormatting sqref="A202">
    <cfRule type="duplicateValues" dxfId="1" priority="18"/>
  </conditionalFormatting>
  <conditionalFormatting sqref="A290">
    <cfRule type="duplicateValues" dxfId="1" priority="30"/>
  </conditionalFormatting>
  <conditionalFormatting sqref="A291">
    <cfRule type="duplicateValues" dxfId="1" priority="24"/>
  </conditionalFormatting>
  <conditionalFormatting sqref="A317">
    <cfRule type="duplicateValues" dxfId="1" priority="29"/>
  </conditionalFormatting>
  <conditionalFormatting sqref="A318">
    <cfRule type="duplicateValues" dxfId="1" priority="15"/>
  </conditionalFormatting>
  <conditionalFormatting sqref="A319">
    <cfRule type="duplicateValues" dxfId="1" priority="14"/>
  </conditionalFormatting>
  <conditionalFormatting sqref="A333">
    <cfRule type="duplicateValues" dxfId="1" priority="17"/>
  </conditionalFormatting>
  <conditionalFormatting sqref="A335">
    <cfRule type="duplicateValues" dxfId="1" priority="16"/>
  </conditionalFormatting>
  <conditionalFormatting sqref="A343">
    <cfRule type="duplicateValues" dxfId="1" priority="5"/>
  </conditionalFormatting>
  <conditionalFormatting sqref="A65:A66">
    <cfRule type="duplicateValues" dxfId="1" priority="11"/>
  </conditionalFormatting>
  <conditionalFormatting sqref="A68:A69">
    <cfRule type="duplicateValues" dxfId="1" priority="8"/>
  </conditionalFormatting>
  <conditionalFormatting sqref="A70:A75">
    <cfRule type="duplicateValues" dxfId="1" priority="7"/>
  </conditionalFormatting>
  <conditionalFormatting sqref="A121:A131">
    <cfRule type="duplicateValues" dxfId="1" priority="31"/>
  </conditionalFormatting>
  <conditionalFormatting sqref="A215:A274">
    <cfRule type="duplicateValues" dxfId="1" priority="37"/>
  </conditionalFormatting>
  <conditionalFormatting sqref="A369:A381">
    <cfRule type="duplicateValues" dxfId="1" priority="12"/>
  </conditionalFormatting>
  <conditionalFormatting sqref="Q89:Q96">
    <cfRule type="duplicateValues" dxfId="1" priority="1"/>
    <cfRule type="duplicateValues" dxfId="1" priority="2"/>
  </conditionalFormatting>
  <conditionalFormatting sqref="A76:A120 A19 A47 A1:A10 A275:A289 A292:A316 A382:A1048576 A320:A325">
    <cfRule type="duplicateValues" dxfId="1" priority="34"/>
  </conditionalFormatting>
  <conditionalFormatting sqref="A20:A26 A43 A28:A38">
    <cfRule type="duplicateValues" dxfId="1" priority="33"/>
  </conditionalFormatting>
  <conditionalFormatting sqref="A48:A50 A59 A52 A54:A57 A61 A63">
    <cfRule type="duplicateValues" dxfId="1" priority="32"/>
  </conditionalFormatting>
  <conditionalFormatting sqref="A58 A60">
    <cfRule type="duplicateValues" dxfId="1" priority="19"/>
  </conditionalFormatting>
  <conditionalFormatting sqref="A132:A155 A158 A161 A164 A167 A170 A173 A176 A179 A182 A185:A201 A203:A214">
    <cfRule type="duplicateValues" dxfId="1" priority="35"/>
  </conditionalFormatting>
  <conditionalFormatting sqref="A156 A159 A162 A165 A168 A171 A174 A177 A180 A183">
    <cfRule type="duplicateValues" dxfId="1" priority="20"/>
  </conditionalFormatting>
  <conditionalFormatting sqref="A157 A160 A163 A166 A169 A172 A175 A178 A181 A184">
    <cfRule type="duplicateValues" dxfId="1" priority="36"/>
  </conditionalFormatting>
  <conditionalFormatting sqref="A344 A358 A346 A348 A350 A352 A354 A356 A360:A361 A364 A367">
    <cfRule type="duplicateValues" dxfId="1" priority="22"/>
  </conditionalFormatting>
  <conditionalFormatting sqref="A345 A359 A347 A349 A351 A353 A355 A357 A362:A363 A365:A366 A368">
    <cfRule type="duplicateValues" dxfId="1" priority="21"/>
  </conditionalFormatting>
  <pageMargins left="0.699305555555556" right="0.699305555555556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42"/>
  <sheetViews>
    <sheetView topLeftCell="C1" workbookViewId="0">
      <selection activeCell="L11" sqref="L11"/>
    </sheetView>
  </sheetViews>
  <sheetFormatPr defaultColWidth="9" defaultRowHeight="14" outlineLevelCol="3"/>
  <cols>
    <col min="2" max="2" width="8.37272727272727" customWidth="1"/>
    <col min="3" max="3" width="28.7545454545455" customWidth="1"/>
    <col min="4" max="4" width="8.37272727272727" customWidth="1"/>
  </cols>
  <sheetData>
    <row r="2" spans="2:4">
      <c r="B2" s="98">
        <v>1103201</v>
      </c>
      <c r="C2" s="99" t="s">
        <v>646</v>
      </c>
      <c r="D2" s="98">
        <v>121127</v>
      </c>
    </row>
    <row r="3" spans="2:4">
      <c r="B3" s="100">
        <v>1103202</v>
      </c>
      <c r="C3" s="101" t="s">
        <v>647</v>
      </c>
      <c r="D3" s="100">
        <v>121115</v>
      </c>
    </row>
    <row r="4" spans="2:4">
      <c r="B4" s="100">
        <v>1103202</v>
      </c>
      <c r="C4" s="101" t="s">
        <v>647</v>
      </c>
      <c r="D4" s="100">
        <v>121119</v>
      </c>
    </row>
    <row r="5" spans="2:4">
      <c r="B5" s="100">
        <v>1103202</v>
      </c>
      <c r="C5" s="101" t="s">
        <v>647</v>
      </c>
      <c r="D5" s="100">
        <v>121120</v>
      </c>
    </row>
    <row r="6" spans="2:4">
      <c r="B6" s="100">
        <v>1103202</v>
      </c>
      <c r="C6" s="101" t="s">
        <v>647</v>
      </c>
      <c r="D6" s="100">
        <v>121116</v>
      </c>
    </row>
    <row r="7" spans="2:4">
      <c r="B7" s="100">
        <v>1103202</v>
      </c>
      <c r="C7" s="101" t="s">
        <v>647</v>
      </c>
      <c r="D7" s="100">
        <v>121117</v>
      </c>
    </row>
    <row r="8" spans="2:4">
      <c r="B8" s="100">
        <v>1103202</v>
      </c>
      <c r="C8" s="101" t="s">
        <v>647</v>
      </c>
      <c r="D8" s="100">
        <v>121118</v>
      </c>
    </row>
    <row r="9" spans="2:4">
      <c r="B9" s="100">
        <v>1103202</v>
      </c>
      <c r="C9" s="101" t="s">
        <v>647</v>
      </c>
      <c r="D9" s="100">
        <v>121115</v>
      </c>
    </row>
    <row r="10" spans="2:4">
      <c r="B10" s="100">
        <v>1103202</v>
      </c>
      <c r="C10" s="101" t="s">
        <v>647</v>
      </c>
      <c r="D10" s="100">
        <v>121119</v>
      </c>
    </row>
    <row r="11" spans="2:4">
      <c r="B11" s="100">
        <v>1103202</v>
      </c>
      <c r="C11" s="101" t="s">
        <v>647</v>
      </c>
      <c r="D11" s="100">
        <v>121120</v>
      </c>
    </row>
    <row r="12" spans="2:4">
      <c r="B12" s="100">
        <v>1103202</v>
      </c>
      <c r="C12" s="101" t="s">
        <v>647</v>
      </c>
      <c r="D12" s="100">
        <v>121116</v>
      </c>
    </row>
    <row r="13" spans="2:4">
      <c r="B13" s="100">
        <v>1103202</v>
      </c>
      <c r="C13" s="101" t="s">
        <v>647</v>
      </c>
      <c r="D13" s="100">
        <v>121117</v>
      </c>
    </row>
    <row r="14" spans="2:4">
      <c r="B14" s="100">
        <v>1103202</v>
      </c>
      <c r="C14" s="101" t="s">
        <v>647</v>
      </c>
      <c r="D14" s="100">
        <v>121118</v>
      </c>
    </row>
    <row r="15" spans="2:4">
      <c r="B15" s="100">
        <v>1103202</v>
      </c>
      <c r="C15" s="101" t="s">
        <v>647</v>
      </c>
      <c r="D15" s="100">
        <v>121115</v>
      </c>
    </row>
    <row r="16" spans="2:4">
      <c r="B16" s="100">
        <v>1103202</v>
      </c>
      <c r="C16" s="101" t="s">
        <v>647</v>
      </c>
      <c r="D16" s="100">
        <v>121119</v>
      </c>
    </row>
    <row r="17" spans="2:4">
      <c r="B17" s="100">
        <v>1103202</v>
      </c>
      <c r="C17" s="101" t="s">
        <v>647</v>
      </c>
      <c r="D17" s="100">
        <v>121120</v>
      </c>
    </row>
    <row r="18" spans="2:4">
      <c r="B18" s="100">
        <v>1103202</v>
      </c>
      <c r="C18" s="101" t="s">
        <v>647</v>
      </c>
      <c r="D18" s="100">
        <v>121116</v>
      </c>
    </row>
    <row r="19" spans="2:4">
      <c r="B19" s="100">
        <v>1103202</v>
      </c>
      <c r="C19" s="101" t="s">
        <v>647</v>
      </c>
      <c r="D19" s="100">
        <v>121117</v>
      </c>
    </row>
    <row r="20" spans="2:4">
      <c r="B20" s="100">
        <v>1103202</v>
      </c>
      <c r="C20" s="101" t="s">
        <v>647</v>
      </c>
      <c r="D20" s="100">
        <v>121118</v>
      </c>
    </row>
    <row r="21" spans="2:4">
      <c r="B21" s="98">
        <v>1103203</v>
      </c>
      <c r="C21" s="99" t="s">
        <v>648</v>
      </c>
      <c r="D21" s="98">
        <v>121128</v>
      </c>
    </row>
    <row r="22" spans="2:4">
      <c r="B22" s="100">
        <v>1103204</v>
      </c>
      <c r="C22" s="101" t="s">
        <v>649</v>
      </c>
      <c r="D22" s="100">
        <v>1112026</v>
      </c>
    </row>
    <row r="23" spans="2:4">
      <c r="B23" s="100">
        <v>1103204</v>
      </c>
      <c r="C23" s="101" t="s">
        <v>650</v>
      </c>
      <c r="D23" s="100">
        <v>121117</v>
      </c>
    </row>
    <row r="24" spans="2:4">
      <c r="B24" s="100">
        <v>1103204</v>
      </c>
      <c r="C24" s="101" t="s">
        <v>650</v>
      </c>
      <c r="D24" s="100">
        <v>121117</v>
      </c>
    </row>
    <row r="25" spans="2:4">
      <c r="B25" s="98">
        <v>1103205</v>
      </c>
      <c r="C25" s="99" t="s">
        <v>651</v>
      </c>
      <c r="D25" s="98">
        <v>121123</v>
      </c>
    </row>
    <row r="26" spans="2:4">
      <c r="B26" s="98">
        <v>1103205</v>
      </c>
      <c r="C26" s="99" t="s">
        <v>651</v>
      </c>
      <c r="D26" s="98">
        <v>121123</v>
      </c>
    </row>
    <row r="27" spans="2:4">
      <c r="B27" s="98">
        <v>1103205</v>
      </c>
      <c r="C27" s="99" t="s">
        <v>651</v>
      </c>
      <c r="D27" s="98">
        <v>121124</v>
      </c>
    </row>
    <row r="28" spans="2:4">
      <c r="B28" s="98">
        <v>1103205</v>
      </c>
      <c r="C28" s="99" t="s">
        <v>651</v>
      </c>
      <c r="D28" s="98">
        <v>121124</v>
      </c>
    </row>
    <row r="29" spans="2:4">
      <c r="B29" s="98">
        <v>1103205</v>
      </c>
      <c r="C29" s="99" t="s">
        <v>651</v>
      </c>
      <c r="D29" s="98">
        <v>121124</v>
      </c>
    </row>
    <row r="30" spans="2:4">
      <c r="B30" s="100">
        <v>1103206</v>
      </c>
      <c r="C30" s="101" t="s">
        <v>652</v>
      </c>
      <c r="D30" s="100">
        <v>121135</v>
      </c>
    </row>
    <row r="31" spans="2:4">
      <c r="B31" s="100">
        <v>1103206</v>
      </c>
      <c r="C31" s="101" t="s">
        <v>653</v>
      </c>
      <c r="D31" s="100">
        <v>121119</v>
      </c>
    </row>
    <row r="32" spans="2:4">
      <c r="B32" s="100">
        <v>1103206</v>
      </c>
      <c r="C32" s="101" t="s">
        <v>653</v>
      </c>
      <c r="D32" s="100">
        <v>121120</v>
      </c>
    </row>
    <row r="33" spans="2:4">
      <c r="B33" s="100">
        <v>1103206</v>
      </c>
      <c r="C33" s="101" t="s">
        <v>653</v>
      </c>
      <c r="D33" s="100">
        <v>121116</v>
      </c>
    </row>
    <row r="34" spans="2:4">
      <c r="B34" s="100">
        <v>1103206</v>
      </c>
      <c r="C34" s="101" t="s">
        <v>653</v>
      </c>
      <c r="D34" s="100">
        <v>121117</v>
      </c>
    </row>
    <row r="35" spans="2:4">
      <c r="B35" s="98">
        <v>1103207</v>
      </c>
      <c r="C35" s="99" t="s">
        <v>654</v>
      </c>
      <c r="D35" s="98">
        <v>1112025</v>
      </c>
    </row>
    <row r="36" spans="2:4">
      <c r="B36" s="98">
        <v>1103207</v>
      </c>
      <c r="C36" s="99" t="s">
        <v>655</v>
      </c>
      <c r="D36" s="98">
        <v>1112023</v>
      </c>
    </row>
    <row r="37" spans="2:4">
      <c r="B37" s="98">
        <v>1103207</v>
      </c>
      <c r="C37" s="99" t="s">
        <v>656</v>
      </c>
      <c r="D37" s="98">
        <v>1112024</v>
      </c>
    </row>
    <row r="38" spans="2:4">
      <c r="B38" s="100">
        <v>1103208</v>
      </c>
      <c r="C38" s="101" t="s">
        <v>654</v>
      </c>
      <c r="D38" s="100">
        <v>1112025</v>
      </c>
    </row>
    <row r="39" spans="2:4">
      <c r="B39" s="100">
        <v>1103208</v>
      </c>
      <c r="C39" s="101" t="s">
        <v>657</v>
      </c>
      <c r="D39" s="100">
        <v>121115</v>
      </c>
    </row>
    <row r="40" spans="2:4">
      <c r="B40" s="100">
        <v>1103208</v>
      </c>
      <c r="C40" s="101" t="s">
        <v>657</v>
      </c>
      <c r="D40" s="100">
        <v>121118</v>
      </c>
    </row>
    <row r="41" spans="2:4">
      <c r="B41" s="100">
        <v>1103208</v>
      </c>
      <c r="C41" s="101" t="s">
        <v>657</v>
      </c>
      <c r="D41" s="100">
        <v>121119</v>
      </c>
    </row>
    <row r="42" spans="2:4">
      <c r="B42" s="100">
        <v>1103208</v>
      </c>
      <c r="C42" s="101" t="s">
        <v>657</v>
      </c>
      <c r="D42" s="100">
        <v>121121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1:BU82"/>
  <sheetViews>
    <sheetView topLeftCell="A43" workbookViewId="0">
      <selection activeCell="B76" sqref="B76"/>
    </sheetView>
  </sheetViews>
  <sheetFormatPr defaultColWidth="9" defaultRowHeight="14"/>
  <cols>
    <col min="3" max="3" width="21.8727272727273" customWidth="1"/>
  </cols>
  <sheetData>
    <row r="11" ht="15" spans="1:73">
      <c r="A11" s="8">
        <f t="shared" ref="A11:A70" si="0">ROW()-6</f>
        <v>5</v>
      </c>
      <c r="B11" s="9">
        <v>513001</v>
      </c>
      <c r="C11" s="9" t="s">
        <v>658</v>
      </c>
      <c r="D11" s="10">
        <v>121224</v>
      </c>
      <c r="E11" s="11">
        <v>100</v>
      </c>
      <c r="F11" s="12">
        <v>2</v>
      </c>
      <c r="G11" s="10">
        <v>24</v>
      </c>
      <c r="H11" s="13"/>
      <c r="I11" s="13">
        <v>0</v>
      </c>
      <c r="J11" s="13"/>
      <c r="K11" s="13"/>
      <c r="L11" s="13"/>
      <c r="M11" s="10">
        <v>1</v>
      </c>
      <c r="N11" s="10">
        <v>10779</v>
      </c>
      <c r="O11" s="10">
        <v>1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47"/>
      <c r="AD11" s="48" t="s">
        <v>659</v>
      </c>
      <c r="AE11">
        <v>9000</v>
      </c>
      <c r="AF11" s="10">
        <v>2400</v>
      </c>
      <c r="AG11">
        <v>5750000</v>
      </c>
      <c r="AH11" s="10">
        <v>500</v>
      </c>
      <c r="AI11" s="62">
        <v>0.5</v>
      </c>
      <c r="AJ11" s="62">
        <v>0.1</v>
      </c>
      <c r="AK11" s="10">
        <v>1.3</v>
      </c>
      <c r="AL11" s="10"/>
      <c r="AM11" s="10">
        <v>1.5</v>
      </c>
      <c r="AN11" s="10"/>
      <c r="AO11" s="10">
        <v>1.3</v>
      </c>
      <c r="AP11" s="10"/>
      <c r="AQ11" s="10">
        <v>0.5</v>
      </c>
      <c r="AR11" s="13"/>
      <c r="AS11" s="13"/>
      <c r="AT11" s="13"/>
      <c r="AU11" s="13">
        <v>0.3</v>
      </c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</row>
    <row r="12" ht="15" spans="1:73">
      <c r="A12" s="8">
        <f t="shared" si="0"/>
        <v>6</v>
      </c>
      <c r="B12" s="9">
        <v>513001</v>
      </c>
      <c r="C12" s="9" t="s">
        <v>658</v>
      </c>
      <c r="D12" s="10">
        <v>121225</v>
      </c>
      <c r="E12" s="11">
        <v>100</v>
      </c>
      <c r="F12" s="12">
        <v>7</v>
      </c>
      <c r="G12" s="10">
        <v>24</v>
      </c>
      <c r="H12" s="13"/>
      <c r="I12" s="13">
        <v>0</v>
      </c>
      <c r="J12" s="13"/>
      <c r="K12" s="13"/>
      <c r="L12" s="13"/>
      <c r="M12" s="10">
        <v>1</v>
      </c>
      <c r="N12" s="10">
        <v>10780</v>
      </c>
      <c r="O12" s="10">
        <v>1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47"/>
      <c r="AD12" s="48" t="s">
        <v>660</v>
      </c>
      <c r="AE12">
        <v>9000</v>
      </c>
      <c r="AF12" s="10">
        <v>2400</v>
      </c>
      <c r="AG12">
        <v>5750000</v>
      </c>
      <c r="AH12" s="10">
        <v>500</v>
      </c>
      <c r="AI12" s="62">
        <v>0.5</v>
      </c>
      <c r="AJ12" s="62">
        <v>0.1</v>
      </c>
      <c r="AK12" s="10">
        <v>1.3</v>
      </c>
      <c r="AL12" s="10"/>
      <c r="AM12" s="10">
        <v>1.5</v>
      </c>
      <c r="AN12" s="10"/>
      <c r="AO12" s="10">
        <v>1.3</v>
      </c>
      <c r="AP12" s="10"/>
      <c r="AQ12" s="10">
        <v>0.5</v>
      </c>
      <c r="AR12" s="13"/>
      <c r="AS12" s="13"/>
      <c r="AT12" s="13"/>
      <c r="AU12" s="13">
        <v>0.3</v>
      </c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</row>
    <row r="13" s="1" customFormat="1" spans="1:73">
      <c r="A13" s="8">
        <f t="shared" si="0"/>
        <v>7</v>
      </c>
      <c r="B13" s="14">
        <v>513002</v>
      </c>
      <c r="C13" s="14" t="s">
        <v>661</v>
      </c>
      <c r="D13" s="14">
        <v>121180</v>
      </c>
      <c r="E13" s="11">
        <v>100</v>
      </c>
      <c r="F13" s="14">
        <v>5</v>
      </c>
      <c r="G13" s="14">
        <v>28</v>
      </c>
      <c r="H13" s="14"/>
      <c r="I13" s="32">
        <v>0</v>
      </c>
      <c r="J13" s="14"/>
      <c r="K13" s="14"/>
      <c r="L13" s="14"/>
      <c r="M13" s="14">
        <v>1</v>
      </c>
      <c r="N13" s="14">
        <v>10600</v>
      </c>
      <c r="O13" s="14">
        <v>1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48" t="s">
        <v>662</v>
      </c>
      <c r="AE13" s="1">
        <v>6000</v>
      </c>
      <c r="AF13" s="49">
        <v>4000</v>
      </c>
      <c r="AG13" s="1">
        <v>1339000</v>
      </c>
      <c r="AH13" s="1">
        <v>500</v>
      </c>
      <c r="AI13" s="63">
        <v>0.2</v>
      </c>
      <c r="AJ13" s="63">
        <v>0.1</v>
      </c>
      <c r="AK13" s="63">
        <v>1.3</v>
      </c>
      <c r="AL13" s="63">
        <v>0.2</v>
      </c>
      <c r="AM13" s="64">
        <v>1.5</v>
      </c>
      <c r="AN13" s="65"/>
      <c r="AO13" s="80"/>
      <c r="AP13" s="81"/>
      <c r="AQ13" s="81">
        <v>0.5</v>
      </c>
      <c r="AR13" s="64"/>
      <c r="AS13" s="64"/>
      <c r="AT13" s="63"/>
      <c r="AU13" s="82">
        <v>0.3</v>
      </c>
      <c r="AV13" s="82">
        <v>0.05</v>
      </c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</row>
    <row r="14" s="1" customFormat="1" spans="1:73">
      <c r="A14" s="8">
        <f t="shared" si="0"/>
        <v>8</v>
      </c>
      <c r="B14" s="14">
        <v>513002</v>
      </c>
      <c r="C14" s="14" t="s">
        <v>663</v>
      </c>
      <c r="D14" s="14">
        <v>121180</v>
      </c>
      <c r="E14" s="11">
        <v>100</v>
      </c>
      <c r="F14" s="14">
        <v>7</v>
      </c>
      <c r="G14" s="14">
        <v>28</v>
      </c>
      <c r="H14" s="14"/>
      <c r="I14" s="32">
        <v>0</v>
      </c>
      <c r="J14" s="14"/>
      <c r="K14" s="14"/>
      <c r="L14" s="14"/>
      <c r="M14" s="14">
        <v>1</v>
      </c>
      <c r="N14" s="14">
        <v>10600</v>
      </c>
      <c r="O14" s="14">
        <v>1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48" t="s">
        <v>662</v>
      </c>
      <c r="AE14" s="1">
        <v>6000</v>
      </c>
      <c r="AF14" s="49">
        <v>4000</v>
      </c>
      <c r="AG14" s="1">
        <v>1339000</v>
      </c>
      <c r="AH14" s="1">
        <v>500</v>
      </c>
      <c r="AI14" s="63">
        <v>0.2</v>
      </c>
      <c r="AJ14" s="63">
        <v>0.1</v>
      </c>
      <c r="AK14" s="63">
        <v>1.3</v>
      </c>
      <c r="AL14" s="63">
        <v>0.2</v>
      </c>
      <c r="AM14" s="64">
        <v>1.5</v>
      </c>
      <c r="AN14" s="65"/>
      <c r="AO14" s="80"/>
      <c r="AP14" s="81"/>
      <c r="AQ14" s="81">
        <v>0.5</v>
      </c>
      <c r="AR14" s="64"/>
      <c r="AS14" s="64"/>
      <c r="AT14" s="63"/>
      <c r="AU14" s="82">
        <v>0.3</v>
      </c>
      <c r="AV14" s="82">
        <v>0.05</v>
      </c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</row>
    <row r="15" s="1" customFormat="1" spans="1:73">
      <c r="A15" s="8">
        <f t="shared" si="0"/>
        <v>9</v>
      </c>
      <c r="B15" s="14">
        <v>513002</v>
      </c>
      <c r="C15" s="14" t="s">
        <v>663</v>
      </c>
      <c r="D15" s="14">
        <v>121180</v>
      </c>
      <c r="E15" s="11">
        <v>100</v>
      </c>
      <c r="F15" s="14">
        <v>9</v>
      </c>
      <c r="G15" s="14">
        <v>28</v>
      </c>
      <c r="H15" s="14"/>
      <c r="I15" s="32">
        <v>0</v>
      </c>
      <c r="J15" s="14"/>
      <c r="K15" s="14"/>
      <c r="L15" s="14"/>
      <c r="M15" s="14">
        <v>1</v>
      </c>
      <c r="N15" s="14">
        <v>10600</v>
      </c>
      <c r="O15" s="14">
        <v>1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48" t="s">
        <v>664</v>
      </c>
      <c r="AE15" s="1">
        <v>6000</v>
      </c>
      <c r="AF15" s="49">
        <v>4000</v>
      </c>
      <c r="AG15" s="1">
        <v>1339000</v>
      </c>
      <c r="AH15" s="1">
        <v>500</v>
      </c>
      <c r="AI15" s="63">
        <v>0.2</v>
      </c>
      <c r="AJ15" s="63">
        <v>0.1</v>
      </c>
      <c r="AK15" s="63">
        <v>1.3</v>
      </c>
      <c r="AL15" s="63">
        <v>0.2</v>
      </c>
      <c r="AM15" s="64">
        <v>1.5</v>
      </c>
      <c r="AN15" s="65"/>
      <c r="AO15" s="80"/>
      <c r="AP15" s="81"/>
      <c r="AQ15" s="81">
        <v>0.5</v>
      </c>
      <c r="AR15" s="64"/>
      <c r="AS15" s="64"/>
      <c r="AT15" s="63"/>
      <c r="AU15" s="82">
        <v>0.3</v>
      </c>
      <c r="AV15" s="82">
        <v>0.05</v>
      </c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</row>
    <row r="16" s="1" customFormat="1" spans="1:73">
      <c r="A16" s="8">
        <f t="shared" si="0"/>
        <v>10</v>
      </c>
      <c r="B16" s="11">
        <v>513003</v>
      </c>
      <c r="C16" s="1" t="s">
        <v>665</v>
      </c>
      <c r="D16" s="11">
        <v>121170</v>
      </c>
      <c r="E16" s="11">
        <v>100</v>
      </c>
      <c r="F16" s="11">
        <v>1</v>
      </c>
      <c r="G16" s="11">
        <v>28</v>
      </c>
      <c r="H16" s="11"/>
      <c r="I16" s="33">
        <v>0</v>
      </c>
      <c r="J16" s="11"/>
      <c r="K16" s="11"/>
      <c r="L16" s="11"/>
      <c r="M16" s="11">
        <v>1</v>
      </c>
      <c r="N16" s="11">
        <v>600429</v>
      </c>
      <c r="O16" s="11">
        <v>1</v>
      </c>
      <c r="P16" s="11">
        <v>25</v>
      </c>
      <c r="Q16" s="11">
        <v>600431</v>
      </c>
      <c r="R16" s="11">
        <v>1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50" t="s">
        <v>666</v>
      </c>
      <c r="AE16" s="1">
        <v>9000</v>
      </c>
      <c r="AF16" s="49">
        <v>5000</v>
      </c>
      <c r="AG16" s="1">
        <v>3410200</v>
      </c>
      <c r="AH16" s="1">
        <v>500</v>
      </c>
      <c r="AI16" s="63">
        <v>0.7</v>
      </c>
      <c r="AJ16" s="63">
        <v>0.1</v>
      </c>
      <c r="AK16" s="63">
        <v>1.3</v>
      </c>
      <c r="AL16" s="63">
        <v>0.2</v>
      </c>
      <c r="AM16" s="64">
        <v>1.5</v>
      </c>
      <c r="AN16" s="65"/>
      <c r="AO16" s="80"/>
      <c r="AP16" s="81"/>
      <c r="AQ16" s="81">
        <v>0.5</v>
      </c>
      <c r="AR16" s="64"/>
      <c r="AS16" s="64"/>
      <c r="AT16" s="63"/>
      <c r="AU16" s="82">
        <v>0.3</v>
      </c>
      <c r="AV16" s="82">
        <v>0.05</v>
      </c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</row>
    <row r="17" s="1" customFormat="1" spans="1:73">
      <c r="A17" s="8">
        <f t="shared" si="0"/>
        <v>11</v>
      </c>
      <c r="B17" s="11">
        <v>513003</v>
      </c>
      <c r="C17" s="1" t="s">
        <v>667</v>
      </c>
      <c r="D17" s="11">
        <v>121170</v>
      </c>
      <c r="E17" s="11">
        <v>100</v>
      </c>
      <c r="F17" s="11">
        <v>6</v>
      </c>
      <c r="G17" s="11">
        <v>28</v>
      </c>
      <c r="H17" s="11"/>
      <c r="I17" s="33">
        <v>0</v>
      </c>
      <c r="J17" s="11"/>
      <c r="K17" s="11"/>
      <c r="L17" s="11"/>
      <c r="M17" s="11">
        <v>1</v>
      </c>
      <c r="N17" s="11">
        <v>600429</v>
      </c>
      <c r="O17" s="11">
        <v>1</v>
      </c>
      <c r="P17" s="11">
        <v>25</v>
      </c>
      <c r="Q17" s="11">
        <v>600431</v>
      </c>
      <c r="R17" s="11">
        <v>1</v>
      </c>
      <c r="S17" s="11">
        <v>10</v>
      </c>
      <c r="T17" s="11">
        <v>600430</v>
      </c>
      <c r="U17" s="11">
        <v>1</v>
      </c>
      <c r="V17" s="11"/>
      <c r="W17" s="11"/>
      <c r="X17" s="11"/>
      <c r="Y17" s="11"/>
      <c r="Z17" s="11"/>
      <c r="AA17" s="11"/>
      <c r="AB17" s="11"/>
      <c r="AC17" s="11"/>
      <c r="AD17" s="50" t="s">
        <v>666</v>
      </c>
      <c r="AE17" s="1">
        <v>9000</v>
      </c>
      <c r="AF17" s="49">
        <v>5000</v>
      </c>
      <c r="AG17" s="1">
        <v>3410200</v>
      </c>
      <c r="AH17" s="1">
        <v>500</v>
      </c>
      <c r="AI17" s="63">
        <v>0.7</v>
      </c>
      <c r="AJ17" s="63">
        <v>0.1</v>
      </c>
      <c r="AK17" s="63">
        <v>1.3</v>
      </c>
      <c r="AL17" s="63">
        <v>0.2</v>
      </c>
      <c r="AM17" s="64">
        <v>1.5</v>
      </c>
      <c r="AN17" s="65"/>
      <c r="AO17" s="80"/>
      <c r="AP17" s="81"/>
      <c r="AQ17" s="81">
        <v>0.5</v>
      </c>
      <c r="AR17" s="64"/>
      <c r="AS17" s="64"/>
      <c r="AT17" s="63"/>
      <c r="AU17" s="82">
        <v>0.3</v>
      </c>
      <c r="AV17" s="82">
        <v>0.05</v>
      </c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</row>
    <row r="18" s="1" customFormat="1" spans="1:73">
      <c r="A18" s="8">
        <f t="shared" si="0"/>
        <v>12</v>
      </c>
      <c r="B18" s="11">
        <v>513003</v>
      </c>
      <c r="C18" s="1" t="s">
        <v>667</v>
      </c>
      <c r="D18" s="11">
        <v>121170</v>
      </c>
      <c r="E18" s="11">
        <v>100</v>
      </c>
      <c r="F18" s="11">
        <v>8</v>
      </c>
      <c r="G18" s="11">
        <v>28</v>
      </c>
      <c r="H18" s="11"/>
      <c r="I18" s="33">
        <v>0</v>
      </c>
      <c r="J18" s="11"/>
      <c r="K18" s="11"/>
      <c r="L18" s="11"/>
      <c r="M18" s="11">
        <v>1</v>
      </c>
      <c r="N18" s="11">
        <v>600429</v>
      </c>
      <c r="O18" s="11">
        <v>1</v>
      </c>
      <c r="P18" s="11">
        <v>25</v>
      </c>
      <c r="Q18" s="11">
        <v>600431</v>
      </c>
      <c r="R18" s="11">
        <v>1</v>
      </c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50" t="s">
        <v>668</v>
      </c>
      <c r="AE18" s="1">
        <v>9000</v>
      </c>
      <c r="AF18" s="49">
        <v>5000</v>
      </c>
      <c r="AG18" s="1">
        <v>3410200</v>
      </c>
      <c r="AH18" s="1">
        <v>500</v>
      </c>
      <c r="AI18" s="63">
        <v>0.7</v>
      </c>
      <c r="AJ18" s="63">
        <v>0.1</v>
      </c>
      <c r="AK18" s="63">
        <v>1.3</v>
      </c>
      <c r="AL18" s="63">
        <v>0.2</v>
      </c>
      <c r="AM18" s="64">
        <v>1.5</v>
      </c>
      <c r="AN18" s="65"/>
      <c r="AO18" s="80"/>
      <c r="AP18" s="81"/>
      <c r="AQ18" s="81">
        <v>0.5</v>
      </c>
      <c r="AR18" s="64"/>
      <c r="AS18" s="64"/>
      <c r="AT18" s="63"/>
      <c r="AU18" s="82">
        <v>0.3</v>
      </c>
      <c r="AV18" s="82">
        <v>0.05</v>
      </c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</row>
    <row r="19" s="2" customFormat="1" spans="1:73">
      <c r="A19" s="8">
        <f t="shared" si="0"/>
        <v>13</v>
      </c>
      <c r="B19" s="2">
        <v>513004</v>
      </c>
      <c r="C19" s="2" t="s">
        <v>669</v>
      </c>
      <c r="D19" s="15">
        <v>121220</v>
      </c>
      <c r="E19" s="2">
        <v>100</v>
      </c>
      <c r="F19" s="2">
        <v>1</v>
      </c>
      <c r="G19" s="2">
        <v>24</v>
      </c>
      <c r="H19" s="16"/>
      <c r="I19" s="16">
        <v>0</v>
      </c>
      <c r="J19" s="16"/>
      <c r="K19" s="16"/>
      <c r="M19" s="34">
        <v>1</v>
      </c>
      <c r="N19" s="15">
        <v>10775</v>
      </c>
      <c r="O19" s="35">
        <v>1</v>
      </c>
      <c r="P19" s="35"/>
      <c r="R19" s="35"/>
      <c r="S19" s="35"/>
      <c r="T19" s="44"/>
      <c r="U19" s="35"/>
      <c r="V19" s="16"/>
      <c r="W19" s="16"/>
      <c r="X19" s="16"/>
      <c r="Y19" s="16"/>
      <c r="Z19" s="16"/>
      <c r="AA19" s="16"/>
      <c r="AB19" s="16"/>
      <c r="AC19" s="51"/>
      <c r="AD19" s="15" t="s">
        <v>670</v>
      </c>
      <c r="AE19" s="2">
        <v>13000</v>
      </c>
      <c r="AF19" s="2">
        <v>4200</v>
      </c>
      <c r="AG19" s="2">
        <v>7000000</v>
      </c>
      <c r="AH19" s="2">
        <v>500</v>
      </c>
      <c r="AI19" s="2">
        <v>0.5</v>
      </c>
      <c r="AJ19" s="2">
        <v>0.1</v>
      </c>
      <c r="AK19" s="2">
        <v>1.3</v>
      </c>
      <c r="AM19" s="34">
        <v>1.5</v>
      </c>
      <c r="AN19" s="34"/>
      <c r="AO19" s="2">
        <v>1.3</v>
      </c>
      <c r="AQ19" s="34">
        <v>0.5</v>
      </c>
      <c r="AS19" s="16"/>
      <c r="AT19" s="16"/>
      <c r="AU19" s="2">
        <v>0.3</v>
      </c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2" t="s">
        <v>671</v>
      </c>
    </row>
    <row r="20" s="2" customFormat="1" spans="1:73">
      <c r="A20" s="8">
        <f t="shared" si="0"/>
        <v>14</v>
      </c>
      <c r="B20" s="2">
        <v>513004</v>
      </c>
      <c r="C20" s="2" t="s">
        <v>669</v>
      </c>
      <c r="D20" s="15">
        <v>121220</v>
      </c>
      <c r="E20" s="2">
        <v>100</v>
      </c>
      <c r="F20" s="16">
        <v>3</v>
      </c>
      <c r="G20" s="2">
        <v>24</v>
      </c>
      <c r="H20" s="16"/>
      <c r="I20" s="16">
        <v>0</v>
      </c>
      <c r="J20" s="16"/>
      <c r="K20" s="16"/>
      <c r="M20" s="34">
        <v>1</v>
      </c>
      <c r="N20" s="15">
        <v>10775</v>
      </c>
      <c r="O20" s="35">
        <v>1</v>
      </c>
      <c r="P20" s="35"/>
      <c r="R20" s="35"/>
      <c r="S20" s="35"/>
      <c r="T20" s="44"/>
      <c r="U20" s="35"/>
      <c r="V20" s="16"/>
      <c r="W20" s="16"/>
      <c r="X20" s="16"/>
      <c r="Y20" s="16"/>
      <c r="Z20" s="16"/>
      <c r="AA20" s="16"/>
      <c r="AB20" s="16"/>
      <c r="AC20" s="51"/>
      <c r="AD20" s="15" t="s">
        <v>670</v>
      </c>
      <c r="AE20" s="2">
        <v>13000</v>
      </c>
      <c r="AF20" s="2">
        <v>4200</v>
      </c>
      <c r="AG20" s="2">
        <v>7000000</v>
      </c>
      <c r="AH20" s="2">
        <v>500</v>
      </c>
      <c r="AI20" s="2">
        <v>0.5</v>
      </c>
      <c r="AJ20" s="2">
        <v>0.1</v>
      </c>
      <c r="AK20" s="2">
        <v>1.3</v>
      </c>
      <c r="AM20" s="34">
        <v>1.5</v>
      </c>
      <c r="AN20" s="34"/>
      <c r="AO20" s="2">
        <v>1.3</v>
      </c>
      <c r="AQ20" s="34">
        <v>0.5</v>
      </c>
      <c r="AS20" s="16"/>
      <c r="AT20" s="16"/>
      <c r="AU20" s="2">
        <v>0.3</v>
      </c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2" t="s">
        <v>671</v>
      </c>
    </row>
    <row r="21" s="2" customFormat="1" spans="1:73">
      <c r="A21" s="8">
        <f t="shared" si="0"/>
        <v>15</v>
      </c>
      <c r="B21" s="2">
        <v>513004</v>
      </c>
      <c r="C21" s="2" t="s">
        <v>669</v>
      </c>
      <c r="D21" s="15">
        <v>121221</v>
      </c>
      <c r="E21" s="2">
        <v>100</v>
      </c>
      <c r="F21" s="2">
        <v>5</v>
      </c>
      <c r="G21" s="2">
        <v>24</v>
      </c>
      <c r="H21" s="16"/>
      <c r="I21" s="16">
        <v>0</v>
      </c>
      <c r="J21" s="16"/>
      <c r="K21" s="16"/>
      <c r="M21" s="34">
        <v>1</v>
      </c>
      <c r="N21" s="15">
        <v>10776</v>
      </c>
      <c r="O21" s="35">
        <v>1</v>
      </c>
      <c r="P21" s="35"/>
      <c r="Q21" s="44"/>
      <c r="R21" s="35"/>
      <c r="S21" s="35"/>
      <c r="T21" s="44"/>
      <c r="U21" s="35"/>
      <c r="V21" s="16"/>
      <c r="W21" s="16"/>
      <c r="X21" s="16"/>
      <c r="Y21" s="16"/>
      <c r="Z21" s="16"/>
      <c r="AA21" s="16"/>
      <c r="AB21" s="16"/>
      <c r="AC21" s="51"/>
      <c r="AD21" s="15" t="s">
        <v>670</v>
      </c>
      <c r="AE21" s="2">
        <v>13000</v>
      </c>
      <c r="AF21" s="2">
        <v>4200</v>
      </c>
      <c r="AG21" s="2">
        <v>7000000</v>
      </c>
      <c r="AH21" s="2">
        <v>500</v>
      </c>
      <c r="AI21" s="2">
        <v>0.5</v>
      </c>
      <c r="AJ21" s="2">
        <v>0.1</v>
      </c>
      <c r="AK21" s="2">
        <v>1.3</v>
      </c>
      <c r="AM21" s="34">
        <v>1.5</v>
      </c>
      <c r="AN21" s="34"/>
      <c r="AO21" s="2">
        <v>1.3</v>
      </c>
      <c r="AQ21" s="34">
        <v>0.5</v>
      </c>
      <c r="AS21" s="16"/>
      <c r="AT21" s="16"/>
      <c r="AU21" s="2">
        <v>0.3</v>
      </c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</row>
    <row r="22" s="2" customFormat="1" spans="1:73">
      <c r="A22" s="8">
        <f t="shared" si="0"/>
        <v>16</v>
      </c>
      <c r="B22" s="2">
        <v>513004</v>
      </c>
      <c r="C22" s="2" t="s">
        <v>669</v>
      </c>
      <c r="D22" s="15">
        <v>121221</v>
      </c>
      <c r="E22" s="2">
        <v>100</v>
      </c>
      <c r="F22" s="2">
        <v>7</v>
      </c>
      <c r="G22" s="2">
        <v>24</v>
      </c>
      <c r="H22" s="16"/>
      <c r="I22" s="16">
        <v>0</v>
      </c>
      <c r="J22" s="16"/>
      <c r="K22" s="16"/>
      <c r="M22" s="34">
        <v>1</v>
      </c>
      <c r="N22" s="15">
        <v>10776</v>
      </c>
      <c r="O22" s="35">
        <v>1</v>
      </c>
      <c r="P22" s="35"/>
      <c r="Q22" s="44"/>
      <c r="R22" s="35"/>
      <c r="S22" s="35"/>
      <c r="T22" s="44"/>
      <c r="U22" s="35"/>
      <c r="V22" s="16"/>
      <c r="W22" s="16"/>
      <c r="X22" s="16"/>
      <c r="Y22" s="16"/>
      <c r="Z22" s="16"/>
      <c r="AA22" s="16"/>
      <c r="AB22" s="16"/>
      <c r="AC22" s="51"/>
      <c r="AD22" s="15" t="s">
        <v>670</v>
      </c>
      <c r="AE22" s="2">
        <v>13000</v>
      </c>
      <c r="AF22" s="2">
        <v>4200</v>
      </c>
      <c r="AG22" s="2">
        <v>7000000</v>
      </c>
      <c r="AH22" s="2">
        <v>500</v>
      </c>
      <c r="AI22" s="2">
        <v>0.5</v>
      </c>
      <c r="AJ22" s="2">
        <v>0.1</v>
      </c>
      <c r="AK22" s="2">
        <v>1.3</v>
      </c>
      <c r="AM22" s="34">
        <v>1.5</v>
      </c>
      <c r="AN22" s="34"/>
      <c r="AO22" s="2">
        <v>1.3</v>
      </c>
      <c r="AQ22" s="34">
        <v>0.5</v>
      </c>
      <c r="AS22" s="16"/>
      <c r="AT22" s="16"/>
      <c r="AU22" s="2">
        <v>0.3</v>
      </c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</row>
    <row r="23" s="2" customFormat="1" spans="1:73">
      <c r="A23" s="8">
        <f t="shared" si="0"/>
        <v>17</v>
      </c>
      <c r="B23" s="2">
        <v>513004</v>
      </c>
      <c r="C23" s="2" t="s">
        <v>669</v>
      </c>
      <c r="D23" s="15">
        <v>121221</v>
      </c>
      <c r="E23" s="2">
        <v>100</v>
      </c>
      <c r="F23" s="2">
        <v>9</v>
      </c>
      <c r="G23" s="2">
        <v>24</v>
      </c>
      <c r="H23" s="16"/>
      <c r="I23" s="16">
        <v>0</v>
      </c>
      <c r="J23" s="16"/>
      <c r="K23" s="16"/>
      <c r="M23" s="34">
        <v>1</v>
      </c>
      <c r="N23" s="15">
        <v>10776</v>
      </c>
      <c r="O23" s="35">
        <v>1</v>
      </c>
      <c r="P23" s="35"/>
      <c r="Q23" s="44"/>
      <c r="R23" s="35"/>
      <c r="S23" s="35"/>
      <c r="T23" s="44"/>
      <c r="U23" s="35"/>
      <c r="V23" s="16"/>
      <c r="W23" s="16"/>
      <c r="X23" s="16"/>
      <c r="Y23" s="16"/>
      <c r="Z23" s="16"/>
      <c r="AA23" s="16"/>
      <c r="AB23" s="16"/>
      <c r="AC23" s="51"/>
      <c r="AD23" s="15" t="s">
        <v>670</v>
      </c>
      <c r="AE23" s="2">
        <v>13000</v>
      </c>
      <c r="AF23" s="2">
        <v>4200</v>
      </c>
      <c r="AG23" s="2">
        <v>7000000</v>
      </c>
      <c r="AH23" s="2">
        <v>500</v>
      </c>
      <c r="AI23" s="2">
        <v>0.5</v>
      </c>
      <c r="AJ23" s="2">
        <v>0.1</v>
      </c>
      <c r="AK23" s="2">
        <v>1.3</v>
      </c>
      <c r="AM23" s="34">
        <v>1.5</v>
      </c>
      <c r="AN23" s="34"/>
      <c r="AO23" s="2">
        <v>1.3</v>
      </c>
      <c r="AQ23" s="34">
        <v>0.5</v>
      </c>
      <c r="AS23" s="16"/>
      <c r="AT23" s="16"/>
      <c r="AU23" s="2">
        <v>0.3</v>
      </c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</row>
    <row r="24" s="1" customFormat="1" spans="1:73">
      <c r="A24" s="8">
        <f t="shared" si="0"/>
        <v>18</v>
      </c>
      <c r="B24" s="11">
        <v>513005</v>
      </c>
      <c r="C24" s="1" t="s">
        <v>672</v>
      </c>
      <c r="D24" s="11">
        <v>121175</v>
      </c>
      <c r="E24" s="11">
        <v>100</v>
      </c>
      <c r="F24" s="11">
        <v>2</v>
      </c>
      <c r="G24" s="11">
        <v>28</v>
      </c>
      <c r="H24" s="11"/>
      <c r="I24" s="33">
        <v>0</v>
      </c>
      <c r="J24" s="11"/>
      <c r="K24" s="11"/>
      <c r="L24" s="11"/>
      <c r="M24" s="11">
        <v>1</v>
      </c>
      <c r="N24" s="11">
        <v>600432</v>
      </c>
      <c r="O24" s="11">
        <v>1</v>
      </c>
      <c r="P24" s="11">
        <v>25</v>
      </c>
      <c r="Q24" s="11">
        <v>600433</v>
      </c>
      <c r="R24" s="11">
        <v>1</v>
      </c>
      <c r="S24" s="11">
        <v>10</v>
      </c>
      <c r="T24" s="11">
        <v>600434</v>
      </c>
      <c r="U24" s="11">
        <v>1</v>
      </c>
      <c r="V24" s="11">
        <v>10</v>
      </c>
      <c r="W24" s="11">
        <v>600435</v>
      </c>
      <c r="X24" s="11">
        <v>1</v>
      </c>
      <c r="Y24" s="11">
        <v>10</v>
      </c>
      <c r="Z24" s="11">
        <v>600436</v>
      </c>
      <c r="AA24" s="11">
        <v>1</v>
      </c>
      <c r="AB24" s="11"/>
      <c r="AC24" s="11"/>
      <c r="AD24" s="50" t="s">
        <v>673</v>
      </c>
      <c r="AE24" s="1">
        <v>15000</v>
      </c>
      <c r="AF24" s="52">
        <v>7000</v>
      </c>
      <c r="AG24" s="1">
        <v>30356000</v>
      </c>
      <c r="AH24" s="1">
        <v>600</v>
      </c>
      <c r="AI24" s="62">
        <v>0.5</v>
      </c>
      <c r="AJ24" s="62">
        <v>0.1</v>
      </c>
      <c r="AK24" s="62">
        <v>1.5</v>
      </c>
      <c r="AL24" s="62">
        <v>0</v>
      </c>
      <c r="AM24" s="66">
        <v>1.5</v>
      </c>
      <c r="AN24" s="67"/>
      <c r="AO24" s="83"/>
      <c r="AP24" s="84">
        <v>0.8</v>
      </c>
      <c r="AQ24" s="84">
        <v>0.5</v>
      </c>
      <c r="AR24" s="66"/>
      <c r="AS24" s="66"/>
      <c r="AT24" s="62"/>
      <c r="AU24" s="82">
        <v>0.3</v>
      </c>
      <c r="AV24" s="85">
        <v>0.05</v>
      </c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 t="s">
        <v>674</v>
      </c>
    </row>
    <row r="25" s="1" customFormat="1" spans="1:73">
      <c r="A25" s="8">
        <f t="shared" si="0"/>
        <v>19</v>
      </c>
      <c r="B25" s="11">
        <v>513005</v>
      </c>
      <c r="C25" s="1" t="s">
        <v>675</v>
      </c>
      <c r="D25" s="11">
        <v>121177</v>
      </c>
      <c r="E25" s="11">
        <v>100</v>
      </c>
      <c r="F25" s="11">
        <v>5</v>
      </c>
      <c r="G25" s="11">
        <v>28</v>
      </c>
      <c r="H25" s="11"/>
      <c r="I25" s="33">
        <v>0</v>
      </c>
      <c r="J25" s="11"/>
      <c r="K25" s="11"/>
      <c r="L25" s="11"/>
      <c r="M25" s="11">
        <v>1</v>
      </c>
      <c r="N25" s="11">
        <v>600511</v>
      </c>
      <c r="O25" s="11">
        <v>1</v>
      </c>
      <c r="P25" s="11">
        <v>10</v>
      </c>
      <c r="Q25" s="11">
        <v>600513</v>
      </c>
      <c r="R25" s="11">
        <v>1</v>
      </c>
      <c r="S25" s="11">
        <v>10</v>
      </c>
      <c r="T25" s="11">
        <v>600514</v>
      </c>
      <c r="U25" s="11">
        <v>1</v>
      </c>
      <c r="V25" s="11"/>
      <c r="W25" s="11"/>
      <c r="X25" s="11"/>
      <c r="Y25" s="11"/>
      <c r="Z25" s="11"/>
      <c r="AA25" s="11"/>
      <c r="AB25" s="11"/>
      <c r="AC25" s="11"/>
      <c r="AD25" s="50" t="s">
        <v>673</v>
      </c>
      <c r="AE25" s="1">
        <v>15000</v>
      </c>
      <c r="AF25" s="52">
        <v>7000</v>
      </c>
      <c r="AG25" s="1">
        <v>30356000</v>
      </c>
      <c r="AH25" s="1">
        <v>750</v>
      </c>
      <c r="AI25" s="62">
        <v>0.5</v>
      </c>
      <c r="AJ25" s="62">
        <v>0.1</v>
      </c>
      <c r="AK25" s="62">
        <v>1.5</v>
      </c>
      <c r="AL25" s="62">
        <v>0</v>
      </c>
      <c r="AM25" s="66">
        <v>1.5</v>
      </c>
      <c r="AN25" s="67"/>
      <c r="AO25" s="83"/>
      <c r="AP25" s="84">
        <v>0.8</v>
      </c>
      <c r="AQ25" s="84">
        <v>0.5</v>
      </c>
      <c r="AR25" s="66"/>
      <c r="AS25" s="66"/>
      <c r="AT25" s="62"/>
      <c r="AU25" s="85">
        <v>0.5</v>
      </c>
      <c r="AV25" s="85">
        <v>0.05</v>
      </c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 t="s">
        <v>676</v>
      </c>
    </row>
    <row r="26" s="3" customFormat="1" ht="15" spans="1:73">
      <c r="A26" s="17">
        <f t="shared" si="0"/>
        <v>20</v>
      </c>
      <c r="B26" s="18">
        <f>B11+1000</f>
        <v>514001</v>
      </c>
      <c r="C26" s="18" t="s">
        <v>658</v>
      </c>
      <c r="D26" s="19">
        <v>121224</v>
      </c>
      <c r="E26" s="20">
        <v>100</v>
      </c>
      <c r="F26" s="21">
        <v>2</v>
      </c>
      <c r="G26" s="19">
        <v>24</v>
      </c>
      <c r="H26" s="22"/>
      <c r="I26" s="22">
        <v>0</v>
      </c>
      <c r="J26" s="22"/>
      <c r="K26" s="22"/>
      <c r="L26" s="22"/>
      <c r="M26" s="19">
        <v>1</v>
      </c>
      <c r="N26" s="19">
        <v>10779</v>
      </c>
      <c r="O26" s="19">
        <v>1</v>
      </c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53"/>
      <c r="AD26" s="54" t="s">
        <v>659</v>
      </c>
      <c r="AE26" s="3">
        <v>9000</v>
      </c>
      <c r="AF26" s="19">
        <v>2400</v>
      </c>
      <c r="AG26" s="3">
        <v>5750000</v>
      </c>
      <c r="AH26" s="19">
        <v>500</v>
      </c>
      <c r="AI26" s="68">
        <v>0.5</v>
      </c>
      <c r="AJ26" s="68">
        <v>0.1</v>
      </c>
      <c r="AK26" s="19">
        <v>1.3</v>
      </c>
      <c r="AL26" s="19"/>
      <c r="AM26" s="19">
        <v>1.5</v>
      </c>
      <c r="AN26" s="19"/>
      <c r="AO26" s="19">
        <v>1.3</v>
      </c>
      <c r="AP26" s="19"/>
      <c r="AQ26" s="19">
        <v>0.5</v>
      </c>
      <c r="AR26" s="22"/>
      <c r="AS26" s="22"/>
      <c r="AT26" s="22"/>
      <c r="AU26" s="22">
        <v>0.3</v>
      </c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</row>
    <row r="27" s="3" customFormat="1" ht="15" spans="1:73">
      <c r="A27" s="17">
        <f t="shared" si="0"/>
        <v>21</v>
      </c>
      <c r="B27" s="18">
        <f t="shared" ref="B27:B40" si="1">B12+1000</f>
        <v>514001</v>
      </c>
      <c r="C27" s="18" t="s">
        <v>658</v>
      </c>
      <c r="D27" s="19">
        <v>121225</v>
      </c>
      <c r="E27" s="20">
        <v>100</v>
      </c>
      <c r="F27" s="21">
        <v>7</v>
      </c>
      <c r="G27" s="19">
        <v>24</v>
      </c>
      <c r="H27" s="22"/>
      <c r="I27" s="22">
        <v>0</v>
      </c>
      <c r="J27" s="22"/>
      <c r="K27" s="22"/>
      <c r="L27" s="22"/>
      <c r="M27" s="19">
        <v>1</v>
      </c>
      <c r="N27" s="19">
        <v>10780</v>
      </c>
      <c r="O27" s="19">
        <v>1</v>
      </c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53"/>
      <c r="AD27" s="54" t="s">
        <v>660</v>
      </c>
      <c r="AE27" s="3">
        <v>9000</v>
      </c>
      <c r="AF27" s="19">
        <v>2400</v>
      </c>
      <c r="AG27" s="3">
        <v>5750000</v>
      </c>
      <c r="AH27" s="19">
        <v>500</v>
      </c>
      <c r="AI27" s="68">
        <v>0.5</v>
      </c>
      <c r="AJ27" s="68">
        <v>0.1</v>
      </c>
      <c r="AK27" s="19">
        <v>1.3</v>
      </c>
      <c r="AL27" s="19"/>
      <c r="AM27" s="19">
        <v>1.5</v>
      </c>
      <c r="AN27" s="19"/>
      <c r="AO27" s="19">
        <v>1.3</v>
      </c>
      <c r="AP27" s="19"/>
      <c r="AQ27" s="19">
        <v>0.5</v>
      </c>
      <c r="AR27" s="22"/>
      <c r="AS27" s="22"/>
      <c r="AT27" s="22"/>
      <c r="AU27" s="22">
        <v>0.3</v>
      </c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</row>
    <row r="28" s="4" customFormat="1" spans="1:73">
      <c r="A28" s="17">
        <f t="shared" si="0"/>
        <v>22</v>
      </c>
      <c r="B28" s="18">
        <f t="shared" si="1"/>
        <v>514002</v>
      </c>
      <c r="C28" s="23" t="s">
        <v>661</v>
      </c>
      <c r="D28" s="23">
        <v>121180</v>
      </c>
      <c r="E28" s="20">
        <v>100</v>
      </c>
      <c r="F28" s="23">
        <v>5</v>
      </c>
      <c r="G28" s="23">
        <v>28</v>
      </c>
      <c r="H28" s="23"/>
      <c r="I28" s="36">
        <v>0</v>
      </c>
      <c r="J28" s="23"/>
      <c r="K28" s="23"/>
      <c r="L28" s="23"/>
      <c r="M28" s="23">
        <v>1</v>
      </c>
      <c r="N28" s="23">
        <v>10600</v>
      </c>
      <c r="O28" s="23">
        <v>1</v>
      </c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54" t="s">
        <v>662</v>
      </c>
      <c r="AE28" s="4">
        <v>6000</v>
      </c>
      <c r="AF28" s="55">
        <v>4000</v>
      </c>
      <c r="AG28" s="4">
        <v>1339000</v>
      </c>
      <c r="AH28" s="4">
        <v>500</v>
      </c>
      <c r="AI28" s="69">
        <v>0.2</v>
      </c>
      <c r="AJ28" s="69">
        <v>0.1</v>
      </c>
      <c r="AK28" s="69">
        <v>1.3</v>
      </c>
      <c r="AL28" s="69">
        <v>0.2</v>
      </c>
      <c r="AM28" s="70">
        <v>1.5</v>
      </c>
      <c r="AN28" s="71"/>
      <c r="AO28" s="80"/>
      <c r="AP28" s="80"/>
      <c r="AQ28" s="80">
        <v>0.5</v>
      </c>
      <c r="AR28" s="70"/>
      <c r="AS28" s="70"/>
      <c r="AT28" s="69"/>
      <c r="AU28" s="86">
        <v>0.3</v>
      </c>
      <c r="AV28" s="86">
        <v>0.05</v>
      </c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</row>
    <row r="29" s="4" customFormat="1" spans="1:73">
      <c r="A29" s="17">
        <f t="shared" si="0"/>
        <v>23</v>
      </c>
      <c r="B29" s="18">
        <f t="shared" si="1"/>
        <v>514002</v>
      </c>
      <c r="C29" s="23" t="s">
        <v>663</v>
      </c>
      <c r="D29" s="23">
        <v>121180</v>
      </c>
      <c r="E29" s="20">
        <v>100</v>
      </c>
      <c r="F29" s="23">
        <v>7</v>
      </c>
      <c r="G29" s="23">
        <v>28</v>
      </c>
      <c r="H29" s="23"/>
      <c r="I29" s="36">
        <v>0</v>
      </c>
      <c r="J29" s="23"/>
      <c r="K29" s="23"/>
      <c r="L29" s="23"/>
      <c r="M29" s="23">
        <v>1</v>
      </c>
      <c r="N29" s="23">
        <v>10600</v>
      </c>
      <c r="O29" s="23">
        <v>1</v>
      </c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54" t="s">
        <v>662</v>
      </c>
      <c r="AE29" s="4">
        <v>6000</v>
      </c>
      <c r="AF29" s="55">
        <v>4000</v>
      </c>
      <c r="AG29" s="4">
        <v>1339000</v>
      </c>
      <c r="AH29" s="4">
        <v>500</v>
      </c>
      <c r="AI29" s="69">
        <v>0.2</v>
      </c>
      <c r="AJ29" s="69">
        <v>0.1</v>
      </c>
      <c r="AK29" s="69">
        <v>1.3</v>
      </c>
      <c r="AL29" s="69">
        <v>0.2</v>
      </c>
      <c r="AM29" s="70">
        <v>1.5</v>
      </c>
      <c r="AN29" s="71"/>
      <c r="AO29" s="80"/>
      <c r="AP29" s="80"/>
      <c r="AQ29" s="80">
        <v>0.5</v>
      </c>
      <c r="AR29" s="70"/>
      <c r="AS29" s="70"/>
      <c r="AT29" s="69"/>
      <c r="AU29" s="86">
        <v>0.3</v>
      </c>
      <c r="AV29" s="86">
        <v>0.05</v>
      </c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</row>
    <row r="30" s="4" customFormat="1" spans="1:73">
      <c r="A30" s="17">
        <f t="shared" si="0"/>
        <v>24</v>
      </c>
      <c r="B30" s="18">
        <f t="shared" si="1"/>
        <v>514002</v>
      </c>
      <c r="C30" s="23" t="s">
        <v>663</v>
      </c>
      <c r="D30" s="23">
        <v>121180</v>
      </c>
      <c r="E30" s="20">
        <v>100</v>
      </c>
      <c r="F30" s="23">
        <v>9</v>
      </c>
      <c r="G30" s="23">
        <v>28</v>
      </c>
      <c r="H30" s="23"/>
      <c r="I30" s="36">
        <v>0</v>
      </c>
      <c r="J30" s="23"/>
      <c r="K30" s="23"/>
      <c r="L30" s="23"/>
      <c r="M30" s="23">
        <v>1</v>
      </c>
      <c r="N30" s="23">
        <v>10600</v>
      </c>
      <c r="O30" s="23">
        <v>1</v>
      </c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54" t="s">
        <v>664</v>
      </c>
      <c r="AE30" s="4">
        <v>6000</v>
      </c>
      <c r="AF30" s="55">
        <v>4000</v>
      </c>
      <c r="AG30" s="4">
        <v>1339000</v>
      </c>
      <c r="AH30" s="4">
        <v>500</v>
      </c>
      <c r="AI30" s="69">
        <v>0.2</v>
      </c>
      <c r="AJ30" s="69">
        <v>0.1</v>
      </c>
      <c r="AK30" s="69">
        <v>1.3</v>
      </c>
      <c r="AL30" s="69">
        <v>0.2</v>
      </c>
      <c r="AM30" s="70">
        <v>1.5</v>
      </c>
      <c r="AN30" s="71"/>
      <c r="AO30" s="80"/>
      <c r="AP30" s="80"/>
      <c r="AQ30" s="80">
        <v>0.5</v>
      </c>
      <c r="AR30" s="70"/>
      <c r="AS30" s="70"/>
      <c r="AT30" s="69"/>
      <c r="AU30" s="86">
        <v>0.3</v>
      </c>
      <c r="AV30" s="86">
        <v>0.05</v>
      </c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</row>
    <row r="31" s="4" customFormat="1" spans="1:73">
      <c r="A31" s="17">
        <f t="shared" si="0"/>
        <v>25</v>
      </c>
      <c r="B31" s="18">
        <f t="shared" si="1"/>
        <v>514003</v>
      </c>
      <c r="C31" s="4" t="s">
        <v>665</v>
      </c>
      <c r="D31" s="20">
        <v>121170</v>
      </c>
      <c r="E31" s="20">
        <v>100</v>
      </c>
      <c r="F31" s="20">
        <v>1</v>
      </c>
      <c r="G31" s="20">
        <v>28</v>
      </c>
      <c r="H31" s="20"/>
      <c r="I31" s="37">
        <v>0</v>
      </c>
      <c r="J31" s="20"/>
      <c r="K31" s="20"/>
      <c r="L31" s="20"/>
      <c r="M31" s="20">
        <v>1</v>
      </c>
      <c r="N31" s="20">
        <v>600429</v>
      </c>
      <c r="O31" s="20">
        <v>1</v>
      </c>
      <c r="P31" s="20">
        <v>25</v>
      </c>
      <c r="Q31" s="20">
        <v>600431</v>
      </c>
      <c r="R31" s="20">
        <v>1</v>
      </c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56" t="s">
        <v>666</v>
      </c>
      <c r="AE31" s="4">
        <v>9000</v>
      </c>
      <c r="AF31" s="55">
        <v>5000</v>
      </c>
      <c r="AG31" s="4">
        <v>3410200</v>
      </c>
      <c r="AH31" s="4">
        <v>500</v>
      </c>
      <c r="AI31" s="69">
        <v>0.7</v>
      </c>
      <c r="AJ31" s="69">
        <v>0.1</v>
      </c>
      <c r="AK31" s="69">
        <v>1.3</v>
      </c>
      <c r="AL31" s="69">
        <v>0.2</v>
      </c>
      <c r="AM31" s="70">
        <v>1.5</v>
      </c>
      <c r="AN31" s="71"/>
      <c r="AO31" s="80"/>
      <c r="AP31" s="80"/>
      <c r="AQ31" s="80">
        <v>0.5</v>
      </c>
      <c r="AR31" s="70"/>
      <c r="AS31" s="70"/>
      <c r="AT31" s="69"/>
      <c r="AU31" s="86">
        <v>0.3</v>
      </c>
      <c r="AV31" s="86">
        <v>0.05</v>
      </c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</row>
    <row r="32" s="4" customFormat="1" spans="1:73">
      <c r="A32" s="17">
        <f t="shared" si="0"/>
        <v>26</v>
      </c>
      <c r="B32" s="18">
        <f t="shared" si="1"/>
        <v>514003</v>
      </c>
      <c r="C32" s="4" t="s">
        <v>667</v>
      </c>
      <c r="D32" s="20">
        <v>121170</v>
      </c>
      <c r="E32" s="20">
        <v>100</v>
      </c>
      <c r="F32" s="20">
        <v>6</v>
      </c>
      <c r="G32" s="20">
        <v>28</v>
      </c>
      <c r="H32" s="20"/>
      <c r="I32" s="37">
        <v>0</v>
      </c>
      <c r="J32" s="20"/>
      <c r="K32" s="20"/>
      <c r="L32" s="20"/>
      <c r="M32" s="20">
        <v>1</v>
      </c>
      <c r="N32" s="20">
        <v>600429</v>
      </c>
      <c r="O32" s="20">
        <v>1</v>
      </c>
      <c r="P32" s="20">
        <v>25</v>
      </c>
      <c r="Q32" s="20">
        <v>600431</v>
      </c>
      <c r="R32" s="20">
        <v>1</v>
      </c>
      <c r="S32" s="20">
        <v>10</v>
      </c>
      <c r="T32" s="20">
        <v>600430</v>
      </c>
      <c r="U32" s="20">
        <v>1</v>
      </c>
      <c r="V32" s="20"/>
      <c r="W32" s="20"/>
      <c r="X32" s="20"/>
      <c r="Y32" s="20"/>
      <c r="Z32" s="20"/>
      <c r="AA32" s="20"/>
      <c r="AB32" s="20"/>
      <c r="AC32" s="20"/>
      <c r="AD32" s="56" t="s">
        <v>666</v>
      </c>
      <c r="AE32" s="4">
        <v>9000</v>
      </c>
      <c r="AF32" s="55">
        <v>5000</v>
      </c>
      <c r="AG32" s="4">
        <v>3410200</v>
      </c>
      <c r="AH32" s="4">
        <v>500</v>
      </c>
      <c r="AI32" s="69">
        <v>0.7</v>
      </c>
      <c r="AJ32" s="69">
        <v>0.1</v>
      </c>
      <c r="AK32" s="69">
        <v>1.3</v>
      </c>
      <c r="AL32" s="69">
        <v>0.2</v>
      </c>
      <c r="AM32" s="70">
        <v>1.5</v>
      </c>
      <c r="AN32" s="71"/>
      <c r="AO32" s="80"/>
      <c r="AP32" s="80"/>
      <c r="AQ32" s="80">
        <v>0.5</v>
      </c>
      <c r="AR32" s="70"/>
      <c r="AS32" s="70"/>
      <c r="AT32" s="69"/>
      <c r="AU32" s="86">
        <v>0.3</v>
      </c>
      <c r="AV32" s="86">
        <v>0.05</v>
      </c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</row>
    <row r="33" s="4" customFormat="1" spans="1:73">
      <c r="A33" s="17">
        <f t="shared" si="0"/>
        <v>27</v>
      </c>
      <c r="B33" s="18">
        <f t="shared" si="1"/>
        <v>514003</v>
      </c>
      <c r="C33" s="4" t="s">
        <v>667</v>
      </c>
      <c r="D33" s="20">
        <v>121170</v>
      </c>
      <c r="E33" s="20">
        <v>100</v>
      </c>
      <c r="F33" s="20">
        <v>8</v>
      </c>
      <c r="G33" s="20">
        <v>28</v>
      </c>
      <c r="H33" s="20"/>
      <c r="I33" s="37">
        <v>0</v>
      </c>
      <c r="J33" s="20"/>
      <c r="K33" s="20"/>
      <c r="L33" s="20"/>
      <c r="M33" s="20">
        <v>1</v>
      </c>
      <c r="N33" s="20">
        <v>600429</v>
      </c>
      <c r="O33" s="20">
        <v>1</v>
      </c>
      <c r="P33" s="20">
        <v>25</v>
      </c>
      <c r="Q33" s="20">
        <v>600431</v>
      </c>
      <c r="R33" s="20">
        <v>1</v>
      </c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56" t="s">
        <v>668</v>
      </c>
      <c r="AE33" s="4">
        <v>9000</v>
      </c>
      <c r="AF33" s="55">
        <v>5000</v>
      </c>
      <c r="AG33" s="4">
        <v>3410200</v>
      </c>
      <c r="AH33" s="4">
        <v>500</v>
      </c>
      <c r="AI33" s="69">
        <v>0.7</v>
      </c>
      <c r="AJ33" s="69">
        <v>0.1</v>
      </c>
      <c r="AK33" s="69">
        <v>1.3</v>
      </c>
      <c r="AL33" s="69">
        <v>0.2</v>
      </c>
      <c r="AM33" s="70">
        <v>1.5</v>
      </c>
      <c r="AN33" s="71"/>
      <c r="AO33" s="80"/>
      <c r="AP33" s="80"/>
      <c r="AQ33" s="80">
        <v>0.5</v>
      </c>
      <c r="AR33" s="70"/>
      <c r="AS33" s="70"/>
      <c r="AT33" s="69"/>
      <c r="AU33" s="86">
        <v>0.3</v>
      </c>
      <c r="AV33" s="86">
        <v>0.05</v>
      </c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</row>
    <row r="34" s="5" customFormat="1" spans="1:73">
      <c r="A34" s="17">
        <f t="shared" si="0"/>
        <v>28</v>
      </c>
      <c r="B34" s="18">
        <f t="shared" si="1"/>
        <v>514004</v>
      </c>
      <c r="C34" s="5" t="s">
        <v>669</v>
      </c>
      <c r="D34" s="24">
        <v>121220</v>
      </c>
      <c r="E34" s="5">
        <v>100</v>
      </c>
      <c r="F34" s="5">
        <v>1</v>
      </c>
      <c r="G34" s="5">
        <v>24</v>
      </c>
      <c r="H34" s="25"/>
      <c r="I34" s="25">
        <v>0</v>
      </c>
      <c r="J34" s="25"/>
      <c r="K34" s="25"/>
      <c r="M34" s="38">
        <v>1</v>
      </c>
      <c r="N34" s="24">
        <v>10775</v>
      </c>
      <c r="O34" s="39">
        <v>1</v>
      </c>
      <c r="P34" s="39"/>
      <c r="R34" s="39"/>
      <c r="S34" s="39"/>
      <c r="T34" s="45"/>
      <c r="U34" s="39"/>
      <c r="V34" s="25"/>
      <c r="W34" s="25"/>
      <c r="X34" s="25"/>
      <c r="Y34" s="25"/>
      <c r="Z34" s="25"/>
      <c r="AA34" s="25"/>
      <c r="AB34" s="25"/>
      <c r="AC34" s="57"/>
      <c r="AD34" s="24" t="s">
        <v>670</v>
      </c>
      <c r="AE34" s="5">
        <v>13000</v>
      </c>
      <c r="AF34" s="5">
        <v>4200</v>
      </c>
      <c r="AG34" s="5">
        <v>7000000</v>
      </c>
      <c r="AH34" s="5">
        <v>500</v>
      </c>
      <c r="AI34" s="5">
        <v>0.5</v>
      </c>
      <c r="AJ34" s="5">
        <v>0.1</v>
      </c>
      <c r="AK34" s="5">
        <v>1.3</v>
      </c>
      <c r="AM34" s="38">
        <v>1.5</v>
      </c>
      <c r="AN34" s="38"/>
      <c r="AO34" s="5">
        <v>1.3</v>
      </c>
      <c r="AQ34" s="38">
        <v>0.5</v>
      </c>
      <c r="AS34" s="25"/>
      <c r="AT34" s="25"/>
      <c r="AU34" s="5">
        <v>0.3</v>
      </c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5" t="s">
        <v>671</v>
      </c>
    </row>
    <row r="35" s="5" customFormat="1" spans="1:73">
      <c r="A35" s="17">
        <f t="shared" si="0"/>
        <v>29</v>
      </c>
      <c r="B35" s="18">
        <f t="shared" si="1"/>
        <v>514004</v>
      </c>
      <c r="C35" s="5" t="s">
        <v>669</v>
      </c>
      <c r="D35" s="24">
        <v>121220</v>
      </c>
      <c r="E35" s="5">
        <v>100</v>
      </c>
      <c r="F35" s="25">
        <v>3</v>
      </c>
      <c r="G35" s="5">
        <v>24</v>
      </c>
      <c r="H35" s="25"/>
      <c r="I35" s="25">
        <v>0</v>
      </c>
      <c r="J35" s="25"/>
      <c r="K35" s="25"/>
      <c r="M35" s="38">
        <v>1</v>
      </c>
      <c r="N35" s="24">
        <v>10775</v>
      </c>
      <c r="O35" s="39">
        <v>1</v>
      </c>
      <c r="P35" s="39"/>
      <c r="R35" s="39"/>
      <c r="S35" s="39"/>
      <c r="T35" s="45"/>
      <c r="U35" s="39"/>
      <c r="V35" s="25"/>
      <c r="W35" s="25"/>
      <c r="X35" s="25"/>
      <c r="Y35" s="25"/>
      <c r="Z35" s="25"/>
      <c r="AA35" s="25"/>
      <c r="AB35" s="25"/>
      <c r="AC35" s="57"/>
      <c r="AD35" s="24" t="s">
        <v>670</v>
      </c>
      <c r="AE35" s="5">
        <v>13000</v>
      </c>
      <c r="AF35" s="5">
        <v>4200</v>
      </c>
      <c r="AG35" s="5">
        <v>7000000</v>
      </c>
      <c r="AH35" s="5">
        <v>500</v>
      </c>
      <c r="AI35" s="5">
        <v>0.5</v>
      </c>
      <c r="AJ35" s="5">
        <v>0.1</v>
      </c>
      <c r="AK35" s="5">
        <v>1.3</v>
      </c>
      <c r="AM35" s="38">
        <v>1.5</v>
      </c>
      <c r="AN35" s="38"/>
      <c r="AO35" s="5">
        <v>1.3</v>
      </c>
      <c r="AQ35" s="38">
        <v>0.5</v>
      </c>
      <c r="AS35" s="25"/>
      <c r="AT35" s="25"/>
      <c r="AU35" s="5">
        <v>0.3</v>
      </c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5" t="s">
        <v>671</v>
      </c>
    </row>
    <row r="36" s="5" customFormat="1" spans="1:73">
      <c r="A36" s="17">
        <f t="shared" si="0"/>
        <v>30</v>
      </c>
      <c r="B36" s="18">
        <f t="shared" si="1"/>
        <v>514004</v>
      </c>
      <c r="C36" s="5" t="s">
        <v>669</v>
      </c>
      <c r="D36" s="24">
        <v>121221</v>
      </c>
      <c r="E36" s="5">
        <v>100</v>
      </c>
      <c r="F36" s="5">
        <v>5</v>
      </c>
      <c r="G36" s="5">
        <v>24</v>
      </c>
      <c r="H36" s="25"/>
      <c r="I36" s="25">
        <v>0</v>
      </c>
      <c r="J36" s="25"/>
      <c r="K36" s="25"/>
      <c r="M36" s="38">
        <v>1</v>
      </c>
      <c r="N36" s="24">
        <v>10776</v>
      </c>
      <c r="O36" s="39">
        <v>1</v>
      </c>
      <c r="P36" s="39"/>
      <c r="Q36" s="45"/>
      <c r="R36" s="39"/>
      <c r="S36" s="39"/>
      <c r="T36" s="45"/>
      <c r="U36" s="39"/>
      <c r="V36" s="25"/>
      <c r="W36" s="25"/>
      <c r="X36" s="25"/>
      <c r="Y36" s="25"/>
      <c r="Z36" s="25"/>
      <c r="AA36" s="25"/>
      <c r="AB36" s="25"/>
      <c r="AC36" s="57"/>
      <c r="AD36" s="24" t="s">
        <v>670</v>
      </c>
      <c r="AE36" s="5">
        <v>13000</v>
      </c>
      <c r="AF36" s="5">
        <v>4200</v>
      </c>
      <c r="AG36" s="5">
        <v>7000000</v>
      </c>
      <c r="AH36" s="5">
        <v>500</v>
      </c>
      <c r="AI36" s="5">
        <v>0.5</v>
      </c>
      <c r="AJ36" s="5">
        <v>0.1</v>
      </c>
      <c r="AK36" s="5">
        <v>1.3</v>
      </c>
      <c r="AM36" s="38">
        <v>1.5</v>
      </c>
      <c r="AN36" s="38"/>
      <c r="AO36" s="5">
        <v>1.3</v>
      </c>
      <c r="AQ36" s="38">
        <v>0.5</v>
      </c>
      <c r="AS36" s="25"/>
      <c r="AT36" s="25"/>
      <c r="AU36" s="5">
        <v>0.3</v>
      </c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</row>
    <row r="37" s="5" customFormat="1" spans="1:73">
      <c r="A37" s="17">
        <f t="shared" si="0"/>
        <v>31</v>
      </c>
      <c r="B37" s="18">
        <f t="shared" si="1"/>
        <v>514004</v>
      </c>
      <c r="C37" s="5" t="s">
        <v>669</v>
      </c>
      <c r="D37" s="24">
        <v>121221</v>
      </c>
      <c r="E37" s="5">
        <v>100</v>
      </c>
      <c r="F37" s="5">
        <v>7</v>
      </c>
      <c r="G37" s="5">
        <v>24</v>
      </c>
      <c r="H37" s="25"/>
      <c r="I37" s="25">
        <v>0</v>
      </c>
      <c r="J37" s="25"/>
      <c r="K37" s="25"/>
      <c r="M37" s="38">
        <v>1</v>
      </c>
      <c r="N37" s="24">
        <v>10776</v>
      </c>
      <c r="O37" s="39">
        <v>1</v>
      </c>
      <c r="P37" s="39"/>
      <c r="Q37" s="45"/>
      <c r="R37" s="39"/>
      <c r="S37" s="39"/>
      <c r="T37" s="45"/>
      <c r="U37" s="39"/>
      <c r="V37" s="25"/>
      <c r="W37" s="25"/>
      <c r="X37" s="25"/>
      <c r="Y37" s="25"/>
      <c r="Z37" s="25"/>
      <c r="AA37" s="25"/>
      <c r="AB37" s="25"/>
      <c r="AC37" s="57"/>
      <c r="AD37" s="24" t="s">
        <v>670</v>
      </c>
      <c r="AE37" s="5">
        <v>13000</v>
      </c>
      <c r="AF37" s="5">
        <v>4200</v>
      </c>
      <c r="AG37" s="5">
        <v>7000000</v>
      </c>
      <c r="AH37" s="5">
        <v>500</v>
      </c>
      <c r="AI37" s="5">
        <v>0.5</v>
      </c>
      <c r="AJ37" s="5">
        <v>0.1</v>
      </c>
      <c r="AK37" s="5">
        <v>1.3</v>
      </c>
      <c r="AM37" s="38">
        <v>1.5</v>
      </c>
      <c r="AN37" s="38"/>
      <c r="AO37" s="5">
        <v>1.3</v>
      </c>
      <c r="AQ37" s="38">
        <v>0.5</v>
      </c>
      <c r="AS37" s="25"/>
      <c r="AT37" s="25"/>
      <c r="AU37" s="5">
        <v>0.3</v>
      </c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</row>
    <row r="38" s="5" customFormat="1" spans="1:73">
      <c r="A38" s="17">
        <f t="shared" si="0"/>
        <v>32</v>
      </c>
      <c r="B38" s="18">
        <f t="shared" si="1"/>
        <v>514004</v>
      </c>
      <c r="C38" s="5" t="s">
        <v>669</v>
      </c>
      <c r="D38" s="24">
        <v>121221</v>
      </c>
      <c r="E38" s="5">
        <v>100</v>
      </c>
      <c r="F38" s="5">
        <v>9</v>
      </c>
      <c r="G38" s="5">
        <v>24</v>
      </c>
      <c r="H38" s="25"/>
      <c r="I38" s="25">
        <v>0</v>
      </c>
      <c r="J38" s="25"/>
      <c r="K38" s="25"/>
      <c r="M38" s="38">
        <v>1</v>
      </c>
      <c r="N38" s="24">
        <v>10776</v>
      </c>
      <c r="O38" s="39">
        <v>1</v>
      </c>
      <c r="P38" s="39"/>
      <c r="Q38" s="45"/>
      <c r="R38" s="39"/>
      <c r="S38" s="39"/>
      <c r="T38" s="45"/>
      <c r="U38" s="39"/>
      <c r="V38" s="25"/>
      <c r="W38" s="25"/>
      <c r="X38" s="25"/>
      <c r="Y38" s="25"/>
      <c r="Z38" s="25"/>
      <c r="AA38" s="25"/>
      <c r="AB38" s="25"/>
      <c r="AC38" s="57"/>
      <c r="AD38" s="24" t="s">
        <v>670</v>
      </c>
      <c r="AE38" s="5">
        <v>13000</v>
      </c>
      <c r="AF38" s="5">
        <v>4200</v>
      </c>
      <c r="AG38" s="5">
        <v>7000000</v>
      </c>
      <c r="AH38" s="5">
        <v>500</v>
      </c>
      <c r="AI38" s="5">
        <v>0.5</v>
      </c>
      <c r="AJ38" s="5">
        <v>0.1</v>
      </c>
      <c r="AK38" s="5">
        <v>1.3</v>
      </c>
      <c r="AM38" s="38">
        <v>1.5</v>
      </c>
      <c r="AN38" s="38"/>
      <c r="AO38" s="5">
        <v>1.3</v>
      </c>
      <c r="AQ38" s="38">
        <v>0.5</v>
      </c>
      <c r="AS38" s="25"/>
      <c r="AT38" s="25"/>
      <c r="AU38" s="5">
        <v>0.3</v>
      </c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</row>
    <row r="39" s="4" customFormat="1" spans="1:73">
      <c r="A39" s="17">
        <f t="shared" si="0"/>
        <v>33</v>
      </c>
      <c r="B39" s="18">
        <f t="shared" si="1"/>
        <v>514005</v>
      </c>
      <c r="C39" s="4" t="s">
        <v>672</v>
      </c>
      <c r="D39" s="20">
        <v>121175</v>
      </c>
      <c r="E39" s="20">
        <v>100</v>
      </c>
      <c r="F39" s="20">
        <v>2</v>
      </c>
      <c r="G39" s="20">
        <v>28</v>
      </c>
      <c r="H39" s="20"/>
      <c r="I39" s="37">
        <v>0</v>
      </c>
      <c r="J39" s="20"/>
      <c r="K39" s="20"/>
      <c r="L39" s="20"/>
      <c r="M39" s="20">
        <v>1</v>
      </c>
      <c r="N39" s="20">
        <v>600432</v>
      </c>
      <c r="O39" s="20">
        <v>1</v>
      </c>
      <c r="P39" s="20">
        <v>25</v>
      </c>
      <c r="Q39" s="20">
        <v>600433</v>
      </c>
      <c r="R39" s="20">
        <v>1</v>
      </c>
      <c r="S39" s="20">
        <v>10</v>
      </c>
      <c r="T39" s="20">
        <v>600434</v>
      </c>
      <c r="U39" s="20">
        <v>1</v>
      </c>
      <c r="V39" s="20">
        <v>10</v>
      </c>
      <c r="W39" s="20">
        <v>600435</v>
      </c>
      <c r="X39" s="20">
        <v>1</v>
      </c>
      <c r="Y39" s="20">
        <v>10</v>
      </c>
      <c r="Z39" s="20">
        <v>600436</v>
      </c>
      <c r="AA39" s="20">
        <v>1</v>
      </c>
      <c r="AB39" s="20"/>
      <c r="AC39" s="20"/>
      <c r="AD39" s="56" t="s">
        <v>673</v>
      </c>
      <c r="AE39" s="4">
        <v>15000</v>
      </c>
      <c r="AF39" s="58">
        <v>7000</v>
      </c>
      <c r="AG39" s="4">
        <v>30356000</v>
      </c>
      <c r="AH39" s="4">
        <v>600</v>
      </c>
      <c r="AI39" s="68">
        <v>0.5</v>
      </c>
      <c r="AJ39" s="68">
        <v>0.1</v>
      </c>
      <c r="AK39" s="68">
        <v>1.5</v>
      </c>
      <c r="AL39" s="68">
        <v>0</v>
      </c>
      <c r="AM39" s="72">
        <v>1.5</v>
      </c>
      <c r="AN39" s="73"/>
      <c r="AO39" s="83"/>
      <c r="AP39" s="83">
        <v>0.8</v>
      </c>
      <c r="AQ39" s="83">
        <v>0.5</v>
      </c>
      <c r="AR39" s="72"/>
      <c r="AS39" s="72"/>
      <c r="AT39" s="68"/>
      <c r="AU39" s="86">
        <v>0.3</v>
      </c>
      <c r="AV39" s="87">
        <v>0.05</v>
      </c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 t="s">
        <v>674</v>
      </c>
    </row>
    <row r="40" s="4" customFormat="1" spans="1:73">
      <c r="A40" s="17">
        <f t="shared" si="0"/>
        <v>34</v>
      </c>
      <c r="B40" s="18">
        <f t="shared" si="1"/>
        <v>514005</v>
      </c>
      <c r="C40" s="4" t="s">
        <v>675</v>
      </c>
      <c r="D40" s="20">
        <v>121177</v>
      </c>
      <c r="E40" s="20">
        <v>100</v>
      </c>
      <c r="F40" s="20">
        <v>5</v>
      </c>
      <c r="G40" s="20">
        <v>28</v>
      </c>
      <c r="H40" s="20"/>
      <c r="I40" s="37">
        <v>0</v>
      </c>
      <c r="J40" s="20"/>
      <c r="K40" s="20"/>
      <c r="L40" s="20"/>
      <c r="M40" s="20">
        <v>1</v>
      </c>
      <c r="N40" s="20">
        <v>600511</v>
      </c>
      <c r="O40" s="20">
        <v>1</v>
      </c>
      <c r="P40" s="20">
        <v>10</v>
      </c>
      <c r="Q40" s="20">
        <v>600513</v>
      </c>
      <c r="R40" s="20">
        <v>1</v>
      </c>
      <c r="S40" s="20">
        <v>10</v>
      </c>
      <c r="T40" s="20">
        <v>600514</v>
      </c>
      <c r="U40" s="20">
        <v>1</v>
      </c>
      <c r="V40" s="20"/>
      <c r="W40" s="20"/>
      <c r="X40" s="20"/>
      <c r="Y40" s="20"/>
      <c r="Z40" s="20"/>
      <c r="AA40" s="20"/>
      <c r="AB40" s="20"/>
      <c r="AC40" s="20"/>
      <c r="AD40" s="56" t="s">
        <v>673</v>
      </c>
      <c r="AE40" s="4">
        <v>15000</v>
      </c>
      <c r="AF40" s="58">
        <v>7000</v>
      </c>
      <c r="AG40" s="4">
        <v>30356000</v>
      </c>
      <c r="AH40" s="4">
        <v>750</v>
      </c>
      <c r="AI40" s="68">
        <v>0.5</v>
      </c>
      <c r="AJ40" s="68">
        <v>0.1</v>
      </c>
      <c r="AK40" s="68">
        <v>1.5</v>
      </c>
      <c r="AL40" s="68">
        <v>0</v>
      </c>
      <c r="AM40" s="72">
        <v>1.5</v>
      </c>
      <c r="AN40" s="73"/>
      <c r="AO40" s="83"/>
      <c r="AP40" s="83">
        <v>0.8</v>
      </c>
      <c r="AQ40" s="83">
        <v>0.5</v>
      </c>
      <c r="AR40" s="72"/>
      <c r="AS40" s="72"/>
      <c r="AT40" s="68"/>
      <c r="AU40" s="87">
        <v>0.5</v>
      </c>
      <c r="AV40" s="87">
        <v>0.05</v>
      </c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 t="s">
        <v>676</v>
      </c>
    </row>
    <row r="41" ht="15" spans="1:73">
      <c r="A41" s="8">
        <f t="shared" si="0"/>
        <v>35</v>
      </c>
      <c r="B41" s="26">
        <f t="shared" ref="B41:B70" si="2">B26+1000</f>
        <v>515001</v>
      </c>
      <c r="C41" s="26" t="s">
        <v>658</v>
      </c>
      <c r="D41" s="10">
        <v>121224</v>
      </c>
      <c r="E41" s="27">
        <v>100</v>
      </c>
      <c r="F41" s="28">
        <v>2</v>
      </c>
      <c r="G41" s="10">
        <v>24</v>
      </c>
      <c r="H41" s="13"/>
      <c r="I41" s="13">
        <v>0</v>
      </c>
      <c r="J41" s="13"/>
      <c r="K41" s="13"/>
      <c r="L41" s="13"/>
      <c r="M41" s="10">
        <v>1</v>
      </c>
      <c r="N41" s="10">
        <v>10779</v>
      </c>
      <c r="O41" s="10">
        <v>1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47"/>
      <c r="AD41" s="59" t="s">
        <v>659</v>
      </c>
      <c r="AE41">
        <v>9000</v>
      </c>
      <c r="AF41" s="10">
        <v>2400</v>
      </c>
      <c r="AG41">
        <v>5750000</v>
      </c>
      <c r="AH41" s="10">
        <v>500</v>
      </c>
      <c r="AI41" s="74">
        <v>0.5</v>
      </c>
      <c r="AJ41" s="74">
        <v>0.1</v>
      </c>
      <c r="AK41" s="10">
        <v>1.3</v>
      </c>
      <c r="AL41" s="10"/>
      <c r="AM41" s="10">
        <v>1.5</v>
      </c>
      <c r="AN41" s="10"/>
      <c r="AO41" s="10">
        <v>1.3</v>
      </c>
      <c r="AP41" s="10"/>
      <c r="AQ41" s="10">
        <v>0.5</v>
      </c>
      <c r="AR41" s="13"/>
      <c r="AS41" s="13"/>
      <c r="AT41" s="13"/>
      <c r="AU41" s="13">
        <v>0.3</v>
      </c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</row>
    <row r="42" ht="15" spans="1:73">
      <c r="A42" s="8">
        <f t="shared" si="0"/>
        <v>36</v>
      </c>
      <c r="B42" s="26">
        <f t="shared" si="2"/>
        <v>515001</v>
      </c>
      <c r="C42" s="26" t="s">
        <v>658</v>
      </c>
      <c r="D42" s="10">
        <v>121225</v>
      </c>
      <c r="E42" s="27">
        <v>100</v>
      </c>
      <c r="F42" s="28">
        <v>7</v>
      </c>
      <c r="G42" s="10">
        <v>24</v>
      </c>
      <c r="H42" s="13"/>
      <c r="I42" s="13">
        <v>0</v>
      </c>
      <c r="J42" s="13"/>
      <c r="K42" s="13"/>
      <c r="L42" s="13"/>
      <c r="M42" s="10">
        <v>1</v>
      </c>
      <c r="N42" s="10">
        <v>10780</v>
      </c>
      <c r="O42" s="10">
        <v>1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47"/>
      <c r="AD42" s="59" t="s">
        <v>660</v>
      </c>
      <c r="AE42">
        <v>9000</v>
      </c>
      <c r="AF42" s="10">
        <v>2400</v>
      </c>
      <c r="AG42">
        <v>5750000</v>
      </c>
      <c r="AH42" s="10">
        <v>500</v>
      </c>
      <c r="AI42" s="74">
        <v>0.5</v>
      </c>
      <c r="AJ42" s="74">
        <v>0.1</v>
      </c>
      <c r="AK42" s="10">
        <v>1.3</v>
      </c>
      <c r="AL42" s="10"/>
      <c r="AM42" s="10">
        <v>1.5</v>
      </c>
      <c r="AN42" s="10"/>
      <c r="AO42" s="10">
        <v>1.3</v>
      </c>
      <c r="AP42" s="10"/>
      <c r="AQ42" s="10">
        <v>0.5</v>
      </c>
      <c r="AR42" s="13"/>
      <c r="AS42" s="13"/>
      <c r="AT42" s="13"/>
      <c r="AU42" s="13">
        <v>0.3</v>
      </c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</row>
    <row r="43" s="1" customFormat="1" spans="1:73">
      <c r="A43" s="8">
        <f t="shared" si="0"/>
        <v>37</v>
      </c>
      <c r="B43" s="26">
        <f t="shared" si="2"/>
        <v>515002</v>
      </c>
      <c r="C43" s="29" t="s">
        <v>661</v>
      </c>
      <c r="D43" s="29">
        <v>121180</v>
      </c>
      <c r="E43" s="27">
        <v>100</v>
      </c>
      <c r="F43" s="29">
        <v>5</v>
      </c>
      <c r="G43" s="29">
        <v>28</v>
      </c>
      <c r="H43" s="29"/>
      <c r="I43" s="40">
        <v>0</v>
      </c>
      <c r="J43" s="29"/>
      <c r="K43" s="29"/>
      <c r="L43" s="29"/>
      <c r="M43" s="29">
        <v>1</v>
      </c>
      <c r="N43" s="29">
        <v>10600</v>
      </c>
      <c r="O43" s="29">
        <v>1</v>
      </c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59" t="s">
        <v>662</v>
      </c>
      <c r="AE43" s="1">
        <v>6000</v>
      </c>
      <c r="AF43" s="60">
        <v>4000</v>
      </c>
      <c r="AG43" s="1">
        <v>1339000</v>
      </c>
      <c r="AH43" s="1">
        <v>500</v>
      </c>
      <c r="AI43" s="75">
        <v>0.2</v>
      </c>
      <c r="AJ43" s="75">
        <v>0.1</v>
      </c>
      <c r="AK43" s="75">
        <v>1.3</v>
      </c>
      <c r="AL43" s="75">
        <v>0.2</v>
      </c>
      <c r="AM43" s="76">
        <v>1.5</v>
      </c>
      <c r="AN43" s="77"/>
      <c r="AO43" s="88"/>
      <c r="AP43" s="88"/>
      <c r="AQ43" s="88">
        <v>0.5</v>
      </c>
      <c r="AR43" s="76"/>
      <c r="AS43" s="76"/>
      <c r="AT43" s="75"/>
      <c r="AU43" s="89">
        <v>0.3</v>
      </c>
      <c r="AV43" s="89">
        <v>0.05</v>
      </c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</row>
    <row r="44" s="1" customFormat="1" spans="1:73">
      <c r="A44" s="8">
        <f t="shared" si="0"/>
        <v>38</v>
      </c>
      <c r="B44" s="26">
        <f t="shared" si="2"/>
        <v>515002</v>
      </c>
      <c r="C44" s="29" t="s">
        <v>663</v>
      </c>
      <c r="D44" s="29">
        <v>121180</v>
      </c>
      <c r="E44" s="27">
        <v>100</v>
      </c>
      <c r="F44" s="29">
        <v>7</v>
      </c>
      <c r="G44" s="29">
        <v>28</v>
      </c>
      <c r="H44" s="29"/>
      <c r="I44" s="40">
        <v>0</v>
      </c>
      <c r="J44" s="29"/>
      <c r="K44" s="29"/>
      <c r="L44" s="29"/>
      <c r="M44" s="29">
        <v>1</v>
      </c>
      <c r="N44" s="29">
        <v>10600</v>
      </c>
      <c r="O44" s="29">
        <v>1</v>
      </c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59" t="s">
        <v>662</v>
      </c>
      <c r="AE44" s="1">
        <v>6000</v>
      </c>
      <c r="AF44" s="60">
        <v>4000</v>
      </c>
      <c r="AG44" s="1">
        <v>1339000</v>
      </c>
      <c r="AH44" s="1">
        <v>500</v>
      </c>
      <c r="AI44" s="75">
        <v>0.2</v>
      </c>
      <c r="AJ44" s="75">
        <v>0.1</v>
      </c>
      <c r="AK44" s="75">
        <v>1.3</v>
      </c>
      <c r="AL44" s="75">
        <v>0.2</v>
      </c>
      <c r="AM44" s="76">
        <v>1.5</v>
      </c>
      <c r="AN44" s="77"/>
      <c r="AO44" s="88"/>
      <c r="AP44" s="88"/>
      <c r="AQ44" s="88">
        <v>0.5</v>
      </c>
      <c r="AR44" s="76"/>
      <c r="AS44" s="76"/>
      <c r="AT44" s="75"/>
      <c r="AU44" s="89">
        <v>0.3</v>
      </c>
      <c r="AV44" s="89">
        <v>0.05</v>
      </c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</row>
    <row r="45" s="1" customFormat="1" spans="1:73">
      <c r="A45" s="8">
        <f t="shared" si="0"/>
        <v>39</v>
      </c>
      <c r="B45" s="26">
        <f t="shared" si="2"/>
        <v>515002</v>
      </c>
      <c r="C45" s="29" t="s">
        <v>663</v>
      </c>
      <c r="D45" s="29">
        <v>121180</v>
      </c>
      <c r="E45" s="27">
        <v>100</v>
      </c>
      <c r="F45" s="29">
        <v>9</v>
      </c>
      <c r="G45" s="29">
        <v>28</v>
      </c>
      <c r="H45" s="29"/>
      <c r="I45" s="40">
        <v>0</v>
      </c>
      <c r="J45" s="29"/>
      <c r="K45" s="29"/>
      <c r="L45" s="29"/>
      <c r="M45" s="29">
        <v>1</v>
      </c>
      <c r="N45" s="29">
        <v>10600</v>
      </c>
      <c r="O45" s="29">
        <v>1</v>
      </c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59" t="s">
        <v>664</v>
      </c>
      <c r="AE45" s="1">
        <v>6000</v>
      </c>
      <c r="AF45" s="60">
        <v>4000</v>
      </c>
      <c r="AG45" s="1">
        <v>1339000</v>
      </c>
      <c r="AH45" s="1">
        <v>500</v>
      </c>
      <c r="AI45" s="75">
        <v>0.2</v>
      </c>
      <c r="AJ45" s="75">
        <v>0.1</v>
      </c>
      <c r="AK45" s="75">
        <v>1.3</v>
      </c>
      <c r="AL45" s="75">
        <v>0.2</v>
      </c>
      <c r="AM45" s="76">
        <v>1.5</v>
      </c>
      <c r="AN45" s="77"/>
      <c r="AO45" s="88"/>
      <c r="AP45" s="88"/>
      <c r="AQ45" s="88">
        <v>0.5</v>
      </c>
      <c r="AR45" s="76"/>
      <c r="AS45" s="76"/>
      <c r="AT45" s="75"/>
      <c r="AU45" s="89">
        <v>0.3</v>
      </c>
      <c r="AV45" s="89">
        <v>0.05</v>
      </c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</row>
    <row r="46" s="1" customFormat="1" spans="1:73">
      <c r="A46" s="8">
        <f t="shared" si="0"/>
        <v>40</v>
      </c>
      <c r="B46" s="26">
        <f t="shared" si="2"/>
        <v>515003</v>
      </c>
      <c r="C46" s="1" t="s">
        <v>665</v>
      </c>
      <c r="D46" s="27">
        <v>121170</v>
      </c>
      <c r="E46" s="27">
        <v>100</v>
      </c>
      <c r="F46" s="27">
        <v>1</v>
      </c>
      <c r="G46" s="27">
        <v>28</v>
      </c>
      <c r="H46" s="27"/>
      <c r="I46" s="41">
        <v>0</v>
      </c>
      <c r="J46" s="27"/>
      <c r="K46" s="27"/>
      <c r="L46" s="27"/>
      <c r="M46" s="27">
        <v>1</v>
      </c>
      <c r="N46" s="27">
        <v>600429</v>
      </c>
      <c r="O46" s="27">
        <v>1</v>
      </c>
      <c r="P46" s="27">
        <v>25</v>
      </c>
      <c r="Q46" s="27">
        <v>600431</v>
      </c>
      <c r="R46" s="27">
        <v>1</v>
      </c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50" t="s">
        <v>666</v>
      </c>
      <c r="AE46" s="1">
        <v>9000</v>
      </c>
      <c r="AF46" s="60">
        <v>5000</v>
      </c>
      <c r="AG46" s="1">
        <v>3410200</v>
      </c>
      <c r="AH46" s="1">
        <v>500</v>
      </c>
      <c r="AI46" s="75">
        <v>0.7</v>
      </c>
      <c r="AJ46" s="75">
        <v>0.1</v>
      </c>
      <c r="AK46" s="75">
        <v>1.3</v>
      </c>
      <c r="AL46" s="75">
        <v>0.2</v>
      </c>
      <c r="AM46" s="76">
        <v>1.5</v>
      </c>
      <c r="AN46" s="77"/>
      <c r="AO46" s="88"/>
      <c r="AP46" s="88"/>
      <c r="AQ46" s="88">
        <v>0.5</v>
      </c>
      <c r="AR46" s="76"/>
      <c r="AS46" s="76"/>
      <c r="AT46" s="75"/>
      <c r="AU46" s="89">
        <v>0.3</v>
      </c>
      <c r="AV46" s="89">
        <v>0.05</v>
      </c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</row>
    <row r="47" s="1" customFormat="1" spans="1:73">
      <c r="A47" s="8">
        <f t="shared" si="0"/>
        <v>41</v>
      </c>
      <c r="B47" s="26">
        <f t="shared" si="2"/>
        <v>515003</v>
      </c>
      <c r="C47" s="1" t="s">
        <v>667</v>
      </c>
      <c r="D47" s="27">
        <v>121170</v>
      </c>
      <c r="E47" s="27">
        <v>100</v>
      </c>
      <c r="F47" s="27">
        <v>6</v>
      </c>
      <c r="G47" s="27">
        <v>28</v>
      </c>
      <c r="H47" s="27"/>
      <c r="I47" s="41">
        <v>0</v>
      </c>
      <c r="J47" s="27"/>
      <c r="K47" s="27"/>
      <c r="L47" s="27"/>
      <c r="M47" s="27">
        <v>1</v>
      </c>
      <c r="N47" s="27">
        <v>600429</v>
      </c>
      <c r="O47" s="27">
        <v>1</v>
      </c>
      <c r="P47" s="27">
        <v>25</v>
      </c>
      <c r="Q47" s="27">
        <v>600431</v>
      </c>
      <c r="R47" s="27">
        <v>1</v>
      </c>
      <c r="S47" s="27">
        <v>10</v>
      </c>
      <c r="T47" s="27">
        <v>600430</v>
      </c>
      <c r="U47" s="27">
        <v>1</v>
      </c>
      <c r="V47" s="27"/>
      <c r="W47" s="27"/>
      <c r="X47" s="27"/>
      <c r="Y47" s="27"/>
      <c r="Z47" s="27"/>
      <c r="AA47" s="27"/>
      <c r="AB47" s="27"/>
      <c r="AC47" s="27"/>
      <c r="AD47" s="50" t="s">
        <v>666</v>
      </c>
      <c r="AE47" s="1">
        <v>9000</v>
      </c>
      <c r="AF47" s="60">
        <v>5000</v>
      </c>
      <c r="AG47" s="1">
        <v>3410200</v>
      </c>
      <c r="AH47" s="1">
        <v>500</v>
      </c>
      <c r="AI47" s="75">
        <v>0.7</v>
      </c>
      <c r="AJ47" s="75">
        <v>0.1</v>
      </c>
      <c r="AK47" s="75">
        <v>1.3</v>
      </c>
      <c r="AL47" s="75">
        <v>0.2</v>
      </c>
      <c r="AM47" s="76">
        <v>1.5</v>
      </c>
      <c r="AN47" s="77"/>
      <c r="AO47" s="88"/>
      <c r="AP47" s="88"/>
      <c r="AQ47" s="88">
        <v>0.5</v>
      </c>
      <c r="AR47" s="76"/>
      <c r="AS47" s="76"/>
      <c r="AT47" s="75"/>
      <c r="AU47" s="89">
        <v>0.3</v>
      </c>
      <c r="AV47" s="89">
        <v>0.05</v>
      </c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</row>
    <row r="48" s="1" customFormat="1" spans="1:73">
      <c r="A48" s="8">
        <f t="shared" si="0"/>
        <v>42</v>
      </c>
      <c r="B48" s="26">
        <f t="shared" si="2"/>
        <v>515003</v>
      </c>
      <c r="C48" s="1" t="s">
        <v>667</v>
      </c>
      <c r="D48" s="27">
        <v>121170</v>
      </c>
      <c r="E48" s="27">
        <v>100</v>
      </c>
      <c r="F48" s="27">
        <v>8</v>
      </c>
      <c r="G48" s="27">
        <v>28</v>
      </c>
      <c r="H48" s="27"/>
      <c r="I48" s="41">
        <v>0</v>
      </c>
      <c r="J48" s="27"/>
      <c r="K48" s="27"/>
      <c r="L48" s="27"/>
      <c r="M48" s="27">
        <v>1</v>
      </c>
      <c r="N48" s="27">
        <v>600429</v>
      </c>
      <c r="O48" s="27">
        <v>1</v>
      </c>
      <c r="P48" s="27">
        <v>25</v>
      </c>
      <c r="Q48" s="27">
        <v>600431</v>
      </c>
      <c r="R48" s="27">
        <v>1</v>
      </c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50" t="s">
        <v>668</v>
      </c>
      <c r="AE48" s="1">
        <v>9000</v>
      </c>
      <c r="AF48" s="60">
        <v>5000</v>
      </c>
      <c r="AG48" s="1">
        <v>3410200</v>
      </c>
      <c r="AH48" s="1">
        <v>500</v>
      </c>
      <c r="AI48" s="75">
        <v>0.7</v>
      </c>
      <c r="AJ48" s="75">
        <v>0.1</v>
      </c>
      <c r="AK48" s="75">
        <v>1.3</v>
      </c>
      <c r="AL48" s="75">
        <v>0.2</v>
      </c>
      <c r="AM48" s="76">
        <v>1.5</v>
      </c>
      <c r="AN48" s="77"/>
      <c r="AO48" s="88"/>
      <c r="AP48" s="88"/>
      <c r="AQ48" s="88">
        <v>0.5</v>
      </c>
      <c r="AR48" s="76"/>
      <c r="AS48" s="76"/>
      <c r="AT48" s="75"/>
      <c r="AU48" s="89">
        <v>0.3</v>
      </c>
      <c r="AV48" s="89">
        <v>0.05</v>
      </c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</row>
    <row r="49" s="6" customFormat="1" spans="1:73">
      <c r="A49" s="8">
        <f t="shared" si="0"/>
        <v>43</v>
      </c>
      <c r="B49" s="26">
        <f t="shared" si="2"/>
        <v>515004</v>
      </c>
      <c r="C49" s="6" t="s">
        <v>669</v>
      </c>
      <c r="D49" s="30">
        <v>121220</v>
      </c>
      <c r="E49" s="6">
        <v>100</v>
      </c>
      <c r="F49" s="6">
        <v>1</v>
      </c>
      <c r="G49" s="6">
        <v>24</v>
      </c>
      <c r="H49" s="31"/>
      <c r="I49" s="31">
        <v>0</v>
      </c>
      <c r="J49" s="31"/>
      <c r="K49" s="31"/>
      <c r="M49" s="42">
        <v>1</v>
      </c>
      <c r="N49" s="30">
        <v>10775</v>
      </c>
      <c r="O49" s="43">
        <v>1</v>
      </c>
      <c r="P49" s="43"/>
      <c r="R49" s="43"/>
      <c r="S49" s="43"/>
      <c r="T49" s="46"/>
      <c r="U49" s="43"/>
      <c r="V49" s="31"/>
      <c r="W49" s="31"/>
      <c r="X49" s="31"/>
      <c r="Y49" s="31"/>
      <c r="Z49" s="31"/>
      <c r="AA49" s="31"/>
      <c r="AB49" s="31"/>
      <c r="AC49" s="61"/>
      <c r="AD49" s="30" t="s">
        <v>670</v>
      </c>
      <c r="AE49" s="6">
        <v>13000</v>
      </c>
      <c r="AF49" s="6">
        <v>4200</v>
      </c>
      <c r="AG49" s="6">
        <v>7000000</v>
      </c>
      <c r="AH49" s="6">
        <v>500</v>
      </c>
      <c r="AI49" s="6">
        <v>0.5</v>
      </c>
      <c r="AJ49" s="6">
        <v>0.1</v>
      </c>
      <c r="AK49" s="6">
        <v>1.3</v>
      </c>
      <c r="AM49" s="42">
        <v>1.5</v>
      </c>
      <c r="AN49" s="42"/>
      <c r="AO49" s="6">
        <v>1.3</v>
      </c>
      <c r="AQ49" s="42">
        <v>0.5</v>
      </c>
      <c r="AS49" s="31"/>
      <c r="AT49" s="31"/>
      <c r="AU49" s="6">
        <v>0.3</v>
      </c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6" t="s">
        <v>671</v>
      </c>
    </row>
    <row r="50" s="6" customFormat="1" spans="1:73">
      <c r="A50" s="8">
        <f t="shared" si="0"/>
        <v>44</v>
      </c>
      <c r="B50" s="26">
        <f t="shared" si="2"/>
        <v>515004</v>
      </c>
      <c r="C50" s="6" t="s">
        <v>669</v>
      </c>
      <c r="D50" s="30">
        <v>121220</v>
      </c>
      <c r="E50" s="6">
        <v>100</v>
      </c>
      <c r="F50" s="31">
        <v>3</v>
      </c>
      <c r="G50" s="6">
        <v>24</v>
      </c>
      <c r="H50" s="31"/>
      <c r="I50" s="31">
        <v>0</v>
      </c>
      <c r="J50" s="31"/>
      <c r="K50" s="31"/>
      <c r="M50" s="42">
        <v>1</v>
      </c>
      <c r="N50" s="30">
        <v>10775</v>
      </c>
      <c r="O50" s="43">
        <v>1</v>
      </c>
      <c r="P50" s="43"/>
      <c r="R50" s="43"/>
      <c r="S50" s="43"/>
      <c r="T50" s="46"/>
      <c r="U50" s="43"/>
      <c r="V50" s="31"/>
      <c r="W50" s="31"/>
      <c r="X50" s="31"/>
      <c r="Y50" s="31"/>
      <c r="Z50" s="31"/>
      <c r="AA50" s="31"/>
      <c r="AB50" s="31"/>
      <c r="AC50" s="61"/>
      <c r="AD50" s="30" t="s">
        <v>670</v>
      </c>
      <c r="AE50" s="6">
        <v>13000</v>
      </c>
      <c r="AF50" s="6">
        <v>4200</v>
      </c>
      <c r="AG50" s="6">
        <v>7000000</v>
      </c>
      <c r="AH50" s="6">
        <v>500</v>
      </c>
      <c r="AI50" s="6">
        <v>0.5</v>
      </c>
      <c r="AJ50" s="6">
        <v>0.1</v>
      </c>
      <c r="AK50" s="6">
        <v>1.3</v>
      </c>
      <c r="AM50" s="42">
        <v>1.5</v>
      </c>
      <c r="AN50" s="42"/>
      <c r="AO50" s="6">
        <v>1.3</v>
      </c>
      <c r="AQ50" s="42">
        <v>0.5</v>
      </c>
      <c r="AS50" s="31"/>
      <c r="AT50" s="31"/>
      <c r="AU50" s="6">
        <v>0.3</v>
      </c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6" t="s">
        <v>671</v>
      </c>
    </row>
    <row r="51" s="6" customFormat="1" spans="1:73">
      <c r="A51" s="8">
        <f t="shared" si="0"/>
        <v>45</v>
      </c>
      <c r="B51" s="26">
        <f t="shared" si="2"/>
        <v>515004</v>
      </c>
      <c r="C51" s="6" t="s">
        <v>669</v>
      </c>
      <c r="D51" s="30">
        <v>121221</v>
      </c>
      <c r="E51" s="6">
        <v>100</v>
      </c>
      <c r="F51" s="6">
        <v>5</v>
      </c>
      <c r="G51" s="6">
        <v>24</v>
      </c>
      <c r="H51" s="31"/>
      <c r="I51" s="31">
        <v>0</v>
      </c>
      <c r="J51" s="31"/>
      <c r="K51" s="31"/>
      <c r="M51" s="42">
        <v>1</v>
      </c>
      <c r="N51" s="30">
        <v>10776</v>
      </c>
      <c r="O51" s="43">
        <v>1</v>
      </c>
      <c r="P51" s="43"/>
      <c r="Q51" s="46"/>
      <c r="R51" s="43"/>
      <c r="S51" s="43"/>
      <c r="T51" s="46"/>
      <c r="U51" s="43"/>
      <c r="V51" s="31"/>
      <c r="W51" s="31"/>
      <c r="X51" s="31"/>
      <c r="Y51" s="31"/>
      <c r="Z51" s="31"/>
      <c r="AA51" s="31"/>
      <c r="AB51" s="31"/>
      <c r="AC51" s="61"/>
      <c r="AD51" s="30" t="s">
        <v>670</v>
      </c>
      <c r="AE51" s="6">
        <v>13000</v>
      </c>
      <c r="AF51" s="6">
        <v>4200</v>
      </c>
      <c r="AG51" s="6">
        <v>7000000</v>
      </c>
      <c r="AH51" s="6">
        <v>500</v>
      </c>
      <c r="AI51" s="6">
        <v>0.5</v>
      </c>
      <c r="AJ51" s="6">
        <v>0.1</v>
      </c>
      <c r="AK51" s="6">
        <v>1.3</v>
      </c>
      <c r="AM51" s="42">
        <v>1.5</v>
      </c>
      <c r="AN51" s="42"/>
      <c r="AO51" s="6">
        <v>1.3</v>
      </c>
      <c r="AQ51" s="42">
        <v>0.5</v>
      </c>
      <c r="AS51" s="31"/>
      <c r="AT51" s="31"/>
      <c r="AU51" s="6">
        <v>0.3</v>
      </c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</row>
    <row r="52" s="6" customFormat="1" spans="1:73">
      <c r="A52" s="8">
        <f t="shared" si="0"/>
        <v>46</v>
      </c>
      <c r="B52" s="26">
        <f t="shared" si="2"/>
        <v>515004</v>
      </c>
      <c r="C52" s="6" t="s">
        <v>669</v>
      </c>
      <c r="D52" s="30">
        <v>121221</v>
      </c>
      <c r="E52" s="6">
        <v>100</v>
      </c>
      <c r="F52" s="6">
        <v>7</v>
      </c>
      <c r="G52" s="6">
        <v>24</v>
      </c>
      <c r="H52" s="31"/>
      <c r="I52" s="31">
        <v>0</v>
      </c>
      <c r="J52" s="31"/>
      <c r="K52" s="31"/>
      <c r="M52" s="42">
        <v>1</v>
      </c>
      <c r="N52" s="30">
        <v>10776</v>
      </c>
      <c r="O52" s="43">
        <v>1</v>
      </c>
      <c r="P52" s="43"/>
      <c r="Q52" s="46"/>
      <c r="R52" s="43"/>
      <c r="S52" s="43"/>
      <c r="T52" s="46"/>
      <c r="U52" s="43"/>
      <c r="V52" s="31"/>
      <c r="W52" s="31"/>
      <c r="X52" s="31"/>
      <c r="Y52" s="31"/>
      <c r="Z52" s="31"/>
      <c r="AA52" s="31"/>
      <c r="AB52" s="31"/>
      <c r="AC52" s="61"/>
      <c r="AD52" s="30" t="s">
        <v>670</v>
      </c>
      <c r="AE52" s="6">
        <v>13000</v>
      </c>
      <c r="AF52" s="6">
        <v>4200</v>
      </c>
      <c r="AG52" s="6">
        <v>7000000</v>
      </c>
      <c r="AH52" s="6">
        <v>500</v>
      </c>
      <c r="AI52" s="6">
        <v>0.5</v>
      </c>
      <c r="AJ52" s="6">
        <v>0.1</v>
      </c>
      <c r="AK52" s="6">
        <v>1.3</v>
      </c>
      <c r="AM52" s="42">
        <v>1.5</v>
      </c>
      <c r="AN52" s="42"/>
      <c r="AO52" s="6">
        <v>1.3</v>
      </c>
      <c r="AQ52" s="42">
        <v>0.5</v>
      </c>
      <c r="AS52" s="31"/>
      <c r="AT52" s="31"/>
      <c r="AU52" s="6">
        <v>0.3</v>
      </c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</row>
    <row r="53" s="6" customFormat="1" spans="1:73">
      <c r="A53" s="8">
        <f t="shared" si="0"/>
        <v>47</v>
      </c>
      <c r="B53" s="26">
        <f t="shared" si="2"/>
        <v>515004</v>
      </c>
      <c r="C53" s="6" t="s">
        <v>669</v>
      </c>
      <c r="D53" s="30">
        <v>121221</v>
      </c>
      <c r="E53" s="6">
        <v>100</v>
      </c>
      <c r="F53" s="6">
        <v>9</v>
      </c>
      <c r="G53" s="6">
        <v>24</v>
      </c>
      <c r="H53" s="31"/>
      <c r="I53" s="31">
        <v>0</v>
      </c>
      <c r="J53" s="31"/>
      <c r="K53" s="31"/>
      <c r="M53" s="42">
        <v>1</v>
      </c>
      <c r="N53" s="30">
        <v>10776</v>
      </c>
      <c r="O53" s="43">
        <v>1</v>
      </c>
      <c r="P53" s="43"/>
      <c r="Q53" s="46"/>
      <c r="R53" s="43"/>
      <c r="S53" s="43"/>
      <c r="T53" s="46"/>
      <c r="U53" s="43"/>
      <c r="V53" s="31"/>
      <c r="W53" s="31"/>
      <c r="X53" s="31"/>
      <c r="Y53" s="31"/>
      <c r="Z53" s="31"/>
      <c r="AA53" s="31"/>
      <c r="AB53" s="31"/>
      <c r="AC53" s="61"/>
      <c r="AD53" s="30" t="s">
        <v>670</v>
      </c>
      <c r="AE53" s="6">
        <v>13000</v>
      </c>
      <c r="AF53" s="6">
        <v>4200</v>
      </c>
      <c r="AG53" s="6">
        <v>7000000</v>
      </c>
      <c r="AH53" s="6">
        <v>500</v>
      </c>
      <c r="AI53" s="6">
        <v>0.5</v>
      </c>
      <c r="AJ53" s="6">
        <v>0.1</v>
      </c>
      <c r="AK53" s="6">
        <v>1.3</v>
      </c>
      <c r="AM53" s="42">
        <v>1.5</v>
      </c>
      <c r="AN53" s="42"/>
      <c r="AO53" s="6">
        <v>1.3</v>
      </c>
      <c r="AQ53" s="42">
        <v>0.5</v>
      </c>
      <c r="AS53" s="31"/>
      <c r="AT53" s="31"/>
      <c r="AU53" s="6">
        <v>0.3</v>
      </c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</row>
    <row r="54" s="1" customFormat="1" spans="1:73">
      <c r="A54" s="8">
        <f t="shared" si="0"/>
        <v>48</v>
      </c>
      <c r="B54" s="26">
        <f t="shared" si="2"/>
        <v>515005</v>
      </c>
      <c r="C54" s="1" t="s">
        <v>672</v>
      </c>
      <c r="D54" s="27">
        <v>121175</v>
      </c>
      <c r="E54" s="27">
        <v>100</v>
      </c>
      <c r="F54" s="27">
        <v>2</v>
      </c>
      <c r="G54" s="27">
        <v>28</v>
      </c>
      <c r="H54" s="27"/>
      <c r="I54" s="41">
        <v>0</v>
      </c>
      <c r="J54" s="27"/>
      <c r="K54" s="27"/>
      <c r="L54" s="27"/>
      <c r="M54" s="27">
        <v>1</v>
      </c>
      <c r="N54" s="27">
        <v>600432</v>
      </c>
      <c r="O54" s="27">
        <v>1</v>
      </c>
      <c r="P54" s="27">
        <v>25</v>
      </c>
      <c r="Q54" s="27">
        <v>600433</v>
      </c>
      <c r="R54" s="27">
        <v>1</v>
      </c>
      <c r="S54" s="27">
        <v>10</v>
      </c>
      <c r="T54" s="27">
        <v>600434</v>
      </c>
      <c r="U54" s="27">
        <v>1</v>
      </c>
      <c r="V54" s="27">
        <v>10</v>
      </c>
      <c r="W54" s="27">
        <v>600435</v>
      </c>
      <c r="X54" s="27">
        <v>1</v>
      </c>
      <c r="Y54" s="27">
        <v>10</v>
      </c>
      <c r="Z54" s="27">
        <v>600436</v>
      </c>
      <c r="AA54" s="27">
        <v>1</v>
      </c>
      <c r="AB54" s="27"/>
      <c r="AC54" s="27"/>
      <c r="AD54" s="50" t="s">
        <v>673</v>
      </c>
      <c r="AE54" s="1">
        <v>15000</v>
      </c>
      <c r="AF54" s="7">
        <v>7000</v>
      </c>
      <c r="AG54" s="1">
        <v>30356000</v>
      </c>
      <c r="AH54" s="1">
        <v>600</v>
      </c>
      <c r="AI54" s="74">
        <v>0.5</v>
      </c>
      <c r="AJ54" s="74">
        <v>0.1</v>
      </c>
      <c r="AK54" s="74">
        <v>1.5</v>
      </c>
      <c r="AL54" s="74">
        <v>0</v>
      </c>
      <c r="AM54" s="78">
        <v>1.5</v>
      </c>
      <c r="AN54" s="79"/>
      <c r="AO54" s="90"/>
      <c r="AP54" s="90">
        <v>0.8</v>
      </c>
      <c r="AQ54" s="90">
        <v>0.5</v>
      </c>
      <c r="AR54" s="78"/>
      <c r="AS54" s="78"/>
      <c r="AT54" s="74"/>
      <c r="AU54" s="89">
        <v>0.3</v>
      </c>
      <c r="AV54" s="91">
        <v>0.05</v>
      </c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 t="s">
        <v>674</v>
      </c>
    </row>
    <row r="55" s="1" customFormat="1" spans="1:73">
      <c r="A55" s="8">
        <f t="shared" si="0"/>
        <v>49</v>
      </c>
      <c r="B55" s="26">
        <f t="shared" si="2"/>
        <v>515005</v>
      </c>
      <c r="C55" s="1" t="s">
        <v>675</v>
      </c>
      <c r="D55" s="27">
        <v>121177</v>
      </c>
      <c r="E55" s="27">
        <v>100</v>
      </c>
      <c r="F55" s="27">
        <v>5</v>
      </c>
      <c r="G55" s="27">
        <v>28</v>
      </c>
      <c r="H55" s="27"/>
      <c r="I55" s="41">
        <v>0</v>
      </c>
      <c r="J55" s="27"/>
      <c r="K55" s="27"/>
      <c r="L55" s="27"/>
      <c r="M55" s="27">
        <v>1</v>
      </c>
      <c r="N55" s="27">
        <v>600511</v>
      </c>
      <c r="O55" s="27">
        <v>1</v>
      </c>
      <c r="P55" s="27">
        <v>10</v>
      </c>
      <c r="Q55" s="27">
        <v>600513</v>
      </c>
      <c r="R55" s="27">
        <v>1</v>
      </c>
      <c r="S55" s="27">
        <v>10</v>
      </c>
      <c r="T55" s="27">
        <v>600514</v>
      </c>
      <c r="U55" s="27">
        <v>1</v>
      </c>
      <c r="V55" s="27"/>
      <c r="W55" s="27"/>
      <c r="X55" s="27"/>
      <c r="Y55" s="27"/>
      <c r="Z55" s="27"/>
      <c r="AA55" s="27"/>
      <c r="AB55" s="27"/>
      <c r="AC55" s="27"/>
      <c r="AD55" s="50" t="s">
        <v>673</v>
      </c>
      <c r="AE55" s="1">
        <v>15000</v>
      </c>
      <c r="AF55" s="7">
        <v>7000</v>
      </c>
      <c r="AG55" s="1">
        <v>30356000</v>
      </c>
      <c r="AH55" s="1">
        <v>750</v>
      </c>
      <c r="AI55" s="74">
        <v>0.5</v>
      </c>
      <c r="AJ55" s="74">
        <v>0.1</v>
      </c>
      <c r="AK55" s="74">
        <v>1.5</v>
      </c>
      <c r="AL55" s="74">
        <v>0</v>
      </c>
      <c r="AM55" s="78">
        <v>1.5</v>
      </c>
      <c r="AN55" s="79"/>
      <c r="AO55" s="90"/>
      <c r="AP55" s="90">
        <v>0.8</v>
      </c>
      <c r="AQ55" s="90">
        <v>0.5</v>
      </c>
      <c r="AR55" s="78"/>
      <c r="AS55" s="78"/>
      <c r="AT55" s="74"/>
      <c r="AU55" s="91">
        <v>0.5</v>
      </c>
      <c r="AV55" s="91">
        <v>0.05</v>
      </c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 t="s">
        <v>676</v>
      </c>
    </row>
    <row r="56" s="3" customFormat="1" ht="15" spans="1:73">
      <c r="A56" s="17">
        <f t="shared" si="0"/>
        <v>50</v>
      </c>
      <c r="B56" s="18">
        <f t="shared" si="2"/>
        <v>516001</v>
      </c>
      <c r="C56" s="18" t="s">
        <v>658</v>
      </c>
      <c r="D56" s="19">
        <v>121224</v>
      </c>
      <c r="E56" s="20">
        <v>100</v>
      </c>
      <c r="F56" s="21">
        <v>2</v>
      </c>
      <c r="G56" s="19">
        <v>24</v>
      </c>
      <c r="H56" s="22"/>
      <c r="I56" s="22">
        <v>0</v>
      </c>
      <c r="J56" s="22"/>
      <c r="K56" s="22"/>
      <c r="L56" s="22"/>
      <c r="M56" s="19">
        <v>1</v>
      </c>
      <c r="N56" s="19">
        <v>10779</v>
      </c>
      <c r="O56" s="19">
        <v>1</v>
      </c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53"/>
      <c r="AD56" s="54" t="s">
        <v>659</v>
      </c>
      <c r="AE56" s="3">
        <v>9000</v>
      </c>
      <c r="AF56" s="19">
        <v>2400</v>
      </c>
      <c r="AG56" s="3">
        <v>5750000</v>
      </c>
      <c r="AH56" s="19">
        <v>500</v>
      </c>
      <c r="AI56" s="68">
        <v>0.5</v>
      </c>
      <c r="AJ56" s="68">
        <v>0.1</v>
      </c>
      <c r="AK56" s="19">
        <v>1.3</v>
      </c>
      <c r="AL56" s="19"/>
      <c r="AM56" s="19">
        <v>1.5</v>
      </c>
      <c r="AN56" s="19"/>
      <c r="AO56" s="19">
        <v>1.3</v>
      </c>
      <c r="AP56" s="19"/>
      <c r="AQ56" s="19">
        <v>0.5</v>
      </c>
      <c r="AR56" s="22"/>
      <c r="AS56" s="22"/>
      <c r="AT56" s="22"/>
      <c r="AU56" s="22">
        <v>0.3</v>
      </c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</row>
    <row r="57" s="3" customFormat="1" ht="15" spans="1:73">
      <c r="A57" s="17">
        <f t="shared" si="0"/>
        <v>51</v>
      </c>
      <c r="B57" s="18">
        <f t="shared" si="2"/>
        <v>516001</v>
      </c>
      <c r="C57" s="18" t="s">
        <v>658</v>
      </c>
      <c r="D57" s="19">
        <v>121225</v>
      </c>
      <c r="E57" s="20">
        <v>100</v>
      </c>
      <c r="F57" s="21">
        <v>7</v>
      </c>
      <c r="G57" s="19">
        <v>24</v>
      </c>
      <c r="H57" s="22"/>
      <c r="I57" s="22">
        <v>0</v>
      </c>
      <c r="J57" s="22"/>
      <c r="K57" s="22"/>
      <c r="L57" s="22"/>
      <c r="M57" s="19">
        <v>1</v>
      </c>
      <c r="N57" s="19">
        <v>10780</v>
      </c>
      <c r="O57" s="19">
        <v>1</v>
      </c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53"/>
      <c r="AD57" s="54" t="s">
        <v>660</v>
      </c>
      <c r="AE57" s="3">
        <v>9000</v>
      </c>
      <c r="AF57" s="19">
        <v>2400</v>
      </c>
      <c r="AG57" s="3">
        <v>5750000</v>
      </c>
      <c r="AH57" s="19">
        <v>500</v>
      </c>
      <c r="AI57" s="68">
        <v>0.5</v>
      </c>
      <c r="AJ57" s="68">
        <v>0.1</v>
      </c>
      <c r="AK57" s="19">
        <v>1.3</v>
      </c>
      <c r="AL57" s="19"/>
      <c r="AM57" s="19">
        <v>1.5</v>
      </c>
      <c r="AN57" s="19"/>
      <c r="AO57" s="19">
        <v>1.3</v>
      </c>
      <c r="AP57" s="19"/>
      <c r="AQ57" s="19">
        <v>0.5</v>
      </c>
      <c r="AR57" s="22"/>
      <c r="AS57" s="22"/>
      <c r="AT57" s="22"/>
      <c r="AU57" s="22">
        <v>0.3</v>
      </c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</row>
    <row r="58" s="4" customFormat="1" spans="1:73">
      <c r="A58" s="17">
        <f t="shared" si="0"/>
        <v>52</v>
      </c>
      <c r="B58" s="18">
        <f t="shared" si="2"/>
        <v>516002</v>
      </c>
      <c r="C58" s="23" t="s">
        <v>661</v>
      </c>
      <c r="D58" s="23">
        <v>121180</v>
      </c>
      <c r="E58" s="20">
        <v>100</v>
      </c>
      <c r="F58" s="23">
        <v>5</v>
      </c>
      <c r="G58" s="23">
        <v>28</v>
      </c>
      <c r="H58" s="23"/>
      <c r="I58" s="36">
        <v>0</v>
      </c>
      <c r="J58" s="23"/>
      <c r="K58" s="23"/>
      <c r="L58" s="23"/>
      <c r="M58" s="23">
        <v>1</v>
      </c>
      <c r="N58" s="23">
        <v>10600</v>
      </c>
      <c r="O58" s="23">
        <v>1</v>
      </c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54" t="s">
        <v>662</v>
      </c>
      <c r="AE58" s="4">
        <v>6000</v>
      </c>
      <c r="AF58" s="55">
        <v>4000</v>
      </c>
      <c r="AG58" s="4">
        <v>1339000</v>
      </c>
      <c r="AH58" s="4">
        <v>500</v>
      </c>
      <c r="AI58" s="69">
        <v>0.2</v>
      </c>
      <c r="AJ58" s="69">
        <v>0.1</v>
      </c>
      <c r="AK58" s="69">
        <v>1.3</v>
      </c>
      <c r="AL58" s="69">
        <v>0.2</v>
      </c>
      <c r="AM58" s="70">
        <v>1.5</v>
      </c>
      <c r="AN58" s="71"/>
      <c r="AO58" s="80"/>
      <c r="AP58" s="80"/>
      <c r="AQ58" s="80">
        <v>0.5</v>
      </c>
      <c r="AR58" s="70"/>
      <c r="AS58" s="70"/>
      <c r="AT58" s="69"/>
      <c r="AU58" s="86">
        <v>0.3</v>
      </c>
      <c r="AV58" s="86">
        <v>0.05</v>
      </c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</row>
    <row r="59" s="4" customFormat="1" spans="1:73">
      <c r="A59" s="17">
        <f t="shared" si="0"/>
        <v>53</v>
      </c>
      <c r="B59" s="18">
        <f t="shared" si="2"/>
        <v>516002</v>
      </c>
      <c r="C59" s="23" t="s">
        <v>663</v>
      </c>
      <c r="D59" s="23">
        <v>121180</v>
      </c>
      <c r="E59" s="20">
        <v>100</v>
      </c>
      <c r="F59" s="23">
        <v>7</v>
      </c>
      <c r="G59" s="23">
        <v>28</v>
      </c>
      <c r="H59" s="23"/>
      <c r="I59" s="36">
        <v>0</v>
      </c>
      <c r="J59" s="23"/>
      <c r="K59" s="23"/>
      <c r="L59" s="23"/>
      <c r="M59" s="23">
        <v>1</v>
      </c>
      <c r="N59" s="23">
        <v>10600</v>
      </c>
      <c r="O59" s="23">
        <v>1</v>
      </c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54" t="s">
        <v>662</v>
      </c>
      <c r="AE59" s="4">
        <v>6000</v>
      </c>
      <c r="AF59" s="55">
        <v>4000</v>
      </c>
      <c r="AG59" s="4">
        <v>1339000</v>
      </c>
      <c r="AH59" s="4">
        <v>500</v>
      </c>
      <c r="AI59" s="69">
        <v>0.2</v>
      </c>
      <c r="AJ59" s="69">
        <v>0.1</v>
      </c>
      <c r="AK59" s="69">
        <v>1.3</v>
      </c>
      <c r="AL59" s="69">
        <v>0.2</v>
      </c>
      <c r="AM59" s="70">
        <v>1.5</v>
      </c>
      <c r="AN59" s="71"/>
      <c r="AO59" s="80"/>
      <c r="AP59" s="80"/>
      <c r="AQ59" s="80">
        <v>0.5</v>
      </c>
      <c r="AR59" s="70"/>
      <c r="AS59" s="70"/>
      <c r="AT59" s="69"/>
      <c r="AU59" s="86">
        <v>0.3</v>
      </c>
      <c r="AV59" s="86">
        <v>0.05</v>
      </c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</row>
    <row r="60" s="4" customFormat="1" spans="1:73">
      <c r="A60" s="17">
        <f t="shared" si="0"/>
        <v>54</v>
      </c>
      <c r="B60" s="18">
        <f t="shared" si="2"/>
        <v>516002</v>
      </c>
      <c r="C60" s="23" t="s">
        <v>663</v>
      </c>
      <c r="D60" s="23">
        <v>121180</v>
      </c>
      <c r="E60" s="20">
        <v>100</v>
      </c>
      <c r="F60" s="23">
        <v>9</v>
      </c>
      <c r="G60" s="23">
        <v>28</v>
      </c>
      <c r="H60" s="23"/>
      <c r="I60" s="36">
        <v>0</v>
      </c>
      <c r="J60" s="23"/>
      <c r="K60" s="23"/>
      <c r="L60" s="23"/>
      <c r="M60" s="23">
        <v>1</v>
      </c>
      <c r="N60" s="23">
        <v>10600</v>
      </c>
      <c r="O60" s="23">
        <v>1</v>
      </c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54" t="s">
        <v>664</v>
      </c>
      <c r="AE60" s="4">
        <v>6000</v>
      </c>
      <c r="AF60" s="55">
        <v>4000</v>
      </c>
      <c r="AG60" s="4">
        <v>1339000</v>
      </c>
      <c r="AH60" s="4">
        <v>500</v>
      </c>
      <c r="AI60" s="69">
        <v>0.2</v>
      </c>
      <c r="AJ60" s="69">
        <v>0.1</v>
      </c>
      <c r="AK60" s="69">
        <v>1.3</v>
      </c>
      <c r="AL60" s="69">
        <v>0.2</v>
      </c>
      <c r="AM60" s="70">
        <v>1.5</v>
      </c>
      <c r="AN60" s="71"/>
      <c r="AO60" s="80"/>
      <c r="AP60" s="80"/>
      <c r="AQ60" s="80">
        <v>0.5</v>
      </c>
      <c r="AR60" s="70"/>
      <c r="AS60" s="70"/>
      <c r="AT60" s="69"/>
      <c r="AU60" s="86">
        <v>0.3</v>
      </c>
      <c r="AV60" s="86">
        <v>0.05</v>
      </c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</row>
    <row r="61" s="4" customFormat="1" spans="1:73">
      <c r="A61" s="17">
        <f t="shared" si="0"/>
        <v>55</v>
      </c>
      <c r="B61" s="18">
        <f t="shared" si="2"/>
        <v>516003</v>
      </c>
      <c r="C61" s="4" t="s">
        <v>665</v>
      </c>
      <c r="D61" s="20">
        <v>121170</v>
      </c>
      <c r="E61" s="20">
        <v>100</v>
      </c>
      <c r="F61" s="20">
        <v>1</v>
      </c>
      <c r="G61" s="20">
        <v>28</v>
      </c>
      <c r="H61" s="20"/>
      <c r="I61" s="37">
        <v>0</v>
      </c>
      <c r="J61" s="20"/>
      <c r="K61" s="20"/>
      <c r="L61" s="20"/>
      <c r="M61" s="20">
        <v>1</v>
      </c>
      <c r="N61" s="20">
        <v>600429</v>
      </c>
      <c r="O61" s="20">
        <v>1</v>
      </c>
      <c r="P61" s="20">
        <v>25</v>
      </c>
      <c r="Q61" s="20">
        <v>600431</v>
      </c>
      <c r="R61" s="20">
        <v>1</v>
      </c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56" t="s">
        <v>666</v>
      </c>
      <c r="AE61" s="4">
        <v>9000</v>
      </c>
      <c r="AF61" s="55">
        <v>5000</v>
      </c>
      <c r="AG61" s="4">
        <v>3410200</v>
      </c>
      <c r="AH61" s="4">
        <v>500</v>
      </c>
      <c r="AI61" s="69">
        <v>0.7</v>
      </c>
      <c r="AJ61" s="69">
        <v>0.1</v>
      </c>
      <c r="AK61" s="69">
        <v>1.3</v>
      </c>
      <c r="AL61" s="69">
        <v>0.2</v>
      </c>
      <c r="AM61" s="70">
        <v>1.5</v>
      </c>
      <c r="AN61" s="71"/>
      <c r="AO61" s="80"/>
      <c r="AP61" s="80"/>
      <c r="AQ61" s="80">
        <v>0.5</v>
      </c>
      <c r="AR61" s="70"/>
      <c r="AS61" s="70"/>
      <c r="AT61" s="69"/>
      <c r="AU61" s="86">
        <v>0.3</v>
      </c>
      <c r="AV61" s="86">
        <v>0.05</v>
      </c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</row>
    <row r="62" s="4" customFormat="1" spans="1:73">
      <c r="A62" s="17">
        <f t="shared" si="0"/>
        <v>56</v>
      </c>
      <c r="B62" s="18">
        <f t="shared" si="2"/>
        <v>516003</v>
      </c>
      <c r="C62" s="4" t="s">
        <v>667</v>
      </c>
      <c r="D62" s="20">
        <v>121170</v>
      </c>
      <c r="E62" s="20">
        <v>100</v>
      </c>
      <c r="F62" s="20">
        <v>6</v>
      </c>
      <c r="G62" s="20">
        <v>28</v>
      </c>
      <c r="H62" s="20"/>
      <c r="I62" s="37">
        <v>0</v>
      </c>
      <c r="J62" s="20"/>
      <c r="K62" s="20"/>
      <c r="L62" s="20"/>
      <c r="M62" s="20">
        <v>1</v>
      </c>
      <c r="N62" s="20">
        <v>600429</v>
      </c>
      <c r="O62" s="20">
        <v>1</v>
      </c>
      <c r="P62" s="20">
        <v>25</v>
      </c>
      <c r="Q62" s="20">
        <v>600431</v>
      </c>
      <c r="R62" s="20">
        <v>1</v>
      </c>
      <c r="S62" s="20">
        <v>10</v>
      </c>
      <c r="T62" s="20">
        <v>600430</v>
      </c>
      <c r="U62" s="20">
        <v>1</v>
      </c>
      <c r="V62" s="20"/>
      <c r="W62" s="20"/>
      <c r="X62" s="20"/>
      <c r="Y62" s="20"/>
      <c r="Z62" s="20"/>
      <c r="AA62" s="20"/>
      <c r="AB62" s="20"/>
      <c r="AC62" s="20"/>
      <c r="AD62" s="56" t="s">
        <v>666</v>
      </c>
      <c r="AE62" s="4">
        <v>9000</v>
      </c>
      <c r="AF62" s="55">
        <v>5000</v>
      </c>
      <c r="AG62" s="4">
        <v>3410200</v>
      </c>
      <c r="AH62" s="4">
        <v>500</v>
      </c>
      <c r="AI62" s="69">
        <v>0.7</v>
      </c>
      <c r="AJ62" s="69">
        <v>0.1</v>
      </c>
      <c r="AK62" s="69">
        <v>1.3</v>
      </c>
      <c r="AL62" s="69">
        <v>0.2</v>
      </c>
      <c r="AM62" s="70">
        <v>1.5</v>
      </c>
      <c r="AN62" s="71"/>
      <c r="AO62" s="80"/>
      <c r="AP62" s="80"/>
      <c r="AQ62" s="80">
        <v>0.5</v>
      </c>
      <c r="AR62" s="70"/>
      <c r="AS62" s="70"/>
      <c r="AT62" s="69"/>
      <c r="AU62" s="86">
        <v>0.3</v>
      </c>
      <c r="AV62" s="86">
        <v>0.05</v>
      </c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</row>
    <row r="63" s="4" customFormat="1" spans="1:73">
      <c r="A63" s="17">
        <f t="shared" si="0"/>
        <v>57</v>
      </c>
      <c r="B63" s="18">
        <f t="shared" si="2"/>
        <v>516003</v>
      </c>
      <c r="C63" s="4" t="s">
        <v>667</v>
      </c>
      <c r="D63" s="20">
        <v>121170</v>
      </c>
      <c r="E63" s="20">
        <v>100</v>
      </c>
      <c r="F63" s="20">
        <v>8</v>
      </c>
      <c r="G63" s="20">
        <v>28</v>
      </c>
      <c r="H63" s="20"/>
      <c r="I63" s="37">
        <v>0</v>
      </c>
      <c r="J63" s="20"/>
      <c r="K63" s="20"/>
      <c r="L63" s="20"/>
      <c r="M63" s="20">
        <v>1</v>
      </c>
      <c r="N63" s="20">
        <v>600429</v>
      </c>
      <c r="O63" s="20">
        <v>1</v>
      </c>
      <c r="P63" s="20">
        <v>25</v>
      </c>
      <c r="Q63" s="20">
        <v>600431</v>
      </c>
      <c r="R63" s="20">
        <v>1</v>
      </c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56" t="s">
        <v>668</v>
      </c>
      <c r="AE63" s="4">
        <v>9000</v>
      </c>
      <c r="AF63" s="55">
        <v>5000</v>
      </c>
      <c r="AG63" s="4">
        <v>3410200</v>
      </c>
      <c r="AH63" s="4">
        <v>500</v>
      </c>
      <c r="AI63" s="69">
        <v>0.7</v>
      </c>
      <c r="AJ63" s="69">
        <v>0.1</v>
      </c>
      <c r="AK63" s="69">
        <v>1.3</v>
      </c>
      <c r="AL63" s="69">
        <v>0.2</v>
      </c>
      <c r="AM63" s="70">
        <v>1.5</v>
      </c>
      <c r="AN63" s="71"/>
      <c r="AO63" s="80"/>
      <c r="AP63" s="80"/>
      <c r="AQ63" s="80">
        <v>0.5</v>
      </c>
      <c r="AR63" s="70"/>
      <c r="AS63" s="70"/>
      <c r="AT63" s="69"/>
      <c r="AU63" s="86">
        <v>0.3</v>
      </c>
      <c r="AV63" s="86">
        <v>0.05</v>
      </c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</row>
    <row r="64" s="5" customFormat="1" spans="1:73">
      <c r="A64" s="17">
        <f t="shared" si="0"/>
        <v>58</v>
      </c>
      <c r="B64" s="18">
        <f t="shared" si="2"/>
        <v>516004</v>
      </c>
      <c r="C64" s="5" t="s">
        <v>669</v>
      </c>
      <c r="D64" s="24">
        <v>121220</v>
      </c>
      <c r="E64" s="5">
        <v>100</v>
      </c>
      <c r="F64" s="5">
        <v>1</v>
      </c>
      <c r="G64" s="5">
        <v>24</v>
      </c>
      <c r="H64" s="25"/>
      <c r="I64" s="25">
        <v>0</v>
      </c>
      <c r="J64" s="25"/>
      <c r="K64" s="25"/>
      <c r="M64" s="38">
        <v>1</v>
      </c>
      <c r="N64" s="24">
        <v>10775</v>
      </c>
      <c r="O64" s="39">
        <v>1</v>
      </c>
      <c r="P64" s="39"/>
      <c r="R64" s="39"/>
      <c r="S64" s="39"/>
      <c r="T64" s="45"/>
      <c r="U64" s="39"/>
      <c r="V64" s="25"/>
      <c r="W64" s="25"/>
      <c r="X64" s="25"/>
      <c r="Y64" s="25"/>
      <c r="Z64" s="25"/>
      <c r="AA64" s="25"/>
      <c r="AB64" s="25"/>
      <c r="AC64" s="57"/>
      <c r="AD64" s="24" t="s">
        <v>670</v>
      </c>
      <c r="AE64" s="5">
        <v>13000</v>
      </c>
      <c r="AF64" s="5">
        <v>4200</v>
      </c>
      <c r="AG64" s="5">
        <v>7000000</v>
      </c>
      <c r="AH64" s="5">
        <v>500</v>
      </c>
      <c r="AI64" s="5">
        <v>0.5</v>
      </c>
      <c r="AJ64" s="5">
        <v>0.1</v>
      </c>
      <c r="AK64" s="5">
        <v>1.3</v>
      </c>
      <c r="AM64" s="38">
        <v>1.5</v>
      </c>
      <c r="AN64" s="38"/>
      <c r="AO64" s="5">
        <v>1.3</v>
      </c>
      <c r="AQ64" s="38">
        <v>0.5</v>
      </c>
      <c r="AS64" s="25"/>
      <c r="AT64" s="25"/>
      <c r="AU64" s="5">
        <v>0.3</v>
      </c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5" t="s">
        <v>671</v>
      </c>
    </row>
    <row r="65" s="5" customFormat="1" spans="1:73">
      <c r="A65" s="17">
        <f t="shared" si="0"/>
        <v>59</v>
      </c>
      <c r="B65" s="18">
        <f t="shared" si="2"/>
        <v>516004</v>
      </c>
      <c r="C65" s="5" t="s">
        <v>669</v>
      </c>
      <c r="D65" s="24">
        <v>121220</v>
      </c>
      <c r="E65" s="5">
        <v>100</v>
      </c>
      <c r="F65" s="25">
        <v>3</v>
      </c>
      <c r="G65" s="5">
        <v>24</v>
      </c>
      <c r="H65" s="25"/>
      <c r="I65" s="25">
        <v>0</v>
      </c>
      <c r="J65" s="25"/>
      <c r="K65" s="25"/>
      <c r="M65" s="38">
        <v>1</v>
      </c>
      <c r="N65" s="24">
        <v>10775</v>
      </c>
      <c r="O65" s="39">
        <v>1</v>
      </c>
      <c r="P65" s="39"/>
      <c r="R65" s="39"/>
      <c r="S65" s="39"/>
      <c r="T65" s="45"/>
      <c r="U65" s="39"/>
      <c r="V65" s="25"/>
      <c r="W65" s="25"/>
      <c r="X65" s="25"/>
      <c r="Y65" s="25"/>
      <c r="Z65" s="25"/>
      <c r="AA65" s="25"/>
      <c r="AB65" s="25"/>
      <c r="AC65" s="57"/>
      <c r="AD65" s="24" t="s">
        <v>670</v>
      </c>
      <c r="AE65" s="5">
        <v>13000</v>
      </c>
      <c r="AF65" s="5">
        <v>4200</v>
      </c>
      <c r="AG65" s="5">
        <v>7000000</v>
      </c>
      <c r="AH65" s="5">
        <v>500</v>
      </c>
      <c r="AI65" s="5">
        <v>0.5</v>
      </c>
      <c r="AJ65" s="5">
        <v>0.1</v>
      </c>
      <c r="AK65" s="5">
        <v>1.3</v>
      </c>
      <c r="AM65" s="38">
        <v>1.5</v>
      </c>
      <c r="AN65" s="38"/>
      <c r="AO65" s="5">
        <v>1.3</v>
      </c>
      <c r="AQ65" s="38">
        <v>0.5</v>
      </c>
      <c r="AS65" s="25"/>
      <c r="AT65" s="25"/>
      <c r="AU65" s="5">
        <v>0.3</v>
      </c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5" t="s">
        <v>671</v>
      </c>
    </row>
    <row r="66" s="5" customFormat="1" spans="1:73">
      <c r="A66" s="17">
        <f t="shared" si="0"/>
        <v>60</v>
      </c>
      <c r="B66" s="18">
        <f t="shared" si="2"/>
        <v>516004</v>
      </c>
      <c r="C66" s="5" t="s">
        <v>669</v>
      </c>
      <c r="D66" s="24">
        <v>121221</v>
      </c>
      <c r="E66" s="5">
        <v>100</v>
      </c>
      <c r="F66" s="5">
        <v>5</v>
      </c>
      <c r="G66" s="5">
        <v>24</v>
      </c>
      <c r="H66" s="25"/>
      <c r="I66" s="25">
        <v>0</v>
      </c>
      <c r="J66" s="25"/>
      <c r="K66" s="25"/>
      <c r="M66" s="38">
        <v>1</v>
      </c>
      <c r="N66" s="24">
        <v>10776</v>
      </c>
      <c r="O66" s="39">
        <v>1</v>
      </c>
      <c r="P66" s="39"/>
      <c r="Q66" s="45"/>
      <c r="R66" s="39"/>
      <c r="S66" s="39"/>
      <c r="T66" s="45"/>
      <c r="U66" s="39"/>
      <c r="V66" s="25"/>
      <c r="W66" s="25"/>
      <c r="X66" s="25"/>
      <c r="Y66" s="25"/>
      <c r="Z66" s="25"/>
      <c r="AA66" s="25"/>
      <c r="AB66" s="25"/>
      <c r="AC66" s="57"/>
      <c r="AD66" s="24" t="s">
        <v>670</v>
      </c>
      <c r="AE66" s="5">
        <v>13000</v>
      </c>
      <c r="AF66" s="5">
        <v>4200</v>
      </c>
      <c r="AG66" s="5">
        <v>7000000</v>
      </c>
      <c r="AH66" s="5">
        <v>500</v>
      </c>
      <c r="AI66" s="5">
        <v>0.5</v>
      </c>
      <c r="AJ66" s="5">
        <v>0.1</v>
      </c>
      <c r="AK66" s="5">
        <v>1.3</v>
      </c>
      <c r="AM66" s="38">
        <v>1.5</v>
      </c>
      <c r="AN66" s="38"/>
      <c r="AO66" s="5">
        <v>1.3</v>
      </c>
      <c r="AQ66" s="38">
        <v>0.5</v>
      </c>
      <c r="AS66" s="25"/>
      <c r="AT66" s="25"/>
      <c r="AU66" s="5">
        <v>0.3</v>
      </c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</row>
    <row r="67" s="5" customFormat="1" spans="1:73">
      <c r="A67" s="17">
        <f t="shared" si="0"/>
        <v>61</v>
      </c>
      <c r="B67" s="18">
        <f t="shared" si="2"/>
        <v>516004</v>
      </c>
      <c r="C67" s="5" t="s">
        <v>669</v>
      </c>
      <c r="D67" s="24">
        <v>121221</v>
      </c>
      <c r="E67" s="5">
        <v>100</v>
      </c>
      <c r="F67" s="5">
        <v>7</v>
      </c>
      <c r="G67" s="5">
        <v>24</v>
      </c>
      <c r="H67" s="25"/>
      <c r="I67" s="25">
        <v>0</v>
      </c>
      <c r="J67" s="25"/>
      <c r="K67" s="25"/>
      <c r="M67" s="38">
        <v>1</v>
      </c>
      <c r="N67" s="24">
        <v>10776</v>
      </c>
      <c r="O67" s="39">
        <v>1</v>
      </c>
      <c r="P67" s="39"/>
      <c r="Q67" s="45"/>
      <c r="R67" s="39"/>
      <c r="S67" s="39"/>
      <c r="T67" s="45"/>
      <c r="U67" s="39"/>
      <c r="V67" s="25"/>
      <c r="W67" s="25"/>
      <c r="X67" s="25"/>
      <c r="Y67" s="25"/>
      <c r="Z67" s="25"/>
      <c r="AA67" s="25"/>
      <c r="AB67" s="25"/>
      <c r="AC67" s="57"/>
      <c r="AD67" s="24" t="s">
        <v>670</v>
      </c>
      <c r="AE67" s="5">
        <v>13000</v>
      </c>
      <c r="AF67" s="5">
        <v>4200</v>
      </c>
      <c r="AG67" s="5">
        <v>7000000</v>
      </c>
      <c r="AH67" s="5">
        <v>500</v>
      </c>
      <c r="AI67" s="5">
        <v>0.5</v>
      </c>
      <c r="AJ67" s="5">
        <v>0.1</v>
      </c>
      <c r="AK67" s="5">
        <v>1.3</v>
      </c>
      <c r="AM67" s="38">
        <v>1.5</v>
      </c>
      <c r="AN67" s="38"/>
      <c r="AO67" s="5">
        <v>1.3</v>
      </c>
      <c r="AQ67" s="38">
        <v>0.5</v>
      </c>
      <c r="AS67" s="25"/>
      <c r="AT67" s="25"/>
      <c r="AU67" s="5">
        <v>0.3</v>
      </c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</row>
    <row r="68" s="5" customFormat="1" spans="1:73">
      <c r="A68" s="17">
        <f t="shared" si="0"/>
        <v>62</v>
      </c>
      <c r="B68" s="18">
        <f t="shared" si="2"/>
        <v>516004</v>
      </c>
      <c r="C68" s="5" t="s">
        <v>669</v>
      </c>
      <c r="D68" s="24">
        <v>121221</v>
      </c>
      <c r="E68" s="5">
        <v>100</v>
      </c>
      <c r="F68" s="5">
        <v>9</v>
      </c>
      <c r="G68" s="5">
        <v>24</v>
      </c>
      <c r="H68" s="25"/>
      <c r="I68" s="25">
        <v>0</v>
      </c>
      <c r="J68" s="25"/>
      <c r="K68" s="25"/>
      <c r="M68" s="38">
        <v>1</v>
      </c>
      <c r="N68" s="24">
        <v>10776</v>
      </c>
      <c r="O68" s="39">
        <v>1</v>
      </c>
      <c r="P68" s="39"/>
      <c r="Q68" s="45"/>
      <c r="R68" s="39"/>
      <c r="S68" s="39"/>
      <c r="T68" s="45"/>
      <c r="U68" s="39"/>
      <c r="V68" s="25"/>
      <c r="W68" s="25"/>
      <c r="X68" s="25"/>
      <c r="Y68" s="25"/>
      <c r="Z68" s="25"/>
      <c r="AA68" s="25"/>
      <c r="AB68" s="25"/>
      <c r="AC68" s="57"/>
      <c r="AD68" s="24" t="s">
        <v>670</v>
      </c>
      <c r="AE68" s="5">
        <v>13000</v>
      </c>
      <c r="AF68" s="5">
        <v>4200</v>
      </c>
      <c r="AG68" s="5">
        <v>7000000</v>
      </c>
      <c r="AH68" s="5">
        <v>500</v>
      </c>
      <c r="AI68" s="5">
        <v>0.5</v>
      </c>
      <c r="AJ68" s="5">
        <v>0.1</v>
      </c>
      <c r="AK68" s="5">
        <v>1.3</v>
      </c>
      <c r="AM68" s="38">
        <v>1.5</v>
      </c>
      <c r="AN68" s="38"/>
      <c r="AO68" s="5">
        <v>1.3</v>
      </c>
      <c r="AQ68" s="38">
        <v>0.5</v>
      </c>
      <c r="AS68" s="25"/>
      <c r="AT68" s="25"/>
      <c r="AU68" s="5">
        <v>0.3</v>
      </c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</row>
    <row r="69" s="4" customFormat="1" spans="1:73">
      <c r="A69" s="17">
        <f t="shared" si="0"/>
        <v>63</v>
      </c>
      <c r="B69" s="18">
        <f t="shared" si="2"/>
        <v>516005</v>
      </c>
      <c r="C69" s="4" t="s">
        <v>672</v>
      </c>
      <c r="D69" s="20">
        <v>121175</v>
      </c>
      <c r="E69" s="20">
        <v>100</v>
      </c>
      <c r="F69" s="20">
        <v>2</v>
      </c>
      <c r="G69" s="20">
        <v>28</v>
      </c>
      <c r="H69" s="20"/>
      <c r="I69" s="37">
        <v>0</v>
      </c>
      <c r="J69" s="20"/>
      <c r="K69" s="20"/>
      <c r="L69" s="20"/>
      <c r="M69" s="20">
        <v>1</v>
      </c>
      <c r="N69" s="20">
        <v>600432</v>
      </c>
      <c r="O69" s="20">
        <v>1</v>
      </c>
      <c r="P69" s="20">
        <v>25</v>
      </c>
      <c r="Q69" s="20">
        <v>600433</v>
      </c>
      <c r="R69" s="20">
        <v>1</v>
      </c>
      <c r="S69" s="20">
        <v>10</v>
      </c>
      <c r="T69" s="20">
        <v>600434</v>
      </c>
      <c r="U69" s="20">
        <v>1</v>
      </c>
      <c r="V69" s="20">
        <v>10</v>
      </c>
      <c r="W69" s="20">
        <v>600435</v>
      </c>
      <c r="X69" s="20">
        <v>1</v>
      </c>
      <c r="Y69" s="20">
        <v>10</v>
      </c>
      <c r="Z69" s="20">
        <v>600436</v>
      </c>
      <c r="AA69" s="20">
        <v>1</v>
      </c>
      <c r="AB69" s="20"/>
      <c r="AC69" s="20"/>
      <c r="AD69" s="56" t="s">
        <v>673</v>
      </c>
      <c r="AE69" s="4">
        <v>15000</v>
      </c>
      <c r="AF69" s="58">
        <v>7000</v>
      </c>
      <c r="AG69" s="4">
        <v>30356000</v>
      </c>
      <c r="AH69" s="4">
        <v>600</v>
      </c>
      <c r="AI69" s="68">
        <v>0.5</v>
      </c>
      <c r="AJ69" s="68">
        <v>0.1</v>
      </c>
      <c r="AK69" s="68">
        <v>1.5</v>
      </c>
      <c r="AL69" s="68">
        <v>0</v>
      </c>
      <c r="AM69" s="72">
        <v>1.5</v>
      </c>
      <c r="AN69" s="73"/>
      <c r="AO69" s="83"/>
      <c r="AP69" s="83">
        <v>0.8</v>
      </c>
      <c r="AQ69" s="83">
        <v>0.5</v>
      </c>
      <c r="AR69" s="72"/>
      <c r="AS69" s="72"/>
      <c r="AT69" s="68"/>
      <c r="AU69" s="86">
        <v>0.3</v>
      </c>
      <c r="AV69" s="87">
        <v>0.05</v>
      </c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 t="s">
        <v>674</v>
      </c>
    </row>
    <row r="70" s="4" customFormat="1" spans="1:73">
      <c r="A70" s="17">
        <f t="shared" si="0"/>
        <v>64</v>
      </c>
      <c r="B70" s="18">
        <f t="shared" si="2"/>
        <v>516005</v>
      </c>
      <c r="C70" s="4" t="s">
        <v>675</v>
      </c>
      <c r="D70" s="20">
        <v>121177</v>
      </c>
      <c r="E70" s="20">
        <v>100</v>
      </c>
      <c r="F70" s="20">
        <v>5</v>
      </c>
      <c r="G70" s="20">
        <v>28</v>
      </c>
      <c r="H70" s="20"/>
      <c r="I70" s="37">
        <v>0</v>
      </c>
      <c r="J70" s="20"/>
      <c r="K70" s="20"/>
      <c r="L70" s="20"/>
      <c r="M70" s="20">
        <v>1</v>
      </c>
      <c r="N70" s="20">
        <v>600511</v>
      </c>
      <c r="O70" s="20">
        <v>1</v>
      </c>
      <c r="P70" s="20">
        <v>10</v>
      </c>
      <c r="Q70" s="20">
        <v>600513</v>
      </c>
      <c r="R70" s="20">
        <v>1</v>
      </c>
      <c r="S70" s="20">
        <v>10</v>
      </c>
      <c r="T70" s="20">
        <v>600514</v>
      </c>
      <c r="U70" s="20">
        <v>1</v>
      </c>
      <c r="V70" s="20"/>
      <c r="W70" s="20"/>
      <c r="X70" s="20"/>
      <c r="Y70" s="20"/>
      <c r="Z70" s="20"/>
      <c r="AA70" s="20"/>
      <c r="AB70" s="20"/>
      <c r="AC70" s="20"/>
      <c r="AD70" s="56" t="s">
        <v>673</v>
      </c>
      <c r="AE70" s="4">
        <v>15000</v>
      </c>
      <c r="AF70" s="58">
        <v>7000</v>
      </c>
      <c r="AG70" s="4">
        <v>30356000</v>
      </c>
      <c r="AH70" s="4">
        <v>750</v>
      </c>
      <c r="AI70" s="68">
        <v>0.5</v>
      </c>
      <c r="AJ70" s="68">
        <v>0.1</v>
      </c>
      <c r="AK70" s="68">
        <v>1.5</v>
      </c>
      <c r="AL70" s="68">
        <v>0</v>
      </c>
      <c r="AM70" s="72">
        <v>1.5</v>
      </c>
      <c r="AN70" s="73"/>
      <c r="AO70" s="83"/>
      <c r="AP70" s="83">
        <v>0.8</v>
      </c>
      <c r="AQ70" s="83">
        <v>0.5</v>
      </c>
      <c r="AR70" s="72"/>
      <c r="AS70" s="72"/>
      <c r="AT70" s="68"/>
      <c r="AU70" s="87">
        <v>0.5</v>
      </c>
      <c r="AV70" s="87">
        <v>0.05</v>
      </c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 t="s">
        <v>676</v>
      </c>
    </row>
    <row r="76" s="7" customFormat="1" spans="1:73">
      <c r="A76" s="7">
        <f t="shared" ref="A76:A82" si="3">ROW()-6</f>
        <v>70</v>
      </c>
      <c r="B76" s="7">
        <f>906001-1+E76</f>
        <v>906001</v>
      </c>
      <c r="C76" s="92" t="s">
        <v>677</v>
      </c>
      <c r="D76" s="92">
        <v>1113003</v>
      </c>
      <c r="E76" s="93">
        <v>1</v>
      </c>
      <c r="F76" s="7">
        <v>5</v>
      </c>
      <c r="G76" s="7">
        <v>3</v>
      </c>
      <c r="I76" s="7">
        <v>1</v>
      </c>
      <c r="L76" s="7">
        <v>0</v>
      </c>
      <c r="M76" s="7">
        <v>1</v>
      </c>
      <c r="N76" s="92">
        <v>500148</v>
      </c>
      <c r="O76" s="94">
        <v>1</v>
      </c>
      <c r="P76" s="94">
        <v>25</v>
      </c>
      <c r="Q76" s="94">
        <v>500150</v>
      </c>
      <c r="R76" s="94">
        <v>1</v>
      </c>
      <c r="S76" s="94">
        <v>25</v>
      </c>
      <c r="T76" s="94">
        <v>500153</v>
      </c>
      <c r="U76" s="94">
        <v>1</v>
      </c>
      <c r="V76" s="7">
        <v>25</v>
      </c>
      <c r="W76" s="7">
        <v>500151</v>
      </c>
      <c r="X76" s="7">
        <v>1</v>
      </c>
      <c r="Y76" s="7">
        <v>20</v>
      </c>
      <c r="Z76" s="7">
        <v>500155</v>
      </c>
      <c r="AA76" s="7">
        <v>1</v>
      </c>
      <c r="AC76" s="95"/>
      <c r="AD76" s="92" t="s">
        <v>678</v>
      </c>
      <c r="AE76" s="7">
        <v>1004</v>
      </c>
      <c r="AF76" s="7">
        <v>0</v>
      </c>
      <c r="AG76" s="96" t="s">
        <v>679</v>
      </c>
      <c r="AH76" s="7">
        <v>47</v>
      </c>
      <c r="AK76" s="7">
        <v>1.5</v>
      </c>
      <c r="AM76" s="7">
        <v>1.5</v>
      </c>
      <c r="AR76" s="7">
        <v>5</v>
      </c>
      <c r="BU76" s="7" t="s">
        <v>680</v>
      </c>
    </row>
    <row r="77" s="7" customFormat="1" spans="1:73">
      <c r="A77" s="7">
        <f t="shared" si="3"/>
        <v>71</v>
      </c>
      <c r="B77" s="7">
        <v>906102</v>
      </c>
      <c r="C77" s="92" t="s">
        <v>681</v>
      </c>
      <c r="D77" s="92">
        <v>1113008</v>
      </c>
      <c r="E77" s="7">
        <v>42</v>
      </c>
      <c r="F77" s="7">
        <v>2</v>
      </c>
      <c r="G77" s="7">
        <v>21</v>
      </c>
      <c r="I77" s="7">
        <v>1</v>
      </c>
      <c r="L77" s="7">
        <v>0</v>
      </c>
      <c r="M77" s="7">
        <v>1</v>
      </c>
      <c r="N77" s="92">
        <v>500340</v>
      </c>
      <c r="O77" s="94">
        <v>1</v>
      </c>
      <c r="P77" s="94">
        <v>25</v>
      </c>
      <c r="Q77" s="94">
        <v>500344</v>
      </c>
      <c r="R77" s="94">
        <v>1</v>
      </c>
      <c r="S77" s="94">
        <v>25</v>
      </c>
      <c r="T77" s="94">
        <v>500347</v>
      </c>
      <c r="U77" s="94">
        <v>1</v>
      </c>
      <c r="V77" s="7">
        <v>25</v>
      </c>
      <c r="W77" s="7">
        <v>500342</v>
      </c>
      <c r="X77" s="7">
        <v>1</v>
      </c>
      <c r="Y77" s="7">
        <v>20</v>
      </c>
      <c r="Z77" s="7">
        <v>500346</v>
      </c>
      <c r="AA77" s="7">
        <v>1</v>
      </c>
      <c r="AC77" s="95"/>
      <c r="AD77" s="92" t="s">
        <v>682</v>
      </c>
      <c r="AE77" s="7">
        <v>8129</v>
      </c>
      <c r="AF77" s="7">
        <v>0</v>
      </c>
      <c r="AG77" s="97" t="s">
        <v>679</v>
      </c>
      <c r="AH77" s="7">
        <v>234</v>
      </c>
      <c r="AK77" s="7">
        <v>1.5</v>
      </c>
      <c r="AM77" s="7">
        <v>1.5</v>
      </c>
      <c r="AR77" s="7">
        <v>5</v>
      </c>
      <c r="BU77" s="7" t="s">
        <v>683</v>
      </c>
    </row>
    <row r="78" s="7" customFormat="1" spans="1:73">
      <c r="A78" s="7">
        <f t="shared" si="3"/>
        <v>72</v>
      </c>
      <c r="B78" s="7">
        <f>906121-1+E78</f>
        <v>906121</v>
      </c>
      <c r="C78" s="92" t="s">
        <v>684</v>
      </c>
      <c r="D78" s="92">
        <v>1113004</v>
      </c>
      <c r="E78" s="7">
        <v>1</v>
      </c>
      <c r="F78" s="7">
        <v>5</v>
      </c>
      <c r="G78" s="7">
        <v>3</v>
      </c>
      <c r="I78" s="7">
        <v>1</v>
      </c>
      <c r="L78" s="7">
        <v>0</v>
      </c>
      <c r="M78" s="7">
        <v>1</v>
      </c>
      <c r="N78" s="92">
        <v>500286</v>
      </c>
      <c r="O78" s="94">
        <v>1</v>
      </c>
      <c r="P78" s="94">
        <v>25</v>
      </c>
      <c r="Q78" s="94">
        <v>701737</v>
      </c>
      <c r="R78" s="94">
        <v>1</v>
      </c>
      <c r="S78" s="94">
        <v>25</v>
      </c>
      <c r="T78" s="94">
        <v>701738</v>
      </c>
      <c r="U78" s="94">
        <v>1</v>
      </c>
      <c r="Y78" s="7">
        <v>20</v>
      </c>
      <c r="Z78" s="7">
        <v>701739</v>
      </c>
      <c r="AA78" s="7">
        <v>1</v>
      </c>
      <c r="AC78" s="95"/>
      <c r="AD78" s="92" t="s">
        <v>685</v>
      </c>
      <c r="AE78" s="7">
        <v>1004</v>
      </c>
      <c r="AF78" s="7">
        <v>0</v>
      </c>
      <c r="AG78" s="97" t="s">
        <v>679</v>
      </c>
      <c r="AH78" s="7">
        <v>47</v>
      </c>
      <c r="AK78" s="7">
        <v>1.5</v>
      </c>
      <c r="AM78" s="7">
        <v>1.5</v>
      </c>
      <c r="AR78" s="7">
        <v>5</v>
      </c>
      <c r="BU78" s="7" t="s">
        <v>686</v>
      </c>
    </row>
    <row r="79" s="7" customFormat="1" spans="1:73">
      <c r="A79" s="7">
        <f t="shared" si="3"/>
        <v>73</v>
      </c>
      <c r="B79" s="7">
        <v>906223</v>
      </c>
      <c r="C79" s="92" t="s">
        <v>687</v>
      </c>
      <c r="D79" s="92">
        <v>1113021</v>
      </c>
      <c r="E79" s="7">
        <v>43</v>
      </c>
      <c r="F79" s="7">
        <v>2</v>
      </c>
      <c r="G79" s="7">
        <v>21</v>
      </c>
      <c r="I79" s="7">
        <v>1</v>
      </c>
      <c r="L79" s="7">
        <v>0</v>
      </c>
      <c r="M79" s="7">
        <v>1</v>
      </c>
      <c r="N79" s="92">
        <v>701741</v>
      </c>
      <c r="O79" s="94">
        <v>1</v>
      </c>
      <c r="P79" s="94">
        <v>25</v>
      </c>
      <c r="Q79" s="94">
        <v>701742</v>
      </c>
      <c r="R79" s="94">
        <v>1</v>
      </c>
      <c r="S79" s="94">
        <v>25</v>
      </c>
      <c r="T79" s="94">
        <v>701743</v>
      </c>
      <c r="U79" s="94">
        <v>1</v>
      </c>
      <c r="V79" s="7">
        <v>25</v>
      </c>
      <c r="W79" s="7">
        <v>701744</v>
      </c>
      <c r="X79" s="7">
        <v>1</v>
      </c>
      <c r="Y79" s="7">
        <v>20</v>
      </c>
      <c r="Z79" s="7">
        <v>701745</v>
      </c>
      <c r="AA79" s="7">
        <v>1</v>
      </c>
      <c r="AC79" s="95"/>
      <c r="AD79" s="92" t="s">
        <v>685</v>
      </c>
      <c r="AE79" s="7">
        <v>8220</v>
      </c>
      <c r="AF79" s="7">
        <v>0</v>
      </c>
      <c r="AG79" s="97" t="s">
        <v>679</v>
      </c>
      <c r="AH79" s="7">
        <v>243</v>
      </c>
      <c r="AK79" s="7">
        <v>1.5</v>
      </c>
      <c r="AM79" s="7">
        <v>1.5</v>
      </c>
      <c r="AR79" s="7">
        <v>5</v>
      </c>
      <c r="BU79" s="7" t="s">
        <v>688</v>
      </c>
    </row>
    <row r="80" s="7" customFormat="1" spans="1:73">
      <c r="A80" s="7">
        <f t="shared" si="3"/>
        <v>74</v>
      </c>
      <c r="B80" s="7">
        <v>906243</v>
      </c>
      <c r="C80" s="92" t="s">
        <v>689</v>
      </c>
      <c r="D80" s="92">
        <v>1113027</v>
      </c>
      <c r="E80" s="7">
        <v>3</v>
      </c>
      <c r="F80" s="7">
        <v>2</v>
      </c>
      <c r="G80" s="7">
        <v>3</v>
      </c>
      <c r="I80" s="7">
        <v>1</v>
      </c>
      <c r="L80" s="7">
        <v>0</v>
      </c>
      <c r="M80" s="7">
        <v>1</v>
      </c>
      <c r="N80" s="92">
        <v>701747</v>
      </c>
      <c r="O80" s="94">
        <v>1</v>
      </c>
      <c r="P80" s="94">
        <v>25</v>
      </c>
      <c r="Q80" s="94">
        <v>701748</v>
      </c>
      <c r="R80" s="94">
        <v>1</v>
      </c>
      <c r="S80" s="94">
        <v>25</v>
      </c>
      <c r="T80" s="94">
        <v>701749</v>
      </c>
      <c r="U80" s="94">
        <v>1</v>
      </c>
      <c r="V80" s="7">
        <v>25</v>
      </c>
      <c r="W80" s="7">
        <v>701750</v>
      </c>
      <c r="X80" s="7">
        <v>1</v>
      </c>
      <c r="Y80" s="7">
        <v>25</v>
      </c>
      <c r="Z80" s="7">
        <v>701751</v>
      </c>
      <c r="AA80" s="7">
        <v>1</v>
      </c>
      <c r="AC80" s="95"/>
      <c r="AD80" s="92" t="s">
        <v>690</v>
      </c>
      <c r="AE80" s="7">
        <v>1678</v>
      </c>
      <c r="AF80" s="7">
        <v>0</v>
      </c>
      <c r="AG80" s="97" t="s">
        <v>679</v>
      </c>
      <c r="AH80" s="7">
        <v>51</v>
      </c>
      <c r="AK80" s="7">
        <v>1.5</v>
      </c>
      <c r="AM80" s="7">
        <v>1.5</v>
      </c>
      <c r="AR80" s="7">
        <v>5</v>
      </c>
      <c r="BU80" s="7" t="s">
        <v>688</v>
      </c>
    </row>
    <row r="81" s="7" customFormat="1" spans="1:73">
      <c r="A81" s="7">
        <f t="shared" si="3"/>
        <v>75</v>
      </c>
      <c r="B81" s="7">
        <f>906301-1+E81</f>
        <v>906305</v>
      </c>
      <c r="C81" s="92" t="s">
        <v>691</v>
      </c>
      <c r="D81" s="92">
        <v>1113002</v>
      </c>
      <c r="E81" s="7">
        <v>5</v>
      </c>
      <c r="F81" s="7">
        <v>5</v>
      </c>
      <c r="G81" s="7">
        <v>9</v>
      </c>
      <c r="I81" s="7">
        <v>1</v>
      </c>
      <c r="L81" s="7">
        <v>0</v>
      </c>
      <c r="M81" s="7">
        <v>1</v>
      </c>
      <c r="N81" s="92">
        <v>500247</v>
      </c>
      <c r="O81" s="94">
        <v>1</v>
      </c>
      <c r="P81" s="94">
        <v>25</v>
      </c>
      <c r="Q81" s="94">
        <v>500250</v>
      </c>
      <c r="R81" s="94">
        <v>1</v>
      </c>
      <c r="S81" s="94">
        <v>25</v>
      </c>
      <c r="T81" s="94">
        <v>500249</v>
      </c>
      <c r="U81" s="94">
        <v>1</v>
      </c>
      <c r="V81" s="7">
        <v>25</v>
      </c>
      <c r="W81" s="7">
        <v>500248</v>
      </c>
      <c r="X81" s="7">
        <v>1</v>
      </c>
      <c r="Y81" s="7">
        <v>20</v>
      </c>
      <c r="Z81" s="7">
        <v>500252</v>
      </c>
      <c r="AA81" s="7">
        <v>1</v>
      </c>
      <c r="AC81" s="95"/>
      <c r="AD81" s="92" t="s">
        <v>692</v>
      </c>
      <c r="AE81" s="7">
        <v>1827</v>
      </c>
      <c r="AF81" s="7">
        <v>0</v>
      </c>
      <c r="AG81" s="97" t="s">
        <v>679</v>
      </c>
      <c r="AH81" s="7">
        <v>55</v>
      </c>
      <c r="AK81" s="7">
        <v>1.5</v>
      </c>
      <c r="AM81" s="7">
        <v>1.5</v>
      </c>
      <c r="AR81" s="7">
        <v>5</v>
      </c>
      <c r="BU81" s="7" t="s">
        <v>693</v>
      </c>
    </row>
    <row r="82" s="7" customFormat="1" spans="1:73">
      <c r="A82" s="7">
        <f t="shared" si="3"/>
        <v>76</v>
      </c>
      <c r="B82" s="7">
        <v>906397</v>
      </c>
      <c r="C82" s="92" t="s">
        <v>694</v>
      </c>
      <c r="D82" s="92">
        <v>1113006</v>
      </c>
      <c r="E82" s="7">
        <v>37</v>
      </c>
      <c r="F82" s="7">
        <v>2</v>
      </c>
      <c r="G82" s="7">
        <v>8</v>
      </c>
      <c r="I82" s="7">
        <v>1</v>
      </c>
      <c r="L82" s="7">
        <v>0</v>
      </c>
      <c r="M82" s="7">
        <v>1</v>
      </c>
      <c r="N82" s="92">
        <v>500263</v>
      </c>
      <c r="O82" s="94">
        <v>1</v>
      </c>
      <c r="P82" s="94">
        <v>25</v>
      </c>
      <c r="Q82" s="94">
        <v>500264</v>
      </c>
      <c r="R82" s="94">
        <v>1</v>
      </c>
      <c r="S82" s="94">
        <v>25</v>
      </c>
      <c r="T82" s="94">
        <v>500269</v>
      </c>
      <c r="U82" s="94">
        <v>1</v>
      </c>
      <c r="V82" s="7">
        <v>25</v>
      </c>
      <c r="W82" s="7">
        <v>500267</v>
      </c>
      <c r="X82" s="7">
        <v>1</v>
      </c>
      <c r="Y82" s="7">
        <v>20</v>
      </c>
      <c r="Z82" s="7">
        <v>500270</v>
      </c>
      <c r="AA82" s="7">
        <v>1</v>
      </c>
      <c r="AC82" s="95"/>
      <c r="AD82" s="92" t="s">
        <v>695</v>
      </c>
      <c r="AE82" s="7">
        <v>7182</v>
      </c>
      <c r="AF82" s="7">
        <v>0</v>
      </c>
      <c r="AG82" s="97" t="s">
        <v>679</v>
      </c>
      <c r="AH82" s="7">
        <v>192</v>
      </c>
      <c r="AK82" s="7">
        <v>1.5</v>
      </c>
      <c r="AM82" s="7">
        <v>1.5</v>
      </c>
      <c r="AR82" s="7">
        <v>5</v>
      </c>
      <c r="BU82" s="7" t="s">
        <v>696</v>
      </c>
    </row>
  </sheetData>
  <conditionalFormatting sqref="A76">
    <cfRule type="duplicateValues" dxfId="0" priority="8"/>
  </conditionalFormatting>
  <conditionalFormatting sqref="A77">
    <cfRule type="duplicateValues" dxfId="0" priority="7"/>
  </conditionalFormatting>
  <conditionalFormatting sqref="A78">
    <cfRule type="duplicateValues" dxfId="0" priority="6"/>
  </conditionalFormatting>
  <conditionalFormatting sqref="A79">
    <cfRule type="duplicateValues" dxfId="0" priority="5"/>
  </conditionalFormatting>
  <conditionalFormatting sqref="A80">
    <cfRule type="duplicateValues" dxfId="0" priority="3"/>
  </conditionalFormatting>
  <conditionalFormatting sqref="A81">
    <cfRule type="duplicateValues" dxfId="0" priority="2"/>
  </conditionalFormatting>
  <conditionalFormatting sqref="A82">
    <cfRule type="duplicateValues" dxfId="0" priority="1"/>
  </conditionalFormatting>
  <conditionalFormatting sqref="A11:A12">
    <cfRule type="duplicateValues" dxfId="1" priority="48"/>
    <cfRule type="duplicateValues" dxfId="1" priority="47"/>
  </conditionalFormatting>
  <conditionalFormatting sqref="A13:A15">
    <cfRule type="duplicateValues" dxfId="1" priority="46"/>
    <cfRule type="duplicateValues" dxfId="1" priority="45"/>
  </conditionalFormatting>
  <conditionalFormatting sqref="A16:A18">
    <cfRule type="duplicateValues" dxfId="1" priority="44"/>
    <cfRule type="duplicateValues" dxfId="1" priority="43"/>
  </conditionalFormatting>
  <conditionalFormatting sqref="A19:A23">
    <cfRule type="duplicateValues" dxfId="1" priority="42"/>
    <cfRule type="duplicateValues" dxfId="1" priority="41"/>
  </conditionalFormatting>
  <conditionalFormatting sqref="A24:A25">
    <cfRule type="duplicateValues" dxfId="1" priority="40"/>
    <cfRule type="duplicateValues" dxfId="1" priority="39"/>
  </conditionalFormatting>
  <conditionalFormatting sqref="A26:A27">
    <cfRule type="duplicateValues" dxfId="1" priority="38"/>
    <cfRule type="duplicateValues" dxfId="1" priority="37"/>
  </conditionalFormatting>
  <conditionalFormatting sqref="A28:A30">
    <cfRule type="duplicateValues" dxfId="1" priority="36"/>
    <cfRule type="duplicateValues" dxfId="1" priority="35"/>
  </conditionalFormatting>
  <conditionalFormatting sqref="A31:A33">
    <cfRule type="duplicateValues" dxfId="1" priority="34"/>
    <cfRule type="duplicateValues" dxfId="1" priority="33"/>
  </conditionalFormatting>
  <conditionalFormatting sqref="A34:A38">
    <cfRule type="duplicateValues" dxfId="1" priority="32"/>
    <cfRule type="duplicateValues" dxfId="1" priority="31"/>
  </conditionalFormatting>
  <conditionalFormatting sqref="A39:A40">
    <cfRule type="duplicateValues" dxfId="1" priority="30"/>
    <cfRule type="duplicateValues" dxfId="1" priority="29"/>
  </conditionalFormatting>
  <conditionalFormatting sqref="A41:A42">
    <cfRule type="duplicateValues" dxfId="1" priority="28"/>
    <cfRule type="duplicateValues" dxfId="1" priority="27"/>
  </conditionalFormatting>
  <conditionalFormatting sqref="A43:A45">
    <cfRule type="duplicateValues" dxfId="1" priority="26"/>
    <cfRule type="duplicateValues" dxfId="1" priority="25"/>
  </conditionalFormatting>
  <conditionalFormatting sqref="A46:A48">
    <cfRule type="duplicateValues" dxfId="1" priority="24"/>
    <cfRule type="duplicateValues" dxfId="1" priority="23"/>
  </conditionalFormatting>
  <conditionalFormatting sqref="A49:A53">
    <cfRule type="duplicateValues" dxfId="1" priority="22"/>
    <cfRule type="duplicateValues" dxfId="1" priority="21"/>
  </conditionalFormatting>
  <conditionalFormatting sqref="A54:A55">
    <cfRule type="duplicateValues" dxfId="1" priority="20"/>
    <cfRule type="duplicateValues" dxfId="1" priority="19"/>
  </conditionalFormatting>
  <conditionalFormatting sqref="A56:A57">
    <cfRule type="duplicateValues" dxfId="1" priority="18"/>
    <cfRule type="duplicateValues" dxfId="1" priority="17"/>
  </conditionalFormatting>
  <conditionalFormatting sqref="A58:A60">
    <cfRule type="duplicateValues" dxfId="1" priority="16"/>
    <cfRule type="duplicateValues" dxfId="1" priority="15"/>
  </conditionalFormatting>
  <conditionalFormatting sqref="A61:A63">
    <cfRule type="duplicateValues" dxfId="1" priority="14"/>
    <cfRule type="duplicateValues" dxfId="1" priority="13"/>
  </conditionalFormatting>
  <conditionalFormatting sqref="A64:A68">
    <cfRule type="duplicateValues" dxfId="1" priority="12"/>
    <cfRule type="duplicateValues" dxfId="1" priority="11"/>
  </conditionalFormatting>
  <conditionalFormatting sqref="A69:A70">
    <cfRule type="duplicateValues" dxfId="1" priority="10"/>
    <cfRule type="duplicateValues" dxfId="1" priority="9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角色</vt:lpstr>
      <vt:lpstr>大招备份</vt:lpstr>
      <vt:lpstr>数值备份</vt:lpstr>
      <vt:lpstr>BOSS免疫被动一览</vt:lpstr>
      <vt:lpstr>heroID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wangpengfei</cp:lastModifiedBy>
  <dcterms:created xsi:type="dcterms:W3CDTF">2006-09-16T00:00:00Z</dcterms:created>
  <dcterms:modified xsi:type="dcterms:W3CDTF">2025-11-14T08:12:06Z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KSOReadingLayout">
    <vt:bool>true</vt:bool>
  </property>
  <property fmtid="{D5CDD505-2E9C-101B-9397-08002B2CF9AE}" pid="4" name="ICV">
    <vt:lpwstr>D02D4748DE7F4204AD4AA0A823D130E8</vt:lpwstr>
  </property>
</Properties>
</file>