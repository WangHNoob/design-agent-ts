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50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Sheet1!$A$5:$O$5408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PC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该表用于模型动画文件注册
该列：模型ID+编号
attack动画编号为attack后数字编号
其他动画序号自20后顺延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关联SailorModel表中的模型ID
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默认3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动画文件名称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动画时长，总帧数除以30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动作是否循环
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填0：播放该动作时，不会硬切播放八星专属；
不填：播放该动作时，会硬切播放八星专属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特效名称，对应Particle表的特效ID
多个特效之间用“&amp;&amp;”对应间隔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特效挂点及偏移坐标
</t>
        </r>
      </text>
    </comment>
    <comment ref="L164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kuma001_body_show_arml</t>
        </r>
      </text>
    </comment>
  </commentList>
</comments>
</file>

<file path=xl/sharedStrings.xml><?xml version="1.0" encoding="utf-8"?>
<sst xmlns="http://schemas.openxmlformats.org/spreadsheetml/2006/main" count="12203" uniqueCount="5332">
  <si>
    <t>7</t>
  </si>
  <si>
    <t>模型动作Id</t>
  </si>
  <si>
    <t>动作对应模型Id</t>
  </si>
  <si>
    <t>动作类型</t>
  </si>
  <si>
    <t>动作资源名</t>
  </si>
  <si>
    <t>动作时长</t>
  </si>
  <si>
    <t>动作是否循环</t>
  </si>
  <si>
    <t>播放该动作时，是否直接切换成八星专属</t>
  </si>
  <si>
    <t>八星专属特效挂在特效类型
1-挂在目标绝对点
2-挂在目标模型上</t>
  </si>
  <si>
    <t>八星专属特效Id</t>
  </si>
  <si>
    <t>八星专属特效挂点</t>
  </si>
  <si>
    <t>切换动作直接停止播放</t>
  </si>
  <si>
    <t>播放该动作时，切换成对应材质（高模）</t>
  </si>
  <si>
    <t>播放该动作时，切换成对应材质（低模）</t>
  </si>
  <si>
    <t>id</t>
  </si>
  <si>
    <t>ModelId</t>
  </si>
  <si>
    <t>Type</t>
  </si>
  <si>
    <t>AniName</t>
  </si>
  <si>
    <t>AniLength</t>
  </si>
  <si>
    <t>IsLoop</t>
  </si>
  <si>
    <t>IsPlayerSceneParticle</t>
  </si>
  <si>
    <t>ParticleTypes</t>
  </si>
  <si>
    <t>ParticleIds</t>
  </si>
  <si>
    <t>ParticleArgs</t>
  </si>
  <si>
    <t>isBindAnim</t>
  </si>
  <si>
    <t>MaterialTransInfo</t>
  </si>
  <si>
    <t>LowMaterialTransInfo</t>
  </si>
  <si>
    <t>int</t>
  </si>
  <si>
    <t>string(intern)</t>
  </si>
  <si>
    <t>double</t>
  </si>
  <si>
    <t>array_int</t>
  </si>
  <si>
    <t>array_string</t>
  </si>
  <si>
    <t>primary</t>
  </si>
  <si>
    <t>index</t>
  </si>
  <si>
    <t>none</t>
  </si>
  <si>
    <t>101</t>
  </si>
  <si>
    <t>attack01</t>
  </si>
  <si>
    <t>102</t>
  </si>
  <si>
    <t>attack02</t>
  </si>
  <si>
    <t>103</t>
  </si>
  <si>
    <t>attack03</t>
  </si>
  <si>
    <t>104</t>
  </si>
  <si>
    <t>attack04</t>
  </si>
  <si>
    <t>105</t>
  </si>
  <si>
    <t>attack05</t>
  </si>
  <si>
    <t>106</t>
  </si>
  <si>
    <t>attack06</t>
  </si>
  <si>
    <t>107</t>
  </si>
  <si>
    <t>attack10</t>
  </si>
  <si>
    <t>108</t>
  </si>
  <si>
    <t>attack08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</si>
  <si>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09</t>
    </r>
  </si>
  <si>
    <t>attack11</t>
  </si>
  <si>
    <t>120</t>
  </si>
  <si>
    <t>mood05</t>
  </si>
  <si>
    <t>Bip001 R Finger1#0.073,0.015,-0.056</t>
  </si>
  <si>
    <t>121</t>
  </si>
  <si>
    <t>mood06</t>
  </si>
  <si>
    <t>root#0,0,0</t>
  </si>
  <si>
    <t>122</t>
  </si>
  <si>
    <t>display02</t>
  </si>
  <si>
    <t>0&amp;&amp;0</t>
  </si>
  <si>
    <t>2&amp;&amp;2</t>
  </si>
  <si>
    <t>948&amp;&amp;949</t>
  </si>
  <si>
    <t>root#0,0,0&amp;&amp;rou#0,0,0</t>
  </si>
  <si>
    <t>201</t>
  </si>
  <si>
    <t>202</t>
  </si>
  <si>
    <t>203</t>
  </si>
  <si>
    <t>204</t>
  </si>
  <si>
    <t>205</t>
  </si>
  <si>
    <t>206</t>
  </si>
  <si>
    <r>
      <rPr>
        <sz val="11"/>
        <color theme="1"/>
        <rFont val="等线"/>
        <charset val="134"/>
      </rPr>
      <t>a</t>
    </r>
    <r>
      <rPr>
        <sz val="11"/>
        <color theme="1"/>
        <rFont val="等线"/>
        <charset val="134"/>
      </rPr>
      <t>ttack06</t>
    </r>
  </si>
  <si>
    <t>207</t>
  </si>
  <si>
    <r>
      <rPr>
        <sz val="11"/>
        <color theme="1"/>
        <rFont val="等线"/>
        <charset val="134"/>
      </rPr>
      <t>a</t>
    </r>
    <r>
      <rPr>
        <sz val="11"/>
        <color theme="1"/>
        <rFont val="等线"/>
        <charset val="134"/>
      </rPr>
      <t>ttack07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</si>
  <si>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10</t>
    </r>
  </si>
  <si>
    <r>
      <rPr>
        <sz val="11"/>
        <color theme="1"/>
        <rFont val="等线"/>
        <charset val="134"/>
      </rPr>
      <t>attack</t>
    </r>
    <r>
      <rPr>
        <sz val="11"/>
        <color theme="1"/>
        <rFont val="等线"/>
        <charset val="134"/>
      </rPr>
      <t>10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</si>
  <si>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20</t>
    </r>
  </si>
  <si>
    <t>mood04</t>
  </si>
  <si>
    <t>301</t>
  </si>
  <si>
    <t>302</t>
  </si>
  <si>
    <t>303</t>
  </si>
  <si>
    <t>304</t>
  </si>
  <si>
    <t>305</t>
  </si>
  <si>
    <t>sanji001_body_attack05_leg</t>
  </si>
  <si>
    <t>306</t>
  </si>
  <si>
    <t>307</t>
  </si>
  <si>
    <t>attack07</t>
  </si>
  <si>
    <t>308</t>
  </si>
  <si>
    <r>
      <rPr>
        <sz val="11"/>
        <color theme="1"/>
        <rFont val="等线"/>
        <charset val="134"/>
      </rPr>
      <t>attack0</t>
    </r>
    <r>
      <rPr>
        <sz val="11"/>
        <color theme="1"/>
        <rFont val="等线"/>
        <charset val="134"/>
      </rPr>
      <t>6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</si>
  <si>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09</t>
    </r>
  </si>
  <si>
    <t>attack09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</si>
  <si>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20</t>
    </r>
  </si>
  <si>
    <t>mood01</t>
  </si>
  <si>
    <t>890&amp;&amp;891</t>
  </si>
  <si>
    <t>root#0,0,0&amp;&amp;sanji001_face_d#0,0,0</t>
  </si>
  <si>
    <t>1&amp;&amp;1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</si>
  <si>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21</t>
    </r>
  </si>
  <si>
    <t>mood03</t>
  </si>
  <si>
    <t>892&amp;&amp;893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</si>
  <si>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22</t>
    </r>
  </si>
  <si>
    <t>401</t>
  </si>
  <si>
    <t>402</t>
  </si>
  <si>
    <t>403</t>
  </si>
  <si>
    <t>404</t>
  </si>
  <si>
    <t>405</t>
  </si>
  <si>
    <t>406</t>
  </si>
  <si>
    <t>407</t>
  </si>
  <si>
    <t>408</t>
  </si>
  <si>
    <t>420</t>
  </si>
  <si>
    <t>mood02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</si>
  <si>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</si>
  <si>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</si>
  <si>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</si>
  <si>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</si>
  <si>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</si>
  <si>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</si>
  <si>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</si>
  <si>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</si>
  <si>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</si>
  <si>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</si>
  <si>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520</t>
  </si>
  <si>
    <r>
      <rPr>
        <sz val="11"/>
        <color theme="1"/>
        <rFont val="等线"/>
        <charset val="134"/>
      </rPr>
      <t>6</t>
    </r>
    <r>
      <rPr>
        <sz val="11"/>
        <color theme="1"/>
        <rFont val="等线"/>
        <charset val="134"/>
      </rPr>
      <t>01</t>
    </r>
  </si>
  <si>
    <r>
      <rPr>
        <sz val="11"/>
        <color theme="1"/>
        <rFont val="等线"/>
        <charset val="134"/>
      </rPr>
      <t>6</t>
    </r>
    <r>
      <rPr>
        <sz val="11"/>
        <color theme="1"/>
        <rFont val="等线"/>
        <charset val="134"/>
      </rPr>
      <t>02</t>
    </r>
  </si>
  <si>
    <r>
      <rPr>
        <sz val="11"/>
        <color theme="1"/>
        <rFont val="等线"/>
        <charset val="134"/>
      </rPr>
      <t>603</t>
    </r>
  </si>
  <si>
    <r>
      <rPr>
        <sz val="11"/>
        <color theme="1"/>
        <rFont val="等线"/>
        <charset val="134"/>
      </rPr>
      <t>604</t>
    </r>
  </si>
  <si>
    <r>
      <rPr>
        <sz val="11"/>
        <color theme="1"/>
        <rFont val="等线"/>
        <charset val="134"/>
      </rPr>
      <t>605</t>
    </r>
  </si>
  <si>
    <r>
      <rPr>
        <sz val="11"/>
        <color theme="1"/>
        <rFont val="等线"/>
        <charset val="134"/>
      </rPr>
      <t>606</t>
    </r>
  </si>
  <si>
    <r>
      <rPr>
        <sz val="11"/>
        <color theme="1"/>
        <rFont val="等线"/>
        <charset val="134"/>
      </rPr>
      <t>607</t>
    </r>
  </si>
  <si>
    <r>
      <rPr>
        <sz val="11"/>
        <color theme="1"/>
        <rFont val="等线"/>
        <charset val="134"/>
      </rPr>
      <t>608</t>
    </r>
  </si>
  <si>
    <t>700</t>
  </si>
  <si>
    <t>standfight</t>
  </si>
  <si>
    <t>701</t>
  </si>
  <si>
    <t>704</t>
  </si>
  <si>
    <t>attack13</t>
  </si>
  <si>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09</t>
    </r>
  </si>
  <si>
    <r>
      <rPr>
        <sz val="11"/>
        <color theme="1"/>
        <rFont val="等线"/>
        <charset val="134"/>
      </rPr>
      <t>attack0</t>
    </r>
    <r>
      <rPr>
        <sz val="11"/>
        <color theme="1"/>
        <rFont val="等线"/>
        <charset val="134"/>
      </rPr>
      <t>9</t>
    </r>
  </si>
  <si>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10</t>
    </r>
  </si>
  <si>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11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</si>
  <si>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00402</t>
    </r>
  </si>
  <si>
    <t>300512</t>
  </si>
  <si>
    <t>attack12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</si>
  <si>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00507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</si>
  <si>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00508</t>
    </r>
  </si>
  <si>
    <r>
      <rPr>
        <sz val="11"/>
        <color theme="1"/>
        <rFont val="等线"/>
        <charset val="134"/>
      </rPr>
      <t>attack0</t>
    </r>
    <r>
      <rPr>
        <sz val="11"/>
        <color theme="1"/>
        <rFont val="等线"/>
        <charset val="134"/>
      </rPr>
      <t>8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</si>
  <si>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00604</t>
    </r>
  </si>
  <si>
    <t>801</t>
  </si>
  <si>
    <t>802</t>
  </si>
  <si>
    <t>803</t>
  </si>
  <si>
    <t>901</t>
  </si>
  <si>
    <t>902</t>
  </si>
  <si>
    <t>903</t>
  </si>
  <si>
    <t>904</t>
  </si>
  <si>
    <t>905</t>
  </si>
  <si>
    <t>906</t>
  </si>
  <si>
    <t>907</t>
  </si>
  <si>
    <t>908</t>
  </si>
  <si>
    <t>920</t>
  </si>
  <si>
    <t>921</t>
  </si>
  <si>
    <t>1001</t>
  </si>
  <si>
    <t>1002</t>
  </si>
  <si>
    <t>1003</t>
  </si>
  <si>
    <t>1004</t>
  </si>
  <si>
    <t>1005</t>
  </si>
  <si>
    <t>1006</t>
  </si>
  <si>
    <t>1007</t>
  </si>
  <si>
    <t>1008</t>
  </si>
  <si>
    <t>1020</t>
  </si>
  <si>
    <r>
      <rPr>
        <sz val="11"/>
        <color theme="1"/>
        <rFont val="宋体"/>
        <charset val="134"/>
      </rPr>
      <t>mood</t>
    </r>
    <r>
      <rPr>
        <sz val="11"/>
        <color theme="1"/>
        <rFont val="宋体"/>
        <charset val="134"/>
      </rPr>
      <t>02</t>
    </r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</si>
  <si>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oot#0,0,0</t>
    </r>
  </si>
  <si>
    <t>1021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</si>
  <si>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</si>
  <si>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</si>
  <si>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</si>
  <si>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</si>
  <si>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</si>
  <si>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</si>
  <si>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</si>
  <si>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</si>
  <si>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</si>
  <si>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1120</t>
  </si>
  <si>
    <r>
      <rPr>
        <sz val="11"/>
        <color theme="1"/>
        <rFont val="宋体"/>
        <charset val="134"/>
      </rPr>
      <t>mood</t>
    </r>
    <r>
      <rPr>
        <sz val="11"/>
        <color theme="1"/>
        <rFont val="宋体"/>
        <charset val="134"/>
      </rPr>
      <t>05</t>
    </r>
  </si>
  <si>
    <t>1201</t>
  </si>
  <si>
    <t>1202</t>
  </si>
  <si>
    <t>1203</t>
  </si>
  <si>
    <t>1204</t>
  </si>
  <si>
    <t>1205</t>
  </si>
  <si>
    <t>1206</t>
  </si>
  <si>
    <t>1207</t>
  </si>
  <si>
    <t>1208</t>
  </si>
  <si>
    <t>1301</t>
  </si>
  <si>
    <t>1302</t>
  </si>
  <si>
    <t>1303</t>
  </si>
  <si>
    <t>1304</t>
  </si>
  <si>
    <t>1305</t>
  </si>
  <si>
    <t>1306</t>
  </si>
  <si>
    <t>1307</t>
  </si>
  <si>
    <t>1308</t>
  </si>
  <si>
    <t>1401</t>
  </si>
  <si>
    <t>1402</t>
  </si>
  <si>
    <t>1403</t>
  </si>
  <si>
    <t>1404</t>
  </si>
  <si>
    <t>1405</t>
  </si>
  <si>
    <t>1406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</si>
  <si>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420</t>
    </r>
  </si>
  <si>
    <t>win</t>
  </si>
  <si>
    <t>Bip001 L Hand#0,0,0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</si>
  <si>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00907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</si>
  <si>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00908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</si>
  <si>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00909</t>
    </r>
  </si>
  <si>
    <t>1501</t>
  </si>
  <si>
    <t>1502</t>
  </si>
  <si>
    <t>1503</t>
  </si>
  <si>
    <t>1504</t>
  </si>
  <si>
    <t>1505</t>
  </si>
  <si>
    <t>1506</t>
  </si>
  <si>
    <t>1507</t>
  </si>
  <si>
    <t>1508</t>
  </si>
  <si>
    <t>1520</t>
  </si>
  <si>
    <r>
      <rPr>
        <sz val="11"/>
        <color theme="1"/>
        <rFont val="宋体"/>
        <charset val="134"/>
      </rPr>
      <t>mood</t>
    </r>
    <r>
      <rPr>
        <sz val="11"/>
        <color theme="1"/>
        <rFont val="宋体"/>
        <charset val="134"/>
      </rPr>
      <t>01</t>
    </r>
  </si>
  <si>
    <t>1521</t>
  </si>
  <si>
    <t>1522</t>
  </si>
  <si>
    <t>1523</t>
  </si>
  <si>
    <t>1524</t>
  </si>
  <si>
    <t>1601</t>
  </si>
  <si>
    <t>1602</t>
  </si>
  <si>
    <t>1603</t>
  </si>
  <si>
    <t>1604</t>
  </si>
  <si>
    <t xml:space="preserve"> </t>
  </si>
  <si>
    <t>1605</t>
  </si>
  <si>
    <t>kuzan001_body_attack05_shou</t>
  </si>
  <si>
    <t>1606</t>
  </si>
  <si>
    <t>1607</t>
  </si>
  <si>
    <t>1608</t>
  </si>
  <si>
    <t>1609</t>
  </si>
  <si>
    <t>kuzan001_body_attack09_bianshen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</si>
  <si>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620</t>
    </r>
  </si>
  <si>
    <t>show</t>
  </si>
  <si>
    <r>
      <rPr>
        <sz val="11"/>
        <color theme="1"/>
        <rFont val="宋体"/>
        <charset val="134"/>
      </rPr>
      <t>root#</t>
    </r>
    <r>
      <rPr>
        <sz val="11"/>
        <color theme="1"/>
        <rFont val="宋体"/>
        <charset val="134"/>
      </rPr>
      <t>0,0,0</t>
    </r>
  </si>
  <si>
    <t>1621</t>
  </si>
  <si>
    <t>954&amp;&amp;955</t>
  </si>
  <si>
    <t>root#0,0,0&amp;&amp;Bip001 R Hand#0,0,0</t>
  </si>
  <si>
    <t>kuzan001_body_display02_shou</t>
  </si>
  <si>
    <t>1701</t>
  </si>
  <si>
    <t>1702</t>
  </si>
  <si>
    <t>1703</t>
  </si>
  <si>
    <t>1704</t>
  </si>
  <si>
    <t>1705</t>
  </si>
  <si>
    <r>
      <rPr>
        <sz val="11"/>
        <color theme="1"/>
        <rFont val="宋体"/>
        <charset val="134"/>
      </rPr>
      <t>attack0</t>
    </r>
    <r>
      <rPr>
        <sz val="11"/>
        <color theme="1"/>
        <rFont val="宋体"/>
        <charset val="134"/>
      </rPr>
      <t>9</t>
    </r>
  </si>
  <si>
    <t>1706</t>
  </si>
  <si>
    <t>1707</t>
  </si>
  <si>
    <t>1708</t>
  </si>
  <si>
    <t>1709</t>
  </si>
  <si>
    <r>
      <rPr>
        <sz val="11"/>
        <color theme="1"/>
        <rFont val="宋体"/>
        <charset val="134"/>
      </rPr>
      <t>attack0</t>
    </r>
    <r>
      <rPr>
        <sz val="11"/>
        <color theme="1"/>
        <rFont val="宋体"/>
        <charset val="134"/>
      </rPr>
      <t>8</t>
    </r>
  </si>
  <si>
    <t>1801</t>
  </si>
  <si>
    <t>1802</t>
  </si>
  <si>
    <t>1803</t>
  </si>
  <si>
    <t>1901</t>
  </si>
  <si>
    <t>1902</t>
  </si>
  <si>
    <t>1903</t>
  </si>
  <si>
    <t>1904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</si>
  <si>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920</t>
    </r>
  </si>
  <si>
    <t>run</t>
  </si>
  <si>
    <r>
      <rPr>
        <sz val="11"/>
        <color theme="1"/>
        <rFont val="等线"/>
        <charset val="134"/>
      </rPr>
      <t>1921</t>
    </r>
  </si>
  <si>
    <r>
      <rPr>
        <sz val="11"/>
        <color theme="1"/>
        <rFont val="等线"/>
        <charset val="134"/>
      </rPr>
      <t>1922</t>
    </r>
  </si>
  <si>
    <t>stand</t>
  </si>
  <si>
    <r>
      <rPr>
        <sz val="11"/>
        <color theme="1"/>
        <rFont val="等线"/>
        <charset val="134"/>
      </rPr>
      <t>1923</t>
    </r>
  </si>
  <si>
    <t>walk</t>
  </si>
  <si>
    <r>
      <rPr>
        <sz val="11"/>
        <color theme="1"/>
        <rFont val="等线"/>
        <charset val="134"/>
      </rPr>
      <t>1924</t>
    </r>
  </si>
  <si>
    <t>talk</t>
  </si>
  <si>
    <t>1925</t>
  </si>
  <si>
    <t>action</t>
  </si>
  <si>
    <t>1926</t>
  </si>
  <si>
    <t>display01</t>
  </si>
  <si>
    <t>1927</t>
  </si>
  <si>
    <t>2001</t>
  </si>
  <si>
    <t>2002</t>
  </si>
  <si>
    <t>2003</t>
  </si>
  <si>
    <t>2004</t>
  </si>
  <si>
    <t>2101</t>
  </si>
  <si>
    <t>2102</t>
  </si>
  <si>
    <t>2103</t>
  </si>
  <si>
    <t>2104</t>
  </si>
  <si>
    <t>2105</t>
  </si>
  <si>
    <t>2201</t>
  </si>
  <si>
    <t>2202</t>
  </si>
  <si>
    <t>2203</t>
  </si>
  <si>
    <t>100101</t>
  </si>
  <si>
    <t>100201</t>
  </si>
  <si>
    <t>100301</t>
  </si>
  <si>
    <t>100401</t>
  </si>
  <si>
    <t>100501</t>
  </si>
  <si>
    <r>
      <rPr>
        <sz val="11"/>
        <color theme="1"/>
        <rFont val="等线"/>
        <charset val="134"/>
      </rPr>
      <t>10060</t>
    </r>
    <r>
      <rPr>
        <sz val="11"/>
        <color theme="1"/>
        <rFont val="等线"/>
        <charset val="134"/>
      </rPr>
      <t>1</t>
    </r>
  </si>
  <si>
    <r>
      <rPr>
        <sz val="11"/>
        <color theme="1"/>
        <rFont val="等线"/>
        <charset val="134"/>
      </rPr>
      <t>10060</t>
    </r>
    <r>
      <rPr>
        <sz val="11"/>
        <color theme="1"/>
        <rFont val="等线"/>
        <charset val="134"/>
      </rPr>
      <t>2</t>
    </r>
  </si>
  <si>
    <t>100701</t>
  </si>
  <si>
    <t>300101</t>
  </si>
  <si>
    <t>small</t>
  </si>
  <si>
    <t>21&amp;&amp;22</t>
  </si>
  <si>
    <t>root#0,0,0&amp;&amp;Bip001 Pelvis#0,0,0</t>
  </si>
  <si>
    <r>
      <rPr>
        <sz val="11"/>
        <color theme="1"/>
        <rFont val="宋体"/>
        <charset val="134"/>
      </rPr>
      <t>0&amp;&amp;</t>
    </r>
    <r>
      <rPr>
        <sz val="11"/>
        <color theme="1"/>
        <rFont val="宋体"/>
        <charset val="134"/>
      </rPr>
      <t>0</t>
    </r>
  </si>
  <si>
    <t>199</t>
  </si>
  <si>
    <t>jumpb</t>
  </si>
  <si>
    <t>2301</t>
  </si>
  <si>
    <t>2302</t>
  </si>
  <si>
    <t>2303</t>
  </si>
  <si>
    <t>2401</t>
  </si>
  <si>
    <t>2402</t>
  </si>
  <si>
    <t>2403</t>
  </si>
  <si>
    <t>100801</t>
  </si>
  <si>
    <t>100901</t>
  </si>
  <si>
    <t>101001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</si>
  <si>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501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</si>
  <si>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502</t>
    </r>
  </si>
  <si>
    <r>
      <rPr>
        <sz val="11"/>
        <color theme="1"/>
        <rFont val="等线"/>
        <charset val="134"/>
      </rPr>
      <t>2503</t>
    </r>
  </si>
  <si>
    <r>
      <rPr>
        <sz val="11"/>
        <color theme="1"/>
        <rFont val="等线"/>
        <charset val="134"/>
      </rPr>
      <t>2504</t>
    </r>
  </si>
  <si>
    <r>
      <rPr>
        <sz val="11"/>
        <color theme="1"/>
        <rFont val="等线"/>
        <charset val="134"/>
      </rPr>
      <t>attack0</t>
    </r>
    <r>
      <rPr>
        <sz val="11"/>
        <color theme="1"/>
        <rFont val="等线"/>
        <charset val="134"/>
      </rPr>
      <t>4</t>
    </r>
  </si>
  <si>
    <r>
      <rPr>
        <sz val="11"/>
        <color theme="1"/>
        <rFont val="等线"/>
        <charset val="134"/>
      </rPr>
      <t>2505</t>
    </r>
  </si>
  <si>
    <r>
      <rPr>
        <sz val="11"/>
        <color theme="1"/>
        <rFont val="等线"/>
        <charset val="134"/>
      </rPr>
      <t>2506</t>
    </r>
  </si>
  <si>
    <r>
      <rPr>
        <sz val="11"/>
        <color theme="1"/>
        <rFont val="等线"/>
        <charset val="134"/>
      </rPr>
      <t>2507</t>
    </r>
  </si>
  <si>
    <r>
      <rPr>
        <sz val="11"/>
        <color theme="1"/>
        <rFont val="等线"/>
        <charset val="134"/>
      </rPr>
      <t>2508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</si>
  <si>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601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</si>
  <si>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602</t>
    </r>
  </si>
  <si>
    <r>
      <rPr>
        <sz val="11"/>
        <color theme="1"/>
        <rFont val="等线"/>
        <charset val="134"/>
      </rPr>
      <t>2603</t>
    </r>
  </si>
  <si>
    <r>
      <rPr>
        <sz val="11"/>
        <color theme="1"/>
        <rFont val="等线"/>
        <charset val="134"/>
      </rPr>
      <t>2604</t>
    </r>
  </si>
  <si>
    <r>
      <rPr>
        <sz val="11"/>
        <color theme="1"/>
        <rFont val="等线"/>
        <charset val="134"/>
      </rPr>
      <t>2605</t>
    </r>
  </si>
  <si>
    <r>
      <rPr>
        <sz val="11"/>
        <color theme="1"/>
        <rFont val="等线"/>
        <charset val="134"/>
      </rPr>
      <t>2606</t>
    </r>
  </si>
  <si>
    <r>
      <rPr>
        <sz val="11"/>
        <color theme="1"/>
        <rFont val="等线"/>
        <charset val="134"/>
      </rPr>
      <t>2607</t>
    </r>
  </si>
  <si>
    <r>
      <rPr>
        <sz val="11"/>
        <color theme="1"/>
        <rFont val="等线"/>
        <charset val="134"/>
      </rPr>
      <t>2608</t>
    </r>
  </si>
  <si>
    <t>2701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</si>
  <si>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702</t>
    </r>
  </si>
  <si>
    <t>absalom_attack02_yinshen</t>
  </si>
  <si>
    <t>2703</t>
  </si>
  <si>
    <r>
      <rPr>
        <sz val="11"/>
        <color theme="1"/>
        <rFont val="等线"/>
        <charset val="134"/>
      </rPr>
      <t>2704</t>
    </r>
  </si>
  <si>
    <t>2705</t>
  </si>
  <si>
    <r>
      <rPr>
        <sz val="11"/>
        <color theme="1"/>
        <rFont val="等线"/>
        <charset val="134"/>
      </rPr>
      <t>2706</t>
    </r>
  </si>
  <si>
    <t>absalom_attack06_yinshen</t>
  </si>
  <si>
    <t>2707</t>
  </si>
  <si>
    <r>
      <rPr>
        <sz val="11"/>
        <color theme="1"/>
        <rFont val="等线"/>
        <charset val="134"/>
      </rPr>
      <t>2708</t>
    </r>
  </si>
  <si>
    <t>absalom_attack08_yinshen</t>
  </si>
  <si>
    <t>2720</t>
  </si>
  <si>
    <t>2801</t>
  </si>
  <si>
    <t>2802</t>
  </si>
  <si>
    <t>2803</t>
  </si>
  <si>
    <t>2804</t>
  </si>
  <si>
    <t>2805</t>
  </si>
  <si>
    <t>2806</t>
  </si>
  <si>
    <t>2807</t>
  </si>
  <si>
    <t>2808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</si>
  <si>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901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</si>
  <si>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902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</si>
  <si>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903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</si>
  <si>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001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</si>
  <si>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002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</si>
  <si>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003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</si>
  <si>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101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</si>
  <si>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102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</si>
  <si>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103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</si>
  <si>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104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</si>
  <si>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201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</si>
  <si>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202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</si>
  <si>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203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</si>
  <si>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301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</si>
  <si>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302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</si>
  <si>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303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</si>
  <si>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304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</si>
  <si>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01101</t>
    </r>
  </si>
  <si>
    <t>101201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</si>
  <si>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01202</t>
    </r>
  </si>
  <si>
    <t>3501</t>
  </si>
  <si>
    <t>3502</t>
  </si>
  <si>
    <t>crocodile001_body_d_yinshen</t>
  </si>
  <si>
    <t>3503</t>
  </si>
  <si>
    <t>3504</t>
  </si>
  <si>
    <t>3505</t>
  </si>
  <si>
    <t>3506</t>
  </si>
  <si>
    <t>3507</t>
  </si>
  <si>
    <t>3508</t>
  </si>
  <si>
    <t>3509</t>
  </si>
  <si>
    <t>3510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</si>
  <si>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520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</si>
  <si>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521</t>
    </r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</si>
  <si>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ood02</t>
    </r>
  </si>
  <si>
    <r>
      <rPr>
        <sz val="11"/>
        <color theme="1"/>
        <rFont val="宋体"/>
        <charset val="134"/>
      </rPr>
      <t>2&amp;&amp;</t>
    </r>
    <r>
      <rPr>
        <sz val="11"/>
        <color theme="1"/>
        <rFont val="宋体"/>
        <charset val="134"/>
      </rPr>
      <t>2</t>
    </r>
  </si>
  <si>
    <r>
      <rPr>
        <sz val="11"/>
        <color theme="1"/>
        <rFont val="宋体"/>
        <charset val="134"/>
      </rPr>
      <t>8</t>
    </r>
    <r>
      <rPr>
        <sz val="11"/>
        <color theme="1"/>
        <rFont val="宋体"/>
        <charset val="134"/>
      </rPr>
      <t>74&amp;&amp;875</t>
    </r>
  </si>
  <si>
    <t>root#0,0,0&amp;&amp;Bip001 R Finger1#0,0,0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</si>
  <si>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522</t>
    </r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</si>
  <si>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ood03</t>
    </r>
  </si>
  <si>
    <t>3523</t>
  </si>
  <si>
    <t>Bip001 L Finger2Nub#0,0,0</t>
  </si>
  <si>
    <t>3524</t>
  </si>
  <si>
    <t>3525</t>
  </si>
  <si>
    <t>3526</t>
  </si>
  <si>
    <t>950&amp;&amp;951</t>
  </si>
  <si>
    <t>3601</t>
  </si>
  <si>
    <t>3602</t>
  </si>
  <si>
    <t>3603</t>
  </si>
  <si>
    <t>3604</t>
  </si>
  <si>
    <t>enel001_body_d_sidelight_0407</t>
  </si>
  <si>
    <t>3605</t>
  </si>
  <si>
    <t>3606</t>
  </si>
  <si>
    <t>3607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</si>
  <si>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620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</si>
  <si>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621</t>
    </r>
  </si>
  <si>
    <t>3622</t>
  </si>
  <si>
    <t>Bip001 R Hand#0,0,0</t>
  </si>
  <si>
    <t>3623</t>
  </si>
  <si>
    <t>3608</t>
  </si>
  <si>
    <t>300801</t>
  </si>
  <si>
    <t>300802</t>
  </si>
  <si>
    <t>enel002_body_d_sidelight_07</t>
  </si>
  <si>
    <t>300803</t>
  </si>
  <si>
    <t>300804</t>
  </si>
  <si>
    <t>300805</t>
  </si>
  <si>
    <t>attack14</t>
  </si>
  <si>
    <t>3801</t>
  </si>
  <si>
    <t>3802</t>
  </si>
  <si>
    <t>3803</t>
  </si>
  <si>
    <t>3804</t>
  </si>
  <si>
    <t>3805</t>
  </si>
  <si>
    <t>3806</t>
  </si>
  <si>
    <t>3807</t>
  </si>
  <si>
    <t>jyabura_attack08_yinshen</t>
  </si>
  <si>
    <t>3808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</si>
  <si>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000301</t>
    </r>
  </si>
  <si>
    <r>
      <rPr>
        <sz val="11"/>
        <color theme="1"/>
        <rFont val="宋体"/>
        <charset val="134"/>
      </rPr>
      <t>attack</t>
    </r>
    <r>
      <rPr>
        <sz val="11"/>
        <color theme="1"/>
        <rFont val="宋体"/>
        <charset val="134"/>
      </rPr>
      <t>11</t>
    </r>
  </si>
  <si>
    <t>3000302</t>
  </si>
  <si>
    <t>3000303</t>
  </si>
  <si>
    <t>3000304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</si>
  <si>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901</t>
    </r>
  </si>
  <si>
    <r>
      <rPr>
        <sz val="11"/>
        <color theme="1"/>
        <rFont val="等线"/>
        <charset val="134"/>
      </rPr>
      <t>3902</t>
    </r>
  </si>
  <si>
    <r>
      <rPr>
        <sz val="11"/>
        <color theme="1"/>
        <rFont val="等线"/>
        <charset val="134"/>
      </rPr>
      <t>3903</t>
    </r>
  </si>
  <si>
    <r>
      <rPr>
        <sz val="11"/>
        <color theme="1"/>
        <rFont val="等线"/>
        <charset val="134"/>
      </rPr>
      <t>3904</t>
    </r>
  </si>
  <si>
    <r>
      <rPr>
        <sz val="11"/>
        <color theme="1"/>
        <rFont val="等线"/>
        <charset val="134"/>
      </rPr>
      <t>3905</t>
    </r>
  </si>
  <si>
    <r>
      <rPr>
        <sz val="11"/>
        <color theme="1"/>
        <rFont val="等线"/>
        <charset val="134"/>
      </rPr>
      <t>3906</t>
    </r>
  </si>
  <si>
    <r>
      <rPr>
        <sz val="11"/>
        <color theme="1"/>
        <rFont val="等线"/>
        <charset val="134"/>
      </rPr>
      <t>3907</t>
    </r>
  </si>
  <si>
    <r>
      <rPr>
        <sz val="11"/>
        <color theme="1"/>
        <rFont val="等线"/>
        <charset val="134"/>
      </rPr>
      <t>3908</t>
    </r>
  </si>
  <si>
    <t>3910</t>
  </si>
  <si>
    <r>
      <rPr>
        <sz val="11"/>
        <color theme="1"/>
        <rFont val="宋体"/>
        <charset val="134"/>
      </rPr>
      <t>attack</t>
    </r>
    <r>
      <rPr>
        <sz val="11"/>
        <color theme="1"/>
        <rFont val="宋体"/>
        <charset val="134"/>
      </rPr>
      <t>10</t>
    </r>
  </si>
  <si>
    <t>3920</t>
  </si>
  <si>
    <r>
      <rPr>
        <sz val="11"/>
        <color theme="1"/>
        <rFont val="宋体"/>
        <charset val="134"/>
      </rPr>
      <t>run</t>
    </r>
    <r>
      <rPr>
        <sz val="11"/>
        <color theme="1"/>
        <rFont val="宋体"/>
        <charset val="134"/>
      </rPr>
      <t>02</t>
    </r>
  </si>
  <si>
    <t>kuma001_body_run_touming</t>
  </si>
  <si>
    <t>3921</t>
  </si>
  <si>
    <t>3922</t>
  </si>
  <si>
    <t>4001</t>
  </si>
  <si>
    <t>4003</t>
  </si>
  <si>
    <t>4004</t>
  </si>
  <si>
    <t>4005</t>
  </si>
  <si>
    <t>4006</t>
  </si>
  <si>
    <t>4007</t>
  </si>
  <si>
    <t>4008</t>
  </si>
  <si>
    <t>4009</t>
  </si>
  <si>
    <t>4010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</si>
  <si>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020</t>
    </r>
  </si>
  <si>
    <r>
      <rPr>
        <sz val="11"/>
        <color theme="1"/>
        <rFont val="宋体"/>
        <charset val="134"/>
      </rPr>
      <t>Bip001 R</t>
    </r>
    <r>
      <rPr>
        <sz val="11"/>
        <color theme="1"/>
        <rFont val="宋体"/>
        <charset val="134"/>
      </rPr>
      <t xml:space="preserve"> Hand</t>
    </r>
    <r>
      <rPr>
        <sz val="11"/>
        <color theme="1"/>
        <rFont val="宋体"/>
        <charset val="134"/>
      </rPr>
      <t>#0,0,0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</si>
  <si>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021</t>
    </r>
  </si>
  <si>
    <r>
      <rPr>
        <sz val="11"/>
        <color theme="1"/>
        <rFont val="宋体"/>
        <charset val="134"/>
      </rPr>
      <t>Bip001 L Hand</t>
    </r>
    <r>
      <rPr>
        <sz val="11"/>
        <color theme="1"/>
        <rFont val="宋体"/>
        <charset val="134"/>
      </rPr>
      <t>#0,0,0</t>
    </r>
  </si>
  <si>
    <t>4101</t>
  </si>
  <si>
    <t>4102</t>
  </si>
  <si>
    <t>4103</t>
  </si>
  <si>
    <t>4104</t>
  </si>
  <si>
    <t>4105</t>
  </si>
  <si>
    <t>4106</t>
  </si>
  <si>
    <t>4107</t>
  </si>
  <si>
    <r>
      <rPr>
        <sz val="11"/>
        <color theme="1"/>
        <rFont val="等线"/>
        <charset val="134"/>
      </rPr>
      <t>attack0</t>
    </r>
    <r>
      <rPr>
        <sz val="11"/>
        <color theme="1"/>
        <rFont val="等线"/>
        <charset val="134"/>
      </rPr>
      <t>7</t>
    </r>
  </si>
  <si>
    <t>4108</t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</si>
  <si>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201</t>
    </r>
  </si>
  <si>
    <t>4202</t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</si>
  <si>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203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</si>
  <si>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204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</si>
  <si>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205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</si>
  <si>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206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</si>
  <si>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208</t>
    </r>
  </si>
  <si>
    <t>4209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</si>
  <si>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220</t>
    </r>
  </si>
  <si>
    <t>Bip001 Head#0,0,0</t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</si>
  <si>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301</t>
    </r>
  </si>
  <si>
    <r>
      <rPr>
        <sz val="11"/>
        <color theme="1"/>
        <rFont val="等线"/>
        <charset val="134"/>
      </rPr>
      <t>4302</t>
    </r>
  </si>
  <si>
    <r>
      <rPr>
        <sz val="11"/>
        <color theme="1"/>
        <rFont val="等线"/>
        <charset val="134"/>
      </rPr>
      <t>4303</t>
    </r>
  </si>
  <si>
    <r>
      <rPr>
        <sz val="11"/>
        <color theme="1"/>
        <rFont val="等线"/>
        <charset val="134"/>
      </rPr>
      <t>4304</t>
    </r>
  </si>
  <si>
    <r>
      <rPr>
        <sz val="11"/>
        <color theme="1"/>
        <rFont val="等线"/>
        <charset val="134"/>
      </rPr>
      <t>4305</t>
    </r>
  </si>
  <si>
    <r>
      <rPr>
        <sz val="11"/>
        <color theme="1"/>
        <rFont val="等线"/>
        <charset val="134"/>
      </rPr>
      <t>4306</t>
    </r>
  </si>
  <si>
    <r>
      <rPr>
        <sz val="11"/>
        <color theme="1"/>
        <rFont val="等线"/>
        <charset val="134"/>
      </rPr>
      <t>4307</t>
    </r>
  </si>
  <si>
    <r>
      <rPr>
        <sz val="11"/>
        <color theme="1"/>
        <rFont val="等线"/>
        <charset val="134"/>
      </rPr>
      <t>4308</t>
    </r>
  </si>
  <si>
    <t>4309</t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</si>
  <si>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401</t>
    </r>
  </si>
  <si>
    <r>
      <rPr>
        <sz val="11"/>
        <color theme="1"/>
        <rFont val="等线"/>
        <charset val="134"/>
      </rPr>
      <t>4402</t>
    </r>
  </si>
  <si>
    <t>attack02a</t>
  </si>
  <si>
    <r>
      <rPr>
        <sz val="11"/>
        <color theme="1"/>
        <rFont val="等线"/>
        <charset val="134"/>
      </rPr>
      <t>4403</t>
    </r>
  </si>
  <si>
    <r>
      <rPr>
        <sz val="11"/>
        <color theme="1"/>
        <rFont val="等线"/>
        <charset val="134"/>
      </rPr>
      <t>4404</t>
    </r>
  </si>
  <si>
    <r>
      <rPr>
        <sz val="11"/>
        <color theme="1"/>
        <rFont val="等线"/>
        <charset val="134"/>
      </rPr>
      <t>4405</t>
    </r>
  </si>
  <si>
    <r>
      <rPr>
        <sz val="11"/>
        <color theme="1"/>
        <rFont val="宋体"/>
        <charset val="134"/>
      </rPr>
      <t>buff</t>
    </r>
    <r>
      <rPr>
        <sz val="11"/>
        <color theme="1"/>
        <rFont val="宋体"/>
        <charset val="134"/>
      </rPr>
      <t>01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</si>
  <si>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401</t>
    </r>
  </si>
  <si>
    <r>
      <rPr>
        <sz val="11"/>
        <color theme="1"/>
        <rFont val="等线"/>
        <charset val="134"/>
      </rPr>
      <t>3402</t>
    </r>
  </si>
  <si>
    <r>
      <rPr>
        <sz val="11"/>
        <color theme="1"/>
        <rFont val="等线"/>
        <charset val="134"/>
      </rPr>
      <t>3403</t>
    </r>
  </si>
  <si>
    <r>
      <rPr>
        <sz val="11"/>
        <color theme="1"/>
        <rFont val="等线"/>
        <charset val="134"/>
      </rPr>
      <t>3404</t>
    </r>
  </si>
  <si>
    <r>
      <rPr>
        <sz val="11"/>
        <color theme="1"/>
        <rFont val="等线"/>
        <charset val="134"/>
      </rPr>
      <t>3405</t>
    </r>
  </si>
  <si>
    <r>
      <rPr>
        <sz val="11"/>
        <color theme="1"/>
        <rFont val="等线"/>
        <charset val="134"/>
      </rPr>
      <t>3406</t>
    </r>
  </si>
  <si>
    <r>
      <rPr>
        <sz val="11"/>
        <color theme="1"/>
        <rFont val="等线"/>
        <charset val="134"/>
      </rPr>
      <t>3407</t>
    </r>
  </si>
  <si>
    <t>3409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</si>
  <si>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01301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</si>
  <si>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01401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</si>
  <si>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01501</t>
    </r>
  </si>
  <si>
    <t>101801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</si>
  <si>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01901</t>
    </r>
  </si>
  <si>
    <t>101902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</si>
  <si>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02001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</si>
  <si>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02101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</si>
  <si>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02201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</si>
  <si>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02301</t>
    </r>
  </si>
  <si>
    <t>102401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</si>
  <si>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02501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</si>
  <si>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02601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</si>
  <si>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02701</t>
    </r>
  </si>
  <si>
    <t>101601</t>
  </si>
  <si>
    <t>101602</t>
  </si>
  <si>
    <t>102901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</si>
  <si>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03001</t>
    </r>
  </si>
  <si>
    <t>101701</t>
  </si>
  <si>
    <t>101702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</si>
  <si>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03101</t>
    </r>
  </si>
  <si>
    <t>103201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</si>
  <si>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03301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</si>
  <si>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601</t>
    </r>
  </si>
  <si>
    <r>
      <rPr>
        <sz val="11"/>
        <color theme="1"/>
        <rFont val="等线"/>
        <charset val="134"/>
      </rPr>
      <t>4602</t>
    </r>
  </si>
  <si>
    <r>
      <rPr>
        <sz val="11"/>
        <color theme="1"/>
        <rFont val="等线"/>
        <charset val="134"/>
      </rPr>
      <t>4603</t>
    </r>
  </si>
  <si>
    <r>
      <rPr>
        <sz val="11"/>
        <color theme="1"/>
        <rFont val="等线"/>
        <charset val="134"/>
      </rPr>
      <t>4604</t>
    </r>
  </si>
  <si>
    <r>
      <rPr>
        <sz val="11"/>
        <color theme="1"/>
        <rFont val="等线"/>
        <charset val="134"/>
      </rPr>
      <t>4605</t>
    </r>
  </si>
  <si>
    <r>
      <rPr>
        <sz val="11"/>
        <color theme="1"/>
        <rFont val="等线"/>
        <charset val="134"/>
      </rPr>
      <t>4606</t>
    </r>
  </si>
  <si>
    <r>
      <rPr>
        <sz val="11"/>
        <color theme="1"/>
        <rFont val="等线"/>
        <charset val="134"/>
      </rPr>
      <t>4607</t>
    </r>
  </si>
  <si>
    <r>
      <rPr>
        <sz val="11"/>
        <color theme="1"/>
        <rFont val="等线"/>
        <charset val="134"/>
      </rPr>
      <t>4608</t>
    </r>
  </si>
  <si>
    <t>paula001_attack08_touming</t>
  </si>
  <si>
    <t>4609</t>
  </si>
  <si>
    <t>attack08_qiu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</si>
  <si>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03801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</si>
  <si>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03802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</si>
  <si>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501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</si>
  <si>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502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</si>
  <si>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503</t>
    </r>
  </si>
  <si>
    <t>4504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</si>
  <si>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04001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</si>
  <si>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04002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</si>
  <si>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04301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</si>
  <si>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04302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</si>
  <si>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04401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</si>
  <si>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04402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</si>
  <si>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04403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</si>
  <si>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04404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</si>
  <si>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701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</si>
  <si>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702</t>
    </r>
  </si>
  <si>
    <r>
      <rPr>
        <sz val="11"/>
        <color theme="1"/>
        <rFont val="等线"/>
        <charset val="134"/>
      </rPr>
      <t>4703</t>
    </r>
  </si>
  <si>
    <r>
      <rPr>
        <sz val="11"/>
        <color theme="1"/>
        <rFont val="等线"/>
        <charset val="134"/>
      </rPr>
      <t>4704</t>
    </r>
  </si>
  <si>
    <r>
      <rPr>
        <sz val="11"/>
        <color theme="1"/>
        <rFont val="等线"/>
        <charset val="134"/>
      </rPr>
      <t>4705</t>
    </r>
  </si>
  <si>
    <r>
      <rPr>
        <sz val="11"/>
        <color theme="1"/>
        <rFont val="等线"/>
        <charset val="134"/>
      </rPr>
      <t>4706</t>
    </r>
  </si>
  <si>
    <r>
      <rPr>
        <sz val="11"/>
        <color theme="1"/>
        <rFont val="等线"/>
        <charset val="134"/>
      </rPr>
      <t>4707</t>
    </r>
  </si>
  <si>
    <r>
      <rPr>
        <sz val="11"/>
        <color theme="1"/>
        <rFont val="等线"/>
        <charset val="134"/>
      </rPr>
      <t>4708</t>
    </r>
  </si>
  <si>
    <t>4720</t>
  </si>
  <si>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02&amp;&amp;903</t>
    </r>
  </si>
  <si>
    <t>root#0,0,0&amp;&amp;Bip001 L Hand#0,0,0</t>
  </si>
  <si>
    <t>4721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</si>
  <si>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ood04</t>
    </r>
  </si>
  <si>
    <t>4722</t>
  </si>
  <si>
    <t>4723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</si>
  <si>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04501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</si>
  <si>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04502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</si>
  <si>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04201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</si>
  <si>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04202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</si>
  <si>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04601</t>
    </r>
  </si>
  <si>
    <t>4801</t>
  </si>
  <si>
    <t>4802</t>
  </si>
  <si>
    <t>4803</t>
  </si>
  <si>
    <t>4804</t>
  </si>
  <si>
    <t>4805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</si>
  <si>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04701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</si>
  <si>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04702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</si>
  <si>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04703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</si>
  <si>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04801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</si>
  <si>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901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</si>
  <si>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902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</si>
  <si>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903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</si>
  <si>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904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</si>
  <si>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001</t>
    </r>
  </si>
  <si>
    <t>艾斯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</si>
  <si>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002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</si>
  <si>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003</t>
    </r>
  </si>
  <si>
    <t>ace001_body_attack03_mt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</si>
  <si>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004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</si>
  <si>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005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</si>
  <si>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006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</si>
  <si>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007</t>
    </r>
  </si>
  <si>
    <t>ace001_body_attack07_light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</si>
  <si>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008</t>
    </r>
  </si>
  <si>
    <t>ace001_body_attack08_mt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</si>
  <si>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009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</si>
  <si>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010</t>
    </r>
  </si>
  <si>
    <t>5013</t>
  </si>
  <si>
    <t>5020</t>
  </si>
  <si>
    <t>5021</t>
  </si>
  <si>
    <r>
      <rPr>
        <sz val="11"/>
        <color theme="1"/>
        <rFont val="等线"/>
        <charset val="134"/>
      </rPr>
      <t xml:space="preserve">Bip001 </t>
    </r>
    <r>
      <rPr>
        <sz val="11"/>
        <color theme="1"/>
        <rFont val="等线"/>
        <charset val="134"/>
      </rPr>
      <t>R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等线"/>
        <charset val="134"/>
      </rPr>
      <t>Hand</t>
    </r>
    <r>
      <rPr>
        <sz val="11"/>
        <color theme="1"/>
        <rFont val="等线"/>
        <charset val="134"/>
      </rPr>
      <t>#0,0,0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</si>
  <si>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022</t>
    </r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</si>
  <si>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ood05</t>
    </r>
  </si>
  <si>
    <t>5023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</si>
  <si>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03901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</si>
  <si>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03701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</si>
  <si>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03702</t>
    </r>
  </si>
  <si>
    <t>104901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</si>
  <si>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101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</si>
  <si>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102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</si>
  <si>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103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</si>
  <si>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104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</si>
  <si>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105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</si>
  <si>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106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</si>
  <si>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107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</si>
  <si>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108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</si>
  <si>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04101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</si>
  <si>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04102</t>
    </r>
  </si>
  <si>
    <t>pell001_body_attack02_yinshen</t>
  </si>
  <si>
    <t>105001</t>
  </si>
  <si>
    <t>105101</t>
  </si>
  <si>
    <t>105201</t>
  </si>
  <si>
    <t>105301</t>
  </si>
  <si>
    <t>105401</t>
  </si>
  <si>
    <t>105501</t>
  </si>
  <si>
    <t>103501</t>
  </si>
  <si>
    <t>103601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</si>
  <si>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05601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</si>
  <si>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05602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</si>
  <si>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05701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</si>
  <si>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03401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</si>
  <si>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03402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</si>
  <si>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01801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</si>
  <si>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01901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</si>
  <si>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02001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</si>
  <si>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05801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</si>
  <si>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05901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</si>
  <si>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06001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</si>
  <si>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06101</t>
    </r>
  </si>
  <si>
    <t>106201</t>
  </si>
  <si>
    <t>106202</t>
  </si>
  <si>
    <t>106203</t>
  </si>
  <si>
    <t>106301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</si>
  <si>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06302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</si>
  <si>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06303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</si>
  <si>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06401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</si>
  <si>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06402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</si>
  <si>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06403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</si>
  <si>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06501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</si>
  <si>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06502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</si>
  <si>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06503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</si>
  <si>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06601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</si>
  <si>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06602</t>
    </r>
  </si>
  <si>
    <t>106701</t>
  </si>
  <si>
    <t>106801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</si>
  <si>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06901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</si>
  <si>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07001</t>
    </r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</si>
  <si>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07101</t>
    </r>
  </si>
  <si>
    <t>107201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</si>
  <si>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07301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</si>
  <si>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201</t>
    </r>
  </si>
  <si>
    <t>5202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</si>
  <si>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203</t>
    </r>
  </si>
  <si>
    <t>borsalino_attack03_leg</t>
  </si>
  <si>
    <t>5204</t>
  </si>
  <si>
    <t>borsalino_attack04_cloak001_d_shadowMutiply&amp;&amp;borsalino_attack04_d_shadowMutiply&amp;&amp;borsalino_attack04_glasses</t>
  </si>
  <si>
    <t>5205</t>
  </si>
  <si>
    <t>5206</t>
  </si>
  <si>
    <t>5207</t>
  </si>
  <si>
    <r>
      <rPr>
        <sz val="11"/>
        <color theme="1"/>
        <rFont val="宋体"/>
        <charset val="134"/>
      </rPr>
      <t>borsalino_attack07_cloak001_d_shadowMutiply&amp;&amp;</t>
    </r>
    <r>
      <rPr>
        <sz val="11"/>
        <color theme="1"/>
        <rFont val="宋体"/>
        <charset val="134"/>
      </rPr>
      <t>borsalino_attack07_d_shadowMutiply</t>
    </r>
  </si>
  <si>
    <t>5208</t>
  </si>
  <si>
    <t>borsalino_attack08_cloak001_d_shadowMutiply&amp;&amp;borsalino_attack08_d_shadowMutiply&amp;&amp;borsalino_attack08_glasses</t>
  </si>
  <si>
    <t>5209</t>
  </si>
  <si>
    <t>run02</t>
  </si>
  <si>
    <t>Bip001 Spine1#0,0,0</t>
  </si>
  <si>
    <t>borsalino_run_cloak&amp;&amp;borsalino_run_d&amp;&amp;borsalino_run_glasses</t>
  </si>
  <si>
    <t>borsalino_run_cloak_low&amp;&amp;borsalino_run_d_low&amp;&amp;borsalino_run_glasses_low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</si>
  <si>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220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</si>
  <si>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221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</si>
  <si>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01501</t>
    </r>
  </si>
  <si>
    <r>
      <rPr>
        <sz val="11"/>
        <color theme="1"/>
        <rFont val="宋体"/>
        <charset val="134"/>
      </rPr>
      <t>201502</t>
    </r>
  </si>
  <si>
    <r>
      <rPr>
        <sz val="11"/>
        <color theme="1"/>
        <rFont val="宋体"/>
        <charset val="134"/>
      </rPr>
      <t>201503</t>
    </r>
  </si>
  <si>
    <r>
      <rPr>
        <sz val="11"/>
        <color theme="1"/>
        <rFont val="宋体"/>
        <charset val="134"/>
      </rPr>
      <t>201504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</si>
  <si>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301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</si>
  <si>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302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</si>
  <si>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303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</si>
  <si>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304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</si>
  <si>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305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</si>
  <si>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306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</si>
  <si>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307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</si>
  <si>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308</t>
    </r>
  </si>
  <si>
    <t>moria001_attack08_d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</si>
  <si>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309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</si>
  <si>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310</t>
    </r>
  </si>
  <si>
    <t>112001</t>
  </si>
  <si>
    <t>MR3_show_lazhu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</si>
  <si>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07401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</si>
  <si>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07402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</si>
  <si>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09201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</si>
  <si>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09301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</si>
  <si>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07501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</si>
  <si>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12101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</si>
  <si>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12102</t>
    </r>
  </si>
  <si>
    <r>
      <rPr>
        <sz val="11"/>
        <color theme="1"/>
        <rFont val="宋体"/>
        <charset val="134"/>
      </rPr>
      <t>attack0</t>
    </r>
    <r>
      <rPr>
        <sz val="11"/>
        <color theme="1"/>
        <rFont val="宋体"/>
        <charset val="134"/>
      </rPr>
      <t>2</t>
    </r>
  </si>
  <si>
    <t>107601</t>
  </si>
  <si>
    <t>107602</t>
  </si>
  <si>
    <t>107701</t>
  </si>
  <si>
    <t>107702</t>
  </si>
  <si>
    <t>107801</t>
  </si>
  <si>
    <t>107802</t>
  </si>
  <si>
    <t>107901</t>
  </si>
  <si>
    <t>107902</t>
  </si>
  <si>
    <t>107903</t>
  </si>
  <si>
    <t>108001</t>
  </si>
  <si>
    <t>108002</t>
  </si>
  <si>
    <t>108003</t>
  </si>
  <si>
    <t>108201</t>
  </si>
  <si>
    <t>108202</t>
  </si>
  <si>
    <t>108203</t>
  </si>
  <si>
    <t>108301</t>
  </si>
  <si>
    <t>108302</t>
  </si>
  <si>
    <t>108401</t>
  </si>
  <si>
    <t>108402</t>
  </si>
  <si>
    <t>108403</t>
  </si>
  <si>
    <t>108501</t>
  </si>
  <si>
    <t>108502</t>
  </si>
  <si>
    <t>108701</t>
  </si>
  <si>
    <t>108702</t>
  </si>
  <si>
    <t>108801</t>
  </si>
  <si>
    <t>108802</t>
  </si>
  <si>
    <t>108901</t>
  </si>
  <si>
    <t>108902</t>
  </si>
  <si>
    <t>108903</t>
  </si>
  <si>
    <t>108904</t>
  </si>
  <si>
    <t>109001</t>
  </si>
  <si>
    <t>109101</t>
  </si>
  <si>
    <t>109401</t>
  </si>
  <si>
    <t>109501</t>
  </si>
  <si>
    <t>109601</t>
  </si>
  <si>
    <t>109701</t>
  </si>
  <si>
    <t>109801</t>
  </si>
  <si>
    <t>109901</t>
  </si>
  <si>
    <t>110001</t>
  </si>
  <si>
    <t>110101</t>
  </si>
  <si>
    <t>110201</t>
  </si>
  <si>
    <t>110301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</si>
  <si>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10701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</si>
  <si>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10702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</si>
  <si>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10703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</si>
  <si>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10704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</si>
  <si>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10801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</si>
  <si>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10802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</si>
  <si>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10901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</si>
  <si>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11201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</si>
  <si>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11202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</si>
  <si>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401</t>
    </r>
  </si>
  <si>
    <r>
      <rPr>
        <sz val="11"/>
        <color theme="1"/>
        <rFont val="宋体"/>
        <charset val="134"/>
      </rPr>
      <t>5402</t>
    </r>
  </si>
  <si>
    <r>
      <rPr>
        <sz val="11"/>
        <color theme="1"/>
        <rFont val="宋体"/>
        <charset val="134"/>
      </rPr>
      <t>5403</t>
    </r>
  </si>
  <si>
    <r>
      <rPr>
        <sz val="11"/>
        <color theme="1"/>
        <rFont val="宋体"/>
        <charset val="134"/>
      </rPr>
      <t>5404</t>
    </r>
  </si>
  <si>
    <r>
      <rPr>
        <sz val="11"/>
        <color theme="1"/>
        <rFont val="宋体"/>
        <charset val="134"/>
      </rPr>
      <t>attack04</t>
    </r>
  </si>
  <si>
    <r>
      <rPr>
        <sz val="11"/>
        <color theme="1"/>
        <rFont val="宋体"/>
        <charset val="134"/>
      </rPr>
      <t>5405</t>
    </r>
  </si>
  <si>
    <r>
      <rPr>
        <sz val="11"/>
        <color theme="1"/>
        <rFont val="宋体"/>
        <charset val="134"/>
      </rPr>
      <t>5406</t>
    </r>
  </si>
  <si>
    <r>
      <rPr>
        <sz val="11"/>
        <color theme="1"/>
        <rFont val="宋体"/>
        <charset val="134"/>
      </rPr>
      <t>attack06</t>
    </r>
  </si>
  <si>
    <r>
      <rPr>
        <sz val="11"/>
        <color theme="1"/>
        <rFont val="宋体"/>
        <charset val="134"/>
      </rPr>
      <t>5407</t>
    </r>
  </si>
  <si>
    <r>
      <rPr>
        <sz val="11"/>
        <color theme="1"/>
        <rFont val="宋体"/>
        <charset val="134"/>
      </rPr>
      <t>5408</t>
    </r>
  </si>
  <si>
    <r>
      <rPr>
        <sz val="11"/>
        <color theme="1"/>
        <rFont val="宋体"/>
        <charset val="134"/>
      </rPr>
      <t>attack08</t>
    </r>
  </si>
  <si>
    <t>5420</t>
  </si>
  <si>
    <t>5421</t>
  </si>
  <si>
    <t>5422</t>
  </si>
  <si>
    <t>110501</t>
  </si>
  <si>
    <t>110601</t>
  </si>
  <si>
    <t>110701</t>
  </si>
  <si>
    <t>110801</t>
  </si>
  <si>
    <t>111001</t>
  </si>
  <si>
    <t>111101</t>
  </si>
  <si>
    <t>111201</t>
  </si>
  <si>
    <t>111801</t>
  </si>
  <si>
    <t>111401</t>
  </si>
  <si>
    <t>111501</t>
  </si>
  <si>
    <t>111601</t>
  </si>
  <si>
    <t>111701</t>
  </si>
  <si>
    <t>111301</t>
  </si>
  <si>
    <t>111901</t>
  </si>
  <si>
    <t>3000201</t>
  </si>
  <si>
    <t>summon</t>
  </si>
  <si>
    <t>3000206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</si>
  <si>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</si>
  <si>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</si>
  <si>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</si>
  <si>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</si>
  <si>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</si>
  <si>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</si>
  <si>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</si>
  <si>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</si>
  <si>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</si>
  <si>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</si>
  <si>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</si>
  <si>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5520</t>
  </si>
  <si>
    <t>5531</t>
  </si>
  <si>
    <r>
      <rPr>
        <sz val="11"/>
        <color theme="1"/>
        <rFont val="宋体"/>
        <charset val="134"/>
      </rPr>
      <t>attack03</t>
    </r>
    <r>
      <rPr>
        <sz val="11"/>
        <color theme="1"/>
        <rFont val="宋体"/>
        <charset val="134"/>
      </rPr>
      <t>a</t>
    </r>
  </si>
  <si>
    <t>108601</t>
  </si>
  <si>
    <t>108602</t>
  </si>
  <si>
    <t>5601</t>
  </si>
  <si>
    <t>5602</t>
  </si>
  <si>
    <t>5603</t>
  </si>
  <si>
    <t>5604</t>
  </si>
  <si>
    <t>5605</t>
  </si>
  <si>
    <t>5606</t>
  </si>
  <si>
    <t>5607</t>
  </si>
  <si>
    <t>5608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</si>
  <si>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620</t>
    </r>
  </si>
  <si>
    <r>
      <rPr>
        <sz val="11"/>
        <color theme="1"/>
        <rFont val="宋体"/>
        <charset val="134"/>
      </rPr>
      <t>mood</t>
    </r>
    <r>
      <rPr>
        <sz val="11"/>
        <color theme="1"/>
        <rFont val="宋体"/>
        <charset val="134"/>
      </rPr>
      <t>04</t>
    </r>
  </si>
  <si>
    <t>40010101</t>
  </si>
  <si>
    <t>40010102</t>
  </si>
  <si>
    <t>40010103</t>
  </si>
  <si>
    <t>40010104</t>
  </si>
  <si>
    <t>40010105</t>
  </si>
  <si>
    <t>40010106</t>
  </si>
  <si>
    <t>40010107</t>
  </si>
  <si>
    <t>40010108</t>
  </si>
  <si>
    <t>40010109</t>
  </si>
  <si>
    <t>40010120</t>
  </si>
  <si>
    <t>40010121</t>
  </si>
  <si>
    <t>40010122</t>
  </si>
  <si>
    <t>40010199</t>
  </si>
  <si>
    <t>40350101</t>
  </si>
  <si>
    <t>40350102</t>
  </si>
  <si>
    <t>crocodile001_body_d_yinshen_skin</t>
  </si>
  <si>
    <t>40350103</t>
  </si>
  <si>
    <t>40350104</t>
  </si>
  <si>
    <t>40350105</t>
  </si>
  <si>
    <t>40350106</t>
  </si>
  <si>
    <t>40350107</t>
  </si>
  <si>
    <t>40350108</t>
  </si>
  <si>
    <t>40350109</t>
  </si>
  <si>
    <t>40350110</t>
  </si>
  <si>
    <t>40350120</t>
  </si>
  <si>
    <t>40350121</t>
  </si>
  <si>
    <t>40350122</t>
  </si>
  <si>
    <t>40350123</t>
  </si>
  <si>
    <t>40350124</t>
  </si>
  <si>
    <t>40350125</t>
  </si>
  <si>
    <t>40350126</t>
  </si>
  <si>
    <t>40560101</t>
  </si>
  <si>
    <t>40560102</t>
  </si>
  <si>
    <t>40560103</t>
  </si>
  <si>
    <t>40560104</t>
  </si>
  <si>
    <t>40560105</t>
  </si>
  <si>
    <t>40560106</t>
  </si>
  <si>
    <t>40560107</t>
  </si>
  <si>
    <t>40560108</t>
  </si>
  <si>
    <t>40560120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</si>
  <si>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</si>
  <si>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</si>
  <si>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</si>
  <si>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</si>
  <si>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</si>
  <si>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</si>
  <si>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</si>
  <si>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</si>
  <si>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</si>
  <si>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113001</t>
  </si>
  <si>
    <t>113002</t>
  </si>
  <si>
    <t>113003</t>
  </si>
  <si>
    <t>113004</t>
  </si>
  <si>
    <t>113005</t>
  </si>
  <si>
    <t>113006</t>
  </si>
  <si>
    <t>40020101</t>
  </si>
  <si>
    <t>40020102</t>
  </si>
  <si>
    <t>40020103</t>
  </si>
  <si>
    <t>40020104</t>
  </si>
  <si>
    <t>40020105</t>
  </si>
  <si>
    <t>40020106</t>
  </si>
  <si>
    <t>40020107</t>
  </si>
  <si>
    <t>40020108</t>
  </si>
  <si>
    <t>40020110</t>
  </si>
  <si>
    <t>40020120</t>
  </si>
  <si>
    <t>40420101</t>
  </si>
  <si>
    <t>40420102</t>
  </si>
  <si>
    <t>40420103</t>
  </si>
  <si>
    <t>40420104</t>
  </si>
  <si>
    <t>40420105</t>
  </si>
  <si>
    <t>40420106</t>
  </si>
  <si>
    <t>40420108</t>
  </si>
  <si>
    <t>40420109</t>
  </si>
  <si>
    <t>40420120</t>
  </si>
  <si>
    <t>40030101</t>
  </si>
  <si>
    <t>40030102</t>
  </si>
  <si>
    <t>40030103</t>
  </si>
  <si>
    <t>40030104</t>
  </si>
  <si>
    <t>40030105</t>
  </si>
  <si>
    <t>40030106</t>
  </si>
  <si>
    <t>40030107</t>
  </si>
  <si>
    <t>40030108</t>
  </si>
  <si>
    <t>40030109</t>
  </si>
  <si>
    <t>40030120</t>
  </si>
  <si>
    <t>40030121</t>
  </si>
  <si>
    <t>40030122</t>
  </si>
  <si>
    <t>40040101</t>
  </si>
  <si>
    <t>40040102</t>
  </si>
  <si>
    <t>40040103</t>
  </si>
  <si>
    <t>40040104</t>
  </si>
  <si>
    <t>40040105</t>
  </si>
  <si>
    <t>40040106</t>
  </si>
  <si>
    <t>40040107</t>
  </si>
  <si>
    <t>40040108</t>
  </si>
  <si>
    <t>40040120</t>
  </si>
  <si>
    <t>40050101</t>
  </si>
  <si>
    <t>40050102</t>
  </si>
  <si>
    <t>40050103</t>
  </si>
  <si>
    <t>40050104</t>
  </si>
  <si>
    <t>40050105</t>
  </si>
  <si>
    <t>40050106</t>
  </si>
  <si>
    <t>40050107</t>
  </si>
  <si>
    <t>40050108</t>
  </si>
  <si>
    <t>40050109</t>
  </si>
  <si>
    <t>40050110</t>
  </si>
  <si>
    <t>40050120</t>
  </si>
  <si>
    <t>40500101</t>
  </si>
  <si>
    <t>艾斯-阿鲁巴拿</t>
  </si>
  <si>
    <t>40500102</t>
  </si>
  <si>
    <t>40500103</t>
  </si>
  <si>
    <t>40500104</t>
  </si>
  <si>
    <t>40500105</t>
  </si>
  <si>
    <t>40500106</t>
  </si>
  <si>
    <t>40500107</t>
  </si>
  <si>
    <t>40500108</t>
  </si>
  <si>
    <t>40500109</t>
  </si>
  <si>
    <t>40500110</t>
  </si>
  <si>
    <t>40500113</t>
  </si>
  <si>
    <t>40500120</t>
  </si>
  <si>
    <t>40500121</t>
  </si>
  <si>
    <t>40500122</t>
  </si>
  <si>
    <t>40500123</t>
  </si>
  <si>
    <t>113101</t>
  </si>
  <si>
    <t>113201</t>
  </si>
  <si>
    <t>113301</t>
  </si>
  <si>
    <t>113321</t>
  </si>
  <si>
    <t>113401</t>
  </si>
  <si>
    <t>113421</t>
  </si>
  <si>
    <t>113501</t>
  </si>
  <si>
    <t>113521</t>
  </si>
  <si>
    <t>113601</t>
  </si>
  <si>
    <t>113621</t>
  </si>
  <si>
    <t>305701</t>
  </si>
  <si>
    <t>3000401</t>
  </si>
  <si>
    <t>0&amp;&amp;0&amp;&amp;0</t>
  </si>
  <si>
    <t>2&amp;&amp;2&amp;&amp;2</t>
  </si>
  <si>
    <t>1108&amp;&amp;1159&amp;&amp;1110</t>
  </si>
  <si>
    <t>root#0,0,0&amp;&amp;root#0,0,0&amp;&amp;root#0,1.4,0</t>
  </si>
  <si>
    <t>3000402</t>
  </si>
  <si>
    <t>5801</t>
  </si>
  <si>
    <t>5802</t>
  </si>
  <si>
    <t>5803</t>
  </si>
  <si>
    <t>5804</t>
  </si>
  <si>
    <t>5805</t>
  </si>
  <si>
    <t>5806</t>
  </si>
  <si>
    <t>5807</t>
  </si>
  <si>
    <t>5808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</si>
  <si>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</si>
  <si>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</si>
  <si>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</si>
  <si>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</si>
  <si>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</si>
  <si>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</si>
  <si>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</si>
  <si>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</si>
  <si>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</si>
  <si>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</si>
  <si>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</si>
  <si>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113701</t>
  </si>
  <si>
    <t>113702</t>
  </si>
  <si>
    <r>
      <rPr>
        <sz val="11"/>
        <color theme="1"/>
        <rFont val="宋体"/>
        <charset val="134"/>
      </rPr>
      <t>6</t>
    </r>
    <r>
      <rPr>
        <sz val="11"/>
        <color theme="1"/>
        <rFont val="宋体"/>
        <charset val="134"/>
      </rPr>
      <t>001</t>
    </r>
  </si>
  <si>
    <r>
      <rPr>
        <sz val="11"/>
        <color theme="1"/>
        <rFont val="宋体"/>
        <charset val="134"/>
      </rPr>
      <t>6002</t>
    </r>
  </si>
  <si>
    <r>
      <rPr>
        <sz val="11"/>
        <color theme="1"/>
        <rFont val="宋体"/>
        <charset val="134"/>
      </rPr>
      <t>6003</t>
    </r>
  </si>
  <si>
    <r>
      <rPr>
        <sz val="11"/>
        <color theme="1"/>
        <rFont val="宋体"/>
        <charset val="134"/>
      </rPr>
      <t>6004</t>
    </r>
  </si>
  <si>
    <r>
      <rPr>
        <sz val="11"/>
        <color theme="1"/>
        <rFont val="宋体"/>
        <charset val="134"/>
      </rPr>
      <t>6005</t>
    </r>
  </si>
  <si>
    <r>
      <rPr>
        <sz val="11"/>
        <color theme="1"/>
        <rFont val="宋体"/>
        <charset val="134"/>
      </rPr>
      <t>6006</t>
    </r>
  </si>
  <si>
    <r>
      <rPr>
        <sz val="11"/>
        <color theme="1"/>
        <rFont val="宋体"/>
        <charset val="134"/>
      </rPr>
      <t>6007</t>
    </r>
  </si>
  <si>
    <t>Rayhei_attack07_body&amp;&amp;Rayhei_attack07_ccloak</t>
  </si>
  <si>
    <r>
      <rPr>
        <sz val="11"/>
        <color theme="1"/>
        <rFont val="宋体"/>
        <charset val="134"/>
      </rPr>
      <t>6008</t>
    </r>
  </si>
  <si>
    <r>
      <rPr>
        <sz val="11"/>
        <color theme="1"/>
        <rFont val="宋体"/>
        <charset val="134"/>
      </rPr>
      <t>6</t>
    </r>
    <r>
      <rPr>
        <sz val="11"/>
        <color theme="1"/>
        <rFont val="宋体"/>
        <charset val="134"/>
      </rPr>
      <t>020</t>
    </r>
  </si>
  <si>
    <r>
      <rPr>
        <sz val="11"/>
        <color theme="1"/>
        <rFont val="宋体"/>
        <charset val="134"/>
      </rPr>
      <t>jum</t>
    </r>
    <r>
      <rPr>
        <sz val="11"/>
        <color theme="1"/>
        <rFont val="宋体"/>
        <charset val="134"/>
      </rPr>
      <t>p</t>
    </r>
    <r>
      <rPr>
        <sz val="11"/>
        <color theme="1"/>
        <rFont val="宋体"/>
        <charset val="134"/>
      </rPr>
      <t>f</t>
    </r>
  </si>
  <si>
    <t>113801</t>
  </si>
  <si>
    <t>113901</t>
  </si>
  <si>
    <t>114001</t>
  </si>
  <si>
    <t>114101</t>
  </si>
  <si>
    <t>6101</t>
  </si>
  <si>
    <t>6102</t>
  </si>
  <si>
    <t>6103</t>
  </si>
  <si>
    <t>6104</t>
  </si>
  <si>
    <t>6105</t>
  </si>
  <si>
    <t>6106</t>
  </si>
  <si>
    <t>3000501</t>
  </si>
  <si>
    <t>3000502</t>
  </si>
  <si>
    <t>3000503</t>
  </si>
  <si>
    <t>3000504</t>
  </si>
  <si>
    <t>114201</t>
  </si>
  <si>
    <t>114301</t>
  </si>
  <si>
    <t>114302</t>
  </si>
  <si>
    <t>114303</t>
  </si>
  <si>
    <t>114304</t>
  </si>
  <si>
    <t>114401</t>
  </si>
  <si>
    <t>114402</t>
  </si>
  <si>
    <t>114403</t>
  </si>
  <si>
    <t>114404</t>
  </si>
  <si>
    <t>114405</t>
  </si>
  <si>
    <t>114406</t>
  </si>
  <si>
    <t>114407</t>
  </si>
  <si>
    <t>114408</t>
  </si>
  <si>
    <t>114501</t>
  </si>
  <si>
    <t>114502</t>
  </si>
  <si>
    <t>114503</t>
  </si>
  <si>
    <t>114504</t>
  </si>
  <si>
    <t>114505</t>
  </si>
  <si>
    <t>114506</t>
  </si>
  <si>
    <t>114507</t>
  </si>
  <si>
    <t>114508</t>
  </si>
  <si>
    <t>114509</t>
  </si>
  <si>
    <t>114605</t>
  </si>
  <si>
    <t>114606</t>
  </si>
  <si>
    <t>114701</t>
  </si>
  <si>
    <t>114801</t>
  </si>
  <si>
    <t>114901</t>
  </si>
  <si>
    <t>114902</t>
  </si>
  <si>
    <t>115001</t>
  </si>
  <si>
    <t>115101</t>
  </si>
  <si>
    <t>115201</t>
  </si>
  <si>
    <t>115301</t>
  </si>
  <si>
    <t>115401</t>
  </si>
  <si>
    <t>115501</t>
  </si>
  <si>
    <t>115601</t>
  </si>
  <si>
    <t>115701</t>
  </si>
  <si>
    <t>115801</t>
  </si>
  <si>
    <t>115901</t>
  </si>
  <si>
    <t>116001</t>
  </si>
  <si>
    <r>
      <rPr>
        <sz val="11"/>
        <color theme="1"/>
        <rFont val="宋体"/>
        <charset val="134"/>
      </rPr>
      <t>6</t>
    </r>
    <r>
      <rPr>
        <sz val="11"/>
        <color theme="1"/>
        <rFont val="宋体"/>
        <charset val="134"/>
      </rPr>
      <t>201</t>
    </r>
  </si>
  <si>
    <r>
      <rPr>
        <sz val="11"/>
        <color theme="1"/>
        <rFont val="宋体"/>
        <charset val="134"/>
      </rPr>
      <t>6202</t>
    </r>
  </si>
  <si>
    <r>
      <rPr>
        <sz val="11"/>
        <color theme="1"/>
        <rFont val="宋体"/>
        <charset val="134"/>
      </rPr>
      <t>6203</t>
    </r>
  </si>
  <si>
    <r>
      <rPr>
        <sz val="11"/>
        <color theme="1"/>
        <rFont val="宋体"/>
        <charset val="134"/>
      </rPr>
      <t>6204</t>
    </r>
  </si>
  <si>
    <r>
      <rPr>
        <sz val="11"/>
        <color theme="1"/>
        <rFont val="宋体"/>
        <charset val="134"/>
      </rPr>
      <t>6205</t>
    </r>
  </si>
  <si>
    <r>
      <rPr>
        <sz val="11"/>
        <color theme="1"/>
        <rFont val="宋体"/>
        <charset val="134"/>
      </rPr>
      <t>6206</t>
    </r>
  </si>
  <si>
    <r>
      <rPr>
        <sz val="11"/>
        <color theme="1"/>
        <rFont val="宋体"/>
        <charset val="134"/>
      </rPr>
      <t>magellan001_body_attack06_ani</t>
    </r>
    <r>
      <rPr>
        <sz val="11"/>
        <color theme="1"/>
        <rFont val="宋体"/>
        <charset val="134"/>
      </rPr>
      <t>&amp;&amp;magellan001_wing_attack06_ani</t>
    </r>
  </si>
  <si>
    <r>
      <rPr>
        <sz val="11"/>
        <color theme="1"/>
        <rFont val="宋体"/>
        <charset val="134"/>
      </rPr>
      <t>6207</t>
    </r>
  </si>
  <si>
    <r>
      <rPr>
        <sz val="11"/>
        <color theme="1"/>
        <rFont val="宋体"/>
        <charset val="134"/>
      </rPr>
      <t>6208</t>
    </r>
  </si>
  <si>
    <r>
      <rPr>
        <sz val="11"/>
        <color theme="1"/>
        <rFont val="宋体"/>
        <charset val="134"/>
      </rPr>
      <t>6209</t>
    </r>
  </si>
  <si>
    <t>6210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</si>
  <si>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000707</t>
    </r>
  </si>
  <si>
    <t>3000708</t>
  </si>
  <si>
    <t>3000709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</si>
  <si>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000720</t>
    </r>
  </si>
  <si>
    <t>death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</si>
  <si>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000801</t>
    </r>
  </si>
  <si>
    <r>
      <rPr>
        <sz val="11"/>
        <color theme="1"/>
        <rFont val="宋体"/>
        <charset val="134"/>
      </rPr>
      <t>3000802</t>
    </r>
  </si>
  <si>
    <r>
      <rPr>
        <sz val="11"/>
        <color theme="1"/>
        <rFont val="宋体"/>
        <charset val="134"/>
      </rPr>
      <t>3000803</t>
    </r>
  </si>
  <si>
    <r>
      <rPr>
        <sz val="11"/>
        <color theme="1"/>
        <rFont val="宋体"/>
        <charset val="134"/>
      </rPr>
      <t>3000804</t>
    </r>
  </si>
  <si>
    <r>
      <rPr>
        <sz val="11"/>
        <color theme="1"/>
        <rFont val="宋体"/>
        <charset val="134"/>
      </rPr>
      <t>3000805</t>
    </r>
  </si>
  <si>
    <r>
      <rPr>
        <sz val="11"/>
        <color theme="1"/>
        <rFont val="宋体"/>
        <charset val="134"/>
      </rPr>
      <t>3000806</t>
    </r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</si>
  <si>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000820</t>
    </r>
  </si>
  <si>
    <t>6301</t>
  </si>
  <si>
    <t>6302</t>
  </si>
  <si>
    <t>6303</t>
  </si>
  <si>
    <t>6304</t>
  </si>
  <si>
    <t>lvankov_attack08_body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</si>
  <si>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449&amp;&amp;1450</t>
    </r>
  </si>
  <si>
    <r>
      <rPr>
        <sz val="11"/>
        <color theme="1"/>
        <rFont val="宋体"/>
        <charset val="134"/>
      </rPr>
      <t>mood0</t>
    </r>
    <r>
      <rPr>
        <sz val="11"/>
        <color theme="1"/>
        <rFont val="宋体"/>
        <charset val="134"/>
      </rPr>
      <t>3</t>
    </r>
  </si>
  <si>
    <t>116101</t>
  </si>
  <si>
    <t>116102</t>
  </si>
  <si>
    <t>116103</t>
  </si>
  <si>
    <t>116201</t>
  </si>
  <si>
    <t>116202</t>
  </si>
  <si>
    <t>116203</t>
  </si>
  <si>
    <t>116204</t>
  </si>
  <si>
    <t>116301</t>
  </si>
  <si>
    <t>116302</t>
  </si>
  <si>
    <t>116303</t>
  </si>
  <si>
    <t>116304</t>
  </si>
  <si>
    <t>116305</t>
  </si>
  <si>
    <t>116306</t>
  </si>
  <si>
    <t>116307</t>
  </si>
  <si>
    <t>116308</t>
  </si>
  <si>
    <t>story035_005</t>
  </si>
  <si>
    <t>116401</t>
  </si>
  <si>
    <t>116402</t>
  </si>
  <si>
    <t>116403</t>
  </si>
  <si>
    <t>116501</t>
  </si>
  <si>
    <t>116502</t>
  </si>
  <si>
    <t>116503</t>
  </si>
  <si>
    <t>116601</t>
  </si>
  <si>
    <t>116602</t>
  </si>
  <si>
    <t>116603</t>
  </si>
  <si>
    <t>116701</t>
  </si>
  <si>
    <t>116702</t>
  </si>
  <si>
    <t>116703</t>
  </si>
  <si>
    <t>116704</t>
  </si>
  <si>
    <t>116705</t>
  </si>
  <si>
    <t>40090101</t>
  </si>
  <si>
    <t>40090102</t>
  </si>
  <si>
    <t>40090103</t>
  </si>
  <si>
    <t>40090104</t>
  </si>
  <si>
    <t>40090105</t>
  </si>
  <si>
    <t>40090106</t>
  </si>
  <si>
    <t>40090107</t>
  </si>
  <si>
    <t>40090108</t>
  </si>
  <si>
    <t>40090120</t>
  </si>
  <si>
    <t>40090121</t>
  </si>
  <si>
    <t>40450101</t>
  </si>
  <si>
    <t>40450102</t>
  </si>
  <si>
    <t>40450103</t>
  </si>
  <si>
    <t>40450104</t>
  </si>
  <si>
    <t>116801</t>
  </si>
  <si>
    <t>116802</t>
  </si>
  <si>
    <t>116803</t>
  </si>
  <si>
    <t>116901</t>
  </si>
  <si>
    <t>116902</t>
  </si>
  <si>
    <t>116903</t>
  </si>
  <si>
    <t>117001</t>
  </si>
  <si>
    <t>117002</t>
  </si>
  <si>
    <t>117101</t>
  </si>
  <si>
    <t>117102</t>
  </si>
  <si>
    <t>117103</t>
  </si>
  <si>
    <t>117104</t>
  </si>
  <si>
    <t>117201</t>
  </si>
  <si>
    <t>117301</t>
  </si>
  <si>
    <t>117302</t>
  </si>
  <si>
    <t>117303</t>
  </si>
  <si>
    <t>117401</t>
  </si>
  <si>
    <t>117402</t>
  </si>
  <si>
    <t>117403</t>
  </si>
  <si>
    <t>6401</t>
  </si>
  <si>
    <t>6402</t>
  </si>
  <si>
    <t>6403</t>
  </si>
  <si>
    <t>6404</t>
  </si>
  <si>
    <t>6405</t>
  </si>
  <si>
    <t>6406</t>
  </si>
  <si>
    <t>6407</t>
  </si>
  <si>
    <t>6408</t>
  </si>
  <si>
    <t>40050201</t>
  </si>
  <si>
    <t>40050202</t>
  </si>
  <si>
    <t>40050203</t>
  </si>
  <si>
    <t>40050204</t>
  </si>
  <si>
    <t>40050205</t>
  </si>
  <si>
    <t>40050206</t>
  </si>
  <si>
    <t>40050207</t>
  </si>
  <si>
    <t>40050208</t>
  </si>
  <si>
    <t>40050209</t>
  </si>
  <si>
    <t>40050210</t>
  </si>
  <si>
    <t>40050220</t>
  </si>
  <si>
    <t>40170101</t>
  </si>
  <si>
    <t>40170102</t>
  </si>
  <si>
    <t>40170103</t>
  </si>
  <si>
    <t>40170104</t>
  </si>
  <si>
    <t>40170105</t>
  </si>
  <si>
    <t>40170106</t>
  </si>
  <si>
    <t>40170107</t>
  </si>
  <si>
    <t>40170108</t>
  </si>
  <si>
    <t>40170109</t>
  </si>
  <si>
    <t>40470101</t>
  </si>
  <si>
    <t>40470102</t>
  </si>
  <si>
    <t>40470103</t>
  </si>
  <si>
    <t>40470104</t>
  </si>
  <si>
    <t>40470105</t>
  </si>
  <si>
    <t>40470106</t>
  </si>
  <si>
    <t>40470107</t>
  </si>
  <si>
    <t>40470108</t>
  </si>
  <si>
    <t>40470120</t>
  </si>
  <si>
    <t>40470121</t>
  </si>
  <si>
    <t>40470122</t>
  </si>
  <si>
    <t>40470123</t>
  </si>
  <si>
    <t>3001020</t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</si>
  <si>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&amp;&amp;0&amp;&amp;0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</si>
  <si>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&amp;&amp;2&amp;&amp;2</t>
    </r>
  </si>
  <si>
    <t>1445&amp;&amp;1445&amp;&amp;1446</t>
  </si>
  <si>
    <t>Bone008#0,0,0&amp;&amp;Bone016#0,0,0&amp;&amp;Bone008(mirrored)#0,0,0</t>
  </si>
  <si>
    <t>117501</t>
  </si>
  <si>
    <t>117502</t>
  </si>
  <si>
    <t>117503</t>
  </si>
  <si>
    <t>117601</t>
  </si>
  <si>
    <t>117602</t>
  </si>
  <si>
    <t>117603</t>
  </si>
  <si>
    <t>117604</t>
  </si>
  <si>
    <t>117605</t>
  </si>
  <si>
    <t>117701</t>
  </si>
  <si>
    <t>117702</t>
  </si>
  <si>
    <t>117703</t>
  </si>
  <si>
    <t>117704</t>
  </si>
  <si>
    <t>117801</t>
  </si>
  <si>
    <t>117802</t>
  </si>
  <si>
    <t>117803</t>
  </si>
  <si>
    <t>117804</t>
  </si>
  <si>
    <t>117805</t>
  </si>
  <si>
    <t>117806</t>
  </si>
  <si>
    <t>117901</t>
  </si>
  <si>
    <t>117902</t>
  </si>
  <si>
    <t>117903</t>
  </si>
  <si>
    <t>117904</t>
  </si>
  <si>
    <t>117905</t>
  </si>
  <si>
    <t>102102</t>
  </si>
  <si>
    <t>102302</t>
  </si>
  <si>
    <t>102602</t>
  </si>
  <si>
    <t>109102</t>
  </si>
  <si>
    <t>110302</t>
  </si>
  <si>
    <r>
      <rPr>
        <sz val="11"/>
        <color theme="1"/>
        <rFont val="宋体"/>
        <charset val="134"/>
      </rPr>
      <t>6</t>
    </r>
    <r>
      <rPr>
        <sz val="11"/>
        <color theme="1"/>
        <rFont val="宋体"/>
        <charset val="134"/>
      </rPr>
      <t>501</t>
    </r>
  </si>
  <si>
    <r>
      <rPr>
        <sz val="11"/>
        <color theme="1"/>
        <rFont val="宋体"/>
        <charset val="134"/>
      </rPr>
      <t>6502</t>
    </r>
  </si>
  <si>
    <r>
      <rPr>
        <sz val="11"/>
        <color theme="1"/>
        <rFont val="宋体"/>
        <charset val="134"/>
      </rPr>
      <t>6503</t>
    </r>
  </si>
  <si>
    <r>
      <rPr>
        <sz val="11"/>
        <color theme="1"/>
        <rFont val="宋体"/>
        <charset val="134"/>
      </rPr>
      <t>6504</t>
    </r>
  </si>
  <si>
    <r>
      <rPr>
        <sz val="11"/>
        <color theme="1"/>
        <rFont val="宋体"/>
        <charset val="134"/>
      </rPr>
      <t>6505</t>
    </r>
  </si>
  <si>
    <r>
      <rPr>
        <sz val="11"/>
        <color theme="1"/>
        <rFont val="宋体"/>
        <charset val="134"/>
      </rPr>
      <t>6506</t>
    </r>
  </si>
  <si>
    <r>
      <rPr>
        <sz val="11"/>
        <color theme="1"/>
        <rFont val="宋体"/>
        <charset val="134"/>
      </rPr>
      <t>6507</t>
    </r>
  </si>
  <si>
    <t>edward001_body_attack07_body&amp;&amp;edward001_body_attack07_cloak</t>
  </si>
  <si>
    <r>
      <rPr>
        <sz val="11"/>
        <color theme="1"/>
        <rFont val="宋体"/>
        <charset val="134"/>
      </rPr>
      <t>6508</t>
    </r>
  </si>
  <si>
    <t>6601</t>
  </si>
  <si>
    <t>6602</t>
  </si>
  <si>
    <t>6603</t>
  </si>
  <si>
    <t>6604</t>
  </si>
  <si>
    <t>6605</t>
  </si>
  <si>
    <t>6606</t>
  </si>
  <si>
    <t>6607</t>
  </si>
  <si>
    <t>6608</t>
  </si>
  <si>
    <t>3001209</t>
  </si>
  <si>
    <t>3001210</t>
  </si>
  <si>
    <t>3001211</t>
  </si>
  <si>
    <t>3001212</t>
  </si>
  <si>
    <t>3001213</t>
  </si>
  <si>
    <t>3001301</t>
  </si>
  <si>
    <t>40050301</t>
  </si>
  <si>
    <t>40050302</t>
  </si>
  <si>
    <t>40050303</t>
  </si>
  <si>
    <t>40050304</t>
  </si>
  <si>
    <t>40050305</t>
  </si>
  <si>
    <t>40050306</t>
  </si>
  <si>
    <t>40050307</t>
  </si>
  <si>
    <t>40050308</t>
  </si>
  <si>
    <t>40050309</t>
  </si>
  <si>
    <t>40050310</t>
  </si>
  <si>
    <t>40050320</t>
  </si>
  <si>
    <t>40470201</t>
  </si>
  <si>
    <t>40470202</t>
  </si>
  <si>
    <t>40470203</t>
  </si>
  <si>
    <t>40470204</t>
  </si>
  <si>
    <t>40470205</t>
  </si>
  <si>
    <t>40470206</t>
  </si>
  <si>
    <t>40470207</t>
  </si>
  <si>
    <t>40470208</t>
  </si>
  <si>
    <t>40470220</t>
  </si>
  <si>
    <t>40470221</t>
  </si>
  <si>
    <t>40470222</t>
  </si>
  <si>
    <t>40470223</t>
  </si>
  <si>
    <t>116404</t>
  </si>
  <si>
    <t>116405</t>
  </si>
  <si>
    <t>116604</t>
  </si>
  <si>
    <t>116605</t>
  </si>
  <si>
    <t>116606</t>
  </si>
  <si>
    <t>118001</t>
  </si>
  <si>
    <t>118101</t>
  </si>
  <si>
    <t>118201</t>
  </si>
  <si>
    <t>118202</t>
  </si>
  <si>
    <t>118203</t>
  </si>
  <si>
    <t>118204</t>
  </si>
  <si>
    <t>118205</t>
  </si>
  <si>
    <t>118206</t>
  </si>
  <si>
    <t>118207</t>
  </si>
  <si>
    <t>117105</t>
  </si>
  <si>
    <t>117106</t>
  </si>
  <si>
    <t>117304</t>
  </si>
  <si>
    <t>117404</t>
  </si>
  <si>
    <t>116904</t>
  </si>
  <si>
    <t>40010201</t>
  </si>
  <si>
    <t>40010202</t>
  </si>
  <si>
    <t>40010203</t>
  </si>
  <si>
    <t>40010204</t>
  </si>
  <si>
    <t>40010205</t>
  </si>
  <si>
    <t>40010206</t>
  </si>
  <si>
    <t>40010207</t>
  </si>
  <si>
    <t>40010208</t>
  </si>
  <si>
    <t>40010209</t>
  </si>
  <si>
    <t>40010220</t>
  </si>
  <si>
    <t>40010221</t>
  </si>
  <si>
    <t>40010222</t>
  </si>
  <si>
    <t>40010299</t>
  </si>
  <si>
    <t>306001</t>
  </si>
  <si>
    <t>6620</t>
  </si>
  <si>
    <t>marco_run_d</t>
  </si>
  <si>
    <t>marco_run_d_low</t>
  </si>
  <si>
    <t>6701</t>
  </si>
  <si>
    <t>6702</t>
  </si>
  <si>
    <t>6703</t>
  </si>
  <si>
    <t>6704</t>
  </si>
  <si>
    <t>6705</t>
  </si>
  <si>
    <t>6706</t>
  </si>
  <si>
    <t>6707</t>
  </si>
  <si>
    <t>6708</t>
  </si>
  <si>
    <t>6720</t>
  </si>
  <si>
    <t>Dummy004#0,0,0</t>
  </si>
  <si>
    <t>6721</t>
  </si>
  <si>
    <t>118301</t>
  </si>
  <si>
    <t>118302</t>
  </si>
  <si>
    <t>118303</t>
  </si>
  <si>
    <t>118304</t>
  </si>
  <si>
    <t>118305</t>
  </si>
  <si>
    <t>118401</t>
  </si>
  <si>
    <t>118402</t>
  </si>
  <si>
    <t>118403</t>
  </si>
  <si>
    <t>118404</t>
  </si>
  <si>
    <t>118405</t>
  </si>
  <si>
    <t>118406</t>
  </si>
  <si>
    <t>118407</t>
  </si>
  <si>
    <t>118501</t>
  </si>
  <si>
    <t>118502</t>
  </si>
  <si>
    <t>118503</t>
  </si>
  <si>
    <t>118504</t>
  </si>
  <si>
    <t>118505</t>
  </si>
  <si>
    <t>118506</t>
  </si>
  <si>
    <t>118507</t>
  </si>
  <si>
    <t>118508</t>
  </si>
  <si>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801</t>
    </r>
  </si>
  <si>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802</t>
    </r>
  </si>
  <si>
    <r>
      <rPr>
        <sz val="11"/>
        <color theme="1"/>
        <rFont val="Calibri"/>
        <charset val="134"/>
        <scheme val="minor"/>
      </rPr>
      <t>6803</t>
    </r>
  </si>
  <si>
    <t>6804</t>
  </si>
  <si>
    <t>6805</t>
  </si>
  <si>
    <t>6806</t>
  </si>
  <si>
    <t>6807</t>
  </si>
  <si>
    <t>6808</t>
  </si>
  <si>
    <t>6809</t>
  </si>
  <si>
    <t>6810</t>
  </si>
  <si>
    <t>6811</t>
  </si>
  <si>
    <t>118601</t>
  </si>
  <si>
    <t>118602</t>
  </si>
  <si>
    <t>118603</t>
  </si>
  <si>
    <t>118604</t>
  </si>
  <si>
    <t>6901</t>
  </si>
  <si>
    <t>6902</t>
  </si>
  <si>
    <t>6903</t>
  </si>
  <si>
    <t>6904</t>
  </si>
  <si>
    <t>6905</t>
  </si>
  <si>
    <t>6906</t>
  </si>
  <si>
    <t>6907</t>
  </si>
  <si>
    <t>6908</t>
  </si>
  <si>
    <t>6920</t>
  </si>
  <si>
    <t>6820</t>
  </si>
  <si>
    <t>1685&amp;&amp;1686</t>
  </si>
  <si>
    <t>Dummy007#0,0,0&amp;&amp;Dummy008#0,0,0</t>
  </si>
  <si>
    <t>6821</t>
  </si>
  <si>
    <t>217901</t>
  </si>
  <si>
    <t>story037_001</t>
  </si>
  <si>
    <t>7001</t>
  </si>
  <si>
    <t>7002</t>
  </si>
  <si>
    <t>7003</t>
  </si>
  <si>
    <t>7004</t>
  </si>
  <si>
    <t>7005</t>
  </si>
  <si>
    <t>7006</t>
  </si>
  <si>
    <t>7007</t>
  </si>
  <si>
    <t>zoro005_body_attack07&amp;&amp;zoro005_face_attack07&amp;&amp;zoro005_weapn_attack07</t>
  </si>
  <si>
    <t>7008</t>
  </si>
  <si>
    <t>7020</t>
  </si>
  <si>
    <t>zoro005_body_8xing</t>
  </si>
  <si>
    <t>zoro005_body_8xing_dimo</t>
  </si>
  <si>
    <t>3001501</t>
  </si>
  <si>
    <t>3001502</t>
  </si>
  <si>
    <t>3001503</t>
  </si>
  <si>
    <t>3001504</t>
  </si>
  <si>
    <t>3001505</t>
  </si>
  <si>
    <t>3001506</t>
  </si>
  <si>
    <t>3001507</t>
  </si>
  <si>
    <t>zoro007_body_attack07&amp;&amp;zoro007_weapn_attack07</t>
  </si>
  <si>
    <t>3001508</t>
  </si>
  <si>
    <t>114609</t>
  </si>
  <si>
    <t>1679&amp;&amp;1680</t>
  </si>
  <si>
    <t>root#0,0,15&amp;&amp;root#-0.046,2.34,0.09</t>
  </si>
  <si>
    <t>114610</t>
  </si>
  <si>
    <t>story037_002</t>
  </si>
  <si>
    <t>root#0,0,8&amp;&amp;root#-0.02,1.9,0.5</t>
  </si>
  <si>
    <t>118701</t>
  </si>
  <si>
    <t>118702</t>
  </si>
  <si>
    <t>118703</t>
  </si>
  <si>
    <t>118801</t>
  </si>
  <si>
    <t>118802</t>
  </si>
  <si>
    <t>118803</t>
  </si>
  <si>
    <t>118901</t>
  </si>
  <si>
    <t>118902</t>
  </si>
  <si>
    <t>118903</t>
  </si>
  <si>
    <t>40020201</t>
  </si>
  <si>
    <t>40020202</t>
  </si>
  <si>
    <t>40020203</t>
  </si>
  <si>
    <t>40020204</t>
  </si>
  <si>
    <t>40020205</t>
  </si>
  <si>
    <t>40020206</t>
  </si>
  <si>
    <t>40020207</t>
  </si>
  <si>
    <t>zoro006_body_attack07_new&amp;&amp;zoro006_face_attack07_new&amp;&amp;zoro006_weapn_attack07_new</t>
  </si>
  <si>
    <t>40020208</t>
  </si>
  <si>
    <t>40020220</t>
  </si>
  <si>
    <t>40020301</t>
  </si>
  <si>
    <t>40020302</t>
  </si>
  <si>
    <t>40020303</t>
  </si>
  <si>
    <t>40020304</t>
  </si>
  <si>
    <t>40020305</t>
  </si>
  <si>
    <t>40020306</t>
  </si>
  <si>
    <t>40020307</t>
  </si>
  <si>
    <t>40020308</t>
  </si>
  <si>
    <t>40020320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</si>
  <si>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</si>
  <si>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</si>
  <si>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</si>
  <si>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</si>
  <si>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</si>
  <si>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</si>
  <si>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</si>
  <si>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</si>
  <si>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</si>
  <si>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7820</t>
  </si>
  <si>
    <t>buff01</t>
  </si>
  <si>
    <r>
      <rPr>
        <sz val="11"/>
        <color theme="1"/>
        <rFont val="Calibri"/>
        <charset val="134"/>
        <scheme val="minor"/>
      </rPr>
      <t>7</t>
    </r>
    <r>
      <rPr>
        <sz val="11"/>
        <color theme="1"/>
        <rFont val="Calibri"/>
        <charset val="134"/>
        <scheme val="minor"/>
      </rPr>
      <t>821</t>
    </r>
  </si>
  <si>
    <r>
      <rPr>
        <sz val="11"/>
        <color theme="1"/>
        <rFont val="Calibri"/>
        <charset val="134"/>
        <scheme val="minor"/>
      </rPr>
      <t>m</t>
    </r>
    <r>
      <rPr>
        <sz val="11"/>
        <color theme="1"/>
        <rFont val="Calibri"/>
        <charset val="134"/>
        <scheme val="minor"/>
      </rPr>
      <t>ood06</t>
    </r>
  </si>
  <si>
    <t>7822</t>
  </si>
  <si>
    <t>40040201</t>
  </si>
  <si>
    <t>40040202</t>
  </si>
  <si>
    <t>40040203</t>
  </si>
  <si>
    <t>40040204</t>
  </si>
  <si>
    <t>40040205</t>
  </si>
  <si>
    <t>40040206</t>
  </si>
  <si>
    <t>40040207</t>
  </si>
  <si>
    <t>40040208</t>
  </si>
  <si>
    <t>40040220</t>
  </si>
  <si>
    <t>7201</t>
  </si>
  <si>
    <t>7202</t>
  </si>
  <si>
    <t>7203</t>
  </si>
  <si>
    <t>7204</t>
  </si>
  <si>
    <t>7205</t>
  </si>
  <si>
    <t>7206</t>
  </si>
  <si>
    <t>7207</t>
  </si>
  <si>
    <t>7208</t>
  </si>
  <si>
    <t>7220</t>
  </si>
  <si>
    <t>119001</t>
  </si>
  <si>
    <t>119002</t>
  </si>
  <si>
    <t>119003</t>
  </si>
  <si>
    <t>119004</t>
  </si>
  <si>
    <t>119005</t>
  </si>
  <si>
    <t>7501</t>
  </si>
  <si>
    <t>7502</t>
  </si>
  <si>
    <t>7503</t>
  </si>
  <si>
    <t>7504</t>
  </si>
  <si>
    <t>7505</t>
  </si>
  <si>
    <t>7506</t>
  </si>
  <si>
    <t>7507</t>
  </si>
  <si>
    <t>7508</t>
  </si>
  <si>
    <t>7520</t>
  </si>
  <si>
    <t>217401</t>
  </si>
  <si>
    <t>217402</t>
  </si>
  <si>
    <t>217403</t>
  </si>
  <si>
    <t>217404</t>
  </si>
  <si>
    <t>217405</t>
  </si>
  <si>
    <t>217406</t>
  </si>
  <si>
    <t>217407</t>
  </si>
  <si>
    <t>217408</t>
  </si>
  <si>
    <t>217409</t>
  </si>
  <si>
    <t>217410</t>
  </si>
  <si>
    <t>217411</t>
  </si>
  <si>
    <t>217420</t>
  </si>
  <si>
    <t>217421</t>
  </si>
  <si>
    <t>40020401</t>
  </si>
  <si>
    <t>40020402</t>
  </si>
  <si>
    <t>40020403</t>
  </si>
  <si>
    <t>40020404</t>
  </si>
  <si>
    <t>40020405</t>
  </si>
  <si>
    <t>40020406</t>
  </si>
  <si>
    <t>40020407</t>
  </si>
  <si>
    <t>40020408</t>
  </si>
  <si>
    <t>40020420</t>
  </si>
  <si>
    <t>40050401</t>
  </si>
  <si>
    <t>40050402</t>
  </si>
  <si>
    <t>40050403</t>
  </si>
  <si>
    <t>40050404</t>
  </si>
  <si>
    <t>40050405</t>
  </si>
  <si>
    <t>40050406</t>
  </si>
  <si>
    <t>40050407</t>
  </si>
  <si>
    <t>40050408</t>
  </si>
  <si>
    <t>40050420</t>
  </si>
  <si>
    <t>222501</t>
  </si>
  <si>
    <t>222601</t>
  </si>
  <si>
    <t>119101</t>
  </si>
  <si>
    <t>119201</t>
  </si>
  <si>
    <t>119301</t>
  </si>
  <si>
    <t>119302</t>
  </si>
  <si>
    <t>119303</t>
  </si>
  <si>
    <t>119304</t>
  </si>
  <si>
    <t>119305</t>
  </si>
  <si>
    <t>119306</t>
  </si>
  <si>
    <t>119307</t>
  </si>
  <si>
    <t>119401</t>
  </si>
  <si>
    <t>119402</t>
  </si>
  <si>
    <t>119403</t>
  </si>
  <si>
    <t>119404</t>
  </si>
  <si>
    <t>119405</t>
  </si>
  <si>
    <t>119501</t>
  </si>
  <si>
    <t>119502</t>
  </si>
  <si>
    <t>119503</t>
  </si>
  <si>
    <t>119504</t>
  </si>
  <si>
    <t>119505</t>
  </si>
  <si>
    <t>119601</t>
  </si>
  <si>
    <t>119602</t>
  </si>
  <si>
    <t>119603</t>
  </si>
  <si>
    <t>119604</t>
  </si>
  <si>
    <t>119701</t>
  </si>
  <si>
    <t>119702</t>
  </si>
  <si>
    <t>119703</t>
  </si>
  <si>
    <t>119704</t>
  </si>
  <si>
    <t>119801</t>
  </si>
  <si>
    <t>119802</t>
  </si>
  <si>
    <t>119803</t>
  </si>
  <si>
    <t>119804</t>
  </si>
  <si>
    <t>119901</t>
  </si>
  <si>
    <t>119902</t>
  </si>
  <si>
    <t>119903</t>
  </si>
  <si>
    <t>119904</t>
  </si>
  <si>
    <t>119905</t>
  </si>
  <si>
    <t>120001</t>
  </si>
  <si>
    <t>120002</t>
  </si>
  <si>
    <t>120003</t>
  </si>
  <si>
    <t>120004</t>
  </si>
  <si>
    <t>120005</t>
  </si>
  <si>
    <t>120105</t>
  </si>
  <si>
    <t>120106</t>
  </si>
  <si>
    <t>120107</t>
  </si>
  <si>
    <t>120108</t>
  </si>
  <si>
    <t>120201</t>
  </si>
  <si>
    <t>120202</t>
  </si>
  <si>
    <t>120203</t>
  </si>
  <si>
    <t>120301</t>
  </si>
  <si>
    <t>120302</t>
  </si>
  <si>
    <t>120303</t>
  </si>
  <si>
    <t>120401</t>
  </si>
  <si>
    <t>120402</t>
  </si>
  <si>
    <t>120403</t>
  </si>
  <si>
    <t>120501</t>
  </si>
  <si>
    <t>120502</t>
  </si>
  <si>
    <t>120503</t>
  </si>
  <si>
    <t>120601</t>
  </si>
  <si>
    <t>120701</t>
  </si>
  <si>
    <t>120801</t>
  </si>
  <si>
    <t>120901</t>
  </si>
  <si>
    <t>121001</t>
  </si>
  <si>
    <t>121101</t>
  </si>
  <si>
    <t>121201</t>
  </si>
  <si>
    <t>121301</t>
  </si>
  <si>
    <t>121302</t>
  </si>
  <si>
    <t>121303</t>
  </si>
  <si>
    <t>121401</t>
  </si>
  <si>
    <t>121402</t>
  </si>
  <si>
    <t>121403</t>
  </si>
  <si>
    <t>121501</t>
  </si>
  <si>
    <t>40040301</t>
  </si>
  <si>
    <t>40040302</t>
  </si>
  <si>
    <t>40040303</t>
  </si>
  <si>
    <t>40040304</t>
  </si>
  <si>
    <t>40040305</t>
  </si>
  <si>
    <t>40040306</t>
  </si>
  <si>
    <t>40040307</t>
  </si>
  <si>
    <t>40040308</t>
  </si>
  <si>
    <t>40040320</t>
  </si>
  <si>
    <t>7101</t>
  </si>
  <si>
    <t>7102</t>
  </si>
  <si>
    <t>7103</t>
  </si>
  <si>
    <t>7104</t>
  </si>
  <si>
    <t>7105</t>
  </si>
  <si>
    <t>7106</t>
  </si>
  <si>
    <t>7120</t>
  </si>
  <si>
    <t>root#0,0,0.16</t>
  </si>
  <si>
    <t>luffy010_body_run_M</t>
  </si>
  <si>
    <t>luffy010_body_run_M_l</t>
  </si>
  <si>
    <t>7121</t>
  </si>
  <si>
    <t>3002706</t>
  </si>
  <si>
    <t>3002707</t>
  </si>
  <si>
    <t>3002708</t>
  </si>
  <si>
    <t>3002709</t>
  </si>
  <si>
    <t>3002711</t>
  </si>
  <si>
    <t>3002712</t>
  </si>
  <si>
    <t>40470301</t>
  </si>
  <si>
    <t>40470302</t>
  </si>
  <si>
    <t>40470303</t>
  </si>
  <si>
    <t>40470304</t>
  </si>
  <si>
    <t>40470305</t>
  </si>
  <si>
    <t>40470306</t>
  </si>
  <si>
    <t>40470307</t>
  </si>
  <si>
    <t>40470308</t>
  </si>
  <si>
    <t>40470320</t>
  </si>
  <si>
    <t>222301</t>
  </si>
  <si>
    <t>1998&amp;&amp;1999</t>
  </si>
  <si>
    <t>Dummy001#0,0,0&amp;&amp;Bip001 Spine#0,0,0</t>
  </si>
  <si>
    <t>222101</t>
  </si>
  <si>
    <t>story041_05</t>
  </si>
  <si>
    <t>Bip001Head#0,0,0</t>
  </si>
  <si>
    <t>7901</t>
  </si>
  <si>
    <t>7902</t>
  </si>
  <si>
    <t>7903</t>
  </si>
  <si>
    <t>7904</t>
  </si>
  <si>
    <t>7905</t>
  </si>
  <si>
    <t>7906</t>
  </si>
  <si>
    <t>7907</t>
  </si>
  <si>
    <t>7908</t>
  </si>
  <si>
    <t>7920</t>
  </si>
  <si>
    <t>smoker002_body_M</t>
  </si>
  <si>
    <t>smoker002_body_M_l</t>
  </si>
  <si>
    <t>8001</t>
  </si>
  <si>
    <t>8002</t>
  </si>
  <si>
    <t>8003</t>
  </si>
  <si>
    <t>8004</t>
  </si>
  <si>
    <t>8005</t>
  </si>
  <si>
    <t>8006</t>
  </si>
  <si>
    <t>8007</t>
  </si>
  <si>
    <t>8008</t>
  </si>
  <si>
    <t>8101</t>
  </si>
  <si>
    <t>8102</t>
  </si>
  <si>
    <t>8103</t>
  </si>
  <si>
    <t>8104</t>
  </si>
  <si>
    <t>8105</t>
  </si>
  <si>
    <t>8107</t>
  </si>
  <si>
    <t>8108</t>
  </si>
  <si>
    <t>3002806</t>
  </si>
  <si>
    <t>40010301</t>
  </si>
  <si>
    <t>40010302</t>
  </si>
  <si>
    <t>40010303</t>
  </si>
  <si>
    <t>40010304</t>
  </si>
  <si>
    <t>40010305</t>
  </si>
  <si>
    <t>40010306</t>
  </si>
  <si>
    <t>40010320</t>
  </si>
  <si>
    <t>luffy013_body_M</t>
  </si>
  <si>
    <t>luffy013_body_M_l</t>
  </si>
  <si>
    <t>40010321</t>
  </si>
  <si>
    <t>3002906</t>
  </si>
  <si>
    <t>3002907</t>
  </si>
  <si>
    <t>3002908</t>
  </si>
  <si>
    <t>3002909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</si>
  <si>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</si>
  <si>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</si>
  <si>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</si>
  <si>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</si>
  <si>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</si>
  <si>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</si>
  <si>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</si>
  <si>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</si>
  <si>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</si>
  <si>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3003107</t>
  </si>
  <si>
    <t>3003108</t>
  </si>
  <si>
    <t>3003109</t>
  </si>
  <si>
    <t>3003110</t>
  </si>
  <si>
    <t>7601</t>
  </si>
  <si>
    <t>7602</t>
  </si>
  <si>
    <t>7604</t>
  </si>
  <si>
    <t>7606</t>
  </si>
  <si>
    <t>7607</t>
  </si>
  <si>
    <t>7610</t>
  </si>
  <si>
    <t>7620</t>
  </si>
  <si>
    <t>7621</t>
  </si>
  <si>
    <t>7301</t>
  </si>
  <si>
    <t>7302</t>
  </si>
  <si>
    <t>7303</t>
  </si>
  <si>
    <t>7304</t>
  </si>
  <si>
    <t>7305</t>
  </si>
  <si>
    <t>7306</t>
  </si>
  <si>
    <t>7307</t>
  </si>
  <si>
    <t>7308</t>
  </si>
  <si>
    <t>7320</t>
  </si>
  <si>
    <t>7321</t>
  </si>
  <si>
    <t>7401</t>
  </si>
  <si>
    <t>7403</t>
  </si>
  <si>
    <t>7404</t>
  </si>
  <si>
    <t>7405</t>
  </si>
  <si>
    <t>7406</t>
  </si>
  <si>
    <t>7407</t>
  </si>
  <si>
    <t>7408</t>
  </si>
  <si>
    <t>7409</t>
  </si>
  <si>
    <t>7411</t>
  </si>
  <si>
    <t>attack011</t>
  </si>
  <si>
    <t>7420</t>
  </si>
  <si>
    <t>chopper005_body_stand_M</t>
  </si>
  <si>
    <t>chopper005_body_stand_M_l</t>
  </si>
  <si>
    <t>223001</t>
  </si>
  <si>
    <t>223002</t>
  </si>
  <si>
    <t>223005</t>
  </si>
  <si>
    <t>223006</t>
  </si>
  <si>
    <t>223809</t>
  </si>
  <si>
    <t>223903</t>
  </si>
  <si>
    <t>223907</t>
  </si>
  <si>
    <t>223908</t>
  </si>
  <si>
    <t>8201</t>
  </si>
  <si>
    <t>8202</t>
  </si>
  <si>
    <t>8203</t>
  </si>
  <si>
    <t>8204</t>
  </si>
  <si>
    <t>8205</t>
  </si>
  <si>
    <t>8206</t>
  </si>
  <si>
    <t>8207</t>
  </si>
  <si>
    <t>8208</t>
  </si>
  <si>
    <t>8220</t>
  </si>
  <si>
    <t>2207&amp;&amp;2208</t>
  </si>
  <si>
    <t>root#0,0,0&amp;&amp;Bip001 R Finger21#0,0,0</t>
  </si>
  <si>
    <t>8221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</si>
  <si>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</si>
  <si>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</si>
  <si>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</si>
  <si>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</si>
  <si>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</si>
  <si>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</si>
  <si>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</si>
  <si>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</si>
  <si>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</si>
  <si>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</si>
  <si>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8320</t>
  </si>
  <si>
    <t>8321</t>
  </si>
  <si>
    <t>3003201</t>
  </si>
  <si>
    <t>3003202</t>
  </si>
  <si>
    <t>3003203</t>
  </si>
  <si>
    <t>3003204</t>
  </si>
  <si>
    <t>3003205</t>
  </si>
  <si>
    <t>40030201</t>
  </si>
  <si>
    <t>40030202</t>
  </si>
  <si>
    <t>40030203</t>
  </si>
  <si>
    <t>40030204</t>
  </si>
  <si>
    <t>40030205</t>
  </si>
  <si>
    <t>40030206</t>
  </si>
  <si>
    <t>40030207</t>
  </si>
  <si>
    <t>40030208</t>
  </si>
  <si>
    <t>40030209</t>
  </si>
  <si>
    <t>40030210</t>
  </si>
  <si>
    <t>40760101</t>
  </si>
  <si>
    <t>40760102</t>
  </si>
  <si>
    <t>40760104</t>
  </si>
  <si>
    <t>40760106</t>
  </si>
  <si>
    <t>40760107</t>
  </si>
  <si>
    <t>40760110</t>
  </si>
  <si>
    <t>40760120</t>
  </si>
  <si>
    <t>40760121</t>
  </si>
  <si>
    <t>40010401</t>
  </si>
  <si>
    <t>40010402</t>
  </si>
  <si>
    <t>40010403</t>
  </si>
  <si>
    <t>40010404</t>
  </si>
  <si>
    <t>40010405</t>
  </si>
  <si>
    <t>40010406</t>
  </si>
  <si>
    <t>40010407</t>
  </si>
  <si>
    <t>40010408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</si>
  <si>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0570101</t>
    </r>
  </si>
  <si>
    <r>
      <rPr>
        <sz val="11"/>
        <color theme="1"/>
        <rFont val="Calibri"/>
        <charset val="134"/>
        <scheme val="minor"/>
      </rPr>
      <t>40570102</t>
    </r>
  </si>
  <si>
    <r>
      <rPr>
        <sz val="11"/>
        <color theme="1"/>
        <rFont val="Calibri"/>
        <charset val="134"/>
        <scheme val="minor"/>
      </rPr>
      <t>40570103</t>
    </r>
  </si>
  <si>
    <r>
      <rPr>
        <sz val="11"/>
        <color theme="1"/>
        <rFont val="Calibri"/>
        <charset val="134"/>
        <scheme val="minor"/>
      </rPr>
      <t>40570104</t>
    </r>
  </si>
  <si>
    <r>
      <rPr>
        <sz val="11"/>
        <color theme="1"/>
        <rFont val="Calibri"/>
        <charset val="134"/>
        <scheme val="minor"/>
      </rPr>
      <t>40570105</t>
    </r>
  </si>
  <si>
    <r>
      <rPr>
        <sz val="11"/>
        <color theme="1"/>
        <rFont val="Calibri"/>
        <charset val="134"/>
        <scheme val="minor"/>
      </rPr>
      <t>40570106</t>
    </r>
  </si>
  <si>
    <r>
      <rPr>
        <sz val="11"/>
        <color theme="1"/>
        <rFont val="Calibri"/>
        <charset val="134"/>
        <scheme val="minor"/>
      </rPr>
      <t>40570107</t>
    </r>
  </si>
  <si>
    <r>
      <rPr>
        <sz val="11"/>
        <color theme="1"/>
        <rFont val="Calibri"/>
        <charset val="134"/>
        <scheme val="minor"/>
      </rPr>
      <t>40570108</t>
    </r>
  </si>
  <si>
    <t>40570120</t>
  </si>
  <si>
    <t>40051001</t>
  </si>
  <si>
    <t>40051002</t>
  </si>
  <si>
    <t>40051003</t>
  </si>
  <si>
    <t>40051004</t>
  </si>
  <si>
    <t>40051005</t>
  </si>
  <si>
    <t>40051006</t>
  </si>
  <si>
    <t>40051007</t>
  </si>
  <si>
    <t>40051008</t>
  </si>
  <si>
    <t>40051009</t>
  </si>
  <si>
    <t>40450201</t>
  </si>
  <si>
    <t>40450202</t>
  </si>
  <si>
    <t>40450203</t>
  </si>
  <si>
    <t>40450204</t>
  </si>
  <si>
    <t>40470401</t>
  </si>
  <si>
    <t>40470402</t>
  </si>
  <si>
    <t>40470403</t>
  </si>
  <si>
    <t>40470404</t>
  </si>
  <si>
    <t>40470405</t>
  </si>
  <si>
    <t>40470406</t>
  </si>
  <si>
    <t>40470407</t>
  </si>
  <si>
    <t>40470408</t>
  </si>
  <si>
    <t>40470409</t>
  </si>
  <si>
    <t>8401</t>
  </si>
  <si>
    <t>8402</t>
  </si>
  <si>
    <t>8403</t>
  </si>
  <si>
    <t>8404</t>
  </si>
  <si>
    <t>8405</t>
  </si>
  <si>
    <t>8406</t>
  </si>
  <si>
    <t>8407</t>
  </si>
  <si>
    <t>8408</t>
  </si>
  <si>
    <t>8420</t>
  </si>
  <si>
    <t>8421</t>
  </si>
  <si>
    <t>mood07</t>
  </si>
  <si>
    <t>8422</t>
  </si>
  <si>
    <t>8501</t>
  </si>
  <si>
    <t>8502</t>
  </si>
  <si>
    <t>8503</t>
  </si>
  <si>
    <t>8504</t>
  </si>
  <si>
    <t>8505</t>
  </si>
  <si>
    <t>8506</t>
  </si>
  <si>
    <t>8507</t>
  </si>
  <si>
    <t>8508</t>
  </si>
  <si>
    <t>8520</t>
  </si>
  <si>
    <t>3003301</t>
  </si>
  <si>
    <t>ridemood01</t>
  </si>
  <si>
    <t>3003001</t>
  </si>
  <si>
    <t>40480001</t>
  </si>
  <si>
    <t>40480002</t>
  </si>
  <si>
    <t>40480003</t>
  </si>
  <si>
    <t>40480004</t>
  </si>
  <si>
    <t>40480005</t>
  </si>
  <si>
    <t>40480006</t>
  </si>
  <si>
    <t>40480007</t>
  </si>
  <si>
    <t>40480008</t>
  </si>
  <si>
    <t>40480009</t>
  </si>
  <si>
    <t>8601</t>
  </si>
  <si>
    <t>8602</t>
  </si>
  <si>
    <t>8603</t>
  </si>
  <si>
    <t>8604</t>
  </si>
  <si>
    <t>8605</t>
  </si>
  <si>
    <t>8606</t>
  </si>
  <si>
    <t>8607</t>
  </si>
  <si>
    <t>8608</t>
  </si>
  <si>
    <t>8701</t>
  </si>
  <si>
    <t>8702</t>
  </si>
  <si>
    <t>8703</t>
  </si>
  <si>
    <t>8704</t>
  </si>
  <si>
    <t>8705</t>
  </si>
  <si>
    <t>8708</t>
  </si>
  <si>
    <t>8709</t>
  </si>
  <si>
    <t>8711</t>
  </si>
  <si>
    <t>8712</t>
  </si>
  <si>
    <t>8720</t>
  </si>
  <si>
    <t>3003506</t>
  </si>
  <si>
    <t>3003507</t>
  </si>
  <si>
    <t>3003508</t>
  </si>
  <si>
    <t>3003509</t>
  </si>
  <si>
    <t>3003510</t>
  </si>
  <si>
    <t>3003511</t>
  </si>
  <si>
    <t>3003513</t>
  </si>
  <si>
    <t>3003514</t>
  </si>
  <si>
    <t>3003515</t>
  </si>
  <si>
    <t>attack15</t>
  </si>
  <si>
    <r>
      <rPr>
        <sz val="11"/>
        <color theme="1"/>
        <rFont val="Calibri"/>
        <charset val="134"/>
        <scheme val="minor"/>
      </rPr>
      <t>40800</t>
    </r>
    <r>
      <rPr>
        <sz val="11"/>
        <color theme="1"/>
        <rFont val="Calibri"/>
        <charset val="134"/>
        <scheme val="minor"/>
      </rPr>
      <t>101</t>
    </r>
  </si>
  <si>
    <r>
      <rPr>
        <sz val="11"/>
        <color theme="1"/>
        <rFont val="Calibri"/>
        <charset val="134"/>
        <scheme val="minor"/>
      </rPr>
      <t>40800102</t>
    </r>
  </si>
  <si>
    <r>
      <rPr>
        <sz val="11"/>
        <color theme="1"/>
        <rFont val="Calibri"/>
        <charset val="134"/>
        <scheme val="minor"/>
      </rPr>
      <t>40800103</t>
    </r>
  </si>
  <si>
    <r>
      <rPr>
        <sz val="11"/>
        <color theme="1"/>
        <rFont val="Calibri"/>
        <charset val="134"/>
        <scheme val="minor"/>
      </rPr>
      <t>40800104</t>
    </r>
  </si>
  <si>
    <r>
      <rPr>
        <sz val="11"/>
        <color theme="1"/>
        <rFont val="Calibri"/>
        <charset val="134"/>
        <scheme val="minor"/>
      </rPr>
      <t>40800105</t>
    </r>
  </si>
  <si>
    <r>
      <rPr>
        <sz val="11"/>
        <color theme="1"/>
        <rFont val="Calibri"/>
        <charset val="134"/>
        <scheme val="minor"/>
      </rPr>
      <t>40800106</t>
    </r>
  </si>
  <si>
    <r>
      <rPr>
        <sz val="11"/>
        <color theme="1"/>
        <rFont val="Calibri"/>
        <charset val="134"/>
        <scheme val="minor"/>
      </rPr>
      <t>40800107</t>
    </r>
  </si>
  <si>
    <r>
      <rPr>
        <sz val="11"/>
        <color theme="1"/>
        <rFont val="Calibri"/>
        <charset val="134"/>
        <scheme val="minor"/>
      </rPr>
      <t>40800108</t>
    </r>
  </si>
  <si>
    <t>40710101</t>
  </si>
  <si>
    <t>40710102</t>
  </si>
  <si>
    <t>40710103</t>
  </si>
  <si>
    <t>40710104</t>
  </si>
  <si>
    <t>40710105</t>
  </si>
  <si>
    <t>40710106</t>
  </si>
  <si>
    <t>40710107</t>
  </si>
  <si>
    <t>40710108</t>
  </si>
  <si>
    <t>225401</t>
  </si>
  <si>
    <t>225402</t>
  </si>
  <si>
    <t>225403</t>
  </si>
  <si>
    <t>225404</t>
  </si>
  <si>
    <t>121605</t>
  </si>
  <si>
    <t>121701</t>
  </si>
  <si>
    <t>121702</t>
  </si>
  <si>
    <t>121703</t>
  </si>
  <si>
    <t>121705</t>
  </si>
  <si>
    <t>121706</t>
  </si>
  <si>
    <t>121801</t>
  </si>
  <si>
    <t>121802</t>
  </si>
  <si>
    <t>121803</t>
  </si>
  <si>
    <t>3003601</t>
  </si>
  <si>
    <t>3003602</t>
  </si>
  <si>
    <t>3003603</t>
  </si>
  <si>
    <t>3003604</t>
  </si>
  <si>
    <t>3003621</t>
  </si>
  <si>
    <t>8805</t>
  </si>
  <si>
    <t>8806</t>
  </si>
  <si>
    <t>8807</t>
  </si>
  <si>
    <t>8808</t>
  </si>
  <si>
    <t>8809</t>
  </si>
  <si>
    <t>8820</t>
  </si>
  <si>
    <t>2643&amp;&amp;2644&amp;&amp;2645</t>
  </si>
  <si>
    <t>root#0,0,0&amp;&amp;Bone007#0,0,0&amp;&amp;Bone012#0,0,0</t>
  </si>
  <si>
    <t>1&amp;&amp;1&amp;&amp;1</t>
  </si>
  <si>
    <t>8901</t>
  </si>
  <si>
    <t>8902</t>
  </si>
  <si>
    <t>8903</t>
  </si>
  <si>
    <t>8904</t>
  </si>
  <si>
    <t>8905</t>
  </si>
  <si>
    <t>8906</t>
  </si>
  <si>
    <t>8907</t>
  </si>
  <si>
    <t>3003708</t>
  </si>
  <si>
    <t>8908</t>
  </si>
  <si>
    <t>8909</t>
  </si>
  <si>
    <t>艾斯-万圣节</t>
  </si>
  <si>
    <t>40500213</t>
  </si>
  <si>
    <t>40500223</t>
  </si>
  <si>
    <t>40840101</t>
  </si>
  <si>
    <t>40840102</t>
  </si>
  <si>
    <t>40840103</t>
  </si>
  <si>
    <t>40840104</t>
  </si>
  <si>
    <t>40840105</t>
  </si>
  <si>
    <t>40840106</t>
  </si>
  <si>
    <t>40840107</t>
  </si>
  <si>
    <t>40840108</t>
  </si>
  <si>
    <t>40840120</t>
  </si>
  <si>
    <t>40840121</t>
  </si>
  <si>
    <t>40840122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</si>
  <si>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0860101</t>
    </r>
  </si>
  <si>
    <t>40860102</t>
  </si>
  <si>
    <t>40860103</t>
  </si>
  <si>
    <t>40860104</t>
  </si>
  <si>
    <t>40860105</t>
  </si>
  <si>
    <t>40860106</t>
  </si>
  <si>
    <t>40860107</t>
  </si>
  <si>
    <t>40860108</t>
  </si>
  <si>
    <t>121901</t>
  </si>
  <si>
    <t>121902</t>
  </si>
  <si>
    <t>121903</t>
  </si>
  <si>
    <t>121904</t>
  </si>
  <si>
    <t>122301</t>
  </si>
  <si>
    <t>122302</t>
  </si>
  <si>
    <t>122303</t>
  </si>
  <si>
    <t>122101</t>
  </si>
  <si>
    <t>122202</t>
  </si>
  <si>
    <t>122401</t>
  </si>
  <si>
    <t>122501</t>
  </si>
  <si>
    <t>9001</t>
  </si>
  <si>
    <t>9002</t>
  </si>
  <si>
    <t>9003</t>
  </si>
  <si>
    <t>9004</t>
  </si>
  <si>
    <t>9005</t>
  </si>
  <si>
    <t>122701</t>
  </si>
  <si>
    <t>122801</t>
  </si>
  <si>
    <t>40870101</t>
  </si>
  <si>
    <t>40870102</t>
  </si>
  <si>
    <t>40870103</t>
  </si>
  <si>
    <t>40870104</t>
  </si>
  <si>
    <t>40870105</t>
  </si>
  <si>
    <t>40870108</t>
  </si>
  <si>
    <t>40870109</t>
  </si>
  <si>
    <t>40870110</t>
  </si>
  <si>
    <t>40870111</t>
  </si>
  <si>
    <t>40870112</t>
  </si>
  <si>
    <t>40870120</t>
  </si>
  <si>
    <t>3003906</t>
  </si>
  <si>
    <t>3003907</t>
  </si>
  <si>
    <t>3003908</t>
  </si>
  <si>
    <t>3003909</t>
  </si>
  <si>
    <t>3003910</t>
  </si>
  <si>
    <t>3003911</t>
  </si>
  <si>
    <t>3003913</t>
  </si>
  <si>
    <t>3003914</t>
  </si>
  <si>
    <t>3003915</t>
  </si>
  <si>
    <t>40710301</t>
  </si>
  <si>
    <t>40710302</t>
  </si>
  <si>
    <t>40710303</t>
  </si>
  <si>
    <t>40710304</t>
  </si>
  <si>
    <t>40710305</t>
  </si>
  <si>
    <t>40710306</t>
  </si>
  <si>
    <t>40710307</t>
  </si>
  <si>
    <t>40710308</t>
  </si>
  <si>
    <t>9101</t>
  </si>
  <si>
    <t>9102</t>
  </si>
  <si>
    <t>9103</t>
  </si>
  <si>
    <t>9104</t>
  </si>
  <si>
    <t>9105</t>
  </si>
  <si>
    <t>9120</t>
  </si>
  <si>
    <t>123101</t>
  </si>
  <si>
    <t>123102</t>
  </si>
  <si>
    <t>123103</t>
  </si>
  <si>
    <t>123301</t>
  </si>
  <si>
    <t>123302</t>
  </si>
  <si>
    <t>123303</t>
  </si>
  <si>
    <t>226701</t>
  </si>
  <si>
    <t>226702</t>
  </si>
  <si>
    <t>226901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</si>
  <si>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</si>
  <si>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</si>
  <si>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</si>
  <si>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</si>
  <si>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</si>
  <si>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</si>
  <si>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</si>
  <si>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</si>
  <si>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</si>
  <si>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3004307</t>
  </si>
  <si>
    <t>3004308</t>
  </si>
  <si>
    <t>9320</t>
  </si>
  <si>
    <t>2675&amp;&amp;2679&amp;&amp;2680</t>
  </si>
  <si>
    <t>root#0,0,0&amp;&amp;Bip001 L UpperArm#0,0,0&amp;&amp;Bip001 R UpperArm#0,0,0</t>
  </si>
  <si>
    <t>40930101</t>
  </si>
  <si>
    <t>40930102</t>
  </si>
  <si>
    <t>40930103</t>
  </si>
  <si>
    <t>40930104</t>
  </si>
  <si>
    <t>40930105</t>
  </si>
  <si>
    <t>40930106</t>
  </si>
  <si>
    <t>40930107</t>
  </si>
  <si>
    <t>40930108</t>
  </si>
  <si>
    <t>40930109</t>
  </si>
  <si>
    <t>40930120</t>
  </si>
  <si>
    <t>123401</t>
  </si>
  <si>
    <t>123402</t>
  </si>
  <si>
    <t>123403</t>
  </si>
  <si>
    <t>123404</t>
  </si>
  <si>
    <t>123405</t>
  </si>
  <si>
    <t>123406</t>
  </si>
  <si>
    <t>123501</t>
  </si>
  <si>
    <t>123502</t>
  </si>
  <si>
    <t>123503</t>
  </si>
  <si>
    <t>123504</t>
  </si>
  <si>
    <t>123505</t>
  </si>
  <si>
    <t>123601</t>
  </si>
  <si>
    <t>123602</t>
  </si>
  <si>
    <t>123701</t>
  </si>
  <si>
    <t>123702</t>
  </si>
  <si>
    <t>123703</t>
  </si>
  <si>
    <t>123801</t>
  </si>
  <si>
    <t>123802</t>
  </si>
  <si>
    <t>123803</t>
  </si>
  <si>
    <t>123901</t>
  </si>
  <si>
    <t>123902</t>
  </si>
  <si>
    <t>123903</t>
  </si>
  <si>
    <t>124001</t>
  </si>
  <si>
    <t>124002</t>
  </si>
  <si>
    <t>124003</t>
  </si>
  <si>
    <t>124004</t>
  </si>
  <si>
    <t>124101</t>
  </si>
  <si>
    <t>124102</t>
  </si>
  <si>
    <t>124103</t>
  </si>
  <si>
    <t>124104</t>
  </si>
  <si>
    <t>124201</t>
  </si>
  <si>
    <t>124202</t>
  </si>
  <si>
    <t>124204</t>
  </si>
  <si>
    <t>124205</t>
  </si>
  <si>
    <t>40820220</t>
  </si>
  <si>
    <t>40820221</t>
  </si>
  <si>
    <t>40470501</t>
  </si>
  <si>
    <t>40470509</t>
  </si>
  <si>
    <t>40730301</t>
  </si>
  <si>
    <t>40730302</t>
  </si>
  <si>
    <t>40730303</t>
  </si>
  <si>
    <t>40730304</t>
  </si>
  <si>
    <t>40730305</t>
  </si>
  <si>
    <t>40730306</t>
  </si>
  <si>
    <t>40730307</t>
  </si>
  <si>
    <t>40730308</t>
  </si>
  <si>
    <t>40730309</t>
  </si>
  <si>
    <t>40730310</t>
  </si>
  <si>
    <t>40700501</t>
  </si>
  <si>
    <t>40700502</t>
  </si>
  <si>
    <t>40700503</t>
  </si>
  <si>
    <t>40700504</t>
  </si>
  <si>
    <t>40700505</t>
  </si>
  <si>
    <t>40700506</t>
  </si>
  <si>
    <t>40700507</t>
  </si>
  <si>
    <t>40700508</t>
  </si>
  <si>
    <t>40700520</t>
  </si>
  <si>
    <t>40051101</t>
  </si>
  <si>
    <t>40051102</t>
  </si>
  <si>
    <t>40051103</t>
  </si>
  <si>
    <t>40051104</t>
  </si>
  <si>
    <t>40051105</t>
  </si>
  <si>
    <t>40051106</t>
  </si>
  <si>
    <t>40051107</t>
  </si>
  <si>
    <t>40051108</t>
  </si>
  <si>
    <t>40051109</t>
  </si>
  <si>
    <t>123001</t>
  </si>
  <si>
    <t>123002</t>
  </si>
  <si>
    <t>123003</t>
  </si>
  <si>
    <t>123004</t>
  </si>
  <si>
    <t>123005</t>
  </si>
  <si>
    <t>40890101</t>
  </si>
  <si>
    <t>40890102</t>
  </si>
  <si>
    <t>40890103</t>
  </si>
  <si>
    <t>40890104</t>
  </si>
  <si>
    <t>40890105</t>
  </si>
  <si>
    <t>40890106</t>
  </si>
  <si>
    <t>40890107</t>
  </si>
  <si>
    <t>40890108</t>
  </si>
  <si>
    <t>3004408</t>
  </si>
  <si>
    <t>40890109</t>
  </si>
  <si>
    <t>9401</t>
  </si>
  <si>
    <t>9402</t>
  </si>
  <si>
    <t>9403</t>
  </si>
  <si>
    <t>9404</t>
  </si>
  <si>
    <t>9405</t>
  </si>
  <si>
    <t>9406</t>
  </si>
  <si>
    <t>9407</t>
  </si>
  <si>
    <t>9408</t>
  </si>
  <si>
    <t>9420</t>
  </si>
  <si>
    <t>root#0,-1.85,0</t>
  </si>
  <si>
    <t>9409</t>
  </si>
  <si>
    <t>9410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</si>
  <si>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</si>
  <si>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</si>
  <si>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</si>
  <si>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</si>
  <si>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</si>
  <si>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</si>
  <si>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</si>
  <si>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</si>
  <si>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</si>
  <si>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9520</t>
  </si>
  <si>
    <t>9510</t>
  </si>
  <si>
    <t>3004610</t>
  </si>
  <si>
    <t>40940101</t>
  </si>
  <si>
    <t>40940102</t>
  </si>
  <si>
    <t>40940103</t>
  </si>
  <si>
    <t>40940104</t>
  </si>
  <si>
    <t>40940105</t>
  </si>
  <si>
    <t>40940106</t>
  </si>
  <si>
    <t>40940107</t>
  </si>
  <si>
    <t>40940108</t>
  </si>
  <si>
    <t>40940120</t>
  </si>
  <si>
    <t>40940109</t>
  </si>
  <si>
    <t>40940110</t>
  </si>
  <si>
    <t>9601</t>
  </si>
  <si>
    <t>9602</t>
  </si>
  <si>
    <t>9603</t>
  </si>
  <si>
    <t>9604</t>
  </si>
  <si>
    <t>9605</t>
  </si>
  <si>
    <t>9606</t>
  </si>
  <si>
    <t>9607</t>
  </si>
  <si>
    <t>9608</t>
  </si>
  <si>
    <t>9620</t>
  </si>
  <si>
    <t>9621</t>
  </si>
  <si>
    <t>40721201</t>
  </si>
  <si>
    <t>40721202</t>
  </si>
  <si>
    <t>40721203</t>
  </si>
  <si>
    <t>40721204</t>
  </si>
  <si>
    <t>40721205</t>
  </si>
  <si>
    <t>40721206</t>
  </si>
  <si>
    <t>40721207</t>
  </si>
  <si>
    <t>40721208</t>
  </si>
  <si>
    <t>40721209</t>
  </si>
  <si>
    <t>40750601</t>
  </si>
  <si>
    <t>40750602</t>
  </si>
  <si>
    <t>40750603</t>
  </si>
  <si>
    <t>40750604</t>
  </si>
  <si>
    <t>40750605</t>
  </si>
  <si>
    <t>40750606</t>
  </si>
  <si>
    <t>40750607</t>
  </si>
  <si>
    <t>40750608</t>
  </si>
  <si>
    <t>40750609</t>
  </si>
  <si>
    <t>40740101</t>
  </si>
  <si>
    <t>40740103</t>
  </si>
  <si>
    <t>40740104</t>
  </si>
  <si>
    <t>40740105</t>
  </si>
  <si>
    <t>40740106</t>
  </si>
  <si>
    <t>40740107</t>
  </si>
  <si>
    <t>40740108</t>
  </si>
  <si>
    <t>40740109</t>
  </si>
  <si>
    <t>40740111</t>
  </si>
  <si>
    <t>40740120</t>
  </si>
  <si>
    <t>chopper009_body_M</t>
  </si>
  <si>
    <t>chopper009_body_M_l</t>
  </si>
  <si>
    <t>124301</t>
  </si>
  <si>
    <t>124302</t>
  </si>
  <si>
    <t>124303</t>
  </si>
  <si>
    <t>124304</t>
  </si>
  <si>
    <t>40960101</t>
  </si>
  <si>
    <t>40960102</t>
  </si>
  <si>
    <t>40960103</t>
  </si>
  <si>
    <t>40960104</t>
  </si>
  <si>
    <t>40960105</t>
  </si>
  <si>
    <t>40960106</t>
  </si>
  <si>
    <t>40960107</t>
  </si>
  <si>
    <t>40960108</t>
  </si>
  <si>
    <t>40960120</t>
  </si>
  <si>
    <t>40960121</t>
  </si>
  <si>
    <t>9701</t>
  </si>
  <si>
    <t>9702</t>
  </si>
  <si>
    <t>9703</t>
  </si>
  <si>
    <t>9704</t>
  </si>
  <si>
    <t>9705</t>
  </si>
  <si>
    <t>9720</t>
  </si>
  <si>
    <t>306301</t>
  </si>
  <si>
    <t>306302</t>
  </si>
  <si>
    <t>306303</t>
  </si>
  <si>
    <t>306304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</si>
  <si>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</si>
  <si>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</si>
  <si>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</si>
  <si>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</si>
  <si>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</si>
  <si>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</si>
  <si>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</si>
  <si>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</si>
  <si>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</si>
  <si>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9820</t>
  </si>
  <si>
    <t>9821</t>
  </si>
  <si>
    <t>jumpf</t>
  </si>
  <si>
    <t>9822</t>
  </si>
  <si>
    <t>9823</t>
  </si>
  <si>
    <t>9824</t>
  </si>
  <si>
    <t>floata</t>
  </si>
  <si>
    <t>9825</t>
  </si>
  <si>
    <t>floatb</t>
  </si>
  <si>
    <t>9826</t>
  </si>
  <si>
    <t>floatc</t>
  </si>
  <si>
    <t>9827</t>
  </si>
  <si>
    <t>hit01</t>
  </si>
  <si>
    <t>9828</t>
  </si>
  <si>
    <t>hit02</t>
  </si>
  <si>
    <t>9829</t>
  </si>
  <si>
    <t>hit03</t>
  </si>
  <si>
    <t>9830</t>
  </si>
  <si>
    <t>hit04</t>
  </si>
  <si>
    <t>9831</t>
  </si>
  <si>
    <t>life</t>
  </si>
  <si>
    <t>9832</t>
  </si>
  <si>
    <t>dizzy</t>
  </si>
  <si>
    <t>9833</t>
  </si>
  <si>
    <t>9834</t>
  </si>
  <si>
    <t>9835</t>
  </si>
  <si>
    <t>124401</t>
  </si>
  <si>
    <t>227001</t>
  </si>
  <si>
    <t>227002</t>
  </si>
  <si>
    <t>227003</t>
  </si>
  <si>
    <t>227004</t>
  </si>
  <si>
    <t>227005</t>
  </si>
  <si>
    <t>227006</t>
  </si>
  <si>
    <t>227007</t>
  </si>
  <si>
    <t>227008</t>
  </si>
  <si>
    <t>227009</t>
  </si>
  <si>
    <t>227020</t>
  </si>
  <si>
    <t>227021</t>
  </si>
  <si>
    <t>227022</t>
  </si>
  <si>
    <t>2967&amp;&amp;2968</t>
  </si>
  <si>
    <t>40970101</t>
  </si>
  <si>
    <t>40970102</t>
  </si>
  <si>
    <t>40970103</t>
  </si>
  <si>
    <t>40970104</t>
  </si>
  <si>
    <t>40970105</t>
  </si>
  <si>
    <t>40970120</t>
  </si>
  <si>
    <t>3004801</t>
  </si>
  <si>
    <t>3004802</t>
  </si>
  <si>
    <t>3004803</t>
  </si>
  <si>
    <t>40980101</t>
  </si>
  <si>
    <t>40980102</t>
  </si>
  <si>
    <t>40980103</t>
  </si>
  <si>
    <t>40980104</t>
  </si>
  <si>
    <t>40980105</t>
  </si>
  <si>
    <t>40980106</t>
  </si>
  <si>
    <t>40980107</t>
  </si>
  <si>
    <t>40980108</t>
  </si>
  <si>
    <t>40980109</t>
  </si>
  <si>
    <t>40980120</t>
  </si>
  <si>
    <t>40980121</t>
  </si>
  <si>
    <t>9901</t>
  </si>
  <si>
    <t>9902</t>
  </si>
  <si>
    <t>3033&amp;&amp;3033</t>
  </si>
  <si>
    <t>Bip001 L ForeTwist1#0,0,0&amp;&amp;Bip001 R ForeTwist1#0,0,0</t>
  </si>
  <si>
    <t>9903</t>
  </si>
  <si>
    <t>9904</t>
  </si>
  <si>
    <t>3034&amp;&amp;3034</t>
  </si>
  <si>
    <t>9905</t>
  </si>
  <si>
    <t>9906</t>
  </si>
  <si>
    <t>0&amp;&amp;0&amp;&amp;0&amp;&amp;0&amp;&amp;0&amp;&amp;0&amp;&amp;0&amp;&amp;0</t>
  </si>
  <si>
    <t>2&amp;&amp;2&amp;&amp;2&amp;&amp;2&amp;&amp;2&amp;&amp;2&amp;&amp;2&amp;&amp;2</t>
  </si>
  <si>
    <t>3037&amp;&amp;3037&amp;&amp;3037&amp;&amp;3037&amp;&amp;3037&amp;&amp;3037&amp;&amp;3037&amp;&amp;3037</t>
  </si>
  <si>
    <t>Bone026&amp;&amp;Bone024&amp;&amp;Bone025&amp;&amp;Bone028&amp;&amp;Bone029&amp;&amp;Bone030&amp;&amp;Bip001 L UpperArm&amp;&amp;Bip001 R UpperArm</t>
  </si>
  <si>
    <t>1&amp;&amp;1&amp;&amp;1&amp;&amp;1&amp;&amp;1&amp;&amp;1&amp;&amp;1&amp;&amp;1</t>
  </si>
  <si>
    <t>9907</t>
  </si>
  <si>
    <t>9908</t>
  </si>
  <si>
    <t>3039&amp;&amp;3039&amp;&amp;3039&amp;&amp;3039&amp;&amp;3039&amp;&amp;3039&amp;&amp;3039&amp;&amp;3039</t>
  </si>
  <si>
    <t>306409</t>
  </si>
  <si>
    <t>306410</t>
  </si>
  <si>
    <t>9920</t>
  </si>
  <si>
    <t>0&amp;&amp;0&amp;&amp;0&amp;&amp;0&amp;&amp;0&amp;&amp;0&amp;&amp;0&amp;&amp;0&amp;&amp;0&amp;&amp;0&amp;&amp;0&amp;&amp;0&amp;&amp;0</t>
  </si>
  <si>
    <t>2&amp;&amp;2&amp;&amp;2&amp;&amp;2&amp;&amp;2&amp;&amp;2&amp;&amp;2&amp;&amp;2&amp;&amp;2&amp;&amp;2&amp;&amp;2&amp;&amp;2&amp;&amp;2</t>
  </si>
  <si>
    <t>3018&amp;&amp;3019&amp;&amp;3019&amp;&amp;3019&amp;&amp;3019&amp;&amp;3019&amp;&amp;3019&amp;&amp;3019&amp;&amp;3019&amp;&amp;3019&amp;&amp;3019&amp;&amp;3031&amp;&amp;3031</t>
  </si>
  <si>
    <t>root#0,0,0&amp;&amp;Dummy006#0,0,0&amp;&amp;Dummy007#0,0,0&amp;&amp;Dummy008#0,0,0&amp;&amp;Dummy009#0,0,0&amp;&amp;Dummy010#0,0,0&amp;&amp;Dummy011#0,0,0&amp;&amp;Dummy012#0,0,0&amp;&amp;Dummy013#0,0,0&amp;&amp;Dummy014#0,0,0&amp;&amp;Dummy015#0,0,0&amp;&amp;Bip001 L UpperArm#0,0,0&amp;&amp;Bip001 R UpperArm#0,0,0</t>
  </si>
  <si>
    <t>1&amp;&amp;1&amp;&amp;1&amp;&amp;1&amp;&amp;1&amp;&amp;1&amp;&amp;1&amp;&amp;1&amp;&amp;1&amp;&amp;1&amp;&amp;1&amp;&amp;1&amp;&amp;1&amp;&amp;1&amp;&amp;1&amp;&amp;1&amp;&amp;1</t>
  </si>
  <si>
    <t>40990101</t>
  </si>
  <si>
    <t>40990102</t>
  </si>
  <si>
    <t>40990103</t>
  </si>
  <si>
    <t>40990104</t>
  </si>
  <si>
    <t>40990105</t>
  </si>
  <si>
    <t>40990106</t>
  </si>
  <si>
    <t>40990107</t>
  </si>
  <si>
    <t>40990108</t>
  </si>
  <si>
    <t>40990120</t>
  </si>
  <si>
    <t>3032&amp;&amp;3038&amp;&amp;3038&amp;&amp;3038&amp;&amp;3038&amp;&amp;3038&amp;&amp;3038&amp;&amp;3038&amp;&amp;3038&amp;&amp;3038&amp;&amp;3038&amp;&amp;3023&amp;&amp;3024</t>
  </si>
  <si>
    <t>root#0,0,0&amp;&amp;Dummy006#0,0,0&amp;&amp;Dummy007#0,0,0&amp;&amp;Dummy008#0,0,0&amp;&amp;Dummy009#0,0,0&amp;&amp;Dummy010#0,0,0&amp;&amp;Dummy011#0,0,0&amp;&amp;Dummy012#0,0,0&amp;&amp;Dummy013#0,0,0&amp;&amp;Dummy014#0,0,0&amp;&amp;Dummy015#0,0,0&amp;&amp;Bip001 R UpperArm#0,-0.021,-0.054&amp;&amp;Bip001 L UpperArm#0.012,0,0.032</t>
  </si>
  <si>
    <t>40990121</t>
  </si>
  <si>
    <t>0&amp;&amp;0&amp;&amp;0&amp;&amp;0</t>
  </si>
  <si>
    <t>2&amp;&amp;2&amp;&amp;2&amp;&amp;2</t>
  </si>
  <si>
    <t>3023&amp;&amp;3023&amp;&amp;3023&amp;&amp;3023</t>
  </si>
  <si>
    <t>Bip001 R UpperArm#0,0,-0.05&amp;&amp;Point003#0,0,0.1&amp;&amp;Bip001 L UpperArm#0,0,0.05&amp;&amp;Point002#0,0,-0.1</t>
  </si>
  <si>
    <t>40990122</t>
  </si>
  <si>
    <t>40990123</t>
  </si>
  <si>
    <t>40990124</t>
  </si>
  <si>
    <t>40990125</t>
  </si>
  <si>
    <t>40990126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</si>
  <si>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</si>
  <si>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</si>
  <si>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</si>
  <si>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</si>
  <si>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</si>
  <si>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</si>
  <si>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</si>
  <si>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</si>
  <si>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</si>
  <si>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10020</t>
  </si>
  <si>
    <t>10021</t>
  </si>
  <si>
    <t>3072&amp;&amp;3073</t>
  </si>
  <si>
    <t>root#0,0,0&amp;&amp;Dummy001#0,0,0</t>
  </si>
  <si>
    <t>10022</t>
  </si>
  <si>
    <t>buff02</t>
  </si>
  <si>
    <t>10023</t>
  </si>
  <si>
    <t>buff03</t>
  </si>
  <si>
    <t>10024</t>
  </si>
  <si>
    <t>dizzy01</t>
  </si>
  <si>
    <t>10025</t>
  </si>
  <si>
    <t>3078&amp;&amp;3079</t>
  </si>
  <si>
    <t>root#0,0,0&amp;&amp;wuqi01#0,0,0</t>
  </si>
  <si>
    <t>401000101</t>
  </si>
  <si>
    <t>401000102</t>
  </si>
  <si>
    <t>401000103</t>
  </si>
  <si>
    <t>401000104</t>
  </si>
  <si>
    <t>401000105</t>
  </si>
  <si>
    <t>401000106</t>
  </si>
  <si>
    <t>401000107</t>
  </si>
  <si>
    <t>401000108</t>
  </si>
  <si>
    <t>401000109</t>
  </si>
  <si>
    <t>401000120</t>
  </si>
  <si>
    <t>401000121</t>
  </si>
  <si>
    <t>401000122</t>
  </si>
  <si>
    <t>401000123</t>
  </si>
  <si>
    <t>401000124</t>
  </si>
  <si>
    <t>401000125</t>
  </si>
  <si>
    <t>3004920</t>
  </si>
  <si>
    <t>3004921</t>
  </si>
  <si>
    <t>10201</t>
  </si>
  <si>
    <t>10202</t>
  </si>
  <si>
    <t>10203</t>
  </si>
  <si>
    <t>10204</t>
  </si>
  <si>
    <t>10205</t>
  </si>
  <si>
    <t>10220</t>
  </si>
  <si>
    <t>3004906</t>
  </si>
  <si>
    <t>3004907</t>
  </si>
  <si>
    <t>3004908</t>
  </si>
  <si>
    <t>3004909</t>
  </si>
  <si>
    <t>401020101</t>
  </si>
  <si>
    <t>401020102</t>
  </si>
  <si>
    <t>401020103</t>
  </si>
  <si>
    <t>401020104</t>
  </si>
  <si>
    <t>401020105</t>
  </si>
  <si>
    <t>401020120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</si>
  <si>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</si>
  <si>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</si>
  <si>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</si>
  <si>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</si>
  <si>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</si>
  <si>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</si>
  <si>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</si>
  <si>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</si>
  <si>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10120</t>
  </si>
  <si>
    <t>124501</t>
  </si>
  <si>
    <t>124601</t>
  </si>
  <si>
    <t>124701</t>
  </si>
  <si>
    <t>124702</t>
  </si>
  <si>
    <t>124703</t>
  </si>
  <si>
    <t>124704</t>
  </si>
  <si>
    <t>401010101</t>
  </si>
  <si>
    <t>401010102</t>
  </si>
  <si>
    <t>401010103</t>
  </si>
  <si>
    <t>401010104</t>
  </si>
  <si>
    <t>401010105</t>
  </si>
  <si>
    <t>401010106</t>
  </si>
  <si>
    <t>401010107</t>
  </si>
  <si>
    <t>401010108</t>
  </si>
  <si>
    <t>401010120</t>
  </si>
  <si>
    <t>228701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</si>
  <si>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</si>
  <si>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</si>
  <si>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</si>
  <si>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</si>
  <si>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</si>
  <si>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</si>
  <si>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</si>
  <si>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</si>
  <si>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10320</t>
  </si>
  <si>
    <t>10321</t>
  </si>
  <si>
    <t>226803</t>
  </si>
  <si>
    <t>226808</t>
  </si>
  <si>
    <t>226821</t>
  </si>
  <si>
    <t>226822</t>
  </si>
  <si>
    <t>226823</t>
  </si>
  <si>
    <t>226824</t>
  </si>
  <si>
    <t>226825</t>
  </si>
  <si>
    <t>226826</t>
  </si>
  <si>
    <t>226827</t>
  </si>
  <si>
    <t>226828</t>
  </si>
  <si>
    <t>226829</t>
  </si>
  <si>
    <t>226830</t>
  </si>
  <si>
    <t>226831</t>
  </si>
  <si>
    <t>226832</t>
  </si>
  <si>
    <t>226833</t>
  </si>
  <si>
    <t>226834</t>
  </si>
  <si>
    <t>226835</t>
  </si>
  <si>
    <t>226836</t>
  </si>
  <si>
    <t>10309</t>
  </si>
  <si>
    <t>10310</t>
  </si>
  <si>
    <t>10311</t>
  </si>
  <si>
    <t>10312</t>
  </si>
  <si>
    <t>10313</t>
  </si>
  <si>
    <t>401030101</t>
  </si>
  <si>
    <t>401030102</t>
  </si>
  <si>
    <t>401030103</t>
  </si>
  <si>
    <t>401030104</t>
  </si>
  <si>
    <t>401030105</t>
  </si>
  <si>
    <t>401030106</t>
  </si>
  <si>
    <t>401030107</t>
  </si>
  <si>
    <t>401030108</t>
  </si>
  <si>
    <t>401030120</t>
  </si>
  <si>
    <t>401030121</t>
  </si>
  <si>
    <t>401030109</t>
  </si>
  <si>
    <t>401030110</t>
  </si>
  <si>
    <t>401030111</t>
  </si>
  <si>
    <t>401030112</t>
  </si>
  <si>
    <t>401030113</t>
  </si>
  <si>
    <t>227301</t>
  </si>
  <si>
    <t>227302</t>
  </si>
  <si>
    <t>227303</t>
  </si>
  <si>
    <t>227304</t>
  </si>
  <si>
    <t>227305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</si>
  <si>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</si>
  <si>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</si>
  <si>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</si>
  <si>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</si>
  <si>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</si>
  <si>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</si>
  <si>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</si>
  <si>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</si>
  <si>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</si>
  <si>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</si>
  <si>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</si>
  <si>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10420</t>
  </si>
  <si>
    <t>10421</t>
  </si>
  <si>
    <t>10501</t>
  </si>
  <si>
    <t>10502</t>
  </si>
  <si>
    <t>10503</t>
  </si>
  <si>
    <t>10504</t>
  </si>
  <si>
    <t>10505</t>
  </si>
  <si>
    <t>10506</t>
  </si>
  <si>
    <t>3005306</t>
  </si>
  <si>
    <t>3005307</t>
  </si>
  <si>
    <t>3005308</t>
  </si>
  <si>
    <t>3005309</t>
  </si>
  <si>
    <t>10520</t>
  </si>
  <si>
    <t>3248&amp;&amp;3249&amp;&amp;3250</t>
  </si>
  <si>
    <t>root#0,0,0&amp;&amp;Bip001 L Finger2#0,0,0&amp;&amp;Bip001 R Finger2#0,0,0</t>
  </si>
  <si>
    <t>10521</t>
  </si>
  <si>
    <t>jialuote001_body_d_touoming</t>
  </si>
  <si>
    <t>jialuote001_body_d_touoming_l</t>
  </si>
  <si>
    <t>401050121</t>
  </si>
  <si>
    <t>jialuote003_body_d_touming</t>
  </si>
  <si>
    <t>jialuote003_body_d_l_touming</t>
  </si>
  <si>
    <t>3005310</t>
  </si>
  <si>
    <t>10620</t>
  </si>
  <si>
    <t>401060101</t>
  </si>
  <si>
    <t>401060102</t>
  </si>
  <si>
    <t>401060103</t>
  </si>
  <si>
    <t>401060104</t>
  </si>
  <si>
    <t>401060105</t>
  </si>
  <si>
    <t>401060106</t>
  </si>
  <si>
    <t>401060107</t>
  </si>
  <si>
    <t>401060108</t>
  </si>
  <si>
    <t>401060120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</si>
  <si>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</si>
  <si>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</si>
  <si>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</si>
  <si>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</si>
  <si>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</si>
  <si>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</si>
  <si>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</si>
  <si>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</si>
  <si>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10609</t>
  </si>
  <si>
    <t>10610</t>
  </si>
  <si>
    <t>401060109</t>
  </si>
  <si>
    <t>401060110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</si>
  <si>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</si>
  <si>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</si>
  <si>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</si>
  <si>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</si>
  <si>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</si>
  <si>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</si>
  <si>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</si>
  <si>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</si>
  <si>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401080101</t>
  </si>
  <si>
    <t>401080102</t>
  </si>
  <si>
    <t>401080103</t>
  </si>
  <si>
    <t>401080104</t>
  </si>
  <si>
    <t>401080105</t>
  </si>
  <si>
    <t>401080106</t>
  </si>
  <si>
    <t>401080107</t>
  </si>
  <si>
    <t>401080108</t>
  </si>
  <si>
    <t>10820</t>
  </si>
  <si>
    <t>401080120</t>
  </si>
  <si>
    <t>401070101</t>
  </si>
  <si>
    <t>401070102</t>
  </si>
  <si>
    <t>401070103</t>
  </si>
  <si>
    <t>401070104</t>
  </si>
  <si>
    <t>401070105</t>
  </si>
  <si>
    <t>401070106</t>
  </si>
  <si>
    <t>401070107</t>
  </si>
  <si>
    <t>401070108</t>
  </si>
  <si>
    <t>10720</t>
  </si>
  <si>
    <t>401070120</t>
  </si>
  <si>
    <t>10821</t>
  </si>
  <si>
    <t>401080121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</si>
  <si>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</si>
  <si>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</si>
  <si>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</si>
  <si>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</si>
  <si>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</si>
  <si>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</si>
  <si>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</si>
  <si>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</si>
  <si>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</si>
  <si>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10920</t>
  </si>
  <si>
    <t>401090101</t>
  </si>
  <si>
    <t>401090102</t>
  </si>
  <si>
    <t>401090103</t>
  </si>
  <si>
    <t>401090104</t>
  </si>
  <si>
    <t>401090105</t>
  </si>
  <si>
    <t>401090106</t>
  </si>
  <si>
    <t>401090107</t>
  </si>
  <si>
    <t>401090108</t>
  </si>
  <si>
    <t>401090109</t>
  </si>
  <si>
    <t>401090120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</si>
  <si>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</si>
  <si>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</si>
  <si>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</si>
  <si>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</si>
  <si>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</si>
  <si>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</si>
  <si>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</si>
  <si>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</si>
  <si>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</si>
  <si>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11020</t>
  </si>
  <si>
    <t>124801</t>
  </si>
  <si>
    <t>124802</t>
  </si>
  <si>
    <t>125101</t>
  </si>
  <si>
    <t>125102</t>
  </si>
  <si>
    <t>125103</t>
  </si>
  <si>
    <t>124901</t>
  </si>
  <si>
    <t>125001</t>
  </si>
  <si>
    <t>125201</t>
  </si>
  <si>
    <t>125301</t>
  </si>
  <si>
    <t>125401</t>
  </si>
  <si>
    <t>125402</t>
  </si>
  <si>
    <t>125403</t>
  </si>
  <si>
    <t>125501</t>
  </si>
  <si>
    <t>125502</t>
  </si>
  <si>
    <t>125503</t>
  </si>
  <si>
    <t>125601</t>
  </si>
  <si>
    <t>125701</t>
  </si>
  <si>
    <t>126001</t>
  </si>
  <si>
    <t>126002</t>
  </si>
  <si>
    <t>125801</t>
  </si>
  <si>
    <t>125802</t>
  </si>
  <si>
    <t>125901</t>
  </si>
  <si>
    <t>125902</t>
  </si>
  <si>
    <t>125903</t>
  </si>
  <si>
    <t>125904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</si>
  <si>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</si>
  <si>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</si>
  <si>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</si>
  <si>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</si>
  <si>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</si>
  <si>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</si>
  <si>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</si>
  <si>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</si>
  <si>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11120</t>
  </si>
  <si>
    <t>3481&amp;&amp;3482</t>
  </si>
  <si>
    <t>Bip001 Neck#0,0,0&amp;&amp;Bip001 R Hand#0,0,0</t>
  </si>
  <si>
    <t>11201</t>
  </si>
  <si>
    <t>11202</t>
  </si>
  <si>
    <t>11203</t>
  </si>
  <si>
    <t>11204</t>
  </si>
  <si>
    <t>11207</t>
  </si>
  <si>
    <t>11208</t>
  </si>
  <si>
    <t>11220</t>
  </si>
  <si>
    <t>3005605</t>
  </si>
  <si>
    <t>3005606</t>
  </si>
  <si>
    <t>3005608</t>
  </si>
  <si>
    <t>3504&amp;&amp;3543</t>
  </si>
  <si>
    <t>Bip001 Head#0,0,0&amp;&amp;Bip001 R Hand#0,0,0</t>
  </si>
  <si>
    <t>3005609</t>
  </si>
  <si>
    <t>11301</t>
  </si>
  <si>
    <t>11302</t>
  </si>
  <si>
    <t>11303</t>
  </si>
  <si>
    <t>3005704</t>
  </si>
  <si>
    <t>3005705</t>
  </si>
  <si>
    <t>3005706</t>
  </si>
  <si>
    <t>11307</t>
  </si>
  <si>
    <t>11308</t>
  </si>
  <si>
    <t>3005708</t>
  </si>
  <si>
    <t>3005709</t>
  </si>
  <si>
    <t>11320</t>
  </si>
  <si>
    <t>11401</t>
  </si>
  <si>
    <t>11402</t>
  </si>
  <si>
    <t>11403</t>
  </si>
  <si>
    <t>11404</t>
  </si>
  <si>
    <t>11405</t>
  </si>
  <si>
    <t>11406</t>
  </si>
  <si>
    <t>11407</t>
  </si>
  <si>
    <t>11420</t>
  </si>
  <si>
    <t>3566&amp;&amp;3567&amp;&amp;3568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</si>
  <si>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</si>
  <si>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</si>
  <si>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</si>
  <si>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</si>
  <si>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</si>
  <si>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</si>
  <si>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</si>
  <si>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</si>
  <si>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</si>
  <si>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</si>
  <si>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</si>
  <si>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</si>
  <si>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</si>
  <si>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</si>
  <si>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</si>
  <si>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</si>
  <si>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</si>
  <si>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</si>
  <si>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</si>
  <si>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prison</t>
  </si>
  <si>
    <t>11440</t>
  </si>
  <si>
    <t>11441</t>
  </si>
  <si>
    <t>riderun</t>
  </si>
  <si>
    <t>11442</t>
  </si>
  <si>
    <t>ridestand</t>
  </si>
  <si>
    <t>11443</t>
  </si>
  <si>
    <t>11444</t>
  </si>
  <si>
    <t>11445</t>
  </si>
  <si>
    <t>11446</t>
  </si>
  <si>
    <t>11447</t>
  </si>
  <si>
    <t>strong</t>
  </si>
  <si>
    <t>11448</t>
  </si>
  <si>
    <t>11449</t>
  </si>
  <si>
    <t>11450</t>
  </si>
  <si>
    <t>walkprison</t>
  </si>
  <si>
    <t>11451</t>
  </si>
  <si>
    <t>401140101</t>
  </si>
  <si>
    <t>401140102</t>
  </si>
  <si>
    <t>401140103</t>
  </si>
  <si>
    <t>401140104</t>
  </si>
  <si>
    <t>401140105</t>
  </si>
  <si>
    <t>401140106</t>
  </si>
  <si>
    <t>401140107</t>
  </si>
  <si>
    <t>401140120</t>
  </si>
  <si>
    <t>126101</t>
  </si>
  <si>
    <t>126102</t>
  </si>
  <si>
    <t>126103</t>
  </si>
  <si>
    <t>126201</t>
  </si>
  <si>
    <t>126202</t>
  </si>
  <si>
    <t>126203</t>
  </si>
  <si>
    <t>126301</t>
  </si>
  <si>
    <t>126302</t>
  </si>
  <si>
    <t>126303</t>
  </si>
  <si>
    <t>126401</t>
  </si>
  <si>
    <t>126402</t>
  </si>
  <si>
    <t>126403</t>
  </si>
  <si>
    <t>126404</t>
  </si>
  <si>
    <t>126501</t>
  </si>
  <si>
    <t>126502</t>
  </si>
  <si>
    <t>126503</t>
  </si>
  <si>
    <t>126601</t>
  </si>
  <si>
    <t>126602</t>
  </si>
  <si>
    <t>126603</t>
  </si>
  <si>
    <t>126701</t>
  </si>
  <si>
    <t>126702</t>
  </si>
  <si>
    <t>126703</t>
  </si>
  <si>
    <t>126801</t>
  </si>
  <si>
    <t>126802</t>
  </si>
  <si>
    <t>126901</t>
  </si>
  <si>
    <t>127001</t>
  </si>
  <si>
    <t>127101</t>
  </si>
  <si>
    <t>127201</t>
  </si>
  <si>
    <t>127301</t>
  </si>
  <si>
    <t>127302</t>
  </si>
  <si>
    <t>127401</t>
  </si>
  <si>
    <t>127501</t>
  </si>
  <si>
    <t>127601</t>
  </si>
  <si>
    <t>127701</t>
  </si>
  <si>
    <t>127801</t>
  </si>
  <si>
    <t>127802</t>
  </si>
  <si>
    <t>127803</t>
  </si>
  <si>
    <t>127901</t>
  </si>
  <si>
    <t>127902</t>
  </si>
  <si>
    <t>127903</t>
  </si>
  <si>
    <t>401140201</t>
  </si>
  <si>
    <t>401140202</t>
  </si>
  <si>
    <t>401140203</t>
  </si>
  <si>
    <t>401140204</t>
  </si>
  <si>
    <t>401140205</t>
  </si>
  <si>
    <t>401140206</t>
  </si>
  <si>
    <t>401140207</t>
  </si>
  <si>
    <t>401140220</t>
  </si>
  <si>
    <t>401140221</t>
  </si>
  <si>
    <t>401140222</t>
  </si>
  <si>
    <t>401140223</t>
  </si>
  <si>
    <t>401140224</t>
  </si>
  <si>
    <t>401140225</t>
  </si>
  <si>
    <t>401140226</t>
  </si>
  <si>
    <t>401140227</t>
  </si>
  <si>
    <t>401140228</t>
  </si>
  <si>
    <t>401140229</t>
  </si>
  <si>
    <t>401140230</t>
  </si>
  <si>
    <t>401140231</t>
  </si>
  <si>
    <t>401140232</t>
  </si>
  <si>
    <t>401140233</t>
  </si>
  <si>
    <t>401140234</t>
  </si>
  <si>
    <t>401140235</t>
  </si>
  <si>
    <t>401140236</t>
  </si>
  <si>
    <t>401140237</t>
  </si>
  <si>
    <t>401140238</t>
  </si>
  <si>
    <t>401140239</t>
  </si>
  <si>
    <t>401140240</t>
  </si>
  <si>
    <t>401140241</t>
  </si>
  <si>
    <t>401140242</t>
  </si>
  <si>
    <t>401140243</t>
  </si>
  <si>
    <t>401140244</t>
  </si>
  <si>
    <t>401140245</t>
  </si>
  <si>
    <t>401140246</t>
  </si>
  <si>
    <t>standflight</t>
  </si>
  <si>
    <t>401140247</t>
  </si>
  <si>
    <t>401140248</t>
  </si>
  <si>
    <t>401140249</t>
  </si>
  <si>
    <t>401140250</t>
  </si>
  <si>
    <t>401140251</t>
  </si>
  <si>
    <t>401140301</t>
  </si>
  <si>
    <t>401140302</t>
  </si>
  <si>
    <t>401140303</t>
  </si>
  <si>
    <t>401140304</t>
  </si>
  <si>
    <t>401140305</t>
  </si>
  <si>
    <t>401140306</t>
  </si>
  <si>
    <t>401140307</t>
  </si>
  <si>
    <t>401140320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</si>
  <si>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</si>
  <si>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</si>
  <si>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</si>
  <si>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</si>
  <si>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</si>
  <si>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</si>
  <si>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</si>
  <si>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</si>
  <si>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</si>
  <si>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</si>
  <si>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</si>
  <si>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</si>
  <si>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</si>
  <si>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</si>
  <si>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</si>
  <si>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</si>
  <si>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</si>
  <si>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</si>
  <si>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</si>
  <si>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</si>
  <si>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</si>
  <si>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</si>
  <si>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</si>
  <si>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</si>
  <si>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</si>
  <si>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</si>
  <si>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</si>
  <si>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</si>
  <si>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</si>
  <si>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</si>
  <si>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</si>
  <si>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</si>
  <si>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</si>
  <si>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</si>
  <si>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</si>
  <si>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</si>
  <si>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</si>
  <si>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</si>
  <si>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</si>
  <si>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</si>
  <si>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</si>
  <si>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9810</t>
  </si>
  <si>
    <t>401150101</t>
  </si>
  <si>
    <t>401150102</t>
  </si>
  <si>
    <t>401150103</t>
  </si>
  <si>
    <t>401150104</t>
  </si>
  <si>
    <t>401150105</t>
  </si>
  <si>
    <t>401150106</t>
  </si>
  <si>
    <t>401150107</t>
  </si>
  <si>
    <t>401150108</t>
  </si>
  <si>
    <t>401150109</t>
  </si>
  <si>
    <t>401150110</t>
  </si>
  <si>
    <t>401150111</t>
  </si>
  <si>
    <t>401150120</t>
  </si>
  <si>
    <t>401150121</t>
  </si>
  <si>
    <t>401150122</t>
  </si>
  <si>
    <t>401150123</t>
  </si>
  <si>
    <t>401150124</t>
  </si>
  <si>
    <t>401150125</t>
  </si>
  <si>
    <t>401150126</t>
  </si>
  <si>
    <t>401150127</t>
  </si>
  <si>
    <t>401150128</t>
  </si>
  <si>
    <t>401150129</t>
  </si>
  <si>
    <t>401150130</t>
  </si>
  <si>
    <t>401150131</t>
  </si>
  <si>
    <t>401150132</t>
  </si>
  <si>
    <t>401150133</t>
  </si>
  <si>
    <t>401150134</t>
  </si>
  <si>
    <t>401150135</t>
  </si>
  <si>
    <t>401150136</t>
  </si>
  <si>
    <t>401150137</t>
  </si>
  <si>
    <t>401150138</t>
  </si>
  <si>
    <t>401150139</t>
  </si>
  <si>
    <t>401150140</t>
  </si>
  <si>
    <t>401150141</t>
  </si>
  <si>
    <t>401150142</t>
  </si>
  <si>
    <t>401150143</t>
  </si>
  <si>
    <t>401150144</t>
  </si>
  <si>
    <t>401150145</t>
  </si>
  <si>
    <t>401150146</t>
  </si>
  <si>
    <t>401150147</t>
  </si>
  <si>
    <t>401150148</t>
  </si>
  <si>
    <t>401150149</t>
  </si>
  <si>
    <t>401150150</t>
  </si>
  <si>
    <t>3006020</t>
  </si>
  <si>
    <t>buff04</t>
  </si>
  <si>
    <t>3006021</t>
  </si>
  <si>
    <t>display</t>
  </si>
  <si>
    <t>3006022</t>
  </si>
  <si>
    <t>3006023</t>
  </si>
  <si>
    <t>40980110</t>
  </si>
  <si>
    <t>3006101</t>
  </si>
  <si>
    <t>11601</t>
  </si>
  <si>
    <t>11602</t>
  </si>
  <si>
    <t>11603</t>
  </si>
  <si>
    <t>11604</t>
  </si>
  <si>
    <t>11605</t>
  </si>
  <si>
    <t>11606</t>
  </si>
  <si>
    <t>3006306</t>
  </si>
  <si>
    <t>3006207</t>
  </si>
  <si>
    <t>3006208</t>
  </si>
  <si>
    <t>3006209</t>
  </si>
  <si>
    <t>11620</t>
  </si>
  <si>
    <t>401160101</t>
  </si>
  <si>
    <t>401160102</t>
  </si>
  <si>
    <t>401160103</t>
  </si>
  <si>
    <t>401160104</t>
  </si>
  <si>
    <t>401160105</t>
  </si>
  <si>
    <t>401160106</t>
  </si>
  <si>
    <t>401160120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</si>
  <si>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</si>
  <si>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</si>
  <si>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</si>
  <si>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</si>
  <si>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</si>
  <si>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</si>
  <si>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</si>
  <si>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</si>
  <si>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</si>
  <si>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</si>
  <si>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</si>
  <si>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11720</t>
  </si>
  <si>
    <t>9710</t>
  </si>
  <si>
    <t>40970110</t>
  </si>
  <si>
    <t>40970220</t>
  </si>
  <si>
    <t>40970221</t>
  </si>
  <si>
    <t>40970222</t>
  </si>
  <si>
    <t>11905</t>
  </si>
  <si>
    <t>11801</t>
  </si>
  <si>
    <t>11802</t>
  </si>
  <si>
    <t>40970201</t>
  </si>
  <si>
    <t>40970202</t>
  </si>
  <si>
    <t>40970203</t>
  </si>
  <si>
    <t>40970204</t>
  </si>
  <si>
    <t>40970205</t>
  </si>
  <si>
    <t>40970206</t>
  </si>
  <si>
    <t>40970210</t>
  </si>
  <si>
    <t>3006501</t>
  </si>
  <si>
    <t>3006502</t>
  </si>
  <si>
    <t>3006503</t>
  </si>
  <si>
    <t>3006504</t>
  </si>
  <si>
    <t>12001</t>
  </si>
  <si>
    <t>12002</t>
  </si>
  <si>
    <t>12003</t>
  </si>
  <si>
    <t>12004</t>
  </si>
  <si>
    <t>12005</t>
  </si>
  <si>
    <t>12006</t>
  </si>
  <si>
    <t>3006701</t>
  </si>
  <si>
    <t>3006702</t>
  </si>
  <si>
    <t>3006703</t>
  </si>
  <si>
    <t>3006704</t>
  </si>
  <si>
    <t>120020</t>
  </si>
  <si>
    <t>7720</t>
  </si>
  <si>
    <t>7721</t>
  </si>
  <si>
    <t>7722</t>
  </si>
  <si>
    <t>7723</t>
  </si>
  <si>
    <t>7724</t>
  </si>
  <si>
    <t>7725</t>
  </si>
  <si>
    <t>7726</t>
  </si>
  <si>
    <t>128201</t>
  </si>
  <si>
    <t>128202</t>
  </si>
  <si>
    <t>128203</t>
  </si>
  <si>
    <t>128204</t>
  </si>
  <si>
    <t>11901</t>
  </si>
  <si>
    <t>11902</t>
  </si>
  <si>
    <t>11903</t>
  </si>
  <si>
    <t>11904</t>
  </si>
  <si>
    <t>3006605</t>
  </si>
  <si>
    <t>3006607</t>
  </si>
  <si>
    <t>3006609</t>
  </si>
  <si>
    <t>3006614</t>
  </si>
  <si>
    <t>11804</t>
  </si>
  <si>
    <t>11810</t>
  </si>
  <si>
    <t>11811</t>
  </si>
  <si>
    <t>11812</t>
  </si>
  <si>
    <t>11813</t>
  </si>
  <si>
    <t>11920</t>
  </si>
  <si>
    <t>11815</t>
  </si>
  <si>
    <t>128301</t>
  </si>
  <si>
    <t>128302</t>
  </si>
  <si>
    <t>128303</t>
  </si>
  <si>
    <t>128304</t>
  </si>
  <si>
    <t>128305</t>
  </si>
  <si>
    <t>128306</t>
  </si>
  <si>
    <t>128307</t>
  </si>
  <si>
    <t>128308</t>
  </si>
  <si>
    <t>401190101</t>
  </si>
  <si>
    <t>401190102</t>
  </si>
  <si>
    <t>401190103</t>
  </si>
  <si>
    <t>401190104</t>
  </si>
  <si>
    <t>401190120</t>
  </si>
  <si>
    <t>3006821</t>
  </si>
  <si>
    <t>8409</t>
  </si>
  <si>
    <t>8410</t>
  </si>
  <si>
    <t>40840209</t>
  </si>
  <si>
    <t>40840210</t>
  </si>
  <si>
    <t>401190121</t>
  </si>
  <si>
    <t>401190122</t>
  </si>
  <si>
    <t>ridemood02</t>
  </si>
  <si>
    <t>3006822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</si>
  <si>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</si>
  <si>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</si>
  <si>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</si>
  <si>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</si>
  <si>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</si>
  <si>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</si>
  <si>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</si>
  <si>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</si>
  <si>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</si>
  <si>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</si>
  <si>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12120</t>
  </si>
  <si>
    <t>12121</t>
  </si>
  <si>
    <t>12122</t>
  </si>
  <si>
    <t>12123</t>
  </si>
  <si>
    <t>12124</t>
  </si>
  <si>
    <t>12125</t>
  </si>
  <si>
    <t>12127</t>
  </si>
  <si>
    <t>3006906</t>
  </si>
  <si>
    <t>3006907</t>
  </si>
  <si>
    <t>3009410</t>
  </si>
  <si>
    <t>Bip001#0,0,0</t>
  </si>
  <si>
    <t>40730401</t>
  </si>
  <si>
    <t>40730402</t>
  </si>
  <si>
    <t>40730403</t>
  </si>
  <si>
    <t>40730404</t>
  </si>
  <si>
    <t>40730405</t>
  </si>
  <si>
    <t>40730406</t>
  </si>
  <si>
    <t>40730407</t>
  </si>
  <si>
    <t>40730408</t>
  </si>
  <si>
    <t>40730420</t>
  </si>
  <si>
    <t>40730421</t>
  </si>
  <si>
    <t>5210</t>
  </si>
  <si>
    <t>5211</t>
  </si>
  <si>
    <t>401210101</t>
  </si>
  <si>
    <t>401210102</t>
  </si>
  <si>
    <t>401210103</t>
  </si>
  <si>
    <t>401210104</t>
  </si>
  <si>
    <t>401210105</t>
  </si>
  <si>
    <t>401210106</t>
  </si>
  <si>
    <t>401210107</t>
  </si>
  <si>
    <t>401210108</t>
  </si>
  <si>
    <t>401210109</t>
  </si>
  <si>
    <t>401210110</t>
  </si>
  <si>
    <t>401210120</t>
  </si>
  <si>
    <t>401210121</t>
  </si>
  <si>
    <t>401210122</t>
  </si>
  <si>
    <t>401210123</t>
  </si>
  <si>
    <t>401210124</t>
  </si>
  <si>
    <t>401210125</t>
  </si>
  <si>
    <t>401210126</t>
  </si>
  <si>
    <t>401210127</t>
  </si>
  <si>
    <t>3006920</t>
  </si>
  <si>
    <t>128401</t>
  </si>
  <si>
    <t>12201</t>
  </si>
  <si>
    <t>12202</t>
  </si>
  <si>
    <t>12203</t>
  </si>
  <si>
    <t>12204</t>
  </si>
  <si>
    <t>12205</t>
  </si>
  <si>
    <t>12206</t>
  </si>
  <si>
    <t>12207</t>
  </si>
  <si>
    <t>12220</t>
  </si>
  <si>
    <t>12221</t>
  </si>
  <si>
    <t>12222</t>
  </si>
  <si>
    <t>12223</t>
  </si>
  <si>
    <t>12224</t>
  </si>
  <si>
    <t>12225</t>
  </si>
  <si>
    <t>3007007</t>
  </si>
  <si>
    <t>Bip001 Neck#0,0,0</t>
  </si>
  <si>
    <t>3007020</t>
  </si>
  <si>
    <t>401220101</t>
  </si>
  <si>
    <t>401220102</t>
  </si>
  <si>
    <t>401220103</t>
  </si>
  <si>
    <t>401220104</t>
  </si>
  <si>
    <t>401220105</t>
  </si>
  <si>
    <t>401220106</t>
  </si>
  <si>
    <t>401220107</t>
  </si>
  <si>
    <t>401220120</t>
  </si>
  <si>
    <t>401220121</t>
  </si>
  <si>
    <t>401220122</t>
  </si>
  <si>
    <t>401220123</t>
  </si>
  <si>
    <t>401220124</t>
  </si>
  <si>
    <t>401220125</t>
  </si>
  <si>
    <t>401220126</t>
  </si>
  <si>
    <t>3912</t>
  </si>
  <si>
    <t>40710401</t>
  </si>
  <si>
    <t>40710402</t>
  </si>
  <si>
    <t>40710403</t>
  </si>
  <si>
    <t>40710404</t>
  </si>
  <si>
    <t>40710405</t>
  </si>
  <si>
    <t>40710406</t>
  </si>
  <si>
    <t>40710407</t>
  </si>
  <si>
    <t>40710408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</si>
  <si>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</si>
  <si>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</si>
  <si>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</si>
  <si>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</si>
  <si>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</si>
  <si>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</si>
  <si>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</si>
  <si>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</si>
  <si>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12320</t>
  </si>
  <si>
    <t>12321</t>
  </si>
  <si>
    <t>12322</t>
  </si>
  <si>
    <t>12323</t>
  </si>
  <si>
    <t>12324</t>
  </si>
  <si>
    <t>12325</t>
  </si>
  <si>
    <t>401230101</t>
  </si>
  <si>
    <t>401230102</t>
  </si>
  <si>
    <t>401230103</t>
  </si>
  <si>
    <t>401230104</t>
  </si>
  <si>
    <t>401230105</t>
  </si>
  <si>
    <t>401230106</t>
  </si>
  <si>
    <t>401230107</t>
  </si>
  <si>
    <t>401230108</t>
  </si>
  <si>
    <t>401230120</t>
  </si>
  <si>
    <t>401230121</t>
  </si>
  <si>
    <t>401230122</t>
  </si>
  <si>
    <t>401230123</t>
  </si>
  <si>
    <t>401230124</t>
  </si>
  <si>
    <t>401230125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</si>
  <si>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</si>
  <si>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</si>
  <si>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</si>
  <si>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</si>
  <si>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</si>
  <si>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</si>
  <si>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</si>
  <si>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</si>
  <si>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12420</t>
  </si>
  <si>
    <t>12421</t>
  </si>
  <si>
    <t>12422</t>
  </si>
  <si>
    <t>12423</t>
  </si>
  <si>
    <t>12424</t>
  </si>
  <si>
    <t>12425</t>
  </si>
  <si>
    <t>3007102</t>
  </si>
  <si>
    <t>3007107</t>
  </si>
  <si>
    <t>3007108</t>
  </si>
  <si>
    <t>4028&amp;&amp;4029&amp;&amp;4034&amp;&amp;4035&amp;&amp;4036&amp;&amp;4037&amp;&amp;4038&amp;&amp;4039</t>
  </si>
  <si>
    <t>Bip001 L Finger2#0,0,0&amp;&amp;Bip001 R Finger2#0,0,0&amp;&amp;Bip001 Prop1#0,0,0&amp;&amp;Dummy002#0,0,0&amp;&amp;Dummy003#0,0,0&amp;&amp;bone_king#0,0,0&amp;&amp;bone_weapon07#0,0,0&amp;&amp;Bip001#0,0,0</t>
  </si>
  <si>
    <t>3007120</t>
  </si>
  <si>
    <t>3007121</t>
  </si>
  <si>
    <t>3007122</t>
  </si>
  <si>
    <t>401240101</t>
  </si>
  <si>
    <t>401240102</t>
  </si>
  <si>
    <t>401240103</t>
  </si>
  <si>
    <t>401240104</t>
  </si>
  <si>
    <t>401240105</t>
  </si>
  <si>
    <t>401240106</t>
  </si>
  <si>
    <t>401240107</t>
  </si>
  <si>
    <t>401240108</t>
  </si>
  <si>
    <t>401240120</t>
  </si>
  <si>
    <t>401240121</t>
  </si>
  <si>
    <t>401240122</t>
  </si>
  <si>
    <t>401240123</t>
  </si>
  <si>
    <t>401240124</t>
  </si>
  <si>
    <t>401240125</t>
  </si>
  <si>
    <t>401240126</t>
  </si>
  <si>
    <t>12501</t>
  </si>
  <si>
    <t>12502</t>
  </si>
  <si>
    <t>12503</t>
  </si>
  <si>
    <t>12504</t>
  </si>
  <si>
    <t>12505</t>
  </si>
  <si>
    <t>12506</t>
  </si>
  <si>
    <t>12507</t>
  </si>
  <si>
    <t>12520</t>
  </si>
  <si>
    <t>12521</t>
  </si>
  <si>
    <t>12522</t>
  </si>
  <si>
    <t>12523</t>
  </si>
  <si>
    <t>12524</t>
  </si>
  <si>
    <t>12525</t>
  </si>
  <si>
    <t>3007307</t>
  </si>
  <si>
    <t>401250101</t>
  </si>
  <si>
    <t>401250102</t>
  </si>
  <si>
    <t>401250103</t>
  </si>
  <si>
    <t>401250104</t>
  </si>
  <si>
    <t>401250105</t>
  </si>
  <si>
    <t>401250106</t>
  </si>
  <si>
    <t>401250107</t>
  </si>
  <si>
    <t>401250120</t>
  </si>
  <si>
    <t>401250121</t>
  </si>
  <si>
    <t>401250122</t>
  </si>
  <si>
    <t>401250123</t>
  </si>
  <si>
    <t>401250124</t>
  </si>
  <si>
    <t>401250125</t>
  </si>
  <si>
    <t>12601</t>
  </si>
  <si>
    <t>Dummy001#0,0,0</t>
  </si>
  <si>
    <t>12602</t>
  </si>
  <si>
    <t>12603</t>
  </si>
  <si>
    <t>12604</t>
  </si>
  <si>
    <t>12605</t>
  </si>
  <si>
    <t>12606</t>
  </si>
  <si>
    <t>12607</t>
  </si>
  <si>
    <t>3008908</t>
  </si>
  <si>
    <t>3008909</t>
  </si>
  <si>
    <t>12610</t>
  </si>
  <si>
    <t>12620</t>
  </si>
  <si>
    <t>12621</t>
  </si>
  <si>
    <t>12622</t>
  </si>
  <si>
    <t>12623</t>
  </si>
  <si>
    <t>12624</t>
  </si>
  <si>
    <t>12625</t>
  </si>
  <si>
    <t>4081&amp;&amp;4082&amp;&amp;4080</t>
  </si>
  <si>
    <t>root#0,0,0&amp;&amp;Bip001 L Hand#0,0,0&amp;&amp;Dummy001#0,0,0</t>
  </si>
  <si>
    <t>3007507</t>
  </si>
  <si>
    <t>4084&amp;&amp;4085&amp;&amp;4086</t>
  </si>
  <si>
    <t>Bip001 Spine1#0,0,0&amp;&amp;hand001#0,0,0&amp;&amp;hand011#0,0,0</t>
  </si>
  <si>
    <t>401260101</t>
  </si>
  <si>
    <t>401260102</t>
  </si>
  <si>
    <t>401260103</t>
  </si>
  <si>
    <t>401260104</t>
  </si>
  <si>
    <t>401260105</t>
  </si>
  <si>
    <t>401260106</t>
  </si>
  <si>
    <t>401260107</t>
  </si>
  <si>
    <t>401260110</t>
  </si>
  <si>
    <t>401260120</t>
  </si>
  <si>
    <t>401260121</t>
  </si>
  <si>
    <t>401260122</t>
  </si>
  <si>
    <t>401260123</t>
  </si>
  <si>
    <t>401260124</t>
  </si>
  <si>
    <t>401260125</t>
  </si>
  <si>
    <t>401260126</t>
  </si>
  <si>
    <t>3007520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</si>
  <si>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</si>
  <si>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</si>
  <si>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</si>
  <si>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</si>
  <si>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</si>
  <si>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</si>
  <si>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</si>
  <si>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</si>
  <si>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</si>
  <si>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</si>
  <si>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</si>
  <si>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</si>
  <si>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</si>
  <si>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401260127</t>
  </si>
  <si>
    <t>401260128</t>
  </si>
  <si>
    <t>401260129</t>
  </si>
  <si>
    <t>401260130</t>
  </si>
  <si>
    <t>401260131</t>
  </si>
  <si>
    <t>401260132</t>
  </si>
  <si>
    <t>401260133</t>
  </si>
  <si>
    <t>401260134</t>
  </si>
  <si>
    <t>401260135</t>
  </si>
  <si>
    <t>401260136</t>
  </si>
  <si>
    <t>401260137</t>
  </si>
  <si>
    <t>401260138</t>
  </si>
  <si>
    <t>401260139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</si>
  <si>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</si>
  <si>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</si>
  <si>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</si>
  <si>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</si>
  <si>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</si>
  <si>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</si>
  <si>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</si>
  <si>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</si>
  <si>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</si>
  <si>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</si>
  <si>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</si>
  <si>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4657&amp;&amp;4658</t>
  </si>
  <si>
    <t>Bone_daobing#0,0,0&amp;&amp;Dummy001#0,0,0</t>
  </si>
  <si>
    <t>401260140</t>
  </si>
  <si>
    <t>401260141</t>
  </si>
  <si>
    <t>401260142</t>
  </si>
  <si>
    <t>401260143</t>
  </si>
  <si>
    <t>401260144</t>
  </si>
  <si>
    <t>401260145</t>
  </si>
  <si>
    <t>401260146</t>
  </si>
  <si>
    <t>401260147</t>
  </si>
  <si>
    <t>401260148</t>
  </si>
  <si>
    <t>401260149</t>
  </si>
  <si>
    <t>401260150</t>
  </si>
  <si>
    <t>12701</t>
  </si>
  <si>
    <t>12702</t>
  </si>
  <si>
    <t>12706</t>
  </si>
  <si>
    <t>3007603</t>
  </si>
  <si>
    <t>3007604</t>
  </si>
  <si>
    <t>3007605</t>
  </si>
  <si>
    <t>3007606</t>
  </si>
  <si>
    <t>3007607</t>
  </si>
  <si>
    <t>3007608</t>
  </si>
  <si>
    <t>12720</t>
  </si>
  <si>
    <t>12721</t>
  </si>
  <si>
    <t>12722</t>
  </si>
  <si>
    <t>12723</t>
  </si>
  <si>
    <t>12724</t>
  </si>
  <si>
    <t>12725</t>
  </si>
  <si>
    <t>401270101</t>
  </si>
  <si>
    <t>401270102</t>
  </si>
  <si>
    <t>401270106</t>
  </si>
  <si>
    <t>401270120</t>
  </si>
  <si>
    <t>401270121</t>
  </si>
  <si>
    <t>401270122</t>
  </si>
  <si>
    <t>401270123</t>
  </si>
  <si>
    <t>401270124</t>
  </si>
  <si>
    <t>401270125</t>
  </si>
  <si>
    <t>12801</t>
  </si>
  <si>
    <t>12802</t>
  </si>
  <si>
    <t>12803</t>
  </si>
  <si>
    <t>12804</t>
  </si>
  <si>
    <t>12805</t>
  </si>
  <si>
    <t>12806</t>
  </si>
  <si>
    <t>12807</t>
  </si>
  <si>
    <t>12820</t>
  </si>
  <si>
    <t>12821</t>
  </si>
  <si>
    <t>12822</t>
  </si>
  <si>
    <t>12823</t>
  </si>
  <si>
    <t>12824</t>
  </si>
  <si>
    <t>12825</t>
  </si>
  <si>
    <t>4126&amp;&amp;4129&amp;&amp;4127&amp;&amp;4128</t>
  </si>
  <si>
    <t>root#0,0,0&amp;&amp;bone_weapon016#0,0,0&amp;&amp;bone_weapon011#0,0,0&amp;&amp;bone_weapon015#0,0,0</t>
  </si>
  <si>
    <t>1&amp;&amp;1&amp;&amp;1&amp;&amp;1</t>
  </si>
  <si>
    <t>12826</t>
  </si>
  <si>
    <t>4131&amp;&amp;4132</t>
  </si>
  <si>
    <t>bone_weapon015#0,0,0&amp;&amp;bone_weapon016#0,0,0</t>
  </si>
  <si>
    <t>12901</t>
  </si>
  <si>
    <t>12902</t>
  </si>
  <si>
    <t>12903</t>
  </si>
  <si>
    <t>12904</t>
  </si>
  <si>
    <t>12905</t>
  </si>
  <si>
    <t>12906</t>
  </si>
  <si>
    <t>3007706</t>
  </si>
  <si>
    <t>bone_handL002#0,0,0</t>
  </si>
  <si>
    <t>12907</t>
  </si>
  <si>
    <t>12908</t>
  </si>
  <si>
    <t>3007708</t>
  </si>
  <si>
    <t>401290109</t>
  </si>
  <si>
    <t>401290110</t>
  </si>
  <si>
    <t>401290111</t>
  </si>
  <si>
    <t>401290112</t>
  </si>
  <si>
    <t>401290113</t>
  </si>
  <si>
    <t>401290114</t>
  </si>
  <si>
    <t>401290115</t>
  </si>
  <si>
    <t>401290116</t>
  </si>
  <si>
    <t>12920</t>
  </si>
  <si>
    <t>12921</t>
  </si>
  <si>
    <t>12922</t>
  </si>
  <si>
    <t>12923</t>
  </si>
  <si>
    <t>12924</t>
  </si>
  <si>
    <t>12925</t>
  </si>
  <si>
    <t>4145&amp;&amp;4146</t>
  </si>
  <si>
    <t>root#0,0,0&amp;&amp;Bip001 L Finger2#0,0,0</t>
  </si>
  <si>
    <t>12926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</si>
  <si>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</si>
  <si>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</si>
  <si>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</si>
  <si>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</si>
  <si>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</si>
  <si>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</si>
  <si>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</si>
  <si>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</si>
  <si>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13020</t>
  </si>
  <si>
    <t>13021</t>
  </si>
  <si>
    <t>13022</t>
  </si>
  <si>
    <t>13023</t>
  </si>
  <si>
    <t>13024</t>
  </si>
  <si>
    <t>13025</t>
  </si>
  <si>
    <t>4171&amp;&amp;4172</t>
  </si>
  <si>
    <t>13029</t>
  </si>
  <si>
    <t>401300201</t>
  </si>
  <si>
    <t>401300202</t>
  </si>
  <si>
    <t>401300203</t>
  </si>
  <si>
    <t>401300204</t>
  </si>
  <si>
    <t>401300205</t>
  </si>
  <si>
    <t>401300206</t>
  </si>
  <si>
    <t>401300207</t>
  </si>
  <si>
    <t>401300208</t>
  </si>
  <si>
    <t>401300220</t>
  </si>
  <si>
    <t>401300221</t>
  </si>
  <si>
    <t>401300222</t>
  </si>
  <si>
    <t>401300223</t>
  </si>
  <si>
    <t>401300224</t>
  </si>
  <si>
    <t>401300225</t>
  </si>
  <si>
    <t>401300229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</si>
  <si>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</si>
  <si>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</si>
  <si>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</si>
  <si>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</si>
  <si>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</si>
  <si>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</si>
  <si>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</si>
  <si>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</si>
  <si>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</si>
  <si>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4195&amp;&amp;4209</t>
  </si>
  <si>
    <t>hair_firet#0,0,0&amp;&amp;weapont#0,0,0</t>
  </si>
  <si>
    <t>13110</t>
  </si>
  <si>
    <t>13111</t>
  </si>
  <si>
    <t>13112</t>
  </si>
  <si>
    <t>weapon#0,0,0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</si>
  <si>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</si>
  <si>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</si>
  <si>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</si>
  <si>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</si>
  <si>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</si>
  <si>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</si>
  <si>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</si>
  <si>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</si>
  <si>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</si>
  <si>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</si>
  <si>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</si>
  <si>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</si>
  <si>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</si>
  <si>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</si>
  <si>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</si>
  <si>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</si>
  <si>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huoqiu#0,0,0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</si>
  <si>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</si>
  <si>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</si>
  <si>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</si>
  <si>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</si>
  <si>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</si>
  <si>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</si>
  <si>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</si>
  <si>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</si>
  <si>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</si>
  <si>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</si>
  <si>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</si>
  <si>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</si>
  <si>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</si>
  <si>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</si>
  <si>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</si>
  <si>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</si>
  <si>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</si>
  <si>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</si>
  <si>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</si>
  <si>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</si>
  <si>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</si>
  <si>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</si>
  <si>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</si>
  <si>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</si>
  <si>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</si>
  <si>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</si>
  <si>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</si>
  <si>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hair_fire&amp;&amp;weapon</t>
  </si>
  <si>
    <t>13163</t>
  </si>
  <si>
    <t>13164</t>
  </si>
  <si>
    <t>13165</t>
  </si>
  <si>
    <t>401310120</t>
  </si>
  <si>
    <t>401310121</t>
  </si>
  <si>
    <t>401310122</t>
  </si>
  <si>
    <t>401310123</t>
  </si>
  <si>
    <t>401310124</t>
  </si>
  <si>
    <t>401310125</t>
  </si>
  <si>
    <t>401310126</t>
  </si>
  <si>
    <t>401310127</t>
  </si>
  <si>
    <t>401310128</t>
  </si>
  <si>
    <t>401310129</t>
  </si>
  <si>
    <t>401310130</t>
  </si>
  <si>
    <t>401310131</t>
  </si>
  <si>
    <t>401310132</t>
  </si>
  <si>
    <t>401310133</t>
  </si>
  <si>
    <t>401310134</t>
  </si>
  <si>
    <t>401310135</t>
  </si>
  <si>
    <t>401310136</t>
  </si>
  <si>
    <t>401310137</t>
  </si>
  <si>
    <t>401310138</t>
  </si>
  <si>
    <t>401310139</t>
  </si>
  <si>
    <t>401310140</t>
  </si>
  <si>
    <t>401310141</t>
  </si>
  <si>
    <t>401310142</t>
  </si>
  <si>
    <t>401310143</t>
  </si>
  <si>
    <t>401310144</t>
  </si>
  <si>
    <t>401310145</t>
  </si>
  <si>
    <t>401310146</t>
  </si>
  <si>
    <t>401310147</t>
  </si>
  <si>
    <t>401310148</t>
  </si>
  <si>
    <t>401310149</t>
  </si>
  <si>
    <t>13201</t>
  </si>
  <si>
    <t>13202</t>
  </si>
  <si>
    <t>13203</t>
  </si>
  <si>
    <t>13204</t>
  </si>
  <si>
    <t>13205</t>
  </si>
  <si>
    <t>13206</t>
  </si>
  <si>
    <t>13207</t>
  </si>
  <si>
    <t>13220</t>
  </si>
  <si>
    <t>13221</t>
  </si>
  <si>
    <t>13222</t>
  </si>
  <si>
    <t>13223</t>
  </si>
  <si>
    <t>13224</t>
  </si>
  <si>
    <t>13225</t>
  </si>
  <si>
    <t>13226</t>
  </si>
  <si>
    <t>3008201</t>
  </si>
  <si>
    <t>3008202</t>
  </si>
  <si>
    <t>3008203</t>
  </si>
  <si>
    <t>401320101</t>
  </si>
  <si>
    <t>401320102</t>
  </si>
  <si>
    <t>401320103</t>
  </si>
  <si>
    <t>401320104</t>
  </si>
  <si>
    <t>401320105</t>
  </si>
  <si>
    <t>401320106</t>
  </si>
  <si>
    <t>401320120</t>
  </si>
  <si>
    <t>401320121</t>
  </si>
  <si>
    <t>401320122</t>
  </si>
  <si>
    <t>401320123</t>
  </si>
  <si>
    <t>401320124</t>
  </si>
  <si>
    <t>401320125</t>
  </si>
  <si>
    <t>401320126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</si>
  <si>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</si>
  <si>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</si>
  <si>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</si>
  <si>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</si>
  <si>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</si>
  <si>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</si>
  <si>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</si>
  <si>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</si>
  <si>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13320</t>
  </si>
  <si>
    <t>13321</t>
  </si>
  <si>
    <t>13322</t>
  </si>
  <si>
    <t>13323</t>
  </si>
  <si>
    <t>13324</t>
  </si>
  <si>
    <t>13325</t>
  </si>
  <si>
    <t>401330101</t>
  </si>
  <si>
    <t>401330102</t>
  </si>
  <si>
    <t>401330103</t>
  </si>
  <si>
    <t>401330104</t>
  </si>
  <si>
    <t>401330105</t>
  </si>
  <si>
    <t>401330106</t>
  </si>
  <si>
    <t>401330107</t>
  </si>
  <si>
    <t>401330108</t>
  </si>
  <si>
    <t>401330120</t>
  </si>
  <si>
    <t>401330121</t>
  </si>
  <si>
    <t>401330122</t>
  </si>
  <si>
    <t>401330123</t>
  </si>
  <si>
    <t>401330124</t>
  </si>
  <si>
    <t>401330125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</si>
  <si>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</si>
  <si>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</si>
  <si>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</si>
  <si>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</si>
  <si>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</si>
  <si>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</si>
  <si>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</si>
  <si>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</si>
  <si>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13420</t>
  </si>
  <si>
    <t>13421</t>
  </si>
  <si>
    <t>13422</t>
  </si>
  <si>
    <t>13423</t>
  </si>
  <si>
    <t>13424</t>
  </si>
  <si>
    <t>13425</t>
  </si>
  <si>
    <t>4282&amp;&amp;4283</t>
  </si>
  <si>
    <t>root#0,0,0&amp;&amp;Bip001 R Toe0#0,0,0</t>
  </si>
  <si>
    <t>401340101</t>
  </si>
  <si>
    <t>401340102</t>
  </si>
  <si>
    <t>401340103</t>
  </si>
  <si>
    <t>401340104</t>
  </si>
  <si>
    <t>401340105</t>
  </si>
  <si>
    <t>401340106</t>
  </si>
  <si>
    <t>401340107</t>
  </si>
  <si>
    <t>401340108</t>
  </si>
  <si>
    <t>401340120</t>
  </si>
  <si>
    <t>401340121</t>
  </si>
  <si>
    <t>401340122</t>
  </si>
  <si>
    <t>401340123</t>
  </si>
  <si>
    <t>401340124</t>
  </si>
  <si>
    <t>401340125</t>
  </si>
  <si>
    <t>8910</t>
  </si>
  <si>
    <t>8911</t>
  </si>
  <si>
    <t>8912</t>
  </si>
  <si>
    <t>8913</t>
  </si>
  <si>
    <t>40890110</t>
  </si>
  <si>
    <t>40890111</t>
  </si>
  <si>
    <t>40890112</t>
  </si>
  <si>
    <t>40890113</t>
  </si>
  <si>
    <t>13501</t>
  </si>
  <si>
    <t>13502</t>
  </si>
  <si>
    <t>13503</t>
  </si>
  <si>
    <t>13506</t>
  </si>
  <si>
    <t>3008304</t>
  </si>
  <si>
    <t>3008305</t>
  </si>
  <si>
    <t>3008308</t>
  </si>
  <si>
    <t>3008309</t>
  </si>
  <si>
    <t>3008310</t>
  </si>
  <si>
    <t>13520</t>
  </si>
  <si>
    <t>13521</t>
  </si>
  <si>
    <t>13522</t>
  </si>
  <si>
    <t>13523</t>
  </si>
  <si>
    <t>13524</t>
  </si>
  <si>
    <t>13525</t>
  </si>
  <si>
    <t>4318&amp;&amp;4319</t>
  </si>
  <si>
    <t>root#0,0,0&amp;&amp;dao_yan001#0,0,0</t>
  </si>
  <si>
    <t>401350101</t>
  </si>
  <si>
    <t>401350102</t>
  </si>
  <si>
    <t>401350103</t>
  </si>
  <si>
    <t>401350106</t>
  </si>
  <si>
    <t>3008404</t>
  </si>
  <si>
    <t>3008405</t>
  </si>
  <si>
    <t>3008408</t>
  </si>
  <si>
    <t>3008409</t>
  </si>
  <si>
    <t>3008410</t>
  </si>
  <si>
    <t>401350120</t>
  </si>
  <si>
    <t>401350121</t>
  </si>
  <si>
    <t>401350122</t>
  </si>
  <si>
    <t>401350123</t>
  </si>
  <si>
    <t>401350124</t>
  </si>
  <si>
    <t>401350125</t>
  </si>
  <si>
    <t>13601</t>
  </si>
  <si>
    <t>13602</t>
  </si>
  <si>
    <t>3008603</t>
  </si>
  <si>
    <t>13603</t>
  </si>
  <si>
    <t>13604</t>
  </si>
  <si>
    <t>13605</t>
  </si>
  <si>
    <t>13606</t>
  </si>
  <si>
    <t>13610</t>
  </si>
  <si>
    <t>3008506</t>
  </si>
  <si>
    <t>3008507</t>
  </si>
  <si>
    <t>3008508</t>
  </si>
  <si>
    <t>3008509</t>
  </si>
  <si>
    <t>13620</t>
  </si>
  <si>
    <t>13621</t>
  </si>
  <si>
    <t>13622</t>
  </si>
  <si>
    <t>13623</t>
  </si>
  <si>
    <t>13624</t>
  </si>
  <si>
    <t>13625</t>
  </si>
  <si>
    <t>4336&amp;&amp;4337&amp;&amp;4338</t>
  </si>
  <si>
    <t>root#0,0,0&amp;&amp;tx_01#0,0,0&amp;&amp;tx_02#0,0,0</t>
  </si>
  <si>
    <t>401360101</t>
  </si>
  <si>
    <t>401360102</t>
  </si>
  <si>
    <t>401360103</t>
  </si>
  <si>
    <t>401360104</t>
  </si>
  <si>
    <t>401360105</t>
  </si>
  <si>
    <t>401360106</t>
  </si>
  <si>
    <t>401360110</t>
  </si>
  <si>
    <t>401360120</t>
  </si>
  <si>
    <t>401360121</t>
  </si>
  <si>
    <t>401360122</t>
  </si>
  <si>
    <t>401360123</t>
  </si>
  <si>
    <t>401360124</t>
  </si>
  <si>
    <t>401360125</t>
  </si>
  <si>
    <t>8810</t>
  </si>
  <si>
    <t>8811</t>
  </si>
  <si>
    <t>8821</t>
  </si>
  <si>
    <t>3003605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</si>
  <si>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</si>
  <si>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</si>
  <si>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</si>
  <si>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</si>
  <si>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</si>
  <si>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</si>
  <si>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</si>
  <si>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</si>
  <si>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13720</t>
  </si>
  <si>
    <t>13721</t>
  </si>
  <si>
    <t>13722</t>
  </si>
  <si>
    <t>13723</t>
  </si>
  <si>
    <t>13724</t>
  </si>
  <si>
    <t>13725</t>
  </si>
  <si>
    <t>401370101</t>
  </si>
  <si>
    <t>401370102</t>
  </si>
  <si>
    <t>401370103</t>
  </si>
  <si>
    <t>401370104</t>
  </si>
  <si>
    <t>401370105</t>
  </si>
  <si>
    <t>401370106</t>
  </si>
  <si>
    <t>401370107</t>
  </si>
  <si>
    <t>401370108</t>
  </si>
  <si>
    <t>401370120</t>
  </si>
  <si>
    <t>401370121</t>
  </si>
  <si>
    <t>401370122</t>
  </si>
  <si>
    <t>401370123</t>
  </si>
  <si>
    <t>401370124</t>
  </si>
  <si>
    <t>401370125</t>
  </si>
  <si>
    <t>霍尔海姆</t>
  </si>
  <si>
    <t>attack03_c</t>
  </si>
  <si>
    <t>浦岛</t>
  </si>
  <si>
    <t>attack04_c</t>
  </si>
  <si>
    <t>蝙蝠人</t>
  </si>
  <si>
    <t>凯多手下A</t>
  </si>
  <si>
    <t>凯多手下B</t>
  </si>
  <si>
    <t>霍金斯手下普攻</t>
  </si>
  <si>
    <t>霍金斯手下技能</t>
  </si>
  <si>
    <t>武士1</t>
  </si>
  <si>
    <t>武士2</t>
  </si>
  <si>
    <t>武士3</t>
  </si>
  <si>
    <t>相扑选手</t>
  </si>
  <si>
    <t>狒狒丸</t>
  </si>
  <si>
    <t>大蛇手下1（铳）</t>
  </si>
  <si>
    <t>大蛇手下2（刀）</t>
  </si>
  <si>
    <t>狂死郎</t>
  </si>
  <si>
    <t>忍者蓝</t>
  </si>
  <si>
    <t>忍者灰</t>
  </si>
  <si>
    <t>福禄寿</t>
  </si>
  <si>
    <t>牛鬼丸</t>
  </si>
  <si>
    <t>镰造</t>
  </si>
  <si>
    <t>巴巴努基</t>
  </si>
  <si>
    <t>索莉提亚</t>
  </si>
  <si>
    <t>多朋</t>
  </si>
  <si>
    <t>候选者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</si>
  <si>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</si>
  <si>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</si>
  <si>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</si>
  <si>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</si>
  <si>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</si>
  <si>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</si>
  <si>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</si>
  <si>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</si>
  <si>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13820</t>
  </si>
  <si>
    <t>13821</t>
  </si>
  <si>
    <t>13822</t>
  </si>
  <si>
    <t>13823</t>
  </si>
  <si>
    <t>13824</t>
  </si>
  <si>
    <t>13825</t>
  </si>
  <si>
    <t>401380101</t>
  </si>
  <si>
    <t>401380102</t>
  </si>
  <si>
    <t>401380103</t>
  </si>
  <si>
    <t>401380104</t>
  </si>
  <si>
    <t>401380105</t>
  </si>
  <si>
    <t>401380106</t>
  </si>
  <si>
    <t>401380107</t>
  </si>
  <si>
    <t>401380108</t>
  </si>
  <si>
    <t>401380120</t>
  </si>
  <si>
    <t>401380121</t>
  </si>
  <si>
    <t>401380122</t>
  </si>
  <si>
    <t>401380123</t>
  </si>
  <si>
    <t>401380124</t>
  </si>
  <si>
    <t>401380125</t>
  </si>
  <si>
    <t>11408</t>
  </si>
  <si>
    <t>11409</t>
  </si>
  <si>
    <t>11410</t>
  </si>
  <si>
    <t>11452</t>
  </si>
  <si>
    <t>401140108</t>
  </si>
  <si>
    <t>401140109</t>
  </si>
  <si>
    <t>401140110</t>
  </si>
  <si>
    <t>401140121</t>
  </si>
  <si>
    <t>401140208</t>
  </si>
  <si>
    <t>401140209</t>
  </si>
  <si>
    <t>401140210</t>
  </si>
  <si>
    <t>401140252</t>
  </si>
  <si>
    <t>401140308</t>
  </si>
  <si>
    <t>401140309</t>
  </si>
  <si>
    <t>401140310</t>
  </si>
  <si>
    <t>401140321</t>
  </si>
  <si>
    <t>13901</t>
  </si>
  <si>
    <t>13902</t>
  </si>
  <si>
    <t>13903</t>
  </si>
  <si>
    <t>13904</t>
  </si>
  <si>
    <t>13905</t>
  </si>
  <si>
    <t>13909</t>
  </si>
  <si>
    <t>3008705</t>
  </si>
  <si>
    <t>3008706</t>
  </si>
  <si>
    <t>3008707</t>
  </si>
  <si>
    <t>3008708</t>
  </si>
  <si>
    <t>13920</t>
  </si>
  <si>
    <t>13921</t>
  </si>
  <si>
    <t>13922</t>
  </si>
  <si>
    <t>13923</t>
  </si>
  <si>
    <t>13924</t>
  </si>
  <si>
    <t>13925</t>
  </si>
  <si>
    <t>401390101</t>
  </si>
  <si>
    <t>401390102</t>
  </si>
  <si>
    <t>401390103</t>
  </si>
  <si>
    <t>401390104</t>
  </si>
  <si>
    <t>401390105</t>
  </si>
  <si>
    <t>401390106</t>
  </si>
  <si>
    <t>401390120</t>
  </si>
  <si>
    <t>401390121</t>
  </si>
  <si>
    <t>401390122</t>
  </si>
  <si>
    <t>401390123</t>
  </si>
  <si>
    <t>401390124</t>
  </si>
  <si>
    <t>401390125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</si>
  <si>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</si>
  <si>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</si>
  <si>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</si>
  <si>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</si>
  <si>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</si>
  <si>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</si>
  <si>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</si>
  <si>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</si>
  <si>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14020</t>
  </si>
  <si>
    <t>14021</t>
  </si>
  <si>
    <t>14022</t>
  </si>
  <si>
    <t>14023</t>
  </si>
  <si>
    <t>14024</t>
  </si>
  <si>
    <t>14025</t>
  </si>
  <si>
    <t>14026</t>
  </si>
  <si>
    <t>13115</t>
  </si>
  <si>
    <t>3006615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</si>
  <si>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</si>
  <si>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</si>
  <si>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</si>
  <si>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</si>
  <si>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</si>
  <si>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</si>
  <si>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</si>
  <si>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</si>
  <si>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14120</t>
  </si>
  <si>
    <t>14121</t>
  </si>
  <si>
    <t>14122</t>
  </si>
  <si>
    <t>14123</t>
  </si>
  <si>
    <t>14124</t>
  </si>
  <si>
    <t>14125</t>
  </si>
  <si>
    <t>4582&amp;&amp;4583</t>
  </si>
  <si>
    <t>root#0,0,0&amp;&amp;Bip001 R Finger3#0,0,0</t>
  </si>
  <si>
    <t>3008801</t>
  </si>
  <si>
    <t>3008802</t>
  </si>
  <si>
    <t>3008803</t>
  </si>
  <si>
    <t>3008804</t>
  </si>
  <si>
    <t>3008805</t>
  </si>
  <si>
    <t>3008806</t>
  </si>
  <si>
    <t>3008807</t>
  </si>
  <si>
    <t>3008808</t>
  </si>
  <si>
    <t>3008820</t>
  </si>
  <si>
    <t>3008821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</si>
  <si>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</si>
  <si>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</si>
  <si>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</si>
  <si>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</si>
  <si>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</si>
  <si>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</si>
  <si>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</si>
  <si>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</si>
  <si>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40010520</t>
  </si>
  <si>
    <t>40010521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</si>
  <si>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</si>
  <si>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</si>
  <si>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</si>
  <si>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</si>
  <si>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</si>
  <si>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</si>
  <si>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</si>
  <si>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</si>
  <si>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14320</t>
  </si>
  <si>
    <t>14321</t>
  </si>
  <si>
    <t>14322</t>
  </si>
  <si>
    <t>14323</t>
  </si>
  <si>
    <t>14324</t>
  </si>
  <si>
    <t>14325</t>
  </si>
  <si>
    <t>14326</t>
  </si>
  <si>
    <t>401430101</t>
  </si>
  <si>
    <t>401430102</t>
  </si>
  <si>
    <t>401430103</t>
  </si>
  <si>
    <t>401430104</t>
  </si>
  <si>
    <t>401430105</t>
  </si>
  <si>
    <t>401430106</t>
  </si>
  <si>
    <t>401430107</t>
  </si>
  <si>
    <t>401430108</t>
  </si>
  <si>
    <t>401430120</t>
  </si>
  <si>
    <t>401430121</t>
  </si>
  <si>
    <t>401430122</t>
  </si>
  <si>
    <t>401430123</t>
  </si>
  <si>
    <t>401430124</t>
  </si>
  <si>
    <t>401430201</t>
  </si>
  <si>
    <t>401430202</t>
  </si>
  <si>
    <t>401430203</t>
  </si>
  <si>
    <t>401430204</t>
  </si>
  <si>
    <t>401430205</t>
  </si>
  <si>
    <t>401430206</t>
  </si>
  <si>
    <t>401430207</t>
  </si>
  <si>
    <t>401430208</t>
  </si>
  <si>
    <t>401430220</t>
  </si>
  <si>
    <t>401430221</t>
  </si>
  <si>
    <t>401430222</t>
  </si>
  <si>
    <t>401430223</t>
  </si>
  <si>
    <t>401430224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</si>
  <si>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</si>
  <si>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</si>
  <si>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</si>
  <si>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</si>
  <si>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</si>
  <si>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</si>
  <si>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</si>
  <si>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</si>
  <si>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14420</t>
  </si>
  <si>
    <t>14421</t>
  </si>
  <si>
    <t>14422</t>
  </si>
  <si>
    <t>14423</t>
  </si>
  <si>
    <t>14424</t>
  </si>
  <si>
    <t>14425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</si>
  <si>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</si>
  <si>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</si>
  <si>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</si>
  <si>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</si>
  <si>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</si>
  <si>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</si>
  <si>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</si>
  <si>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</si>
  <si>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14520</t>
  </si>
  <si>
    <t>14522</t>
  </si>
  <si>
    <t>14523</t>
  </si>
  <si>
    <t>14524</t>
  </si>
  <si>
    <t>14525</t>
  </si>
  <si>
    <t>401260201</t>
  </si>
  <si>
    <t>401260202</t>
  </si>
  <si>
    <t>401260203</t>
  </si>
  <si>
    <t>401260204</t>
  </si>
  <si>
    <t>401260205</t>
  </si>
  <si>
    <t>401260206</t>
  </si>
  <si>
    <t>401260207</t>
  </si>
  <si>
    <t>401260210</t>
  </si>
  <si>
    <t>401260220</t>
  </si>
  <si>
    <t>401260221</t>
  </si>
  <si>
    <t>401260222</t>
  </si>
  <si>
    <t>401260223</t>
  </si>
  <si>
    <t>401260224</t>
  </si>
  <si>
    <t>401260225</t>
  </si>
  <si>
    <t>401260226</t>
  </si>
  <si>
    <t>401260227</t>
  </si>
  <si>
    <t>401260228</t>
  </si>
  <si>
    <t>401260229</t>
  </si>
  <si>
    <t>401260230</t>
  </si>
  <si>
    <t>401260231</t>
  </si>
  <si>
    <t>401260232</t>
  </si>
  <si>
    <t>401260233</t>
  </si>
  <si>
    <t>401260234</t>
  </si>
  <si>
    <t>401260235</t>
  </si>
  <si>
    <t>401260236</t>
  </si>
  <si>
    <t>401260237</t>
  </si>
  <si>
    <t>401260238</t>
  </si>
  <si>
    <t>401260239</t>
  </si>
  <si>
    <t>401260240</t>
  </si>
  <si>
    <t>401260241</t>
  </si>
  <si>
    <t>401260242</t>
  </si>
  <si>
    <t>401260243</t>
  </si>
  <si>
    <t>401260244</t>
  </si>
  <si>
    <t>401260245</t>
  </si>
  <si>
    <t>401260246</t>
  </si>
  <si>
    <t>401260247</t>
  </si>
  <si>
    <t>401260248</t>
  </si>
  <si>
    <t>401260249</t>
  </si>
  <si>
    <t>401320201</t>
  </si>
  <si>
    <t>401320202</t>
  </si>
  <si>
    <t>401320203</t>
  </si>
  <si>
    <t>401320204</t>
  </si>
  <si>
    <t>401320205</t>
  </si>
  <si>
    <t>401320206</t>
  </si>
  <si>
    <t>401320220</t>
  </si>
  <si>
    <t>401320221</t>
  </si>
  <si>
    <t>401320222</t>
  </si>
  <si>
    <t>401320223</t>
  </si>
  <si>
    <t>401320224</t>
  </si>
  <si>
    <t>401320225</t>
  </si>
  <si>
    <t>401320226</t>
  </si>
  <si>
    <t>14601</t>
  </si>
  <si>
    <t>14602</t>
  </si>
  <si>
    <t>14603</t>
  </si>
  <si>
    <t>14604</t>
  </si>
  <si>
    <t>14605</t>
  </si>
  <si>
    <t>14607</t>
  </si>
  <si>
    <t>14608</t>
  </si>
  <si>
    <t>14609</t>
  </si>
  <si>
    <t>14620</t>
  </si>
  <si>
    <t>14621</t>
  </si>
  <si>
    <t>14622</t>
  </si>
  <si>
    <t>14623</t>
  </si>
  <si>
    <t>14624</t>
  </si>
  <si>
    <t>14625</t>
  </si>
  <si>
    <t>3009001</t>
  </si>
  <si>
    <t>4716&amp;&amp;4716</t>
  </si>
  <si>
    <t>Bip001 L UpperArm#0,0,0&amp;&amp;Bip001 R UpperArm#0,0,0</t>
  </si>
  <si>
    <t>401460101</t>
  </si>
  <si>
    <t>401460102</t>
  </si>
  <si>
    <t>401460103</t>
  </si>
  <si>
    <t>401460104</t>
  </si>
  <si>
    <t>401460105</t>
  </si>
  <si>
    <t>401460107</t>
  </si>
  <si>
    <t>401460108</t>
  </si>
  <si>
    <t>401460109</t>
  </si>
  <si>
    <t>401460120</t>
  </si>
  <si>
    <t>401460121</t>
  </si>
  <si>
    <t>401460122</t>
  </si>
  <si>
    <t>401460123</t>
  </si>
  <si>
    <t>401460124</t>
  </si>
  <si>
    <t>401460125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</si>
  <si>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</si>
  <si>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</si>
  <si>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</si>
  <si>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</si>
  <si>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</si>
  <si>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</si>
  <si>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</si>
  <si>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</si>
  <si>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</si>
  <si>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14720</t>
  </si>
  <si>
    <t>14721</t>
  </si>
  <si>
    <t>14722</t>
  </si>
  <si>
    <t>14723</t>
  </si>
  <si>
    <t>14724</t>
  </si>
  <si>
    <t>14725</t>
  </si>
  <si>
    <t>3009201</t>
  </si>
  <si>
    <t>401470101</t>
  </si>
  <si>
    <t>401470102</t>
  </si>
  <si>
    <t>401470103</t>
  </si>
  <si>
    <t>401470104</t>
  </si>
  <si>
    <t>401470105</t>
  </si>
  <si>
    <t>401470106</t>
  </si>
  <si>
    <t>401470107</t>
  </si>
  <si>
    <t>401470108</t>
  </si>
  <si>
    <t>401470109</t>
  </si>
  <si>
    <t>401470120</t>
  </si>
  <si>
    <t>401470121</t>
  </si>
  <si>
    <t>401470122</t>
  </si>
  <si>
    <t>401470123</t>
  </si>
  <si>
    <t>401470124</t>
  </si>
  <si>
    <t>401470125</t>
  </si>
  <si>
    <t>14801</t>
  </si>
  <si>
    <t>14802</t>
  </si>
  <si>
    <t>14803</t>
  </si>
  <si>
    <t>14804</t>
  </si>
  <si>
    <t>14805</t>
  </si>
  <si>
    <t>14806</t>
  </si>
  <si>
    <t>14811</t>
  </si>
  <si>
    <t>3009507</t>
  </si>
  <si>
    <t>3009509</t>
  </si>
  <si>
    <t>3009510</t>
  </si>
  <si>
    <t>3009511</t>
  </si>
  <si>
    <t>3009512</t>
  </si>
  <si>
    <t>3009609</t>
  </si>
  <si>
    <t>3009612</t>
  </si>
  <si>
    <t>14820</t>
  </si>
  <si>
    <t>14821</t>
  </si>
  <si>
    <t>14822</t>
  </si>
  <si>
    <t>14823</t>
  </si>
  <si>
    <t>14824</t>
  </si>
  <si>
    <t>14825</t>
  </si>
  <si>
    <t>4752&amp;&amp;4753</t>
  </si>
  <si>
    <t>14826</t>
  </si>
  <si>
    <t>14827</t>
  </si>
  <si>
    <t>401480101</t>
  </si>
  <si>
    <t>401480102</t>
  </si>
  <si>
    <t>401480103</t>
  </si>
  <si>
    <t>401480104</t>
  </si>
  <si>
    <t>401480105</t>
  </si>
  <si>
    <t>401480106</t>
  </si>
  <si>
    <t>401480111</t>
  </si>
  <si>
    <t>401480120</t>
  </si>
  <si>
    <t>401480121</t>
  </si>
  <si>
    <t>401480122</t>
  </si>
  <si>
    <t>401480123</t>
  </si>
  <si>
    <t>401480124</t>
  </si>
  <si>
    <t>401480125</t>
  </si>
  <si>
    <t>401480126</t>
  </si>
  <si>
    <t>401480127</t>
  </si>
  <si>
    <t>401480128</t>
  </si>
  <si>
    <t>401480129</t>
  </si>
  <si>
    <t>401480130</t>
  </si>
  <si>
    <t>ridemood03</t>
  </si>
  <si>
    <t>401480131</t>
  </si>
  <si>
    <t>ridemood04</t>
  </si>
  <si>
    <t>401480132</t>
  </si>
  <si>
    <t>ridemood05</t>
  </si>
  <si>
    <t>401480133</t>
  </si>
  <si>
    <t>ridemood06</t>
  </si>
  <si>
    <t>3009721</t>
  </si>
  <si>
    <t>3009722</t>
  </si>
  <si>
    <t>3009723</t>
  </si>
  <si>
    <t>3009724</t>
  </si>
  <si>
    <t>3009725</t>
  </si>
  <si>
    <t>3009726</t>
  </si>
  <si>
    <t>3009801</t>
  </si>
  <si>
    <t>3009802</t>
  </si>
  <si>
    <t>3009803</t>
  </si>
  <si>
    <t>12226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</si>
  <si>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</si>
  <si>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</si>
  <si>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</si>
  <si>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</si>
  <si>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</si>
  <si>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</si>
  <si>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</si>
  <si>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</si>
  <si>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3009907</t>
  </si>
  <si>
    <t>14920</t>
  </si>
  <si>
    <t>14921</t>
  </si>
  <si>
    <t>14922</t>
  </si>
  <si>
    <t>14923</t>
  </si>
  <si>
    <t>14924</t>
  </si>
  <si>
    <t>14925</t>
  </si>
  <si>
    <t>4815&amp;&amp;4816</t>
  </si>
  <si>
    <t>bone_weapon001&amp;&amp;bone_weapon002</t>
  </si>
  <si>
    <t>401490101</t>
  </si>
  <si>
    <t>401490102</t>
  </si>
  <si>
    <t>401490103</t>
  </si>
  <si>
    <t>401490104</t>
  </si>
  <si>
    <t>401490105</t>
  </si>
  <si>
    <t>401490106</t>
  </si>
  <si>
    <t>401490107</t>
  </si>
  <si>
    <t>401490108</t>
  </si>
  <si>
    <t>401490120</t>
  </si>
  <si>
    <t>401490121</t>
  </si>
  <si>
    <t>401490122</t>
  </si>
  <si>
    <t>401490123</t>
  </si>
  <si>
    <t>401490124</t>
  </si>
  <si>
    <t>401490125</t>
  </si>
  <si>
    <t>401490201</t>
  </si>
  <si>
    <t>401490202</t>
  </si>
  <si>
    <t>401490203</t>
  </si>
  <si>
    <t>401490204</t>
  </si>
  <si>
    <t>401490205</t>
  </si>
  <si>
    <t>401490206</t>
  </si>
  <si>
    <t>401490207</t>
  </si>
  <si>
    <t>401490208</t>
  </si>
  <si>
    <t>401490220</t>
  </si>
  <si>
    <t>401490221</t>
  </si>
  <si>
    <t>401490222</t>
  </si>
  <si>
    <t>401490223</t>
  </si>
  <si>
    <t>401490224</t>
  </si>
  <si>
    <t>401490225</t>
  </si>
  <si>
    <t>401490301</t>
  </si>
  <si>
    <t>401490302</t>
  </si>
  <si>
    <t>401490303</t>
  </si>
  <si>
    <t>401490304</t>
  </si>
  <si>
    <t>401490305</t>
  </si>
  <si>
    <t>401490306</t>
  </si>
  <si>
    <t>401490307</t>
  </si>
  <si>
    <t>401490308</t>
  </si>
  <si>
    <t>401490320</t>
  </si>
  <si>
    <t>401490321</t>
  </si>
  <si>
    <t>401490322</t>
  </si>
  <si>
    <t>401490323</t>
  </si>
  <si>
    <t>401490324</t>
  </si>
  <si>
    <t>401490325</t>
  </si>
  <si>
    <t>9411</t>
  </si>
  <si>
    <t>9412</t>
  </si>
  <si>
    <t>9413</t>
  </si>
  <si>
    <t>9421</t>
  </si>
  <si>
    <t>40940111</t>
  </si>
  <si>
    <t>40940112</t>
  </si>
  <si>
    <t>40940113</t>
  </si>
  <si>
    <t>40940121</t>
  </si>
  <si>
    <t>15001</t>
  </si>
  <si>
    <t>Bone_fire001</t>
  </si>
  <si>
    <t>15002</t>
  </si>
  <si>
    <t>15003</t>
  </si>
  <si>
    <t>15004</t>
  </si>
  <si>
    <t>15005</t>
  </si>
  <si>
    <t>15006</t>
  </si>
  <si>
    <t>15007</t>
  </si>
  <si>
    <t>15008</t>
  </si>
  <si>
    <t>15020</t>
  </si>
  <si>
    <t>15021</t>
  </si>
  <si>
    <t>15022</t>
  </si>
  <si>
    <t>15023</t>
  </si>
  <si>
    <t>15024</t>
  </si>
  <si>
    <t>15025</t>
  </si>
  <si>
    <t>4872&amp;&amp;4851</t>
  </si>
  <si>
    <t>root#0,0,0&amp;&amp;Bone_fire001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</si>
  <si>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</si>
  <si>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</si>
  <si>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</si>
  <si>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</si>
  <si>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</si>
  <si>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</si>
  <si>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</si>
  <si>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</si>
  <si>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</si>
  <si>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</si>
  <si>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</si>
  <si>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</si>
  <si>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</si>
  <si>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</si>
  <si>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</si>
  <si>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</si>
  <si>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</si>
  <si>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</si>
  <si>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</si>
  <si>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</si>
  <si>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</si>
  <si>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</si>
  <si>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</si>
  <si>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</si>
  <si>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401500101</t>
  </si>
  <si>
    <t>401500102</t>
  </si>
  <si>
    <t>401500103</t>
  </si>
  <si>
    <t>401500104</t>
  </si>
  <si>
    <t>401500105</t>
  </si>
  <si>
    <t>401500106</t>
  </si>
  <si>
    <t>401500107</t>
  </si>
  <si>
    <t>401500108</t>
  </si>
  <si>
    <t>401500120</t>
  </si>
  <si>
    <t>401500121</t>
  </si>
  <si>
    <t>401500122</t>
  </si>
  <si>
    <t>401500123</t>
  </si>
  <si>
    <t>401500124</t>
  </si>
  <si>
    <t>401500125</t>
  </si>
  <si>
    <t>401500126</t>
  </si>
  <si>
    <t>401500127</t>
  </si>
  <si>
    <t>401500128</t>
  </si>
  <si>
    <t>401500129</t>
  </si>
  <si>
    <t>401500130</t>
  </si>
  <si>
    <t>401500131</t>
  </si>
  <si>
    <t>401500132</t>
  </si>
  <si>
    <t>401500133</t>
  </si>
  <si>
    <t>401500134</t>
  </si>
  <si>
    <t>401500135</t>
  </si>
  <si>
    <t>401500136</t>
  </si>
  <si>
    <t>401500137</t>
  </si>
  <si>
    <t>401500138</t>
  </si>
  <si>
    <t>401500139</t>
  </si>
  <si>
    <t>401500140</t>
  </si>
  <si>
    <t>401500141</t>
  </si>
  <si>
    <t>401500142</t>
  </si>
  <si>
    <t>401500143</t>
  </si>
  <si>
    <t>401500144</t>
  </si>
  <si>
    <t>401500145</t>
  </si>
  <si>
    <t>401500146</t>
  </si>
  <si>
    <t>401500147</t>
  </si>
  <si>
    <t>401500148</t>
  </si>
  <si>
    <t>401500149</t>
  </si>
  <si>
    <t>401500150</t>
  </si>
  <si>
    <t>4874&amp;&amp;4875&amp;&amp;4851&amp;&amp;4876</t>
  </si>
  <si>
    <t>Dummy001&amp;&amp;Dummy002&amp;&amp;Bone_fire001&amp;&amp;root</t>
  </si>
  <si>
    <t>15101</t>
  </si>
  <si>
    <t>15102</t>
  </si>
  <si>
    <t>15103</t>
  </si>
  <si>
    <t>15104</t>
  </si>
  <si>
    <t>15105</t>
  </si>
  <si>
    <t>4926&amp;&amp;4927</t>
  </si>
  <si>
    <t>Dummy001&amp;&amp;Dummy002</t>
  </si>
  <si>
    <t>4926&amp;&amp;4927&amp;&amp;4851</t>
  </si>
  <si>
    <t>Dummy001&amp;&amp;Dummy002&amp;&amp;Bone_fire001</t>
  </si>
  <si>
    <t>15009</t>
  </si>
  <si>
    <t>15010</t>
  </si>
  <si>
    <t>401500109</t>
  </si>
  <si>
    <t>401500110</t>
  </si>
  <si>
    <t>4210</t>
  </si>
  <si>
    <t>4211</t>
  </si>
  <si>
    <t>4212</t>
  </si>
  <si>
    <t>4221</t>
  </si>
  <si>
    <t>404201010</t>
  </si>
  <si>
    <t>404201011</t>
  </si>
  <si>
    <t>404201012</t>
  </si>
  <si>
    <t>40420121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</si>
  <si>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</si>
  <si>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</si>
  <si>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</si>
  <si>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</si>
  <si>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</si>
  <si>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</si>
  <si>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</si>
  <si>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</si>
  <si>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</si>
  <si>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</si>
  <si>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</si>
  <si>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</si>
  <si>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</si>
  <si>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</si>
  <si>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</si>
  <si>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</si>
  <si>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</si>
  <si>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</si>
  <si>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</si>
  <si>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</si>
  <si>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</si>
  <si>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</si>
  <si>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</si>
  <si>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</si>
  <si>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</si>
  <si>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</si>
  <si>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</si>
  <si>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</si>
  <si>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</si>
  <si>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</si>
  <si>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</si>
  <si>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attack07_h</t>
  </si>
  <si>
    <t>bone_nos001</t>
  </si>
  <si>
    <t>3010520</t>
  </si>
  <si>
    <t>3010521</t>
  </si>
  <si>
    <t>3010522</t>
  </si>
  <si>
    <t>3010523</t>
  </si>
  <si>
    <t>3010524</t>
  </si>
  <si>
    <t>3010525</t>
  </si>
  <si>
    <t>3010526</t>
  </si>
  <si>
    <t>3010527</t>
  </si>
  <si>
    <t>3010528</t>
  </si>
  <si>
    <t>3010529</t>
  </si>
  <si>
    <t>3010530</t>
  </si>
  <si>
    <t>3010531</t>
  </si>
  <si>
    <t>3010532</t>
  </si>
  <si>
    <t>3010533</t>
  </si>
  <si>
    <t>3010534</t>
  </si>
  <si>
    <t>3010535</t>
  </si>
  <si>
    <t>401520101</t>
  </si>
  <si>
    <t>401520102</t>
  </si>
  <si>
    <t>401520103</t>
  </si>
  <si>
    <t>401520104</t>
  </si>
  <si>
    <t>401520105</t>
  </si>
  <si>
    <t>401520106</t>
  </si>
  <si>
    <t>401520120</t>
  </si>
  <si>
    <t>401520121</t>
  </si>
  <si>
    <t>401520122</t>
  </si>
  <si>
    <t>401520123</t>
  </si>
  <si>
    <t>401520124</t>
  </si>
  <si>
    <t>401520125</t>
  </si>
  <si>
    <t>401520126</t>
  </si>
  <si>
    <t>401520127</t>
  </si>
  <si>
    <t>401520128</t>
  </si>
  <si>
    <t>401520129</t>
  </si>
  <si>
    <t>401520130</t>
  </si>
  <si>
    <t>401520131</t>
  </si>
  <si>
    <t>401520132</t>
  </si>
  <si>
    <t>401520133</t>
  </si>
  <si>
    <t>401520134</t>
  </si>
  <si>
    <t>401520135</t>
  </si>
  <si>
    <t>401520136</t>
  </si>
  <si>
    <t>401520137</t>
  </si>
  <si>
    <t>401520138</t>
  </si>
  <si>
    <t>401520139</t>
  </si>
  <si>
    <t>401520140</t>
  </si>
  <si>
    <t>401520141</t>
  </si>
  <si>
    <t>401520142</t>
  </si>
  <si>
    <t>401520143</t>
  </si>
  <si>
    <t>401520144</t>
  </si>
  <si>
    <t>401520145</t>
  </si>
  <si>
    <t>401520146</t>
  </si>
  <si>
    <t>401520147</t>
  </si>
  <si>
    <t>401520148</t>
  </si>
  <si>
    <t>401520149</t>
  </si>
  <si>
    <t>3006608</t>
  </si>
  <si>
    <t>3006616</t>
  </si>
  <si>
    <t>attack16</t>
  </si>
  <si>
    <t>11817</t>
  </si>
  <si>
    <t>attack17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</si>
  <si>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</si>
  <si>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</si>
  <si>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</si>
  <si>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</si>
  <si>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</si>
  <si>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</si>
  <si>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</si>
  <si>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</si>
  <si>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</si>
  <si>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</si>
  <si>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</si>
  <si>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</si>
  <si>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</si>
  <si>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</si>
  <si>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</si>
  <si>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</si>
  <si>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</si>
  <si>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</si>
  <si>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</si>
  <si>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</si>
  <si>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5018&amp;&amp;5005</t>
  </si>
  <si>
    <t>root#0,0,0&amp;&amp;nika_head#0,0,0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</si>
  <si>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</si>
  <si>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</si>
  <si>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</si>
  <si>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</si>
  <si>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</si>
  <si>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</si>
  <si>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</si>
  <si>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</si>
  <si>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nika_001#0,0,0</t>
  </si>
  <si>
    <t>15329</t>
  </si>
  <si>
    <t>riderun01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</si>
  <si>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</si>
  <si>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</si>
  <si>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</si>
  <si>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</si>
  <si>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</si>
  <si>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</si>
  <si>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</si>
  <si>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</si>
  <si>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hit05</t>
  </si>
  <si>
    <t>15338</t>
  </si>
  <si>
    <t>hit06</t>
  </si>
  <si>
    <t>15339</t>
  </si>
  <si>
    <t>hit07</t>
  </si>
  <si>
    <t>15340</t>
  </si>
  <si>
    <t>hit08</t>
  </si>
  <si>
    <t>15341</t>
  </si>
  <si>
    <t>stand01</t>
  </si>
  <si>
    <t>401530101</t>
  </si>
  <si>
    <t>401530102</t>
  </si>
  <si>
    <t>401530103</t>
  </si>
  <si>
    <t>401530104</t>
  </si>
  <si>
    <t>401530105</t>
  </si>
  <si>
    <t>401530106</t>
  </si>
  <si>
    <t>401530107</t>
  </si>
  <si>
    <t>401530108</t>
  </si>
  <si>
    <t>401530109</t>
  </si>
  <si>
    <t>401530110</t>
  </si>
  <si>
    <t>401530111</t>
  </si>
  <si>
    <t>401530112</t>
  </si>
  <si>
    <t>401530113</t>
  </si>
  <si>
    <t>401530114</t>
  </si>
  <si>
    <t>401530115</t>
  </si>
  <si>
    <t>401530116</t>
  </si>
  <si>
    <t>401530117</t>
  </si>
  <si>
    <t>401530118</t>
  </si>
  <si>
    <t>401530119</t>
  </si>
  <si>
    <t>401530120</t>
  </si>
  <si>
    <t>401530121</t>
  </si>
  <si>
    <t>401530122</t>
  </si>
  <si>
    <t>401530123</t>
  </si>
  <si>
    <t>401530124</t>
  </si>
  <si>
    <t>401530125</t>
  </si>
  <si>
    <t>401530126</t>
  </si>
  <si>
    <t>401530127</t>
  </si>
  <si>
    <t>401530128</t>
  </si>
  <si>
    <t>401530129</t>
  </si>
  <si>
    <t>401530130</t>
  </si>
  <si>
    <t>401530131</t>
  </si>
  <si>
    <t>401530132</t>
  </si>
  <si>
    <t>401530133</t>
  </si>
  <si>
    <t>401530134</t>
  </si>
  <si>
    <t>401530135</t>
  </si>
  <si>
    <t>401530136</t>
  </si>
  <si>
    <t>401530137</t>
  </si>
  <si>
    <t>401530138</t>
  </si>
  <si>
    <t>401530139</t>
  </si>
  <si>
    <t>401530140</t>
  </si>
  <si>
    <t>401530141</t>
  </si>
  <si>
    <t>3010901</t>
  </si>
  <si>
    <t>3010902</t>
  </si>
  <si>
    <t>3010903</t>
  </si>
  <si>
    <t>3010904</t>
  </si>
  <si>
    <t>3010905</t>
  </si>
  <si>
    <t>3010906</t>
  </si>
  <si>
    <t>3010907</t>
  </si>
  <si>
    <t>3010908</t>
  </si>
  <si>
    <t>3010909</t>
  </si>
  <si>
    <t>3010910</t>
  </si>
  <si>
    <t>3010911</t>
  </si>
  <si>
    <t>3010912</t>
  </si>
  <si>
    <t>3010913</t>
  </si>
  <si>
    <t>3010914</t>
  </si>
  <si>
    <t>3010915</t>
  </si>
  <si>
    <t>3010916</t>
  </si>
  <si>
    <t>3010917</t>
  </si>
  <si>
    <t>3010918</t>
  </si>
  <si>
    <t>3010919</t>
  </si>
  <si>
    <t>3010920</t>
  </si>
  <si>
    <t>3010921</t>
  </si>
  <si>
    <t>3010922</t>
  </si>
  <si>
    <t>3010923</t>
  </si>
  <si>
    <t>3011001</t>
  </si>
  <si>
    <t>3011002</t>
  </si>
  <si>
    <t>3011003</t>
  </si>
  <si>
    <t>3011004</t>
  </si>
  <si>
    <t>401530201</t>
  </si>
  <si>
    <t>401530202</t>
  </si>
  <si>
    <t>401530203</t>
  </si>
  <si>
    <t>401530204</t>
  </si>
  <si>
    <t>401530205</t>
  </si>
  <si>
    <t>401530206</t>
  </si>
  <si>
    <t>401530207</t>
  </si>
  <si>
    <t>401530208</t>
  </si>
  <si>
    <t>401530209</t>
  </si>
  <si>
    <t>401530210</t>
  </si>
  <si>
    <t>401530211</t>
  </si>
  <si>
    <t>401530212</t>
  </si>
  <si>
    <t>401530213</t>
  </si>
  <si>
    <t>401530214</t>
  </si>
  <si>
    <t>401530215</t>
  </si>
  <si>
    <t>401530216</t>
  </si>
  <si>
    <t>401530217</t>
  </si>
  <si>
    <t>401530218</t>
  </si>
  <si>
    <t>401530219</t>
  </si>
  <si>
    <t>401530220</t>
  </si>
  <si>
    <t>401530221</t>
  </si>
  <si>
    <t>401530222</t>
  </si>
  <si>
    <t>401530223</t>
  </si>
  <si>
    <t>401530224</t>
  </si>
  <si>
    <t>401530225</t>
  </si>
  <si>
    <t>401530226</t>
  </si>
  <si>
    <t>401530227</t>
  </si>
  <si>
    <t>401530228</t>
  </si>
  <si>
    <t>401530229</t>
  </si>
  <si>
    <t>401530230</t>
  </si>
  <si>
    <t>401530231</t>
  </si>
  <si>
    <t>401530232</t>
  </si>
  <si>
    <t>401530233</t>
  </si>
  <si>
    <t>401530234</t>
  </si>
  <si>
    <t>401530235</t>
  </si>
  <si>
    <t>401530236</t>
  </si>
  <si>
    <t>401530237</t>
  </si>
  <si>
    <t>401530238</t>
  </si>
  <si>
    <t>401530239</t>
  </si>
  <si>
    <t>401530240</t>
  </si>
  <si>
    <t>401530241</t>
  </si>
  <si>
    <t>3011101</t>
  </si>
  <si>
    <t>3011102</t>
  </si>
  <si>
    <t>3011103</t>
  </si>
  <si>
    <t>3011104</t>
  </si>
  <si>
    <t>3011105</t>
  </si>
  <si>
    <t>3011106</t>
  </si>
  <si>
    <t>3011107</t>
  </si>
  <si>
    <t>3011108</t>
  </si>
  <si>
    <t>3011109</t>
  </si>
  <si>
    <t>3011110</t>
  </si>
  <si>
    <t>3011111</t>
  </si>
  <si>
    <t>3011112</t>
  </si>
  <si>
    <t>3011113</t>
  </si>
  <si>
    <t>3011114</t>
  </si>
  <si>
    <t>3011115</t>
  </si>
  <si>
    <t>3011116</t>
  </si>
  <si>
    <t>3011117</t>
  </si>
  <si>
    <t>3011118</t>
  </si>
  <si>
    <t>3011119</t>
  </si>
  <si>
    <t>3011120</t>
  </si>
  <si>
    <t>3011121</t>
  </si>
  <si>
    <t>3011122</t>
  </si>
  <si>
    <t>3011123</t>
  </si>
  <si>
    <t>3011201</t>
  </si>
  <si>
    <t>3011202</t>
  </si>
  <si>
    <t>3011203</t>
  </si>
  <si>
    <t>3011204</t>
  </si>
  <si>
    <t>401530301</t>
  </si>
  <si>
    <t>401530302</t>
  </si>
  <si>
    <t>401530303</t>
  </si>
  <si>
    <t>401530304</t>
  </si>
  <si>
    <t>401530305</t>
  </si>
  <si>
    <t>401530306</t>
  </si>
  <si>
    <t>401530307</t>
  </si>
  <si>
    <t>401530308</t>
  </si>
  <si>
    <t>401530309</t>
  </si>
  <si>
    <t>401530310</t>
  </si>
  <si>
    <t>401530311</t>
  </si>
  <si>
    <t>401530312</t>
  </si>
  <si>
    <t>401530313</t>
  </si>
  <si>
    <t>401530314</t>
  </si>
  <si>
    <t>401530315</t>
  </si>
  <si>
    <t>401530316</t>
  </si>
  <si>
    <t>401530317</t>
  </si>
  <si>
    <t>401530318</t>
  </si>
  <si>
    <t>401530319</t>
  </si>
  <si>
    <t>401530320</t>
  </si>
  <si>
    <t>401530321</t>
  </si>
  <si>
    <t>401530322</t>
  </si>
  <si>
    <t>401530323</t>
  </si>
  <si>
    <t>401530324</t>
  </si>
  <si>
    <t>401530325</t>
  </si>
  <si>
    <t>401530326</t>
  </si>
  <si>
    <t>401530327</t>
  </si>
  <si>
    <t>401530328</t>
  </si>
  <si>
    <t>401530329</t>
  </si>
  <si>
    <t>401530330</t>
  </si>
  <si>
    <t>401530331</t>
  </si>
  <si>
    <t>401530332</t>
  </si>
  <si>
    <t>401530333</t>
  </si>
  <si>
    <t>401530334</t>
  </si>
  <si>
    <t>401530335</t>
  </si>
  <si>
    <t>401530336</t>
  </si>
  <si>
    <t>401530337</t>
  </si>
  <si>
    <t>401530338</t>
  </si>
  <si>
    <t>401530339</t>
  </si>
  <si>
    <t>401530340</t>
  </si>
  <si>
    <t>401530341</t>
  </si>
  <si>
    <t>3011301</t>
  </si>
  <si>
    <t>3011302</t>
  </si>
  <si>
    <t>3011303</t>
  </si>
  <si>
    <t>3011304</t>
  </si>
  <si>
    <t>3011305</t>
  </si>
  <si>
    <t>3011306</t>
  </si>
  <si>
    <t>3011307</t>
  </si>
  <si>
    <t>3011308</t>
  </si>
  <si>
    <t>3011309</t>
  </si>
  <si>
    <t>3011310</t>
  </si>
  <si>
    <t>3011311</t>
  </si>
  <si>
    <t>3011312</t>
  </si>
  <si>
    <t>3011313</t>
  </si>
  <si>
    <t>3011314</t>
  </si>
  <si>
    <t>3011315</t>
  </si>
  <si>
    <t>3011316</t>
  </si>
  <si>
    <t>3011317</t>
  </si>
  <si>
    <t>3011318</t>
  </si>
  <si>
    <t>3011319</t>
  </si>
  <si>
    <t>3011320</t>
  </si>
  <si>
    <t>3011321</t>
  </si>
  <si>
    <t>3011322</t>
  </si>
  <si>
    <t>3011323</t>
  </si>
  <si>
    <t>3011324</t>
  </si>
  <si>
    <t>3011325</t>
  </si>
  <si>
    <t>3011326</t>
  </si>
  <si>
    <t>3011327</t>
  </si>
  <si>
    <t>3011328</t>
  </si>
  <si>
    <t>3011329</t>
  </si>
  <si>
    <t>3011330</t>
  </si>
  <si>
    <t>3011331</t>
  </si>
  <si>
    <t>3011332</t>
  </si>
  <si>
    <t>3011333</t>
  </si>
  <si>
    <t>3011334</t>
  </si>
  <si>
    <t>3011335</t>
  </si>
  <si>
    <t>3011336</t>
  </si>
  <si>
    <t>3011337</t>
  </si>
  <si>
    <t>3011338</t>
  </si>
  <si>
    <t>3011339</t>
  </si>
  <si>
    <t>3011340</t>
  </si>
  <si>
    <t>401530401</t>
  </si>
  <si>
    <t>401530402</t>
  </si>
  <si>
    <t>401530403</t>
  </si>
  <si>
    <t>401530404</t>
  </si>
  <si>
    <t>401530405</t>
  </si>
  <si>
    <t>401530406</t>
  </si>
  <si>
    <t>401530407</t>
  </si>
  <si>
    <t>401530408</t>
  </si>
  <si>
    <t>401530409</t>
  </si>
  <si>
    <t>401530410</t>
  </si>
  <si>
    <t>401530411</t>
  </si>
  <si>
    <t>401530412</t>
  </si>
  <si>
    <t>401530413</t>
  </si>
  <si>
    <t>401530414</t>
  </si>
  <si>
    <t>401530415</t>
  </si>
  <si>
    <t>401530416</t>
  </si>
  <si>
    <t>401530417</t>
  </si>
  <si>
    <t>401530418</t>
  </si>
  <si>
    <t>401530419</t>
  </si>
  <si>
    <t>401530420</t>
  </si>
  <si>
    <t>401530421</t>
  </si>
  <si>
    <t>401530422</t>
  </si>
  <si>
    <t>401530423</t>
  </si>
  <si>
    <t>401530424</t>
  </si>
  <si>
    <t>401530425</t>
  </si>
  <si>
    <t>401530426</t>
  </si>
  <si>
    <t>401530427</t>
  </si>
  <si>
    <t>401530428</t>
  </si>
  <si>
    <t>401530429</t>
  </si>
  <si>
    <t>401530430</t>
  </si>
  <si>
    <t>401530431</t>
  </si>
  <si>
    <t>401530432</t>
  </si>
  <si>
    <t>401530433</t>
  </si>
  <si>
    <t>401530434</t>
  </si>
  <si>
    <t>401530435</t>
  </si>
  <si>
    <t>401530436</t>
  </si>
  <si>
    <t>401530437</t>
  </si>
  <si>
    <t>401530438</t>
  </si>
  <si>
    <t>401530439</t>
  </si>
  <si>
    <t>401530440</t>
  </si>
  <si>
    <t>401530441</t>
  </si>
  <si>
    <t>401530501</t>
  </si>
  <si>
    <t>401530502</t>
  </si>
  <si>
    <t>401530503</t>
  </si>
  <si>
    <t>401530504</t>
  </si>
  <si>
    <t>401530505</t>
  </si>
  <si>
    <t>401530506</t>
  </si>
  <si>
    <t>401530507</t>
  </si>
  <si>
    <t>401530508</t>
  </si>
  <si>
    <t>401530509</t>
  </si>
  <si>
    <t>401530510</t>
  </si>
  <si>
    <t>401530511</t>
  </si>
  <si>
    <t>401530512</t>
  </si>
  <si>
    <t>401530513</t>
  </si>
  <si>
    <t>401530514</t>
  </si>
  <si>
    <t>401530515</t>
  </si>
  <si>
    <t>401530516</t>
  </si>
  <si>
    <t>401530517</t>
  </si>
  <si>
    <t>401530518</t>
  </si>
  <si>
    <t>401530519</t>
  </si>
  <si>
    <t>401530520</t>
  </si>
  <si>
    <t>401530521</t>
  </si>
  <si>
    <t>401530522</t>
  </si>
  <si>
    <t>401530523</t>
  </si>
  <si>
    <t>401530524</t>
  </si>
  <si>
    <t>401530525</t>
  </si>
  <si>
    <t>401530526</t>
  </si>
  <si>
    <t>401530527</t>
  </si>
  <si>
    <t>401530528</t>
  </si>
  <si>
    <t>401530529</t>
  </si>
  <si>
    <t>401530530</t>
  </si>
  <si>
    <t>401530531</t>
  </si>
  <si>
    <t>401530532</t>
  </si>
  <si>
    <t>401530533</t>
  </si>
  <si>
    <t>401530534</t>
  </si>
  <si>
    <t>401530535</t>
  </si>
  <si>
    <t>401530536</t>
  </si>
  <si>
    <t>401530537</t>
  </si>
  <si>
    <t>401530538</t>
  </si>
  <si>
    <t>401530539</t>
  </si>
  <si>
    <t>401530540</t>
  </si>
  <si>
    <t>401530541</t>
  </si>
  <si>
    <t>401220201</t>
  </si>
  <si>
    <t>401220202</t>
  </si>
  <si>
    <t>401220203</t>
  </si>
  <si>
    <t>401220204</t>
  </si>
  <si>
    <t>401220205</t>
  </si>
  <si>
    <t>401220206</t>
  </si>
  <si>
    <t>401220207</t>
  </si>
  <si>
    <t>401220220</t>
  </si>
  <si>
    <t>401220221</t>
  </si>
  <si>
    <t>401220222</t>
  </si>
  <si>
    <t>401220223</t>
  </si>
  <si>
    <t>401220224</t>
  </si>
  <si>
    <t>401220225</t>
  </si>
  <si>
    <t>401220227</t>
  </si>
  <si>
    <t>401210201</t>
  </si>
  <si>
    <t>401210202</t>
  </si>
  <si>
    <t>401210203</t>
  </si>
  <si>
    <t>401210204</t>
  </si>
  <si>
    <t>401210205</t>
  </si>
  <si>
    <t>401210206</t>
  </si>
  <si>
    <t>401210207</t>
  </si>
  <si>
    <t>401210208</t>
  </si>
  <si>
    <t>401210209</t>
  </si>
  <si>
    <t>401210210</t>
  </si>
  <si>
    <t>401210220</t>
  </si>
  <si>
    <t>401210221</t>
  </si>
  <si>
    <t>401210222</t>
  </si>
  <si>
    <t>401210223</t>
  </si>
  <si>
    <t>401210224</t>
  </si>
  <si>
    <t>401210225</t>
  </si>
  <si>
    <t>401210227</t>
  </si>
  <si>
    <t>401260301</t>
  </si>
  <si>
    <t>401260302</t>
  </si>
  <si>
    <t>401260303</t>
  </si>
  <si>
    <t>401260304</t>
  </si>
  <si>
    <t>401260305</t>
  </si>
  <si>
    <t>401260306</t>
  </si>
  <si>
    <t>401260307</t>
  </si>
  <si>
    <t>401260310</t>
  </si>
  <si>
    <t>401260320</t>
  </si>
  <si>
    <t>401260321</t>
  </si>
  <si>
    <t>401260322</t>
  </si>
  <si>
    <t>401260323</t>
  </si>
  <si>
    <t>401260324</t>
  </si>
  <si>
    <t>401260325</t>
  </si>
  <si>
    <t>401260327</t>
  </si>
  <si>
    <t>401260328</t>
  </si>
  <si>
    <t>401260329</t>
  </si>
  <si>
    <t>401260330</t>
  </si>
  <si>
    <t>401260331</t>
  </si>
  <si>
    <t>401260332</t>
  </si>
  <si>
    <t>401260333</t>
  </si>
  <si>
    <t>401260334</t>
  </si>
  <si>
    <t>401260335</t>
  </si>
  <si>
    <t>401260336</t>
  </si>
  <si>
    <t>401260337</t>
  </si>
  <si>
    <t>401260338</t>
  </si>
  <si>
    <t>401260339</t>
  </si>
  <si>
    <t>401260340</t>
  </si>
  <si>
    <t>401260341</t>
  </si>
  <si>
    <t>401260342</t>
  </si>
  <si>
    <t>401260343</t>
  </si>
  <si>
    <t>401260344</t>
  </si>
  <si>
    <t>401260345</t>
  </si>
  <si>
    <t>401260346</t>
  </si>
  <si>
    <t>401260347</t>
  </si>
  <si>
    <t>401260348</t>
  </si>
  <si>
    <t>401260349</t>
  </si>
  <si>
    <t>401260350</t>
  </si>
  <si>
    <t>401190201</t>
  </si>
  <si>
    <t>401190202</t>
  </si>
  <si>
    <t>401190203</t>
  </si>
  <si>
    <t>401190204</t>
  </si>
  <si>
    <t>401190220</t>
  </si>
  <si>
    <t>3011920</t>
  </si>
  <si>
    <t>3004320</t>
  </si>
  <si>
    <t>Bone029#0,0,0</t>
  </si>
  <si>
    <t>10611</t>
  </si>
  <si>
    <t>10612</t>
  </si>
  <si>
    <t>10613</t>
  </si>
  <si>
    <t>10621</t>
  </si>
  <si>
    <t>401060111</t>
  </si>
  <si>
    <t>401060112</t>
  </si>
  <si>
    <t>401060113</t>
  </si>
  <si>
    <t>401060121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</si>
  <si>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</si>
  <si>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</si>
  <si>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</si>
  <si>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</si>
  <si>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</si>
  <si>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</si>
  <si>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</si>
  <si>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</si>
  <si>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</si>
  <si>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</si>
  <si>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</si>
  <si>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</si>
  <si>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</si>
  <si>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</si>
  <si>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</si>
  <si>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</si>
  <si>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</si>
  <si>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</si>
  <si>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</si>
  <si>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</si>
  <si>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</si>
  <si>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</si>
  <si>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</si>
  <si>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</si>
  <si>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</si>
  <si>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</si>
  <si>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</si>
  <si>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</si>
  <si>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</si>
  <si>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</si>
  <si>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</si>
  <si>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</si>
  <si>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5064&amp;&amp;5065</t>
  </si>
  <si>
    <t>root#0,0,0&amp;&amp;Bip001_Pelvis#0,0,0</t>
  </si>
  <si>
    <t>15433</t>
  </si>
  <si>
    <t>15434</t>
  </si>
  <si>
    <t>15435</t>
  </si>
  <si>
    <t>15436</t>
  </si>
  <si>
    <t>15437</t>
  </si>
  <si>
    <t>Idle</t>
  </si>
  <si>
    <t>Dummy001</t>
  </si>
  <si>
    <t>401540101</t>
  </si>
  <si>
    <t>401540102</t>
  </si>
  <si>
    <t>401540103</t>
  </si>
  <si>
    <t>401540104</t>
  </si>
  <si>
    <t>401540105</t>
  </si>
  <si>
    <t>401540106</t>
  </si>
  <si>
    <t>401540107</t>
  </si>
  <si>
    <t>401540108</t>
  </si>
  <si>
    <t>401540109</t>
  </si>
  <si>
    <t>401540110</t>
  </si>
  <si>
    <t>401540111</t>
  </si>
  <si>
    <t>401540112</t>
  </si>
  <si>
    <t>401540113</t>
  </si>
  <si>
    <t>401540114</t>
  </si>
  <si>
    <t>401540115</t>
  </si>
  <si>
    <t>401540116</t>
  </si>
  <si>
    <t>401540117</t>
  </si>
  <si>
    <t>401540118</t>
  </si>
  <si>
    <t>401540119</t>
  </si>
  <si>
    <t>401540120</t>
  </si>
  <si>
    <t>401540121</t>
  </si>
  <si>
    <t>401540122</t>
  </si>
  <si>
    <t>401540123</t>
  </si>
  <si>
    <t>401540124</t>
  </si>
  <si>
    <t>401540125</t>
  </si>
  <si>
    <t>401540126</t>
  </si>
  <si>
    <t>401540127</t>
  </si>
  <si>
    <t>401540128</t>
  </si>
  <si>
    <t>401540129</t>
  </si>
  <si>
    <t>401540130</t>
  </si>
  <si>
    <t>401540131</t>
  </si>
  <si>
    <t>401540132</t>
  </si>
  <si>
    <t>401540133</t>
  </si>
  <si>
    <t>401540134</t>
  </si>
  <si>
    <t>401540135</t>
  </si>
  <si>
    <t>401540136</t>
  </si>
  <si>
    <t>401540201</t>
  </si>
  <si>
    <t>401540202</t>
  </si>
  <si>
    <t>401540203</t>
  </si>
  <si>
    <t>401540204</t>
  </si>
  <si>
    <t>401540205</t>
  </si>
  <si>
    <t>401540206</t>
  </si>
  <si>
    <t>401540207</t>
  </si>
  <si>
    <t>401540208</t>
  </si>
  <si>
    <t>401540209</t>
  </si>
  <si>
    <t>401540210</t>
  </si>
  <si>
    <t>401540211</t>
  </si>
  <si>
    <t>401540212</t>
  </si>
  <si>
    <t>401540213</t>
  </si>
  <si>
    <t>401540214</t>
  </si>
  <si>
    <t>401540215</t>
  </si>
  <si>
    <t>401540216</t>
  </si>
  <si>
    <t>401540217</t>
  </si>
  <si>
    <t>401540218</t>
  </si>
  <si>
    <t>401540219</t>
  </si>
  <si>
    <t>401540220</t>
  </si>
  <si>
    <t>401540221</t>
  </si>
  <si>
    <t>401540222</t>
  </si>
  <si>
    <t>401540223</t>
  </si>
  <si>
    <t>401540224</t>
  </si>
  <si>
    <t>401540225</t>
  </si>
  <si>
    <t>401540226</t>
  </si>
  <si>
    <t>401540227</t>
  </si>
  <si>
    <t>401540228</t>
  </si>
  <si>
    <t>401540229</t>
  </si>
  <si>
    <t>401540230</t>
  </si>
  <si>
    <t>401540231</t>
  </si>
  <si>
    <t>401540232</t>
  </si>
  <si>
    <t>401540233</t>
  </si>
  <si>
    <t>401540234</t>
  </si>
  <si>
    <t>401540235</t>
  </si>
  <si>
    <t>401540236</t>
  </si>
  <si>
    <t>401540301</t>
  </si>
  <si>
    <t>401540302</t>
  </si>
  <si>
    <t>401540303</t>
  </si>
  <si>
    <t>401540304</t>
  </si>
  <si>
    <t>401540305</t>
  </si>
  <si>
    <t>401540306</t>
  </si>
  <si>
    <t>401540307</t>
  </si>
  <si>
    <t>401540308</t>
  </si>
  <si>
    <t>401540309</t>
  </si>
  <si>
    <t>401540310</t>
  </si>
  <si>
    <t>401540311</t>
  </si>
  <si>
    <t>401540312</t>
  </si>
  <si>
    <t>401540313</t>
  </si>
  <si>
    <t>401540314</t>
  </si>
  <si>
    <t>401540315</t>
  </si>
  <si>
    <t>401540316</t>
  </si>
  <si>
    <t>401540317</t>
  </si>
  <si>
    <t>401540318</t>
  </si>
  <si>
    <t>401540319</t>
  </si>
  <si>
    <t>401540320</t>
  </si>
  <si>
    <t>401540321</t>
  </si>
  <si>
    <t>401540322</t>
  </si>
  <si>
    <t>401540323</t>
  </si>
  <si>
    <t>401540324</t>
  </si>
  <si>
    <t>401540325</t>
  </si>
  <si>
    <t>401540326</t>
  </si>
  <si>
    <t>401540327</t>
  </si>
  <si>
    <t>401540328</t>
  </si>
  <si>
    <t>401540329</t>
  </si>
  <si>
    <t>401540330</t>
  </si>
  <si>
    <t>401540331</t>
  </si>
  <si>
    <t>401540332</t>
  </si>
  <si>
    <t>401540333</t>
  </si>
  <si>
    <t>401540334</t>
  </si>
  <si>
    <t>401540335</t>
  </si>
  <si>
    <t>401540336</t>
  </si>
  <si>
    <t>401540401</t>
  </si>
  <si>
    <t>401540402</t>
  </si>
  <si>
    <t>401540403</t>
  </si>
  <si>
    <t>401540404</t>
  </si>
  <si>
    <t>401540405</t>
  </si>
  <si>
    <t>401540406</t>
  </si>
  <si>
    <t>401540407</t>
  </si>
  <si>
    <t>401540408</t>
  </si>
  <si>
    <t>401540409</t>
  </si>
  <si>
    <t>401540410</t>
  </si>
  <si>
    <t>401540411</t>
  </si>
  <si>
    <t>401540412</t>
  </si>
  <si>
    <t>401540413</t>
  </si>
  <si>
    <t>401540414</t>
  </si>
  <si>
    <t>401540415</t>
  </si>
  <si>
    <t>401540416</t>
  </si>
  <si>
    <t>401540417</t>
  </si>
  <si>
    <t>401540418</t>
  </si>
  <si>
    <t>401540419</t>
  </si>
  <si>
    <t>401540420</t>
  </si>
  <si>
    <t>401540421</t>
  </si>
  <si>
    <t>401540422</t>
  </si>
  <si>
    <t>401540423</t>
  </si>
  <si>
    <t>401540424</t>
  </si>
  <si>
    <t>401540425</t>
  </si>
  <si>
    <t>401540426</t>
  </si>
  <si>
    <t>401540427</t>
  </si>
  <si>
    <t>401540428</t>
  </si>
  <si>
    <t>401540429</t>
  </si>
  <si>
    <t>401540430</t>
  </si>
  <si>
    <t>401540431</t>
  </si>
  <si>
    <t>401540432</t>
  </si>
  <si>
    <t>401540433</t>
  </si>
  <si>
    <t>401540434</t>
  </si>
  <si>
    <t>401540435</t>
  </si>
  <si>
    <t>401540436</t>
  </si>
  <si>
    <t>3012001</t>
  </si>
  <si>
    <t>3012002</t>
  </si>
  <si>
    <t>3012003</t>
  </si>
  <si>
    <t>3012004</t>
  </si>
  <si>
    <t>3012005</t>
  </si>
  <si>
    <t>3012006</t>
  </si>
  <si>
    <t>3012007</t>
  </si>
  <si>
    <t>3012008</t>
  </si>
  <si>
    <t>3012009</t>
  </si>
  <si>
    <t>3012010</t>
  </si>
  <si>
    <t>3012011</t>
  </si>
  <si>
    <t>3012012</t>
  </si>
  <si>
    <t>3012013</t>
  </si>
  <si>
    <t>3012014</t>
  </si>
  <si>
    <t>3012015</t>
  </si>
  <si>
    <t>3012016</t>
  </si>
  <si>
    <t>3012017</t>
  </si>
  <si>
    <t>3012018</t>
  </si>
  <si>
    <t>3012019</t>
  </si>
  <si>
    <t>3012020</t>
  </si>
  <si>
    <t>3012101</t>
  </si>
  <si>
    <t>3012102</t>
  </si>
  <si>
    <t>3012103</t>
  </si>
  <si>
    <t>3012104</t>
  </si>
  <si>
    <t>3012105</t>
  </si>
  <si>
    <t>3012106</t>
  </si>
  <si>
    <t>3012107</t>
  </si>
  <si>
    <t>3012108</t>
  </si>
  <si>
    <t>3012109</t>
  </si>
  <si>
    <t>3012110</t>
  </si>
  <si>
    <t>3012111</t>
  </si>
  <si>
    <t>3012112</t>
  </si>
  <si>
    <t>3012113</t>
  </si>
  <si>
    <t>3012114</t>
  </si>
  <si>
    <t>3012115</t>
  </si>
  <si>
    <t>3012116</t>
  </si>
  <si>
    <t>3012117</t>
  </si>
  <si>
    <t>3012118</t>
  </si>
  <si>
    <t>3012119</t>
  </si>
  <si>
    <t>3012120</t>
  </si>
  <si>
    <t>3012201</t>
  </si>
  <si>
    <t>3012202</t>
  </si>
  <si>
    <t>3012203</t>
  </si>
  <si>
    <t>3012204</t>
  </si>
  <si>
    <t>3012205</t>
  </si>
  <si>
    <t>3012206</t>
  </si>
  <si>
    <t>3012207</t>
  </si>
  <si>
    <t>3012208</t>
  </si>
  <si>
    <t>3012209</t>
  </si>
  <si>
    <t>3012210</t>
  </si>
  <si>
    <t>3012211</t>
  </si>
  <si>
    <t>3012212</t>
  </si>
  <si>
    <t>3012213</t>
  </si>
  <si>
    <t>3012214</t>
  </si>
  <si>
    <t>3012215</t>
  </si>
  <si>
    <t>3012216</t>
  </si>
  <si>
    <t>3012217</t>
  </si>
  <si>
    <t>3012301</t>
  </si>
  <si>
    <t>3012302</t>
  </si>
  <si>
    <t>3012303</t>
  </si>
  <si>
    <t>3012304</t>
  </si>
  <si>
    <t>3012305</t>
  </si>
  <si>
    <t>3012306</t>
  </si>
  <si>
    <t>3012307</t>
  </si>
  <si>
    <t>3012308</t>
  </si>
  <si>
    <t>3012309</t>
  </si>
  <si>
    <t>3012310</t>
  </si>
  <si>
    <t>3012311</t>
  </si>
  <si>
    <t>3012312</t>
  </si>
  <si>
    <t>3012313</t>
  </si>
  <si>
    <t>3012314</t>
  </si>
  <si>
    <t>3012315</t>
  </si>
  <si>
    <t>3012316</t>
  </si>
  <si>
    <t>3012317</t>
  </si>
  <si>
    <t>3012401</t>
  </si>
  <si>
    <t>3012402</t>
  </si>
  <si>
    <t>3012403</t>
  </si>
  <si>
    <t>3012404</t>
  </si>
  <si>
    <t>3012405</t>
  </si>
  <si>
    <t>3012406</t>
  </si>
  <si>
    <t>3012407</t>
  </si>
  <si>
    <t>3012408</t>
  </si>
  <si>
    <t>3012409</t>
  </si>
  <si>
    <t>3012410</t>
  </si>
  <si>
    <t>3012411</t>
  </si>
  <si>
    <t>3012412</t>
  </si>
  <si>
    <t>3012413</t>
  </si>
  <si>
    <t>3012414</t>
  </si>
  <si>
    <t>3012415</t>
  </si>
  <si>
    <t>3012416</t>
  </si>
  <si>
    <t xml:space="preserve">  </t>
  </si>
  <si>
    <t>3012417</t>
  </si>
  <si>
    <t>301250101</t>
  </si>
  <si>
    <t>301250202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</si>
  <si>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</si>
  <si>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</si>
  <si>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</si>
  <si>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</si>
  <si>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</si>
  <si>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</si>
  <si>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</si>
  <si>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</si>
  <si>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</si>
  <si>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</si>
  <si>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</si>
  <si>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</si>
  <si>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</si>
  <si>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</si>
  <si>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</si>
  <si>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</si>
  <si>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</si>
  <si>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</si>
  <si>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</si>
  <si>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</si>
  <si>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</si>
  <si>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</si>
  <si>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</si>
  <si>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</si>
  <si>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</si>
  <si>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</si>
  <si>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</si>
  <si>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</si>
  <si>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</si>
  <si>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401550101</t>
  </si>
  <si>
    <t>401550102</t>
  </si>
  <si>
    <t>401550103</t>
  </si>
  <si>
    <t>401550104</t>
  </si>
  <si>
    <t>401550105</t>
  </si>
  <si>
    <t>401550106</t>
  </si>
  <si>
    <t>401550107</t>
  </si>
  <si>
    <t>401550108</t>
  </si>
  <si>
    <t>401550109</t>
  </si>
  <si>
    <t>401550110</t>
  </si>
  <si>
    <t>401550111</t>
  </si>
  <si>
    <t>401550112</t>
  </si>
  <si>
    <t>401550113</t>
  </si>
  <si>
    <t>401550114</t>
  </si>
  <si>
    <t>401550115</t>
  </si>
  <si>
    <t>401550116</t>
  </si>
  <si>
    <t>401550117</t>
  </si>
  <si>
    <t>401550118</t>
  </si>
  <si>
    <t>401550119</t>
  </si>
  <si>
    <t>401550120</t>
  </si>
  <si>
    <t>401550121</t>
  </si>
  <si>
    <t>401550122</t>
  </si>
  <si>
    <t>401550123</t>
  </si>
  <si>
    <t>401550124</t>
  </si>
  <si>
    <t>401550125</t>
  </si>
  <si>
    <t>401550126</t>
  </si>
  <si>
    <t>401550127</t>
  </si>
  <si>
    <t>401550128</t>
  </si>
  <si>
    <t>401550129</t>
  </si>
  <si>
    <t>401550201</t>
  </si>
  <si>
    <t>401550202</t>
  </si>
  <si>
    <t>401550203</t>
  </si>
  <si>
    <t>401550204</t>
  </si>
  <si>
    <t>401550205</t>
  </si>
  <si>
    <t>401550206</t>
  </si>
  <si>
    <t>401550207</t>
  </si>
  <si>
    <t>401550208</t>
  </si>
  <si>
    <t>401550209</t>
  </si>
  <si>
    <t>401550210</t>
  </si>
  <si>
    <t>401550211</t>
  </si>
  <si>
    <t>401550212</t>
  </si>
  <si>
    <t>401550213</t>
  </si>
  <si>
    <t>401550214</t>
  </si>
  <si>
    <t>401550215</t>
  </si>
  <si>
    <t>401550216</t>
  </si>
  <si>
    <t>401550217</t>
  </si>
  <si>
    <t>401550218</t>
  </si>
  <si>
    <t>401550219</t>
  </si>
  <si>
    <t>401550220</t>
  </si>
  <si>
    <t>401550221</t>
  </si>
  <si>
    <t>401550222</t>
  </si>
  <si>
    <t>401550223</t>
  </si>
  <si>
    <t>401550224</t>
  </si>
  <si>
    <t>401550225</t>
  </si>
  <si>
    <t>401550226</t>
  </si>
  <si>
    <t>401550227</t>
  </si>
  <si>
    <t>401550228</t>
  </si>
  <si>
    <t>3012501</t>
  </si>
  <si>
    <t>3012502</t>
  </si>
  <si>
    <t>3012503</t>
  </si>
  <si>
    <t>3012504</t>
  </si>
  <si>
    <t>3012505</t>
  </si>
  <si>
    <t>3012506</t>
  </si>
  <si>
    <t>3012507</t>
  </si>
  <si>
    <t>3012508</t>
  </si>
  <si>
    <t>3012509</t>
  </si>
  <si>
    <t>3012510</t>
  </si>
  <si>
    <t>3012511</t>
  </si>
  <si>
    <t>3012512</t>
  </si>
  <si>
    <t>3012513</t>
  </si>
  <si>
    <t>3012514</t>
  </si>
  <si>
    <t>3012515</t>
  </si>
  <si>
    <t>3012516</t>
  </si>
  <si>
    <t>3012517</t>
  </si>
  <si>
    <t>3012518</t>
  </si>
  <si>
    <t>3012519</t>
  </si>
  <si>
    <t>3012520</t>
  </si>
  <si>
    <t>3</t>
  </si>
  <si>
    <t>3012601</t>
  </si>
  <si>
    <t>3012602</t>
  </si>
  <si>
    <t>3012603</t>
  </si>
  <si>
    <t>3012604</t>
  </si>
  <si>
    <t>3012605</t>
  </si>
  <si>
    <t>3012606</t>
  </si>
  <si>
    <t>3012607</t>
  </si>
  <si>
    <t>3012608</t>
  </si>
  <si>
    <t>3012609</t>
  </si>
  <si>
    <t>3012610</t>
  </si>
  <si>
    <t>3012611</t>
  </si>
  <si>
    <t>3012612</t>
  </si>
  <si>
    <t>3012613</t>
  </si>
  <si>
    <t>3012614</t>
  </si>
  <si>
    <t>3012615</t>
  </si>
  <si>
    <t>3012616</t>
  </si>
  <si>
    <t>3012617</t>
  </si>
  <si>
    <t>3012618</t>
  </si>
  <si>
    <t>3012619</t>
  </si>
  <si>
    <t>3012620</t>
  </si>
  <si>
    <t>3012621</t>
  </si>
  <si>
    <t>3012701</t>
  </si>
  <si>
    <t>3012702</t>
  </si>
  <si>
    <t>3012703</t>
  </si>
  <si>
    <t>3012704</t>
  </si>
  <si>
    <t>3012705</t>
  </si>
  <si>
    <t>3012706</t>
  </si>
  <si>
    <t>3012707</t>
  </si>
  <si>
    <t>3012708</t>
  </si>
  <si>
    <t>3012709</t>
  </si>
  <si>
    <t>3012710</t>
  </si>
  <si>
    <t>3012711</t>
  </si>
  <si>
    <t>3012712</t>
  </si>
  <si>
    <t>3012713</t>
  </si>
  <si>
    <t>3012714</t>
  </si>
  <si>
    <t>3012715</t>
  </si>
  <si>
    <t>3012716</t>
  </si>
  <si>
    <t>3012717</t>
  </si>
  <si>
    <t>3012718</t>
  </si>
  <si>
    <t>3012719</t>
  </si>
  <si>
    <t>3012720</t>
  </si>
  <si>
    <t>3012801</t>
  </si>
  <si>
    <t>3012802</t>
  </si>
  <si>
    <t>400360101</t>
  </si>
  <si>
    <t>400360102</t>
  </si>
  <si>
    <t>400360103</t>
  </si>
  <si>
    <t>400360104</t>
  </si>
  <si>
    <t>400360105</t>
  </si>
  <si>
    <t>400360106</t>
  </si>
  <si>
    <t>400360107</t>
  </si>
  <si>
    <t>400360108</t>
  </si>
  <si>
    <t>400360109</t>
  </si>
  <si>
    <t>400360110</t>
  </si>
  <si>
    <t>400360111</t>
  </si>
  <si>
    <t>400360112</t>
  </si>
  <si>
    <t>400360113</t>
  </si>
  <si>
    <t>enel004_body_run02_M</t>
  </si>
  <si>
    <t>enel004_body_run02_M_l</t>
  </si>
  <si>
    <t>400360201</t>
  </si>
  <si>
    <t>400360202</t>
  </si>
  <si>
    <t>400360203</t>
  </si>
  <si>
    <t>400360204</t>
  </si>
  <si>
    <t>400360205</t>
  </si>
  <si>
    <t>400360206</t>
  </si>
  <si>
    <t>400360207</t>
  </si>
  <si>
    <t>400360208</t>
  </si>
  <si>
    <t>400360209</t>
  </si>
  <si>
    <t>400360210</t>
  </si>
  <si>
    <t>400360211</t>
  </si>
  <si>
    <t>400360212</t>
  </si>
  <si>
    <t>400360213</t>
  </si>
  <si>
    <t>400360214</t>
  </si>
  <si>
    <t>400360215</t>
  </si>
  <si>
    <t>3012901</t>
  </si>
  <si>
    <t>3012902</t>
  </si>
  <si>
    <t>3012903</t>
  </si>
  <si>
    <t>3624</t>
  </si>
  <si>
    <t>3625</t>
  </si>
  <si>
    <t>3626</t>
  </si>
  <si>
    <t>8109</t>
  </si>
  <si>
    <t>8110</t>
  </si>
  <si>
    <t>8111</t>
  </si>
  <si>
    <t>8112</t>
  </si>
  <si>
    <t>8113</t>
  </si>
  <si>
    <t>15601</t>
  </si>
  <si>
    <t>15602</t>
  </si>
  <si>
    <t>15603</t>
  </si>
  <si>
    <t>15604</t>
  </si>
  <si>
    <t>15605</t>
  </si>
  <si>
    <t>15606</t>
  </si>
  <si>
    <t>15607</t>
  </si>
  <si>
    <t>5114&amp;&amp;5132&amp;&amp;5133&amp;&amp;5134</t>
  </si>
  <si>
    <t>Bone_fire001&amp;&amp;root#0,0,0&amp;&amp;Bip001 L Hand#0,0,0&amp;&amp;Bip001 R Hand#0,0,0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</si>
  <si>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</si>
  <si>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</si>
  <si>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</si>
  <si>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</si>
  <si>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</si>
  <si>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</si>
  <si>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</si>
  <si>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</si>
  <si>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</si>
  <si>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</si>
  <si>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</si>
  <si>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</si>
  <si>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</si>
  <si>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</si>
  <si>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</si>
  <si>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</si>
  <si>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</si>
  <si>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</si>
  <si>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</si>
  <si>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</si>
  <si>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</si>
  <si>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</si>
  <si>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</si>
  <si>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</si>
  <si>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</si>
  <si>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</si>
  <si>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</si>
  <si>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</si>
  <si>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3013001</t>
  </si>
  <si>
    <t>5114&amp;&amp;5118&amp;&amp;5119</t>
  </si>
  <si>
    <t>Bone_fire001&amp;&amp;Dummy001&amp;&amp;Dummy002</t>
  </si>
  <si>
    <t>3013002</t>
  </si>
  <si>
    <t>3013003</t>
  </si>
  <si>
    <t>3013004</t>
  </si>
  <si>
    <t>0&amp;&amp;0&amp;&amp;0&amp;&amp;0&amp;&amp;0</t>
  </si>
  <si>
    <t>2&amp;&amp;2&amp;&amp;2&amp;&amp;2&amp;&amp;2</t>
  </si>
  <si>
    <t>5114&amp;&amp;5118&amp;&amp;5119&amp;&amp;5126&amp;&amp;5127</t>
  </si>
  <si>
    <t>Bone_fire001&amp;&amp;Dummy001&amp;&amp;Dummy002&amp;&amp;Bip001 L Hand#-0.5,0.4,-0.2&amp;&amp;Bip001 R Hand#-0.5,0.4,0.15</t>
  </si>
  <si>
    <t>1&amp;&amp;1&amp;&amp;1&amp;&amp;1&amp;&amp;1</t>
  </si>
  <si>
    <t>3013005</t>
  </si>
  <si>
    <t>3013006</t>
  </si>
  <si>
    <t>3013007</t>
  </si>
  <si>
    <t>3013008</t>
  </si>
  <si>
    <t>3013009</t>
  </si>
  <si>
    <t>3013010</t>
  </si>
  <si>
    <t>3013011</t>
  </si>
  <si>
    <t>3013012</t>
  </si>
  <si>
    <t>3013013</t>
  </si>
  <si>
    <t>3013014</t>
  </si>
  <si>
    <t>3013015</t>
  </si>
  <si>
    <t>3013016</t>
  </si>
  <si>
    <t>3013017</t>
  </si>
  <si>
    <t>3013018</t>
  </si>
  <si>
    <t>3013019</t>
  </si>
  <si>
    <t>3013020</t>
  </si>
  <si>
    <t>5114&amp;&amp;5118&amp;&amp;5119&amp;&amp;5131&amp;&amp;5131</t>
  </si>
  <si>
    <t>Bone_fire001&amp;&amp;Dummy001&amp;&amp;Dummy002&amp;&amp;Bip001_L_Hand&amp;&amp;Bip001_R_Hand</t>
  </si>
  <si>
    <t>401560101</t>
  </si>
  <si>
    <t>401560102</t>
  </si>
  <si>
    <t>401560103</t>
  </si>
  <si>
    <t>401560104</t>
  </si>
  <si>
    <t>401560105</t>
  </si>
  <si>
    <t>401560106</t>
  </si>
  <si>
    <t>401560107</t>
  </si>
  <si>
    <t>401560108</t>
  </si>
  <si>
    <t>401560109</t>
  </si>
  <si>
    <t>401560110</t>
  </si>
  <si>
    <t>401560111</t>
  </si>
  <si>
    <t>401560112</t>
  </si>
  <si>
    <t>401560113</t>
  </si>
  <si>
    <t>401560114</t>
  </si>
  <si>
    <t>401560115</t>
  </si>
  <si>
    <t>401560116</t>
  </si>
  <si>
    <t>401560117</t>
  </si>
  <si>
    <t>401560118</t>
  </si>
  <si>
    <t>401560119</t>
  </si>
  <si>
    <t>401560120</t>
  </si>
  <si>
    <t>401560121</t>
  </si>
  <si>
    <t>401560122</t>
  </si>
  <si>
    <t>401560123</t>
  </si>
  <si>
    <t>401560124</t>
  </si>
  <si>
    <t>401560125</t>
  </si>
  <si>
    <t>401560126</t>
  </si>
  <si>
    <t>401560127</t>
  </si>
  <si>
    <t>401560128</t>
  </si>
  <si>
    <t>401560129</t>
  </si>
  <si>
    <t>401560130</t>
  </si>
  <si>
    <t>401560131</t>
  </si>
  <si>
    <t>401560132</t>
  </si>
  <si>
    <t>401560133</t>
  </si>
  <si>
    <t>401560134</t>
  </si>
  <si>
    <t>401560135</t>
  </si>
  <si>
    <t>401560136</t>
  </si>
  <si>
    <t>401560137</t>
  </si>
  <si>
    <t>401560138</t>
  </si>
  <si>
    <t>display03</t>
  </si>
  <si>
    <t>haki</t>
  </si>
  <si>
    <t>5155&amp;&amp;5156&amp;&amp;5157</t>
  </si>
  <si>
    <t>root#0,0,0&amp;&amp;Bip001 L Hand#0,0,0&amp;&amp;Bip001 R Hand#0,0,0</t>
  </si>
  <si>
    <t>401570101</t>
  </si>
  <si>
    <t>401570102</t>
  </si>
  <si>
    <t>401570103</t>
  </si>
  <si>
    <t>401570104</t>
  </si>
  <si>
    <t>401570105</t>
  </si>
  <si>
    <t>401570106</t>
  </si>
  <si>
    <t>401570107</t>
  </si>
  <si>
    <t>401570108</t>
  </si>
  <si>
    <t>401570109</t>
  </si>
  <si>
    <t>401570110</t>
  </si>
  <si>
    <t>401570111</t>
  </si>
  <si>
    <t>401570112</t>
  </si>
  <si>
    <t>401570113</t>
  </si>
  <si>
    <t>401570114</t>
  </si>
  <si>
    <t>401570115</t>
  </si>
  <si>
    <t>401570116</t>
  </si>
  <si>
    <t>401570117</t>
  </si>
  <si>
    <t>401570118</t>
  </si>
  <si>
    <t>401570119</t>
  </si>
  <si>
    <t>401570120</t>
  </si>
  <si>
    <t>401570121</t>
  </si>
  <si>
    <t>401570122</t>
  </si>
  <si>
    <t>401570123</t>
  </si>
  <si>
    <t>401570124</t>
  </si>
  <si>
    <t>401570125</t>
  </si>
  <si>
    <t>401570126</t>
  </si>
  <si>
    <t>401570127</t>
  </si>
  <si>
    <t>401570128</t>
  </si>
  <si>
    <t>401570129</t>
  </si>
  <si>
    <t>401570130</t>
  </si>
  <si>
    <t>401570131</t>
  </si>
  <si>
    <t>401570132</t>
  </si>
  <si>
    <t>401570133</t>
  </si>
  <si>
    <t>401570134</t>
  </si>
  <si>
    <t>401570135</t>
  </si>
  <si>
    <t>401570136</t>
  </si>
  <si>
    <t>401570137</t>
  </si>
  <si>
    <t>401570138</t>
  </si>
  <si>
    <t>401570139</t>
  </si>
  <si>
    <t>401570140</t>
  </si>
  <si>
    <t>401570141</t>
  </si>
  <si>
    <t>40780101</t>
  </si>
  <si>
    <t>40780102</t>
  </si>
  <si>
    <t>40780103</t>
  </si>
  <si>
    <t>40780104</t>
  </si>
  <si>
    <t>40780105</t>
  </si>
  <si>
    <t>40780106</t>
  </si>
  <si>
    <t>40780107</t>
  </si>
  <si>
    <t>40780108</t>
  </si>
  <si>
    <t>40780120</t>
  </si>
  <si>
    <t>40780121</t>
  </si>
  <si>
    <t>40780122</t>
  </si>
  <si>
    <t>40500301</t>
  </si>
  <si>
    <t>艾斯-顶上战争</t>
  </si>
  <si>
    <t>40500302</t>
  </si>
  <si>
    <t>40500303</t>
  </si>
  <si>
    <t>40500304</t>
  </si>
  <si>
    <t>40500305</t>
  </si>
  <si>
    <t>40500306</t>
  </si>
  <si>
    <t>40500307</t>
  </si>
  <si>
    <t>40500308</t>
  </si>
  <si>
    <t>40500309</t>
  </si>
  <si>
    <t>40500310</t>
  </si>
  <si>
    <t>40500313</t>
  </si>
  <si>
    <t>40500320</t>
  </si>
  <si>
    <t>40500321</t>
  </si>
  <si>
    <t>40500322</t>
  </si>
  <si>
    <t>40500323</t>
  </si>
  <si>
    <t>Bip001 R UpperArm#0.068,0.008,0.026&amp;&amp;Bip001 L UpperArm#0.046,0,-0.065&amp;&amp;Bone027#0,0,0&amp;&amp;Bone022#0,0,0</t>
  </si>
  <si>
    <t>3023&amp;&amp;3024&amp;&amp;3023&amp;&amp;3024</t>
  </si>
  <si>
    <t>shadow#0,0,0</t>
  </si>
  <si>
    <t>艾尼路备份</t>
  </si>
  <si>
    <t>id规则</t>
  </si>
  <si>
    <t>[ModelId][Index]</t>
  </si>
  <si>
    <t>例</t>
  </si>
  <si>
    <t>Id</t>
  </si>
  <si>
    <t>。。。</t>
  </si>
  <si>
    <t>3018&amp;&amp;3019&amp;&amp;3019&amp;&amp;3019&amp;&amp;3019&amp;&amp;3019&amp;&amp;3019&amp;&amp;3019&amp;&amp;3019&amp;&amp;3019&amp;&amp;3019</t>
  </si>
  <si>
    <t>root#0,0,0&amp;&amp;Dummy006#0,0,0&amp;&amp;Dummy007#0,0,0&amp;&amp;Dummy008#0,0,0&amp;&amp;Dummy009#0,0,0&amp;&amp;Dummy010#0,0,0&amp;&amp;Dummy011#0,0,0&amp;&amp;Dummy012#0,0,0&amp;&amp;Dummy013#0,0,0&amp;&amp;Dummy014#0,0,0&amp;&amp;Dummy015#0,0,0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</si>
</sst>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宋体"/>
      <charset val="134"/>
    </font>
    <font>
      <sz val="9"/>
      <color rgb="FF000000"/>
      <name val="Tahoma"/>
      <charset val="134"/>
    </font>
    <font>
      <sz val="11"/>
      <name val="微软雅黑"/>
      <charset val="134"/>
    </font>
    <font>
      <sz val="11"/>
      <name val="宋体"/>
      <charset val="134"/>
    </font>
    <font>
      <sz val="10.5"/>
      <color rgb="FF171A1D"/>
      <name val="Segoe UI"/>
      <charset val="134"/>
    </font>
    <font>
      <sz val="11"/>
      <color theme="1"/>
      <name val="微软雅黑"/>
      <charset val="134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AAAC6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9083F1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365215002899"/>
        <bgColor indexed="64"/>
      </patternFill>
    </fill>
    <fill>
      <patternFill patternType="solid">
        <fgColor theme="4" tint="0.397686696981719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31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21" fillId="0" borderId="6">
      <alignment vertical="center"/>
    </xf>
    <xf numFmtId="0" fontId="21" fillId="0" borderId="0">
      <alignment vertical="center"/>
    </xf>
    <xf numFmtId="0" fontId="22" fillId="32" borderId="7">
      <alignment vertical="center"/>
    </xf>
    <xf numFmtId="0" fontId="23" fillId="33" borderId="8">
      <alignment vertical="center"/>
    </xf>
    <xf numFmtId="0" fontId="24" fillId="33" borderId="7">
      <alignment vertical="center"/>
    </xf>
    <xf numFmtId="0" fontId="25" fillId="34" borderId="9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8" fillId="35" borderId="0">
      <alignment vertical="center"/>
    </xf>
    <xf numFmtId="0" fontId="1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0" fillId="39" borderId="0">
      <alignment vertical="center"/>
    </xf>
    <xf numFmtId="0" fontId="31" fillId="25" borderId="0">
      <alignment vertical="center"/>
    </xf>
    <xf numFmtId="0" fontId="30" fillId="40" borderId="0">
      <alignment vertical="center"/>
    </xf>
    <xf numFmtId="0" fontId="30" fillId="41" borderId="0">
      <alignment vertical="center"/>
    </xf>
    <xf numFmtId="0" fontId="31" fillId="42" borderId="0">
      <alignment vertical="center"/>
    </xf>
    <xf numFmtId="0" fontId="31" fillId="43" borderId="0">
      <alignment vertical="center"/>
    </xf>
    <xf numFmtId="0" fontId="30" fillId="44" borderId="0">
      <alignment vertical="center"/>
    </xf>
    <xf numFmtId="0" fontId="30" fillId="30" borderId="0">
      <alignment vertical="center"/>
    </xf>
    <xf numFmtId="0" fontId="31" fillId="45" borderId="0">
      <alignment vertical="center"/>
    </xf>
    <xf numFmtId="0" fontId="31" fillId="46" borderId="0">
      <alignment vertical="center"/>
    </xf>
    <xf numFmtId="0" fontId="30" fillId="47" borderId="0">
      <alignment vertical="center"/>
    </xf>
    <xf numFmtId="0" fontId="30" fillId="26" borderId="0">
      <alignment vertical="center"/>
    </xf>
    <xf numFmtId="0" fontId="0" fillId="48" borderId="0">
      <alignment vertical="center"/>
    </xf>
    <xf numFmtId="0" fontId="31" fillId="49" borderId="0">
      <alignment vertical="center"/>
    </xf>
    <xf numFmtId="0" fontId="30" fillId="50" borderId="0">
      <alignment vertical="center"/>
    </xf>
    <xf numFmtId="0" fontId="30" fillId="51" borderId="0">
      <alignment vertical="center"/>
    </xf>
    <xf numFmtId="0" fontId="31" fillId="52" borderId="0">
      <alignment vertical="center"/>
    </xf>
    <xf numFmtId="0" fontId="31" fillId="53" borderId="0">
      <alignment vertical="center"/>
    </xf>
    <xf numFmtId="0" fontId="30" fillId="54" borderId="0">
      <alignment vertical="center"/>
    </xf>
    <xf numFmtId="0" fontId="30" fillId="55" borderId="0">
      <alignment vertical="center"/>
    </xf>
    <xf numFmtId="0" fontId="31" fillId="56" borderId="0">
      <alignment vertical="center"/>
    </xf>
    <xf numFmtId="0" fontId="31" fillId="57" borderId="0">
      <alignment vertical="center"/>
    </xf>
    <xf numFmtId="0" fontId="30" fillId="58" borderId="0">
      <alignment vertical="center"/>
    </xf>
  </cellStyleXfs>
  <cellXfs count="209">
    <xf numFmtId="0" fontId="0" fillId="0" borderId="0" xfId="0" applyAlignment="1" applyProtection="1">
      <alignment vertical="center"/>
    </xf>
    <xf numFmtId="0" fontId="0" fillId="2" borderId="0" xfId="0" applyFill="1" applyAlignment="1" applyProtection="1">
      <alignment vertical="center"/>
    </xf>
    <xf numFmtId="49" fontId="0" fillId="0" borderId="1" xfId="0" applyNumberFormat="1" applyBorder="1" applyAlignment="1" applyProtection="1">
      <alignment vertical="center"/>
    </xf>
    <xf numFmtId="0" fontId="1" fillId="0" borderId="0" xfId="23" applyFont="1" applyFill="1" applyAlignment="1" applyProtection="1">
      <alignment vertical="center"/>
    </xf>
    <xf numFmtId="49" fontId="0" fillId="0" borderId="0" xfId="0" applyNumberFormat="1" applyAlignment="1" applyProtection="1">
      <alignment vertical="center"/>
    </xf>
    <xf numFmtId="49" fontId="0" fillId="2" borderId="1" xfId="0" applyNumberFormat="1" applyFill="1" applyBorder="1" applyAlignment="1" applyProtection="1">
      <alignment vertical="center"/>
    </xf>
    <xf numFmtId="0" fontId="0" fillId="3" borderId="0" xfId="0" applyFill="1" applyAlignment="1" applyProtection="1">
      <alignment vertical="center"/>
    </xf>
    <xf numFmtId="49" fontId="0" fillId="2" borderId="0" xfId="0" applyNumberFormat="1" applyFill="1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0" borderId="0" xfId="38" applyFill="1" applyAlignment="1" applyProtection="1">
      <alignment vertical="center"/>
    </xf>
    <xf numFmtId="0" fontId="0" fillId="0" borderId="0" xfId="26" applyFill="1" applyAlignment="1" applyProtection="1">
      <alignment vertical="center"/>
    </xf>
    <xf numFmtId="0" fontId="0" fillId="5" borderId="0" xfId="0" applyFill="1" applyAlignment="1" applyProtection="1">
      <alignment vertical="center"/>
    </xf>
    <xf numFmtId="0" fontId="0" fillId="6" borderId="0" xfId="0" applyFill="1" applyAlignment="1" applyProtection="1">
      <alignment vertical="center"/>
    </xf>
    <xf numFmtId="0" fontId="0" fillId="7" borderId="0" xfId="0" applyFill="1" applyAlignment="1" applyProtection="1">
      <alignment vertical="center"/>
    </xf>
    <xf numFmtId="0" fontId="0" fillId="8" borderId="0" xfId="0" applyFill="1" applyAlignment="1" applyProtection="1">
      <alignment vertical="center"/>
    </xf>
    <xf numFmtId="0" fontId="0" fillId="9" borderId="0" xfId="0" applyFill="1" applyAlignment="1" applyProtection="1">
      <alignment vertical="center"/>
    </xf>
    <xf numFmtId="0" fontId="2" fillId="10" borderId="0" xfId="0" applyFont="1" applyFill="1" applyAlignment="1" applyProtection="1">
      <alignment vertical="center"/>
    </xf>
    <xf numFmtId="0" fontId="2" fillId="5" borderId="0" xfId="0" applyFont="1" applyFill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0" fillId="12" borderId="0" xfId="0" applyFill="1" applyAlignment="1" applyProtection="1">
      <alignment vertical="center"/>
    </xf>
    <xf numFmtId="0" fontId="0" fillId="13" borderId="0" xfId="0" applyFill="1" applyAlignment="1" applyProtection="1">
      <alignment vertical="center"/>
    </xf>
    <xf numFmtId="0" fontId="0" fillId="14" borderId="0" xfId="0" applyFill="1" applyAlignment="1" applyProtection="1">
      <alignment vertical="center"/>
    </xf>
    <xf numFmtId="0" fontId="0" fillId="15" borderId="0" xfId="0" applyFill="1" applyAlignment="1" applyProtection="1">
      <alignment vertical="center"/>
    </xf>
    <xf numFmtId="0" fontId="0" fillId="16" borderId="0" xfId="0" applyFill="1" applyAlignment="1" applyProtection="1">
      <alignment vertical="center"/>
    </xf>
    <xf numFmtId="0" fontId="0" fillId="10" borderId="0" xfId="0" applyFill="1" applyAlignment="1" applyProtection="1">
      <alignment vertical="center"/>
    </xf>
    <xf numFmtId="0" fontId="0" fillId="17" borderId="2" xfId="0" applyFill="1" applyBorder="1" applyAlignment="1" applyProtection="1">
      <alignment vertical="center"/>
    </xf>
    <xf numFmtId="0" fontId="0" fillId="18" borderId="2" xfId="0" applyFill="1" applyBorder="1" applyAlignment="1" applyProtection="1">
      <alignment vertical="center"/>
    </xf>
    <xf numFmtId="0" fontId="0" fillId="19" borderId="2" xfId="0" applyFill="1" applyBorder="1" applyAlignment="1" applyProtection="1">
      <alignment vertical="center"/>
    </xf>
    <xf numFmtId="0" fontId="0" fillId="11" borderId="2" xfId="0" applyFill="1" applyBorder="1" applyAlignment="1" applyProtection="1">
      <alignment vertical="center"/>
    </xf>
    <xf numFmtId="0" fontId="0" fillId="20" borderId="2" xfId="0" applyFill="1" applyBorder="1" applyAlignment="1" applyProtection="1">
      <alignment vertical="center"/>
    </xf>
    <xf numFmtId="0" fontId="0" fillId="16" borderId="2" xfId="0" applyFill="1" applyBorder="1" applyAlignment="1" applyProtection="1">
      <alignment vertical="center"/>
    </xf>
    <xf numFmtId="0" fontId="0" fillId="19" borderId="0" xfId="0" applyFill="1" applyAlignment="1" applyProtection="1">
      <alignment vertical="center"/>
    </xf>
    <xf numFmtId="0" fontId="0" fillId="20" borderId="0" xfId="0" applyFill="1" applyAlignment="1" applyProtection="1">
      <alignment vertical="center"/>
    </xf>
    <xf numFmtId="0" fontId="0" fillId="21" borderId="0" xfId="0" applyFill="1" applyAlignment="1" applyProtection="1">
      <alignment vertical="center"/>
    </xf>
    <xf numFmtId="0" fontId="0" fillId="22" borderId="0" xfId="0" applyFill="1" applyAlignment="1" applyProtection="1">
      <alignment vertical="center"/>
    </xf>
    <xf numFmtId="0" fontId="0" fillId="23" borderId="0" xfId="0" applyFill="1" applyAlignment="1" applyProtection="1">
      <alignment vertical="center"/>
    </xf>
    <xf numFmtId="0" fontId="0" fillId="24" borderId="0" xfId="0" applyFill="1" applyAlignment="1" applyProtection="1">
      <alignment vertical="center"/>
    </xf>
    <xf numFmtId="0" fontId="2" fillId="0" borderId="0" xfId="23" applyFont="1" applyFill="1" applyAlignment="1" applyProtection="1">
      <alignment vertical="center"/>
    </xf>
    <xf numFmtId="49" fontId="0" fillId="0" borderId="1" xfId="0" applyNumberFormat="1" applyBorder="1" applyAlignment="1" applyProtection="1">
      <alignment vertical="center" wrapText="1"/>
    </xf>
    <xf numFmtId="0" fontId="3" fillId="0" borderId="0" xfId="0" applyFont="1" applyAlignment="1" applyProtection="1">
      <alignment vertical="center" wrapText="1"/>
    </xf>
    <xf numFmtId="0" fontId="4" fillId="0" borderId="0" xfId="23" applyFont="1" applyFill="1" applyAlignment="1" applyProtection="1">
      <alignment vertical="center"/>
    </xf>
    <xf numFmtId="49" fontId="0" fillId="0" borderId="1" xfId="38" applyNumberFormat="1" applyFill="1" applyBorder="1" applyAlignment="1" applyProtection="1">
      <alignment vertical="center"/>
    </xf>
    <xf numFmtId="49" fontId="0" fillId="0" borderId="1" xfId="26" applyNumberFormat="1" applyFill="1" applyBorder="1" applyAlignment="1" applyProtection="1">
      <alignment vertical="center"/>
    </xf>
    <xf numFmtId="0" fontId="0" fillId="0" borderId="0" xfId="26" applyFill="1" applyAlignment="1" applyProtection="1">
      <alignment horizontal="left" vertical="center"/>
    </xf>
    <xf numFmtId="0" fontId="3" fillId="0" borderId="0" xfId="38" applyFont="1" applyFill="1" applyAlignment="1" applyProtection="1">
      <alignment vertical="center"/>
    </xf>
    <xf numFmtId="49" fontId="0" fillId="0" borderId="0" xfId="0" applyNumberFormat="1" applyAlignment="1" applyProtection="1">
      <alignment vertical="center" wrapText="1"/>
    </xf>
    <xf numFmtId="0" fontId="0" fillId="0" borderId="0" xfId="0" applyAlignment="1" applyProtection="1">
      <alignment horizontal="center" vertical="center"/>
    </xf>
    <xf numFmtId="0" fontId="0" fillId="0" borderId="0" xfId="38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0" fillId="0" borderId="0" xfId="38" applyFill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1" fillId="2" borderId="0" xfId="23" applyFont="1" applyFill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49" fontId="3" fillId="0" borderId="1" xfId="0" applyNumberFormat="1" applyFont="1" applyBorder="1" applyAlignment="1" applyProtection="1">
      <alignment vertical="center"/>
    </xf>
    <xf numFmtId="0" fontId="0" fillId="0" borderId="0" xfId="0" applyAlignment="1" applyProtection="1">
      <alignment horizontal="right" vertical="center"/>
    </xf>
    <xf numFmtId="49" fontId="0" fillId="4" borderId="1" xfId="0" applyNumberFormat="1" applyFill="1" applyBorder="1" applyAlignment="1" applyProtection="1">
      <alignment vertical="center"/>
    </xf>
    <xf numFmtId="0" fontId="1" fillId="4" borderId="0" xfId="23" applyFont="1" applyFill="1" applyAlignment="1" applyProtection="1">
      <alignment vertical="center"/>
    </xf>
    <xf numFmtId="49" fontId="0" fillId="5" borderId="1" xfId="0" applyNumberFormat="1" applyFill="1" applyBorder="1" applyAlignment="1" applyProtection="1">
      <alignment vertical="center"/>
    </xf>
    <xf numFmtId="0" fontId="1" fillId="5" borderId="0" xfId="23" applyFont="1" applyFill="1" applyAlignment="1" applyProtection="1">
      <alignment vertical="center"/>
    </xf>
    <xf numFmtId="0" fontId="0" fillId="0" borderId="1" xfId="0" applyBorder="1" applyAlignment="1" applyProtection="1">
      <alignment vertical="center"/>
    </xf>
    <xf numFmtId="49" fontId="0" fillId="5" borderId="0" xfId="0" applyNumberFormat="1" applyFill="1" applyAlignment="1" applyProtection="1">
      <alignment vertical="center"/>
    </xf>
    <xf numFmtId="49" fontId="0" fillId="0" borderId="0" xfId="23" applyNumberFormat="1" applyFont="1" applyFill="1" applyAlignment="1" applyProtection="1">
      <alignment vertical="center"/>
    </xf>
    <xf numFmtId="49" fontId="1" fillId="0" borderId="0" xfId="23" applyNumberFormat="1" applyFont="1" applyFill="1" applyAlignment="1" applyProtection="1">
      <alignment horizontal="right" vertical="center"/>
    </xf>
    <xf numFmtId="49" fontId="7" fillId="0" borderId="1" xfId="0" applyNumberFormat="1" applyFont="1" applyBorder="1" applyAlignment="1" applyProtection="1">
      <alignment vertical="center"/>
    </xf>
    <xf numFmtId="49" fontId="0" fillId="25" borderId="1" xfId="0" applyNumberFormat="1" applyFill="1" applyBorder="1" applyAlignment="1" applyProtection="1">
      <alignment vertical="center"/>
    </xf>
    <xf numFmtId="49" fontId="0" fillId="26" borderId="1" xfId="38" applyNumberFormat="1" applyFill="1" applyBorder="1" applyAlignment="1" applyProtection="1">
      <alignment vertical="center"/>
    </xf>
    <xf numFmtId="49" fontId="3" fillId="26" borderId="1" xfId="38" applyNumberFormat="1" applyFont="1" applyFill="1" applyBorder="1" applyAlignment="1" applyProtection="1">
      <alignment vertical="center"/>
    </xf>
    <xf numFmtId="49" fontId="0" fillId="26" borderId="1" xfId="0" applyNumberFormat="1" applyFill="1" applyBorder="1" applyAlignment="1" applyProtection="1">
      <alignment vertical="center"/>
    </xf>
    <xf numFmtId="49" fontId="0" fillId="0" borderId="1" xfId="0" applyNumberFormat="1" applyBorder="1" applyAlignment="1" applyProtection="1">
      <alignment horizontal="left" vertical="center"/>
    </xf>
    <xf numFmtId="49" fontId="0" fillId="26" borderId="1" xfId="26" applyNumberFormat="1" applyFill="1" applyBorder="1" applyAlignment="1" applyProtection="1">
      <alignment vertical="center"/>
    </xf>
    <xf numFmtId="49" fontId="3" fillId="26" borderId="1" xfId="26" applyNumberFormat="1" applyFont="1" applyFill="1" applyBorder="1" applyAlignment="1" applyProtection="1">
      <alignment vertical="center"/>
    </xf>
    <xf numFmtId="49" fontId="3" fillId="26" borderId="1" xfId="0" applyNumberFormat="1" applyFont="1" applyFill="1" applyBorder="1" applyAlignment="1" applyProtection="1">
      <alignment vertical="center"/>
    </xf>
    <xf numFmtId="49" fontId="0" fillId="6" borderId="1" xfId="0" applyNumberFormat="1" applyFill="1" applyBorder="1" applyAlignment="1" applyProtection="1">
      <alignment vertical="center"/>
    </xf>
    <xf numFmtId="0" fontId="1" fillId="6" borderId="0" xfId="23" applyFont="1" applyFill="1" applyAlignment="1" applyProtection="1">
      <alignment vertical="center"/>
    </xf>
    <xf numFmtId="49" fontId="0" fillId="6" borderId="0" xfId="0" applyNumberFormat="1" applyFill="1" applyAlignment="1" applyProtection="1">
      <alignment vertical="center"/>
    </xf>
    <xf numFmtId="0" fontId="0" fillId="0" borderId="1" xfId="0" applyBorder="1" applyAlignment="1" applyProtection="1">
      <alignment horizontal="left" vertical="center"/>
    </xf>
    <xf numFmtId="0" fontId="8" fillId="0" borderId="0" xfId="0" applyFont="1" applyAlignment="1" applyProtection="1">
      <alignment vertical="center"/>
    </xf>
    <xf numFmtId="49" fontId="0" fillId="7" borderId="1" xfId="0" applyNumberFormat="1" applyFill="1" applyBorder="1" applyAlignment="1" applyProtection="1">
      <alignment vertical="center"/>
    </xf>
    <xf numFmtId="0" fontId="1" fillId="7" borderId="0" xfId="23" applyFont="1" applyFill="1" applyAlignment="1" applyProtection="1">
      <alignment vertical="center"/>
    </xf>
    <xf numFmtId="49" fontId="0" fillId="8" borderId="1" xfId="0" applyNumberFormat="1" applyFill="1" applyBorder="1" applyAlignment="1" applyProtection="1">
      <alignment vertical="center"/>
    </xf>
    <xf numFmtId="0" fontId="1" fillId="8" borderId="0" xfId="23" applyFont="1" applyFill="1" applyAlignment="1" applyProtection="1">
      <alignment vertical="center"/>
    </xf>
    <xf numFmtId="49" fontId="0" fillId="7" borderId="0" xfId="0" applyNumberFormat="1" applyFill="1" applyAlignment="1" applyProtection="1">
      <alignment vertical="center"/>
    </xf>
    <xf numFmtId="49" fontId="0" fillId="8" borderId="0" xfId="0" applyNumberFormat="1" applyFill="1" applyAlignment="1" applyProtection="1">
      <alignment vertical="center"/>
    </xf>
    <xf numFmtId="49" fontId="0" fillId="9" borderId="1" xfId="0" applyNumberFormat="1" applyFill="1" applyBorder="1" applyAlignment="1" applyProtection="1">
      <alignment vertical="center"/>
    </xf>
    <xf numFmtId="0" fontId="1" fillId="9" borderId="0" xfId="23" applyFont="1" applyFill="1" applyAlignment="1" applyProtection="1">
      <alignment vertical="center"/>
    </xf>
    <xf numFmtId="49" fontId="0" fillId="9" borderId="0" xfId="0" applyNumberFormat="1" applyFill="1" applyAlignment="1" applyProtection="1">
      <alignment vertical="center"/>
    </xf>
    <xf numFmtId="0" fontId="0" fillId="26" borderId="0" xfId="0" applyFill="1" applyAlignment="1" applyProtection="1">
      <alignment vertical="center"/>
    </xf>
    <xf numFmtId="0" fontId="9" fillId="0" borderId="0" xfId="0" applyFont="1" applyAlignment="1" applyProtection="1">
      <alignment vertical="center"/>
    </xf>
    <xf numFmtId="49" fontId="2" fillId="10" borderId="1" xfId="0" applyNumberFormat="1" applyFont="1" applyFill="1" applyBorder="1" applyAlignment="1" applyProtection="1">
      <alignment vertical="center"/>
    </xf>
    <xf numFmtId="0" fontId="2" fillId="10" borderId="0" xfId="23" applyFont="1" applyFill="1" applyAlignment="1" applyProtection="1">
      <alignment vertical="center"/>
    </xf>
    <xf numFmtId="49" fontId="2" fillId="5" borderId="1" xfId="0" applyNumberFormat="1" applyFont="1" applyFill="1" applyBorder="1" applyAlignment="1" applyProtection="1">
      <alignment vertical="center"/>
    </xf>
    <xf numFmtId="0" fontId="2" fillId="5" borderId="0" xfId="23" applyFont="1" applyFill="1" applyAlignment="1" applyProtection="1">
      <alignment vertical="center"/>
    </xf>
    <xf numFmtId="0" fontId="10" fillId="10" borderId="0" xfId="0" applyFont="1" applyFill="1" applyAlignment="1" applyProtection="1">
      <alignment vertical="center"/>
    </xf>
    <xf numFmtId="49" fontId="2" fillId="10" borderId="0" xfId="0" applyNumberFormat="1" applyFont="1" applyFill="1" applyAlignment="1" applyProtection="1">
      <alignment vertical="center"/>
    </xf>
    <xf numFmtId="49" fontId="2" fillId="5" borderId="0" xfId="0" applyNumberFormat="1" applyFont="1" applyFill="1" applyAlignment="1" applyProtection="1">
      <alignment vertical="center"/>
    </xf>
    <xf numFmtId="0" fontId="4" fillId="10" borderId="0" xfId="0" applyFont="1" applyFill="1" applyAlignment="1" applyProtection="1">
      <alignment vertical="center"/>
    </xf>
    <xf numFmtId="0" fontId="0" fillId="27" borderId="0" xfId="0" applyFill="1" applyAlignment="1" applyProtection="1">
      <alignment vertical="center"/>
    </xf>
    <xf numFmtId="0" fontId="0" fillId="26" borderId="0" xfId="0" applyFill="1" applyAlignment="1" applyProtection="1">
      <alignment vertical="center" wrapText="1"/>
    </xf>
    <xf numFmtId="0" fontId="0" fillId="2" borderId="0" xfId="0" applyFill="1" applyAlignment="1" applyProtection="1">
      <alignment vertical="center" wrapText="1"/>
    </xf>
    <xf numFmtId="0" fontId="0" fillId="28" borderId="0" xfId="0" applyFill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vertical="center"/>
    </xf>
    <xf numFmtId="0" fontId="0" fillId="2" borderId="0" xfId="0" applyFill="1" applyAlignment="1" applyProtection="1">
      <alignment horizontal="right" vertical="center"/>
    </xf>
    <xf numFmtId="49" fontId="2" fillId="0" borderId="1" xfId="0" applyNumberFormat="1" applyFont="1" applyBorder="1" applyAlignment="1" applyProtection="1">
      <alignment vertical="center"/>
    </xf>
    <xf numFmtId="0" fontId="0" fillId="22" borderId="0" xfId="0" applyFill="1" applyAlignment="1" applyProtection="1">
      <alignment horizontal="right" vertical="center"/>
    </xf>
    <xf numFmtId="0" fontId="2" fillId="2" borderId="0" xfId="0" applyFont="1" applyFill="1" applyAlignment="1" applyProtection="1">
      <alignment vertical="center"/>
    </xf>
    <xf numFmtId="49" fontId="0" fillId="11" borderId="1" xfId="0" applyNumberFormat="1" applyFill="1" applyBorder="1" applyAlignment="1" applyProtection="1">
      <alignment vertical="center"/>
    </xf>
    <xf numFmtId="0" fontId="1" fillId="11" borderId="0" xfId="23" applyFont="1" applyFill="1" applyAlignment="1" applyProtection="1">
      <alignment vertical="center"/>
    </xf>
    <xf numFmtId="0" fontId="2" fillId="11" borderId="0" xfId="0" applyFont="1" applyFill="1" applyAlignment="1" applyProtection="1">
      <alignment vertical="center"/>
    </xf>
    <xf numFmtId="49" fontId="0" fillId="11" borderId="0" xfId="0" applyNumberFormat="1" applyFill="1" applyAlignment="1" applyProtection="1">
      <alignment vertical="center"/>
    </xf>
    <xf numFmtId="0" fontId="2" fillId="4" borderId="0" xfId="0" applyFont="1" applyFill="1" applyAlignment="1" applyProtection="1">
      <alignment horizontal="right" vertical="center"/>
    </xf>
    <xf numFmtId="0" fontId="2" fillId="4" borderId="0" xfId="0" applyFont="1" applyFill="1" applyAlignment="1" applyProtection="1">
      <alignment vertical="center"/>
    </xf>
    <xf numFmtId="49" fontId="0" fillId="12" borderId="1" xfId="0" applyNumberFormat="1" applyFill="1" applyBorder="1" applyAlignment="1" applyProtection="1">
      <alignment vertical="center"/>
    </xf>
    <xf numFmtId="0" fontId="1" fillId="12" borderId="0" xfId="23" applyFont="1" applyFill="1" applyAlignment="1" applyProtection="1">
      <alignment vertical="center"/>
    </xf>
    <xf numFmtId="49" fontId="0" fillId="12" borderId="0" xfId="0" applyNumberFormat="1" applyFill="1" applyAlignment="1" applyProtection="1">
      <alignment vertical="center"/>
    </xf>
    <xf numFmtId="49" fontId="0" fillId="13" borderId="1" xfId="0" applyNumberFormat="1" applyFill="1" applyBorder="1" applyAlignment="1" applyProtection="1">
      <alignment vertical="center"/>
    </xf>
    <xf numFmtId="0" fontId="1" fillId="13" borderId="0" xfId="23" applyFont="1" applyFill="1" applyAlignment="1" applyProtection="1">
      <alignment vertical="center"/>
    </xf>
    <xf numFmtId="49" fontId="0" fillId="13" borderId="0" xfId="0" applyNumberFormat="1" applyFill="1" applyAlignment="1" applyProtection="1">
      <alignment vertical="center"/>
    </xf>
    <xf numFmtId="49" fontId="0" fillId="3" borderId="1" xfId="0" applyNumberFormat="1" applyFill="1" applyBorder="1" applyAlignment="1" applyProtection="1">
      <alignment vertical="center"/>
    </xf>
    <xf numFmtId="0" fontId="1" fillId="3" borderId="0" xfId="23" applyFont="1" applyFill="1" applyAlignment="1" applyProtection="1">
      <alignment vertical="center"/>
    </xf>
    <xf numFmtId="0" fontId="0" fillId="14" borderId="0" xfId="0" applyFill="1" applyAlignment="1" applyProtection="1">
      <alignment horizontal="left" vertical="center"/>
    </xf>
    <xf numFmtId="0" fontId="1" fillId="14" borderId="0" xfId="23" applyFont="1" applyFill="1" applyAlignment="1" applyProtection="1">
      <alignment vertical="center"/>
    </xf>
    <xf numFmtId="0" fontId="0" fillId="2" borderId="0" xfId="0" applyFill="1" applyAlignment="1" applyProtection="1">
      <alignment horizontal="left" vertical="center"/>
    </xf>
    <xf numFmtId="0" fontId="0" fillId="6" borderId="0" xfId="0" applyFill="1" applyAlignment="1" applyProtection="1">
      <alignment horizontal="left" vertical="center"/>
    </xf>
    <xf numFmtId="0" fontId="2" fillId="14" borderId="0" xfId="23" applyFont="1" applyFill="1" applyAlignment="1" applyProtection="1">
      <alignment horizontal="left" vertical="center"/>
    </xf>
    <xf numFmtId="0" fontId="2" fillId="6" borderId="0" xfId="23" applyFont="1" applyFill="1" applyAlignment="1" applyProtection="1">
      <alignment horizontal="left" vertical="center"/>
    </xf>
    <xf numFmtId="0" fontId="12" fillId="23" borderId="0" xfId="0" applyFont="1" applyFill="1" applyAlignment="1" applyProtection="1">
      <alignment vertical="center"/>
    </xf>
    <xf numFmtId="49" fontId="0" fillId="3" borderId="0" xfId="0" applyNumberFormat="1" applyFill="1" applyAlignment="1" applyProtection="1">
      <alignment vertical="center"/>
    </xf>
    <xf numFmtId="0" fontId="12" fillId="3" borderId="0" xfId="0" applyFont="1" applyFill="1" applyAlignment="1" applyProtection="1">
      <alignment vertical="center"/>
    </xf>
    <xf numFmtId="49" fontId="0" fillId="14" borderId="0" xfId="0" applyNumberFormat="1" applyFill="1" applyAlignment="1" applyProtection="1">
      <alignment vertical="center"/>
    </xf>
    <xf numFmtId="0" fontId="0" fillId="12" borderId="0" xfId="0" applyFill="1" applyAlignment="1" applyProtection="1">
      <alignment horizontal="left" vertical="center"/>
    </xf>
    <xf numFmtId="0" fontId="0" fillId="11" borderId="0" xfId="0" applyFill="1" applyAlignment="1" applyProtection="1">
      <alignment horizontal="left" vertical="center"/>
    </xf>
    <xf numFmtId="49" fontId="0" fillId="15" borderId="1" xfId="0" applyNumberFormat="1" applyFill="1" applyBorder="1" applyAlignment="1" applyProtection="1">
      <alignment vertical="center"/>
    </xf>
    <xf numFmtId="0" fontId="1" fillId="15" borderId="0" xfId="23" applyFont="1" applyFill="1" applyAlignment="1" applyProtection="1">
      <alignment vertical="center"/>
    </xf>
    <xf numFmtId="49" fontId="0" fillId="16" borderId="1" xfId="0" applyNumberFormat="1" applyFill="1" applyBorder="1" applyAlignment="1" applyProtection="1">
      <alignment vertical="center"/>
    </xf>
    <xf numFmtId="0" fontId="1" fillId="16" borderId="0" xfId="23" applyFont="1" applyFill="1" applyAlignment="1" applyProtection="1">
      <alignment vertical="center"/>
    </xf>
    <xf numFmtId="0" fontId="0" fillId="16" borderId="0" xfId="0" applyFill="1" applyAlignment="1" applyProtection="1">
      <alignment horizontal="left" vertical="center"/>
    </xf>
    <xf numFmtId="49" fontId="0" fillId="15" borderId="0" xfId="0" applyNumberFormat="1" applyFill="1" applyAlignment="1" applyProtection="1">
      <alignment vertical="center"/>
    </xf>
    <xf numFmtId="49" fontId="0" fillId="16" borderId="0" xfId="0" applyNumberFormat="1" applyFill="1" applyAlignment="1" applyProtection="1">
      <alignment vertical="center"/>
    </xf>
    <xf numFmtId="49" fontId="0" fillId="10" borderId="1" xfId="0" applyNumberFormat="1" applyFill="1" applyBorder="1" applyAlignment="1" applyProtection="1">
      <alignment vertical="center"/>
    </xf>
    <xf numFmtId="0" fontId="1" fillId="10" borderId="0" xfId="23" applyFont="1" applyFill="1" applyAlignment="1" applyProtection="1">
      <alignment vertical="center"/>
    </xf>
    <xf numFmtId="49" fontId="0" fillId="10" borderId="0" xfId="0" applyNumberFormat="1" applyFill="1" applyAlignment="1" applyProtection="1">
      <alignment vertical="center"/>
    </xf>
    <xf numFmtId="0" fontId="2" fillId="16" borderId="0" xfId="0" applyFont="1" applyFill="1" applyAlignment="1" applyProtection="1">
      <alignment vertical="center"/>
    </xf>
    <xf numFmtId="0" fontId="2" fillId="12" borderId="0" xfId="0" applyFont="1" applyFill="1" applyAlignment="1" applyProtection="1">
      <alignment vertical="center"/>
    </xf>
    <xf numFmtId="49" fontId="0" fillId="17" borderId="2" xfId="0" applyNumberFormat="1" applyFill="1" applyBorder="1" applyAlignment="1" applyProtection="1">
      <alignment vertical="center"/>
    </xf>
    <xf numFmtId="0" fontId="1" fillId="17" borderId="2" xfId="23" applyFont="1" applyFill="1" applyBorder="1" applyAlignment="1" applyProtection="1">
      <alignment vertical="center"/>
    </xf>
    <xf numFmtId="0" fontId="2" fillId="17" borderId="2" xfId="0" applyFont="1" applyFill="1" applyBorder="1" applyAlignment="1" applyProtection="1">
      <alignment vertical="center"/>
    </xf>
    <xf numFmtId="0" fontId="0" fillId="17" borderId="2" xfId="38" applyFill="1" applyBorder="1" applyAlignment="1" applyProtection="1">
      <alignment vertical="center"/>
    </xf>
    <xf numFmtId="0" fontId="0" fillId="17" borderId="2" xfId="26" applyFill="1" applyBorder="1" applyAlignment="1" applyProtection="1">
      <alignment vertical="center"/>
    </xf>
    <xf numFmtId="0" fontId="9" fillId="2" borderId="0" xfId="0" applyFont="1" applyFill="1" applyAlignment="1" applyProtection="1">
      <alignment vertical="center"/>
    </xf>
    <xf numFmtId="0" fontId="0" fillId="18" borderId="2" xfId="0" applyFill="1" applyBorder="1" applyAlignment="1" applyProtection="1">
      <alignment horizontal="left" vertical="center"/>
    </xf>
    <xf numFmtId="0" fontId="1" fillId="18" borderId="2" xfId="23" applyFont="1" applyFill="1" applyBorder="1" applyAlignment="1" applyProtection="1">
      <alignment vertical="center"/>
    </xf>
    <xf numFmtId="0" fontId="13" fillId="29" borderId="2" xfId="0" applyFont="1" applyFill="1" applyBorder="1" applyAlignment="1" applyProtection="1">
      <alignment vertical="center"/>
    </xf>
    <xf numFmtId="0" fontId="0" fillId="19" borderId="2" xfId="0" applyFill="1" applyBorder="1" applyAlignment="1" applyProtection="1">
      <alignment horizontal="left" vertical="center"/>
    </xf>
    <xf numFmtId="0" fontId="1" fillId="19" borderId="2" xfId="23" applyFont="1" applyFill="1" applyBorder="1" applyAlignment="1" applyProtection="1">
      <alignment vertical="center"/>
    </xf>
    <xf numFmtId="0" fontId="6" fillId="18" borderId="2" xfId="0" applyFont="1" applyFill="1" applyBorder="1" applyAlignment="1" applyProtection="1">
      <alignment vertical="center"/>
    </xf>
    <xf numFmtId="49" fontId="0" fillId="18" borderId="2" xfId="0" applyNumberFormat="1" applyFill="1" applyBorder="1" applyAlignment="1" applyProtection="1">
      <alignment vertical="center"/>
    </xf>
    <xf numFmtId="0" fontId="6" fillId="19" borderId="2" xfId="0" applyFont="1" applyFill="1" applyBorder="1" applyAlignment="1" applyProtection="1">
      <alignment vertical="center"/>
    </xf>
    <xf numFmtId="49" fontId="0" fillId="19" borderId="2" xfId="0" applyNumberFormat="1" applyFill="1" applyBorder="1" applyAlignment="1" applyProtection="1">
      <alignment vertical="center"/>
    </xf>
    <xf numFmtId="0" fontId="0" fillId="19" borderId="2" xfId="38" applyFill="1" applyBorder="1" applyAlignment="1" applyProtection="1">
      <alignment vertical="center"/>
    </xf>
    <xf numFmtId="0" fontId="0" fillId="11" borderId="2" xfId="0" applyFill="1" applyBorder="1" applyAlignment="1" applyProtection="1">
      <alignment horizontal="left" vertical="center"/>
    </xf>
    <xf numFmtId="0" fontId="1" fillId="11" borderId="2" xfId="23" applyFont="1" applyFill="1" applyBorder="1" applyAlignment="1" applyProtection="1">
      <alignment vertical="center"/>
    </xf>
    <xf numFmtId="0" fontId="0" fillId="20" borderId="2" xfId="0" applyFill="1" applyBorder="1" applyAlignment="1" applyProtection="1">
      <alignment horizontal="left" vertical="center"/>
    </xf>
    <xf numFmtId="0" fontId="1" fillId="20" borderId="2" xfId="23" applyFont="1" applyFill="1" applyBorder="1" applyAlignment="1" applyProtection="1">
      <alignment vertical="center"/>
    </xf>
    <xf numFmtId="0" fontId="6" fillId="11" borderId="2" xfId="0" applyFont="1" applyFill="1" applyBorder="1" applyAlignment="1" applyProtection="1">
      <alignment vertical="center"/>
    </xf>
    <xf numFmtId="49" fontId="0" fillId="11" borderId="2" xfId="0" applyNumberFormat="1" applyFill="1" applyBorder="1" applyAlignment="1" applyProtection="1">
      <alignment vertical="center"/>
    </xf>
    <xf numFmtId="0" fontId="6" fillId="20" borderId="2" xfId="0" applyFont="1" applyFill="1" applyBorder="1" applyAlignment="1" applyProtection="1">
      <alignment vertical="center"/>
    </xf>
    <xf numFmtId="49" fontId="0" fillId="20" borderId="2" xfId="0" applyNumberFormat="1" applyFill="1" applyBorder="1" applyAlignment="1" applyProtection="1">
      <alignment vertical="center"/>
    </xf>
    <xf numFmtId="0" fontId="0" fillId="16" borderId="2" xfId="0" applyFill="1" applyBorder="1" applyAlignment="1" applyProtection="1">
      <alignment horizontal="left" vertical="center"/>
    </xf>
    <xf numFmtId="0" fontId="1" fillId="16" borderId="2" xfId="23" applyFont="1" applyFill="1" applyBorder="1" applyAlignment="1" applyProtection="1">
      <alignment vertical="center"/>
    </xf>
    <xf numFmtId="0" fontId="13" fillId="16" borderId="2" xfId="0" applyFont="1" applyFill="1" applyBorder="1" applyAlignment="1" applyProtection="1">
      <alignment vertical="center"/>
    </xf>
    <xf numFmtId="49" fontId="0" fillId="19" borderId="1" xfId="0" applyNumberFormat="1" applyFill="1" applyBorder="1" applyAlignment="1" applyProtection="1">
      <alignment vertical="center"/>
    </xf>
    <xf numFmtId="0" fontId="1" fillId="19" borderId="0" xfId="23" applyFont="1" applyFill="1" applyAlignment="1" applyProtection="1">
      <alignment vertical="center"/>
    </xf>
    <xf numFmtId="49" fontId="7" fillId="19" borderId="1" xfId="0" applyNumberFormat="1" applyFont="1" applyFill="1" applyBorder="1" applyAlignment="1" applyProtection="1">
      <alignment vertical="center"/>
    </xf>
    <xf numFmtId="0" fontId="6" fillId="16" borderId="2" xfId="0" applyFont="1" applyFill="1" applyBorder="1" applyAlignment="1" applyProtection="1">
      <alignment vertical="center"/>
    </xf>
    <xf numFmtId="49" fontId="0" fillId="16" borderId="2" xfId="0" applyNumberFormat="1" applyFill="1" applyBorder="1" applyAlignment="1" applyProtection="1">
      <alignment vertical="center"/>
    </xf>
    <xf numFmtId="0" fontId="12" fillId="19" borderId="0" xfId="0" applyFont="1" applyFill="1" applyAlignment="1" applyProtection="1">
      <alignment vertical="center"/>
    </xf>
    <xf numFmtId="49" fontId="0" fillId="19" borderId="0" xfId="0" applyNumberFormat="1" applyFill="1" applyAlignment="1" applyProtection="1">
      <alignment vertical="center"/>
    </xf>
    <xf numFmtId="0" fontId="0" fillId="0" borderId="1" xfId="0" applyNumberFormat="1" applyBorder="1" applyAlignment="1" applyProtection="1">
      <alignment horizontal="left" vertical="center"/>
    </xf>
    <xf numFmtId="0" fontId="0" fillId="30" borderId="0" xfId="0" applyFill="1" applyAlignment="1" applyProtection="1">
      <alignment vertical="center"/>
    </xf>
    <xf numFmtId="49" fontId="0" fillId="20" borderId="1" xfId="0" applyNumberFormat="1" applyFill="1" applyBorder="1" applyAlignment="1" applyProtection="1">
      <alignment vertical="center"/>
    </xf>
    <xf numFmtId="0" fontId="1" fillId="20" borderId="0" xfId="23" applyFont="1" applyFill="1" applyAlignment="1" applyProtection="1">
      <alignment vertical="center"/>
    </xf>
    <xf numFmtId="49" fontId="0" fillId="20" borderId="0" xfId="0" applyNumberFormat="1" applyFill="1" applyAlignment="1" applyProtection="1">
      <alignment vertical="center"/>
    </xf>
    <xf numFmtId="49" fontId="0" fillId="21" borderId="1" xfId="0" applyNumberFormat="1" applyFill="1" applyBorder="1" applyAlignment="1" applyProtection="1">
      <alignment vertical="center"/>
    </xf>
    <xf numFmtId="0" fontId="1" fillId="21" borderId="0" xfId="23" applyFont="1" applyFill="1" applyAlignment="1" applyProtection="1">
      <alignment vertical="center"/>
    </xf>
    <xf numFmtId="49" fontId="0" fillId="22" borderId="1" xfId="0" applyNumberFormat="1" applyFill="1" applyBorder="1" applyAlignment="1" applyProtection="1">
      <alignment vertical="center"/>
    </xf>
    <xf numFmtId="0" fontId="1" fillId="22" borderId="0" xfId="23" applyFont="1" applyFill="1" applyAlignment="1" applyProtection="1">
      <alignment vertical="center"/>
    </xf>
    <xf numFmtId="49" fontId="0" fillId="21" borderId="0" xfId="0" applyNumberFormat="1" applyFill="1" applyAlignment="1" applyProtection="1">
      <alignment vertical="center"/>
    </xf>
    <xf numFmtId="49" fontId="0" fillId="22" borderId="0" xfId="0" applyNumberFormat="1" applyFill="1" applyAlignment="1" applyProtection="1">
      <alignment vertical="center"/>
    </xf>
    <xf numFmtId="0" fontId="0" fillId="2" borderId="0" xfId="0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0" fillId="10" borderId="0" xfId="0" applyFill="1" applyAlignment="1" applyProtection="1">
      <alignment horizontal="center" vertical="center"/>
    </xf>
    <xf numFmtId="0" fontId="3" fillId="10" borderId="0" xfId="0" applyFont="1" applyFill="1" applyAlignment="1" applyProtection="1">
      <alignment vertical="center"/>
    </xf>
    <xf numFmtId="49" fontId="0" fillId="10" borderId="1" xfId="0" applyNumberFormat="1" applyFill="1" applyBorder="1" applyAlignment="1" applyProtection="1">
      <alignment horizontal="right" vertical="center"/>
    </xf>
    <xf numFmtId="49" fontId="0" fillId="23" borderId="1" xfId="0" applyNumberFormat="1" applyFill="1" applyBorder="1" applyAlignment="1" applyProtection="1">
      <alignment vertical="center"/>
    </xf>
    <xf numFmtId="0" fontId="1" fillId="23" borderId="0" xfId="23" applyFont="1" applyFill="1" applyAlignment="1" applyProtection="1">
      <alignment vertical="center"/>
    </xf>
    <xf numFmtId="49" fontId="0" fillId="23" borderId="1" xfId="0" applyNumberFormat="1" applyFill="1" applyBorder="1" applyAlignment="1" applyProtection="1">
      <alignment horizontal="right" vertical="center"/>
    </xf>
    <xf numFmtId="49" fontId="0" fillId="4" borderId="1" xfId="0" applyNumberFormat="1" applyFill="1" applyBorder="1" applyAlignment="1" applyProtection="1">
      <alignment horizontal="right" vertical="center"/>
    </xf>
    <xf numFmtId="49" fontId="0" fillId="24" borderId="1" xfId="0" applyNumberFormat="1" applyFill="1" applyBorder="1" applyAlignment="1" applyProtection="1">
      <alignment vertical="center"/>
    </xf>
    <xf numFmtId="0" fontId="1" fillId="24" borderId="0" xfId="23" applyFont="1" applyFill="1" applyAlignment="1" applyProtection="1">
      <alignment vertical="center"/>
    </xf>
    <xf numFmtId="9" fontId="0" fillId="4" borderId="0" xfId="0" applyNumberFormat="1" applyFill="1" applyAlignment="1" applyProtection="1">
      <alignment vertical="center"/>
    </xf>
    <xf numFmtId="49" fontId="0" fillId="23" borderId="0" xfId="0" applyNumberFormat="1" applyFill="1" applyAlignment="1" applyProtection="1">
      <alignment vertical="center"/>
    </xf>
    <xf numFmtId="49" fontId="0" fillId="4" borderId="0" xfId="0" applyNumberFormat="1" applyFill="1" applyAlignment="1" applyProtection="1">
      <alignment vertical="center"/>
    </xf>
    <xf numFmtId="49" fontId="0" fillId="24" borderId="0" xfId="0" applyNumberFormat="1" applyFill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colors>
    <mruColors>
      <color rgb="009083F1"/>
      <color rgb="0033D8E3"/>
      <color rgb="00AAAAC6"/>
      <color rgb="00FF0000"/>
      <color rgb="00FF99FF"/>
      <color rgb="00FFADFB"/>
      <color rgb="00FFBDFF"/>
      <color rgb="00FFC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5408"/>
  <sheetViews>
    <sheetView tabSelected="1" zoomScale="85" zoomScaleNormal="85" workbookViewId="0">
      <pane xSplit="2" ySplit="5" topLeftCell="C1731" activePane="bottomRight" state="frozen"/>
      <selection/>
      <selection pane="topRight"/>
      <selection pane="bottomLeft"/>
      <selection pane="bottomRight" activeCell="J5399" sqref="J5399"/>
    </sheetView>
  </sheetViews>
  <sheetFormatPr defaultColWidth="9" defaultRowHeight="15"/>
  <cols>
    <col min="1" max="1" width="23.5047619047619" style="2" customWidth="1"/>
    <col min="2" max="2" width="15.5809523809524" style="3" customWidth="1"/>
    <col min="3" max="3" width="12.6285714285714" customWidth="1"/>
    <col min="4" max="4" width="12.752380952381" customWidth="1"/>
    <col min="5" max="5" width="12.8285714285714" customWidth="1"/>
    <col min="7" max="7" width="19" customWidth="1"/>
    <col min="8" max="8" width="30.8761904761905" customWidth="1"/>
    <col min="9" max="9" width="33.8761904761905" customWidth="1"/>
    <col min="10" max="10" width="50.6285714285714" customWidth="1"/>
    <col min="11" max="11" width="22.1238095238095" customWidth="1"/>
    <col min="12" max="12" width="11.1238095238095" style="4" customWidth="1"/>
    <col min="13" max="13" width="11.1238095238095" customWidth="1"/>
  </cols>
  <sheetData>
    <row r="1" spans="1:4">
      <c r="A1" s="2" t="s">
        <v>0</v>
      </c>
      <c r="B1" s="38">
        <v>1</v>
      </c>
      <c r="C1">
        <v>9999</v>
      </c>
      <c r="D1">
        <v>14</v>
      </c>
    </row>
    <row r="2" s="9" customFormat="1" ht="72.75" customHeight="1" spans="1:13">
      <c r="A2" s="3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40" t="s">
        <v>8</v>
      </c>
      <c r="I2" s="9" t="s">
        <v>9</v>
      </c>
      <c r="J2" s="9" t="s">
        <v>10</v>
      </c>
      <c r="K2" s="9" t="s">
        <v>11</v>
      </c>
      <c r="L2" s="46" t="s">
        <v>12</v>
      </c>
      <c r="M2" s="46" t="s">
        <v>13</v>
      </c>
    </row>
    <row r="3" spans="1:13">
      <c r="A3" s="2" t="s">
        <v>14</v>
      </c>
      <c r="B3" s="38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s="4" t="s">
        <v>25</v>
      </c>
      <c r="M3" t="s">
        <v>26</v>
      </c>
    </row>
    <row r="4" spans="1:13">
      <c r="A4" s="2" t="s">
        <v>27</v>
      </c>
      <c r="B4" s="41" t="s">
        <v>27</v>
      </c>
      <c r="C4" t="s">
        <v>27</v>
      </c>
      <c r="D4" t="s">
        <v>28</v>
      </c>
      <c r="E4" t="s">
        <v>29</v>
      </c>
      <c r="F4" t="s">
        <v>27</v>
      </c>
      <c r="G4" t="s">
        <v>30</v>
      </c>
      <c r="H4" t="s">
        <v>30</v>
      </c>
      <c r="I4" t="s">
        <v>30</v>
      </c>
      <c r="J4" t="s">
        <v>31</v>
      </c>
      <c r="K4" t="s">
        <v>30</v>
      </c>
      <c r="L4" s="4" t="s">
        <v>31</v>
      </c>
      <c r="M4" t="s">
        <v>31</v>
      </c>
    </row>
    <row r="5" spans="1:13">
      <c r="A5" s="2" t="s">
        <v>32</v>
      </c>
      <c r="B5" s="38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s="4" t="s">
        <v>34</v>
      </c>
      <c r="M5" t="s">
        <v>34</v>
      </c>
    </row>
    <row r="6" hidden="1" spans="1:10">
      <c r="A6" s="2" t="s">
        <v>14</v>
      </c>
      <c r="B6" s="38" t="s">
        <v>15</v>
      </c>
      <c r="C6" t="s">
        <v>16</v>
      </c>
      <c r="D6" t="s">
        <v>17</v>
      </c>
      <c r="E6" t="s">
        <v>18</v>
      </c>
      <c r="F6" t="s">
        <v>19</v>
      </c>
      <c r="H6" t="s">
        <v>21</v>
      </c>
      <c r="I6" t="s">
        <v>22</v>
      </c>
      <c r="J6" t="s">
        <v>23</v>
      </c>
    </row>
    <row r="7" s="10" customFormat="1" hidden="1" spans="1:6">
      <c r="A7" s="42" t="s">
        <v>35</v>
      </c>
      <c r="B7" s="10">
        <v>1</v>
      </c>
      <c r="C7" s="10">
        <v>3</v>
      </c>
      <c r="D7" s="10" t="s">
        <v>36</v>
      </c>
      <c r="E7" s="10">
        <v>3.4</v>
      </c>
      <c r="F7" s="10">
        <v>0</v>
      </c>
    </row>
    <row r="8" s="10" customFormat="1" hidden="1" spans="1:6">
      <c r="A8" s="42" t="s">
        <v>37</v>
      </c>
      <c r="B8" s="10">
        <v>1</v>
      </c>
      <c r="C8" s="10">
        <v>3</v>
      </c>
      <c r="D8" s="10" t="s">
        <v>38</v>
      </c>
      <c r="E8" s="10">
        <v>3.16666666666667</v>
      </c>
      <c r="F8" s="10">
        <v>0</v>
      </c>
    </row>
    <row r="9" s="10" customFormat="1" hidden="1" spans="1:6">
      <c r="A9" s="42" t="s">
        <v>39</v>
      </c>
      <c r="B9" s="10">
        <v>1</v>
      </c>
      <c r="C9" s="10">
        <v>3</v>
      </c>
      <c r="D9" s="10" t="s">
        <v>40</v>
      </c>
      <c r="E9" s="10">
        <v>4.33333333333333</v>
      </c>
      <c r="F9" s="10">
        <v>0</v>
      </c>
    </row>
    <row r="10" s="10" customFormat="1" hidden="1" spans="1:6">
      <c r="A10" s="42" t="s">
        <v>41</v>
      </c>
      <c r="B10" s="10">
        <v>1</v>
      </c>
      <c r="C10" s="10">
        <v>3</v>
      </c>
      <c r="D10" s="10" t="s">
        <v>42</v>
      </c>
      <c r="E10" s="10">
        <v>5.66666666666667</v>
      </c>
      <c r="F10" s="10">
        <v>0</v>
      </c>
    </row>
    <row r="11" s="10" customFormat="1" hidden="1" spans="1:6">
      <c r="A11" s="42" t="s">
        <v>43</v>
      </c>
      <c r="B11" s="10">
        <v>1</v>
      </c>
      <c r="C11" s="10">
        <v>3</v>
      </c>
      <c r="D11" s="10" t="s">
        <v>44</v>
      </c>
      <c r="E11" s="10">
        <v>11.3333333333333</v>
      </c>
      <c r="F11" s="10">
        <v>0</v>
      </c>
    </row>
    <row r="12" s="10" customFormat="1" hidden="1" spans="1:6">
      <c r="A12" s="42" t="s">
        <v>45</v>
      </c>
      <c r="B12" s="10">
        <v>1</v>
      </c>
      <c r="C12" s="10">
        <v>3</v>
      </c>
      <c r="D12" s="10" t="s">
        <v>46</v>
      </c>
      <c r="E12" s="10">
        <v>2.33333333333333</v>
      </c>
      <c r="F12" s="10">
        <v>0</v>
      </c>
    </row>
    <row r="13" s="10" customFormat="1" hidden="1" spans="1:6">
      <c r="A13" s="42" t="s">
        <v>47</v>
      </c>
      <c r="B13" s="10">
        <v>1</v>
      </c>
      <c r="C13" s="10">
        <v>3</v>
      </c>
      <c r="D13" s="10" t="s">
        <v>48</v>
      </c>
      <c r="E13" s="10">
        <v>7</v>
      </c>
      <c r="F13" s="10">
        <v>0</v>
      </c>
    </row>
    <row r="14" s="10" customFormat="1" hidden="1" spans="1:6">
      <c r="A14" s="42" t="s">
        <v>49</v>
      </c>
      <c r="B14" s="10">
        <v>1</v>
      </c>
      <c r="C14" s="10">
        <v>3</v>
      </c>
      <c r="D14" s="10" t="s">
        <v>50</v>
      </c>
      <c r="E14" s="10">
        <v>2.33333333333333</v>
      </c>
      <c r="F14" s="10">
        <v>0</v>
      </c>
    </row>
    <row r="15" s="10" customFormat="1" hidden="1" spans="1:6">
      <c r="A15" s="42" t="s">
        <v>51</v>
      </c>
      <c r="B15" s="10">
        <v>1</v>
      </c>
      <c r="C15" s="10">
        <v>3</v>
      </c>
      <c r="D15" s="10" t="s">
        <v>52</v>
      </c>
      <c r="E15" s="10">
        <v>6</v>
      </c>
      <c r="F15" s="10">
        <v>0</v>
      </c>
    </row>
    <row r="16" s="10" customFormat="1" hidden="1" spans="1:13">
      <c r="A16" s="42" t="s">
        <v>53</v>
      </c>
      <c r="B16" s="10">
        <v>1</v>
      </c>
      <c r="C16" s="10">
        <v>3</v>
      </c>
      <c r="D16" s="10" t="s">
        <v>54</v>
      </c>
      <c r="E16" s="10">
        <f>250/30</f>
        <v>8.33333333333333</v>
      </c>
      <c r="F16" s="10">
        <v>0</v>
      </c>
      <c r="G16" s="10">
        <v>0</v>
      </c>
      <c r="H16" s="10">
        <v>2</v>
      </c>
      <c r="I16" s="10">
        <v>848</v>
      </c>
      <c r="J16" s="10" t="s">
        <v>55</v>
      </c>
      <c r="K16" s="10">
        <v>1</v>
      </c>
      <c r="M16" s="11"/>
    </row>
    <row r="17" s="10" customFormat="1" hidden="1" spans="1:13">
      <c r="A17" s="42" t="s">
        <v>56</v>
      </c>
      <c r="B17" s="10">
        <v>1</v>
      </c>
      <c r="C17" s="10">
        <v>3</v>
      </c>
      <c r="D17" s="10" t="s">
        <v>57</v>
      </c>
      <c r="E17" s="10">
        <v>1.83333333333333</v>
      </c>
      <c r="F17" s="10">
        <v>0</v>
      </c>
      <c r="G17" s="10">
        <v>0</v>
      </c>
      <c r="H17" s="10">
        <v>2</v>
      </c>
      <c r="I17" s="10">
        <v>896</v>
      </c>
      <c r="J17" s="11" t="s">
        <v>58</v>
      </c>
      <c r="K17" s="10">
        <v>1</v>
      </c>
      <c r="M17" s="11"/>
    </row>
    <row r="18" s="10" customFormat="1" hidden="1" spans="1:13">
      <c r="A18" s="42" t="s">
        <v>59</v>
      </c>
      <c r="B18" s="10">
        <v>1</v>
      </c>
      <c r="C18" s="10">
        <v>3</v>
      </c>
      <c r="D18" s="10" t="s">
        <v>60</v>
      </c>
      <c r="E18" s="10">
        <v>5</v>
      </c>
      <c r="F18" s="10">
        <v>0</v>
      </c>
      <c r="G18" s="10" t="s">
        <v>61</v>
      </c>
      <c r="H18" s="10" t="s">
        <v>62</v>
      </c>
      <c r="I18" s="10" t="s">
        <v>63</v>
      </c>
      <c r="J18" s="11" t="s">
        <v>64</v>
      </c>
      <c r="K18" s="10" t="s">
        <v>61</v>
      </c>
      <c r="M18" s="11"/>
    </row>
    <row r="19" s="11" customFormat="1" hidden="1" spans="1:6">
      <c r="A19" s="43" t="s">
        <v>65</v>
      </c>
      <c r="B19" s="11">
        <v>2</v>
      </c>
      <c r="C19" s="11">
        <v>3</v>
      </c>
      <c r="D19" s="11" t="s">
        <v>36</v>
      </c>
      <c r="E19" s="11">
        <v>3.33333333333333</v>
      </c>
      <c r="F19" s="11">
        <v>0</v>
      </c>
    </row>
    <row r="20" s="11" customFormat="1" hidden="1" spans="1:6">
      <c r="A20" s="43" t="s">
        <v>66</v>
      </c>
      <c r="B20" s="11">
        <v>2</v>
      </c>
      <c r="C20" s="11">
        <v>3</v>
      </c>
      <c r="D20" s="11" t="s">
        <v>38</v>
      </c>
      <c r="E20" s="11">
        <v>3.66666666666667</v>
      </c>
      <c r="F20" s="11">
        <v>0</v>
      </c>
    </row>
    <row r="21" s="11" customFormat="1" hidden="1" spans="1:6">
      <c r="A21" s="43" t="s">
        <v>67</v>
      </c>
      <c r="B21" s="11">
        <v>2</v>
      </c>
      <c r="C21" s="11">
        <v>3</v>
      </c>
      <c r="D21" s="11" t="s">
        <v>40</v>
      </c>
      <c r="E21" s="11">
        <v>2.66666666666667</v>
      </c>
      <c r="F21" s="11">
        <v>0</v>
      </c>
    </row>
    <row r="22" s="11" customFormat="1" hidden="1" spans="1:6">
      <c r="A22" s="43" t="s">
        <v>68</v>
      </c>
      <c r="B22" s="11">
        <v>2</v>
      </c>
      <c r="C22" s="11">
        <v>3</v>
      </c>
      <c r="D22" s="11" t="s">
        <v>42</v>
      </c>
      <c r="E22" s="11">
        <v>4.33333333333333</v>
      </c>
      <c r="F22" s="11">
        <v>0</v>
      </c>
    </row>
    <row r="23" s="11" customFormat="1" hidden="1" spans="1:6">
      <c r="A23" s="43" t="s">
        <v>69</v>
      </c>
      <c r="B23" s="11">
        <v>2</v>
      </c>
      <c r="C23" s="11">
        <v>3</v>
      </c>
      <c r="D23" s="11" t="s">
        <v>44</v>
      </c>
      <c r="E23" s="11">
        <v>7</v>
      </c>
      <c r="F23" s="11">
        <v>0</v>
      </c>
    </row>
    <row r="24" s="11" customFormat="1" hidden="1" spans="1:6">
      <c r="A24" s="43" t="s">
        <v>70</v>
      </c>
      <c r="B24" s="11">
        <v>2</v>
      </c>
      <c r="C24" s="11">
        <v>3</v>
      </c>
      <c r="D24" s="44" t="s">
        <v>71</v>
      </c>
      <c r="E24" s="11">
        <v>2.16666666666667</v>
      </c>
      <c r="F24" s="11">
        <v>0</v>
      </c>
    </row>
    <row r="25" s="11" customFormat="1" hidden="1" spans="1:6">
      <c r="A25" s="43" t="s">
        <v>72</v>
      </c>
      <c r="B25" s="11">
        <v>2</v>
      </c>
      <c r="C25" s="11">
        <v>3</v>
      </c>
      <c r="D25" s="44" t="s">
        <v>73</v>
      </c>
      <c r="E25" s="11">
        <v>2.33333333333333</v>
      </c>
      <c r="F25" s="11">
        <v>0</v>
      </c>
    </row>
    <row r="26" s="11" customFormat="1" hidden="1" spans="1:6">
      <c r="A26" s="43">
        <v>208</v>
      </c>
      <c r="B26" s="11">
        <v>3002</v>
      </c>
      <c r="C26" s="11">
        <v>3</v>
      </c>
      <c r="D26" s="44" t="s">
        <v>50</v>
      </c>
      <c r="E26" s="11">
        <v>5.66666666666667</v>
      </c>
      <c r="F26" s="11">
        <v>0</v>
      </c>
    </row>
    <row r="27" s="11" customFormat="1" hidden="1" spans="1:6">
      <c r="A27" s="43" t="s">
        <v>74</v>
      </c>
      <c r="B27" s="11">
        <v>2</v>
      </c>
      <c r="C27" s="11">
        <v>3</v>
      </c>
      <c r="D27" s="44" t="s">
        <v>75</v>
      </c>
      <c r="E27" s="11">
        <v>2.93333333333333</v>
      </c>
      <c r="F27" s="11">
        <v>0</v>
      </c>
    </row>
    <row r="28" s="11" customFormat="1" hidden="1" spans="1:11">
      <c r="A28" s="43" t="s">
        <v>76</v>
      </c>
      <c r="B28" s="11">
        <v>2</v>
      </c>
      <c r="C28" s="11">
        <v>3</v>
      </c>
      <c r="D28" s="44" t="s">
        <v>77</v>
      </c>
      <c r="E28" s="11">
        <v>3.06666666666667</v>
      </c>
      <c r="F28" s="11">
        <v>0</v>
      </c>
      <c r="G28" s="11">
        <v>0</v>
      </c>
      <c r="H28" s="11">
        <v>2</v>
      </c>
      <c r="I28" s="11">
        <v>880</v>
      </c>
      <c r="J28" s="11" t="s">
        <v>58</v>
      </c>
      <c r="K28" s="11">
        <v>0</v>
      </c>
    </row>
    <row r="29" s="10" customFormat="1" hidden="1" spans="1:6">
      <c r="A29" s="42" t="s">
        <v>78</v>
      </c>
      <c r="B29" s="10">
        <v>3</v>
      </c>
      <c r="C29" s="10">
        <v>3</v>
      </c>
      <c r="D29" s="10" t="s">
        <v>36</v>
      </c>
      <c r="E29" s="10">
        <v>2.13333333333333</v>
      </c>
      <c r="F29" s="10">
        <v>0</v>
      </c>
    </row>
    <row r="30" s="10" customFormat="1" hidden="1" spans="1:6">
      <c r="A30" s="42" t="s">
        <v>79</v>
      </c>
      <c r="B30" s="10">
        <v>3</v>
      </c>
      <c r="C30" s="10">
        <v>3</v>
      </c>
      <c r="D30" s="10" t="s">
        <v>38</v>
      </c>
      <c r="E30" s="10">
        <v>4.06666666666667</v>
      </c>
      <c r="F30" s="10">
        <v>0</v>
      </c>
    </row>
    <row r="31" s="10" customFormat="1" hidden="1" spans="1:6">
      <c r="A31" s="42" t="s">
        <v>80</v>
      </c>
      <c r="B31" s="10">
        <v>3</v>
      </c>
      <c r="C31" s="10">
        <v>3</v>
      </c>
      <c r="D31" s="10" t="s">
        <v>40</v>
      </c>
      <c r="E31" s="10">
        <v>6.33333333333333</v>
      </c>
      <c r="F31" s="10">
        <v>0</v>
      </c>
    </row>
    <row r="32" s="10" customFormat="1" hidden="1" spans="1:6">
      <c r="A32" s="42" t="s">
        <v>81</v>
      </c>
      <c r="B32" s="10">
        <v>3</v>
      </c>
      <c r="C32" s="10">
        <v>3</v>
      </c>
      <c r="D32" s="10" t="s">
        <v>42</v>
      </c>
      <c r="E32" s="10">
        <v>3</v>
      </c>
      <c r="F32" s="10">
        <v>0</v>
      </c>
    </row>
    <row r="33" s="10" customFormat="1" hidden="1" spans="1:12">
      <c r="A33" s="42" t="s">
        <v>82</v>
      </c>
      <c r="B33" s="10">
        <v>3</v>
      </c>
      <c r="C33" s="10">
        <v>3</v>
      </c>
      <c r="D33" s="10" t="s">
        <v>44</v>
      </c>
      <c r="E33" s="10">
        <v>8.5</v>
      </c>
      <c r="F33" s="10">
        <v>0</v>
      </c>
      <c r="G33" s="10">
        <v>0</v>
      </c>
      <c r="L33" s="10" t="s">
        <v>83</v>
      </c>
    </row>
    <row r="34" s="10" customFormat="1" hidden="1" spans="1:6">
      <c r="A34" s="42" t="s">
        <v>84</v>
      </c>
      <c r="B34" s="10">
        <v>3</v>
      </c>
      <c r="C34" s="10">
        <v>3</v>
      </c>
      <c r="D34" s="10" t="s">
        <v>50</v>
      </c>
      <c r="E34" s="10">
        <v>4.5</v>
      </c>
      <c r="F34" s="10">
        <v>0</v>
      </c>
    </row>
    <row r="35" s="10" customFormat="1" hidden="1" spans="1:6">
      <c r="A35" s="42" t="s">
        <v>85</v>
      </c>
      <c r="B35" s="10">
        <v>3</v>
      </c>
      <c r="C35" s="10">
        <v>3</v>
      </c>
      <c r="D35" s="10" t="s">
        <v>86</v>
      </c>
      <c r="E35" s="10">
        <v>3.43333333333333</v>
      </c>
      <c r="F35" s="10">
        <v>0</v>
      </c>
    </row>
    <row r="36" s="10" customFormat="1" hidden="1" spans="1:6">
      <c r="A36" s="42" t="s">
        <v>87</v>
      </c>
      <c r="B36" s="10">
        <v>3</v>
      </c>
      <c r="C36" s="10">
        <v>3</v>
      </c>
      <c r="D36" s="10" t="s">
        <v>88</v>
      </c>
      <c r="E36" s="10">
        <v>4.5</v>
      </c>
      <c r="F36" s="10">
        <v>0</v>
      </c>
    </row>
    <row r="37" s="10" customFormat="1" hidden="1" spans="1:6">
      <c r="A37" s="42" t="s">
        <v>89</v>
      </c>
      <c r="B37" s="10">
        <v>3</v>
      </c>
      <c r="C37" s="10">
        <v>3</v>
      </c>
      <c r="D37" s="45" t="s">
        <v>90</v>
      </c>
      <c r="E37" s="10">
        <v>3.33333333333333</v>
      </c>
      <c r="F37" s="10">
        <v>0</v>
      </c>
    </row>
    <row r="38" s="10" customFormat="1" hidden="1" spans="1:11">
      <c r="A38" s="42" t="s">
        <v>91</v>
      </c>
      <c r="B38" s="10">
        <v>3</v>
      </c>
      <c r="C38" s="10">
        <v>3</v>
      </c>
      <c r="D38" s="45" t="s">
        <v>92</v>
      </c>
      <c r="E38" s="10">
        <v>3.33333333333333</v>
      </c>
      <c r="F38" s="10">
        <v>0</v>
      </c>
      <c r="G38" s="10" t="s">
        <v>61</v>
      </c>
      <c r="H38" s="10" t="s">
        <v>62</v>
      </c>
      <c r="I38" s="10" t="s">
        <v>93</v>
      </c>
      <c r="J38" s="11" t="s">
        <v>94</v>
      </c>
      <c r="K38" s="10" t="s">
        <v>95</v>
      </c>
    </row>
    <row r="39" s="10" customFormat="1" hidden="1" spans="1:11">
      <c r="A39" s="42" t="s">
        <v>96</v>
      </c>
      <c r="B39" s="10">
        <v>3</v>
      </c>
      <c r="C39" s="10">
        <v>3</v>
      </c>
      <c r="D39" s="45" t="s">
        <v>97</v>
      </c>
      <c r="E39" s="10">
        <v>3</v>
      </c>
      <c r="F39" s="10">
        <v>0</v>
      </c>
      <c r="G39" s="10" t="s">
        <v>61</v>
      </c>
      <c r="H39" s="10" t="s">
        <v>62</v>
      </c>
      <c r="I39" s="10" t="s">
        <v>98</v>
      </c>
      <c r="J39" s="11" t="s">
        <v>94</v>
      </c>
      <c r="K39" s="10" t="s">
        <v>95</v>
      </c>
    </row>
    <row r="40" s="10" customFormat="1" hidden="1" spans="1:11">
      <c r="A40" s="42" t="s">
        <v>99</v>
      </c>
      <c r="B40" s="10">
        <v>3</v>
      </c>
      <c r="C40" s="10">
        <v>3</v>
      </c>
      <c r="D40" s="45" t="s">
        <v>77</v>
      </c>
      <c r="E40" s="10">
        <v>3</v>
      </c>
      <c r="F40" s="10">
        <v>0</v>
      </c>
      <c r="G40" s="10">
        <v>0</v>
      </c>
      <c r="H40" s="10">
        <v>2</v>
      </c>
      <c r="I40" s="10">
        <v>894</v>
      </c>
      <c r="J40" s="11" t="s">
        <v>58</v>
      </c>
      <c r="K40" s="10">
        <v>1</v>
      </c>
    </row>
    <row r="41" s="11" customFormat="1" hidden="1" spans="1:6">
      <c r="A41" s="43" t="s">
        <v>100</v>
      </c>
      <c r="B41" s="11">
        <v>4</v>
      </c>
      <c r="C41" s="11">
        <v>3</v>
      </c>
      <c r="D41" s="11" t="s">
        <v>36</v>
      </c>
      <c r="E41" s="11">
        <v>3.5</v>
      </c>
      <c r="F41" s="11">
        <v>0</v>
      </c>
    </row>
    <row r="42" s="11" customFormat="1" hidden="1" spans="1:6">
      <c r="A42" s="43" t="s">
        <v>101</v>
      </c>
      <c r="B42" s="11">
        <v>4</v>
      </c>
      <c r="C42" s="11">
        <v>3</v>
      </c>
      <c r="D42" s="11" t="s">
        <v>38</v>
      </c>
      <c r="E42" s="11">
        <v>5.66666666666667</v>
      </c>
      <c r="F42" s="11">
        <v>0</v>
      </c>
    </row>
    <row r="43" s="11" customFormat="1" hidden="1" spans="1:6">
      <c r="A43" s="43" t="s">
        <v>102</v>
      </c>
      <c r="B43" s="11">
        <v>4</v>
      </c>
      <c r="C43" s="11">
        <v>3</v>
      </c>
      <c r="D43" s="11" t="s">
        <v>40</v>
      </c>
      <c r="E43" s="11">
        <v>6.66666666666667</v>
      </c>
      <c r="F43" s="11">
        <v>0</v>
      </c>
    </row>
    <row r="44" s="11" customFormat="1" hidden="1" spans="1:6">
      <c r="A44" s="43" t="s">
        <v>103</v>
      </c>
      <c r="B44" s="11">
        <v>4</v>
      </c>
      <c r="C44" s="11">
        <v>3</v>
      </c>
      <c r="D44" s="11" t="s">
        <v>42</v>
      </c>
      <c r="E44" s="11">
        <v>3.5</v>
      </c>
      <c r="F44" s="11">
        <v>0</v>
      </c>
    </row>
    <row r="45" s="11" customFormat="1" hidden="1" spans="1:6">
      <c r="A45" s="43" t="s">
        <v>104</v>
      </c>
      <c r="B45" s="11">
        <v>4</v>
      </c>
      <c r="C45" s="11">
        <v>3</v>
      </c>
      <c r="D45" s="11" t="s">
        <v>44</v>
      </c>
      <c r="E45" s="11">
        <v>1.73333333333333</v>
      </c>
      <c r="F45" s="11">
        <v>0</v>
      </c>
    </row>
    <row r="46" s="11" customFormat="1" hidden="1" spans="1:6">
      <c r="A46" s="43" t="s">
        <v>105</v>
      </c>
      <c r="B46" s="11">
        <v>4</v>
      </c>
      <c r="C46" s="11">
        <v>3</v>
      </c>
      <c r="D46" s="11" t="s">
        <v>46</v>
      </c>
      <c r="E46" s="11">
        <v>1.66666666666667</v>
      </c>
      <c r="F46" s="11">
        <v>0</v>
      </c>
    </row>
    <row r="47" s="11" customFormat="1" hidden="1" spans="1:6">
      <c r="A47" s="43" t="s">
        <v>106</v>
      </c>
      <c r="B47" s="11">
        <v>4</v>
      </c>
      <c r="C47" s="11">
        <v>3</v>
      </c>
      <c r="D47" s="11" t="s">
        <v>86</v>
      </c>
      <c r="E47" s="11">
        <v>1.5</v>
      </c>
      <c r="F47" s="11">
        <v>0</v>
      </c>
    </row>
    <row r="48" s="11" customFormat="1" hidden="1" spans="1:6">
      <c r="A48" s="43" t="s">
        <v>107</v>
      </c>
      <c r="B48" s="11">
        <v>4</v>
      </c>
      <c r="C48" s="11">
        <v>3</v>
      </c>
      <c r="D48" s="11" t="s">
        <v>50</v>
      </c>
      <c r="E48" s="11">
        <v>10.6666666666667</v>
      </c>
      <c r="F48" s="11">
        <v>0</v>
      </c>
    </row>
    <row r="49" s="11" customFormat="1" hidden="1" spans="1:11">
      <c r="A49" s="43" t="s">
        <v>108</v>
      </c>
      <c r="B49" s="11">
        <v>4</v>
      </c>
      <c r="C49" s="11">
        <v>3</v>
      </c>
      <c r="D49" s="11" t="s">
        <v>109</v>
      </c>
      <c r="E49" s="11">
        <f>70/30</f>
        <v>2.33333333333333</v>
      </c>
      <c r="F49" s="11">
        <v>0</v>
      </c>
      <c r="G49" s="11">
        <v>0</v>
      </c>
      <c r="H49" s="11">
        <v>2</v>
      </c>
      <c r="I49" s="11">
        <v>881</v>
      </c>
      <c r="J49" s="11" t="s">
        <v>58</v>
      </c>
      <c r="K49" s="11">
        <v>0</v>
      </c>
    </row>
    <row r="50" s="10" customFormat="1" hidden="1" spans="1:6">
      <c r="A50" s="42" t="s">
        <v>110</v>
      </c>
      <c r="B50" s="10">
        <v>5</v>
      </c>
      <c r="C50" s="10">
        <v>3</v>
      </c>
      <c r="D50" s="10" t="s">
        <v>36</v>
      </c>
      <c r="E50" s="10">
        <v>2.83333333333333</v>
      </c>
      <c r="F50" s="10">
        <v>0</v>
      </c>
    </row>
    <row r="51" s="10" customFormat="1" hidden="1" spans="1:6">
      <c r="A51" s="42" t="s">
        <v>111</v>
      </c>
      <c r="B51" s="10">
        <v>5</v>
      </c>
      <c r="C51" s="10">
        <v>3</v>
      </c>
      <c r="D51" s="10" t="s">
        <v>38</v>
      </c>
      <c r="E51" s="10">
        <v>5.66666666666667</v>
      </c>
      <c r="F51" s="10">
        <v>0</v>
      </c>
    </row>
    <row r="52" s="10" customFormat="1" hidden="1" spans="1:6">
      <c r="A52" s="42" t="s">
        <v>112</v>
      </c>
      <c r="B52" s="10">
        <v>5</v>
      </c>
      <c r="C52" s="10">
        <v>3</v>
      </c>
      <c r="D52" s="10" t="s">
        <v>40</v>
      </c>
      <c r="E52" s="10">
        <v>2.66666666666667</v>
      </c>
      <c r="F52" s="10">
        <v>0</v>
      </c>
    </row>
    <row r="53" s="10" customFormat="1" hidden="1" spans="1:6">
      <c r="A53" s="42" t="s">
        <v>113</v>
      </c>
      <c r="B53" s="10">
        <v>5</v>
      </c>
      <c r="C53" s="10">
        <v>3</v>
      </c>
      <c r="D53" s="10" t="s">
        <v>42</v>
      </c>
      <c r="E53" s="10">
        <v>2.66666666666667</v>
      </c>
      <c r="F53" s="10">
        <v>0</v>
      </c>
    </row>
    <row r="54" s="10" customFormat="1" hidden="1" spans="1:6">
      <c r="A54" s="42" t="s">
        <v>114</v>
      </c>
      <c r="B54" s="10">
        <v>5</v>
      </c>
      <c r="C54" s="10">
        <v>3</v>
      </c>
      <c r="D54" s="10" t="s">
        <v>44</v>
      </c>
      <c r="E54" s="10">
        <v>7.53333333333333</v>
      </c>
      <c r="F54" s="10">
        <v>0</v>
      </c>
    </row>
    <row r="55" s="10" customFormat="1" hidden="1" spans="1:6">
      <c r="A55" s="42" t="s">
        <v>115</v>
      </c>
      <c r="B55" s="10">
        <v>5</v>
      </c>
      <c r="C55" s="10">
        <v>3</v>
      </c>
      <c r="D55" s="10" t="s">
        <v>71</v>
      </c>
      <c r="E55" s="10">
        <v>2.66666666666667</v>
      </c>
      <c r="F55" s="10">
        <v>0</v>
      </c>
    </row>
    <row r="56" s="10" customFormat="1" hidden="1" spans="1:6">
      <c r="A56" s="42" t="s">
        <v>116</v>
      </c>
      <c r="B56" s="10">
        <v>5</v>
      </c>
      <c r="C56" s="10">
        <v>3</v>
      </c>
      <c r="D56" s="10" t="s">
        <v>86</v>
      </c>
      <c r="E56" s="10">
        <v>2.66666666666667</v>
      </c>
      <c r="F56" s="10">
        <v>0</v>
      </c>
    </row>
    <row r="57" s="10" customFormat="1" hidden="1" spans="1:6">
      <c r="A57" s="42" t="s">
        <v>117</v>
      </c>
      <c r="B57" s="10">
        <v>5</v>
      </c>
      <c r="C57" s="10">
        <v>3</v>
      </c>
      <c r="D57" s="10" t="s">
        <v>50</v>
      </c>
      <c r="E57" s="10">
        <v>6.66666666666667</v>
      </c>
      <c r="F57" s="10">
        <v>0</v>
      </c>
    </row>
    <row r="58" s="10" customFormat="1" hidden="1" spans="1:6">
      <c r="A58" s="42" t="s">
        <v>118</v>
      </c>
      <c r="B58" s="10">
        <v>5</v>
      </c>
      <c r="C58" s="10">
        <v>3</v>
      </c>
      <c r="D58" s="10" t="s">
        <v>90</v>
      </c>
      <c r="E58" s="10">
        <v>3.5</v>
      </c>
      <c r="F58" s="10">
        <v>0</v>
      </c>
    </row>
    <row r="59" s="10" customFormat="1" hidden="1" spans="1:6">
      <c r="A59" s="42" t="s">
        <v>119</v>
      </c>
      <c r="B59" s="10">
        <v>5</v>
      </c>
      <c r="C59" s="10">
        <v>3</v>
      </c>
      <c r="D59" s="10" t="s">
        <v>48</v>
      </c>
      <c r="E59" s="10">
        <v>2.33333333333333</v>
      </c>
      <c r="F59" s="10">
        <v>0</v>
      </c>
    </row>
    <row r="60" s="10" customFormat="1" hidden="1" spans="1:11">
      <c r="A60" s="42" t="s">
        <v>120</v>
      </c>
      <c r="B60" s="10">
        <v>5</v>
      </c>
      <c r="C60" s="10">
        <v>3</v>
      </c>
      <c r="D60" s="10" t="s">
        <v>92</v>
      </c>
      <c r="E60" s="10">
        <v>2.26666666666667</v>
      </c>
      <c r="F60" s="10">
        <v>0</v>
      </c>
      <c r="G60" s="10">
        <v>0</v>
      </c>
      <c r="H60" s="10">
        <v>2</v>
      </c>
      <c r="I60" s="10">
        <v>888</v>
      </c>
      <c r="J60" s="11" t="s">
        <v>58</v>
      </c>
      <c r="K60" s="10">
        <v>0</v>
      </c>
    </row>
    <row r="61" s="11" customFormat="1" hidden="1" spans="1:6">
      <c r="A61" s="43" t="s">
        <v>121</v>
      </c>
      <c r="B61" s="11">
        <v>6</v>
      </c>
      <c r="C61" s="11">
        <v>3</v>
      </c>
      <c r="D61" s="11" t="s">
        <v>36</v>
      </c>
      <c r="E61" s="11">
        <v>3.83333333333333</v>
      </c>
      <c r="F61" s="11">
        <v>0</v>
      </c>
    </row>
    <row r="62" s="11" customFormat="1" hidden="1" spans="1:6">
      <c r="A62" s="43" t="s">
        <v>122</v>
      </c>
      <c r="B62" s="11">
        <v>6</v>
      </c>
      <c r="C62" s="11">
        <v>3</v>
      </c>
      <c r="D62" s="11" t="s">
        <v>38</v>
      </c>
      <c r="E62" s="11">
        <v>3.8</v>
      </c>
      <c r="F62" s="11">
        <v>0</v>
      </c>
    </row>
    <row r="63" s="11" customFormat="1" hidden="1" spans="1:6">
      <c r="A63" s="43" t="s">
        <v>123</v>
      </c>
      <c r="B63" s="11">
        <v>6</v>
      </c>
      <c r="C63" s="11">
        <v>3</v>
      </c>
      <c r="D63" s="11" t="s">
        <v>40</v>
      </c>
      <c r="E63" s="11">
        <v>1.33333333333333</v>
      </c>
      <c r="F63" s="11">
        <v>0</v>
      </c>
    </row>
    <row r="64" s="11" customFormat="1" hidden="1" spans="1:6">
      <c r="A64" s="43" t="s">
        <v>124</v>
      </c>
      <c r="B64" s="11">
        <v>6</v>
      </c>
      <c r="C64" s="11">
        <v>3</v>
      </c>
      <c r="D64" s="11" t="s">
        <v>42</v>
      </c>
      <c r="E64" s="11">
        <v>5</v>
      </c>
      <c r="F64" s="11">
        <v>0</v>
      </c>
    </row>
    <row r="65" s="11" customFormat="1" hidden="1" spans="1:6">
      <c r="A65" s="43" t="s">
        <v>125</v>
      </c>
      <c r="B65" s="11">
        <v>6</v>
      </c>
      <c r="C65" s="11">
        <v>3</v>
      </c>
      <c r="D65" s="11" t="s">
        <v>44</v>
      </c>
      <c r="E65" s="11">
        <v>8.66666666666667</v>
      </c>
      <c r="F65" s="11">
        <v>0</v>
      </c>
    </row>
    <row r="66" s="11" customFormat="1" hidden="1" spans="1:6">
      <c r="A66" s="43" t="s">
        <v>126</v>
      </c>
      <c r="B66" s="11">
        <v>6</v>
      </c>
      <c r="C66" s="11">
        <v>3</v>
      </c>
      <c r="D66" s="11" t="s">
        <v>46</v>
      </c>
      <c r="E66" s="11">
        <v>2.83333333333333</v>
      </c>
      <c r="F66" s="11">
        <v>0</v>
      </c>
    </row>
    <row r="67" s="11" customFormat="1" hidden="1" spans="1:6">
      <c r="A67" s="43" t="s">
        <v>127</v>
      </c>
      <c r="B67" s="11">
        <v>6</v>
      </c>
      <c r="C67" s="11">
        <v>3</v>
      </c>
      <c r="D67" s="11" t="s">
        <v>86</v>
      </c>
      <c r="E67" s="11">
        <v>1.66666666666667</v>
      </c>
      <c r="F67" s="11">
        <v>0</v>
      </c>
    </row>
    <row r="68" s="11" customFormat="1" hidden="1" spans="1:6">
      <c r="A68" s="43" t="s">
        <v>128</v>
      </c>
      <c r="B68" s="11">
        <v>6</v>
      </c>
      <c r="C68" s="11">
        <v>3</v>
      </c>
      <c r="D68" s="11" t="s">
        <v>50</v>
      </c>
      <c r="E68" s="11">
        <v>5</v>
      </c>
      <c r="F68" s="11">
        <v>0</v>
      </c>
    </row>
    <row r="69" s="11" customFormat="1" hidden="1" spans="1:6">
      <c r="A69" s="42" t="s">
        <v>129</v>
      </c>
      <c r="B69" s="11">
        <v>7</v>
      </c>
      <c r="C69" s="11">
        <v>3</v>
      </c>
      <c r="D69" s="11" t="s">
        <v>130</v>
      </c>
      <c r="E69" s="11">
        <v>2.93333333333333</v>
      </c>
      <c r="F69" s="11">
        <v>0</v>
      </c>
    </row>
    <row r="70" s="3" customFormat="1" hidden="1" spans="1:6">
      <c r="A70" s="42" t="s">
        <v>131</v>
      </c>
      <c r="B70" s="3">
        <v>7</v>
      </c>
      <c r="C70" s="3">
        <v>3</v>
      </c>
      <c r="D70" s="11" t="s">
        <v>36</v>
      </c>
      <c r="E70" s="3">
        <v>1.8</v>
      </c>
      <c r="F70" s="3">
        <v>0</v>
      </c>
    </row>
    <row r="71" s="3" customFormat="1" hidden="1" spans="1:6">
      <c r="A71" s="42">
        <v>703</v>
      </c>
      <c r="B71" s="3">
        <v>7</v>
      </c>
      <c r="C71" s="3">
        <v>3</v>
      </c>
      <c r="D71" s="11" t="s">
        <v>40</v>
      </c>
      <c r="E71" s="3">
        <v>2</v>
      </c>
      <c r="F71" s="3">
        <v>0</v>
      </c>
    </row>
    <row r="72" s="3" customFormat="1" hidden="1" spans="1:6">
      <c r="A72" s="42" t="s">
        <v>132</v>
      </c>
      <c r="B72" s="3">
        <v>7</v>
      </c>
      <c r="C72" s="3">
        <v>3</v>
      </c>
      <c r="D72" s="11" t="s">
        <v>133</v>
      </c>
      <c r="E72" s="3">
        <v>2</v>
      </c>
      <c r="F72" s="3">
        <v>0</v>
      </c>
    </row>
    <row r="73" s="3" customFormat="1" hidden="1" spans="1:6">
      <c r="A73" s="42">
        <v>705</v>
      </c>
      <c r="B73" s="3">
        <v>7</v>
      </c>
      <c r="C73" s="3">
        <v>3</v>
      </c>
      <c r="D73" s="11" t="s">
        <v>44</v>
      </c>
      <c r="E73" s="3">
        <v>3.16666666666667</v>
      </c>
      <c r="F73" s="3">
        <v>0</v>
      </c>
    </row>
    <row r="74" s="3" customFormat="1" hidden="1" spans="1:6">
      <c r="A74" s="42">
        <v>706</v>
      </c>
      <c r="B74" s="3">
        <v>7</v>
      </c>
      <c r="C74" s="3">
        <v>3</v>
      </c>
      <c r="D74" s="11" t="s">
        <v>46</v>
      </c>
      <c r="E74" s="3">
        <v>2.66666666666667</v>
      </c>
      <c r="F74" s="3">
        <v>0</v>
      </c>
    </row>
    <row r="75" s="3" customFormat="1" hidden="1" spans="1:6">
      <c r="A75" s="42" t="s">
        <v>134</v>
      </c>
      <c r="B75" s="3">
        <v>7</v>
      </c>
      <c r="C75" s="3">
        <v>3</v>
      </c>
      <c r="D75" s="11" t="s">
        <v>135</v>
      </c>
      <c r="E75" s="3">
        <v>2</v>
      </c>
      <c r="F75" s="3">
        <v>0</v>
      </c>
    </row>
    <row r="76" s="3" customFormat="1" hidden="1" spans="1:6">
      <c r="A76" s="42" t="s">
        <v>136</v>
      </c>
      <c r="B76" s="3">
        <v>7</v>
      </c>
      <c r="C76" s="3">
        <v>3</v>
      </c>
      <c r="D76" s="11" t="s">
        <v>48</v>
      </c>
      <c r="E76" s="3">
        <v>2.53333333333333</v>
      </c>
      <c r="F76" s="3">
        <v>0</v>
      </c>
    </row>
    <row r="77" s="3" customFormat="1" hidden="1" spans="1:6">
      <c r="A77" s="42" t="s">
        <v>137</v>
      </c>
      <c r="B77" s="3">
        <v>7</v>
      </c>
      <c r="C77" s="3">
        <v>3</v>
      </c>
      <c r="D77" s="11" t="s">
        <v>52</v>
      </c>
      <c r="E77" s="3">
        <v>1.93333333333333</v>
      </c>
      <c r="F77" s="3">
        <v>0</v>
      </c>
    </row>
    <row r="78" s="3" customFormat="1" hidden="1" spans="1:6">
      <c r="A78" s="42" t="s">
        <v>138</v>
      </c>
      <c r="B78" s="3">
        <v>3004</v>
      </c>
      <c r="C78" s="3">
        <v>3</v>
      </c>
      <c r="D78" s="11" t="s">
        <v>38</v>
      </c>
      <c r="E78" s="3">
        <v>3.56666666666667</v>
      </c>
      <c r="F78" s="3">
        <v>0</v>
      </c>
    </row>
    <row r="79" s="3" customFormat="1" hidden="1" spans="1:6">
      <c r="A79" s="42" t="s">
        <v>139</v>
      </c>
      <c r="B79" s="3">
        <v>3005</v>
      </c>
      <c r="C79" s="3">
        <v>3</v>
      </c>
      <c r="D79" s="11" t="s">
        <v>140</v>
      </c>
      <c r="E79" s="3">
        <v>5.6</v>
      </c>
      <c r="F79" s="3">
        <v>0</v>
      </c>
    </row>
    <row r="80" s="3" customFormat="1" hidden="1" spans="1:6">
      <c r="A80" s="42" t="s">
        <v>141</v>
      </c>
      <c r="B80" s="3">
        <v>3005</v>
      </c>
      <c r="C80" s="3">
        <v>3</v>
      </c>
      <c r="D80" s="11" t="s">
        <v>86</v>
      </c>
      <c r="E80" s="3">
        <v>5.1</v>
      </c>
      <c r="F80" s="3">
        <v>0</v>
      </c>
    </row>
    <row r="81" s="3" customFormat="1" hidden="1" spans="1:6">
      <c r="A81" s="42" t="s">
        <v>142</v>
      </c>
      <c r="B81" s="3">
        <v>3005</v>
      </c>
      <c r="C81" s="3">
        <v>3</v>
      </c>
      <c r="D81" s="11" t="s">
        <v>143</v>
      </c>
      <c r="E81" s="3">
        <v>2</v>
      </c>
      <c r="F81" s="3">
        <v>0</v>
      </c>
    </row>
    <row r="82" s="3" customFormat="1" hidden="1" spans="1:6">
      <c r="A82" s="42" t="s">
        <v>144</v>
      </c>
      <c r="B82" s="3">
        <v>3006</v>
      </c>
      <c r="C82" s="3">
        <v>3</v>
      </c>
      <c r="D82" s="11" t="s">
        <v>42</v>
      </c>
      <c r="E82" s="3">
        <f>31/30</f>
        <v>1.03333333333333</v>
      </c>
      <c r="F82" s="3">
        <v>0</v>
      </c>
    </row>
    <row r="83" s="11" customFormat="1" hidden="1" spans="1:6">
      <c r="A83" s="43" t="s">
        <v>145</v>
      </c>
      <c r="B83" s="11">
        <v>8</v>
      </c>
      <c r="C83" s="11">
        <v>3</v>
      </c>
      <c r="D83" s="11" t="s">
        <v>36</v>
      </c>
      <c r="E83" s="11">
        <v>1.5</v>
      </c>
      <c r="F83" s="11">
        <v>0</v>
      </c>
    </row>
    <row r="84" s="11" customFormat="1" hidden="1" spans="1:6">
      <c r="A84" s="43" t="s">
        <v>146</v>
      </c>
      <c r="B84" s="11">
        <v>8</v>
      </c>
      <c r="C84" s="11">
        <v>3</v>
      </c>
      <c r="D84" s="11" t="s">
        <v>38</v>
      </c>
      <c r="E84" s="11">
        <v>2.9</v>
      </c>
      <c r="F84" s="11">
        <v>0</v>
      </c>
    </row>
    <row r="85" s="11" customFormat="1" hidden="1" spans="1:6">
      <c r="A85" s="43" t="s">
        <v>147</v>
      </c>
      <c r="B85" s="11">
        <v>8</v>
      </c>
      <c r="C85" s="11">
        <v>3</v>
      </c>
      <c r="D85" s="11" t="s">
        <v>40</v>
      </c>
      <c r="E85" s="11">
        <v>2.76666666666667</v>
      </c>
      <c r="F85" s="11">
        <v>0</v>
      </c>
    </row>
    <row r="86" hidden="1" spans="1:7">
      <c r="A86" s="43" t="s">
        <v>148</v>
      </c>
      <c r="B86" s="10">
        <v>9</v>
      </c>
      <c r="C86" s="10">
        <v>2</v>
      </c>
      <c r="D86" s="10" t="s">
        <v>36</v>
      </c>
      <c r="E86" s="10">
        <v>1.36666666666667</v>
      </c>
      <c r="F86" s="10">
        <v>0</v>
      </c>
      <c r="G86" s="10"/>
    </row>
    <row r="87" s="10" customFormat="1" hidden="1" spans="1:9">
      <c r="A87" s="42" t="s">
        <v>149</v>
      </c>
      <c r="B87" s="10">
        <v>9</v>
      </c>
      <c r="C87" s="10">
        <v>2</v>
      </c>
      <c r="D87" s="10" t="s">
        <v>38</v>
      </c>
      <c r="E87" s="10">
        <v>1.13333333333333</v>
      </c>
      <c r="F87" s="10">
        <v>0</v>
      </c>
      <c r="I87" s="48"/>
    </row>
    <row r="88" s="10" customFormat="1" hidden="1" spans="1:9">
      <c r="A88" s="43" t="s">
        <v>150</v>
      </c>
      <c r="B88" s="10">
        <v>9</v>
      </c>
      <c r="C88" s="10">
        <v>2</v>
      </c>
      <c r="D88" s="10" t="s">
        <v>40</v>
      </c>
      <c r="E88" s="10">
        <v>1.8</v>
      </c>
      <c r="F88" s="10">
        <v>0</v>
      </c>
      <c r="I88" s="48"/>
    </row>
    <row r="89" s="10" customFormat="1" hidden="1" spans="1:9">
      <c r="A89" s="42" t="s">
        <v>151</v>
      </c>
      <c r="B89" s="10">
        <v>9</v>
      </c>
      <c r="C89" s="10">
        <v>2</v>
      </c>
      <c r="D89" s="10" t="s">
        <v>42</v>
      </c>
      <c r="E89" s="10">
        <v>2.5</v>
      </c>
      <c r="F89" s="10">
        <v>0</v>
      </c>
      <c r="I89" s="48"/>
    </row>
    <row r="90" s="10" customFormat="1" hidden="1" spans="1:9">
      <c r="A90" s="43" t="s">
        <v>152</v>
      </c>
      <c r="B90" s="10">
        <v>9</v>
      </c>
      <c r="C90" s="10">
        <v>2</v>
      </c>
      <c r="D90" s="10" t="s">
        <v>44</v>
      </c>
      <c r="E90" s="10">
        <v>4</v>
      </c>
      <c r="F90" s="10">
        <v>0</v>
      </c>
      <c r="I90" s="48"/>
    </row>
    <row r="91" s="10" customFormat="1" hidden="1" spans="1:9">
      <c r="A91" s="42" t="s">
        <v>153</v>
      </c>
      <c r="B91" s="10">
        <v>9</v>
      </c>
      <c r="C91" s="10">
        <v>2</v>
      </c>
      <c r="D91" s="10" t="s">
        <v>46</v>
      </c>
      <c r="E91" s="10">
        <v>1.16666666666667</v>
      </c>
      <c r="F91" s="10">
        <v>0</v>
      </c>
      <c r="I91" s="48"/>
    </row>
    <row r="92" s="10" customFormat="1" hidden="1" spans="1:9">
      <c r="A92" s="43" t="s">
        <v>154</v>
      </c>
      <c r="B92" s="10">
        <v>9</v>
      </c>
      <c r="C92" s="10">
        <v>2</v>
      </c>
      <c r="D92" s="10" t="s">
        <v>86</v>
      </c>
      <c r="E92" s="10">
        <v>1.6</v>
      </c>
      <c r="F92" s="10">
        <v>0</v>
      </c>
      <c r="I92" s="48"/>
    </row>
    <row r="93" s="10" customFormat="1" hidden="1" spans="1:9">
      <c r="A93" s="42" t="s">
        <v>155</v>
      </c>
      <c r="B93" s="10">
        <v>9</v>
      </c>
      <c r="C93" s="10">
        <v>2</v>
      </c>
      <c r="D93" s="10" t="s">
        <v>50</v>
      </c>
      <c r="E93" s="10">
        <v>4.66666666666667</v>
      </c>
      <c r="F93" s="10">
        <v>0</v>
      </c>
      <c r="I93" s="48"/>
    </row>
    <row r="94" s="10" customFormat="1" hidden="1" spans="1:11">
      <c r="A94" s="42" t="s">
        <v>156</v>
      </c>
      <c r="B94" s="10">
        <v>9</v>
      </c>
      <c r="C94" s="10">
        <v>2</v>
      </c>
      <c r="D94" s="10" t="s">
        <v>54</v>
      </c>
      <c r="E94" s="10">
        <v>4.03333333333333</v>
      </c>
      <c r="F94" s="10">
        <v>0</v>
      </c>
      <c r="G94" s="10">
        <v>0</v>
      </c>
      <c r="H94" s="10">
        <v>2</v>
      </c>
      <c r="I94" s="48">
        <v>889</v>
      </c>
      <c r="J94" s="10" t="s">
        <v>58</v>
      </c>
      <c r="K94" s="10">
        <v>1</v>
      </c>
    </row>
    <row r="95" s="10" customFormat="1" hidden="1" spans="1:9">
      <c r="A95" s="42" t="s">
        <v>157</v>
      </c>
      <c r="B95" s="10">
        <v>9</v>
      </c>
      <c r="C95" s="10">
        <v>2</v>
      </c>
      <c r="D95" s="10" t="s">
        <v>57</v>
      </c>
      <c r="E95" s="10">
        <v>2.66666666666667</v>
      </c>
      <c r="F95" s="10">
        <v>0</v>
      </c>
      <c r="I95" s="48"/>
    </row>
    <row r="96" s="10" customFormat="1" hidden="1" spans="1:9">
      <c r="A96" s="43" t="s">
        <v>158</v>
      </c>
      <c r="B96" s="38">
        <v>10</v>
      </c>
      <c r="C96" s="10">
        <v>2</v>
      </c>
      <c r="D96" s="10" t="s">
        <v>36</v>
      </c>
      <c r="E96" s="10">
        <v>1.6</v>
      </c>
      <c r="F96" s="11">
        <v>0</v>
      </c>
      <c r="G96" s="11"/>
      <c r="I96" s="48"/>
    </row>
    <row r="97" hidden="1" spans="1:7">
      <c r="A97" s="42" t="s">
        <v>159</v>
      </c>
      <c r="B97" s="38">
        <v>10</v>
      </c>
      <c r="C97" s="10">
        <v>2</v>
      </c>
      <c r="D97" t="s">
        <v>38</v>
      </c>
      <c r="E97">
        <v>1.66666666666667</v>
      </c>
      <c r="F97" s="11">
        <v>0</v>
      </c>
      <c r="G97" s="11"/>
    </row>
    <row r="98" hidden="1" spans="1:7">
      <c r="A98" s="43" t="s">
        <v>160</v>
      </c>
      <c r="B98" s="38">
        <v>10</v>
      </c>
      <c r="C98" s="10">
        <v>2</v>
      </c>
      <c r="D98" t="s">
        <v>40</v>
      </c>
      <c r="E98">
        <v>1.23333333333333</v>
      </c>
      <c r="F98" s="11">
        <v>0</v>
      </c>
      <c r="G98" s="11"/>
    </row>
    <row r="99" hidden="1" spans="1:7">
      <c r="A99" s="42" t="s">
        <v>161</v>
      </c>
      <c r="B99" s="38">
        <v>10</v>
      </c>
      <c r="C99" s="10">
        <v>2</v>
      </c>
      <c r="D99" t="s">
        <v>42</v>
      </c>
      <c r="E99">
        <v>1.7</v>
      </c>
      <c r="F99" s="11">
        <v>0</v>
      </c>
      <c r="G99" s="11"/>
    </row>
    <row r="100" hidden="1" spans="1:7">
      <c r="A100" s="43" t="s">
        <v>162</v>
      </c>
      <c r="B100" s="38">
        <v>10</v>
      </c>
      <c r="C100" s="10">
        <v>2</v>
      </c>
      <c r="D100" t="s">
        <v>44</v>
      </c>
      <c r="E100">
        <v>5.73333333333333</v>
      </c>
      <c r="F100" s="11">
        <v>0</v>
      </c>
      <c r="G100" s="11"/>
    </row>
    <row r="101" hidden="1" spans="1:7">
      <c r="A101" s="42" t="s">
        <v>163</v>
      </c>
      <c r="B101" s="38">
        <v>10</v>
      </c>
      <c r="C101" s="10">
        <v>2</v>
      </c>
      <c r="D101" t="s">
        <v>46</v>
      </c>
      <c r="E101">
        <v>1.23333333333333</v>
      </c>
      <c r="F101" s="11">
        <v>0</v>
      </c>
      <c r="G101" s="11"/>
    </row>
    <row r="102" hidden="1" spans="1:7">
      <c r="A102" s="43" t="s">
        <v>164</v>
      </c>
      <c r="B102" s="38">
        <v>10</v>
      </c>
      <c r="C102" s="10">
        <v>2</v>
      </c>
      <c r="D102" t="s">
        <v>86</v>
      </c>
      <c r="E102">
        <v>1.53333333333333</v>
      </c>
      <c r="F102" s="11">
        <v>0</v>
      </c>
      <c r="G102" s="11"/>
    </row>
    <row r="103" hidden="1" spans="1:7">
      <c r="A103" s="42" t="s">
        <v>165</v>
      </c>
      <c r="B103" s="38">
        <v>10</v>
      </c>
      <c r="C103" s="10">
        <v>2</v>
      </c>
      <c r="D103" t="s">
        <v>50</v>
      </c>
      <c r="E103">
        <f>240/30</f>
        <v>8</v>
      </c>
      <c r="F103" s="11">
        <v>0</v>
      </c>
      <c r="G103" s="11"/>
    </row>
    <row r="104" hidden="1" spans="1:11">
      <c r="A104" s="42" t="s">
        <v>166</v>
      </c>
      <c r="B104" s="38">
        <v>10</v>
      </c>
      <c r="C104" s="10">
        <v>2</v>
      </c>
      <c r="D104" t="s">
        <v>167</v>
      </c>
      <c r="E104">
        <v>2</v>
      </c>
      <c r="F104" s="11">
        <v>0</v>
      </c>
      <c r="G104" s="11">
        <v>0</v>
      </c>
      <c r="H104">
        <v>2</v>
      </c>
      <c r="I104">
        <v>882</v>
      </c>
      <c r="J104" t="s">
        <v>168</v>
      </c>
      <c r="K104">
        <v>0</v>
      </c>
    </row>
    <row r="105" hidden="1" spans="1:11">
      <c r="A105" s="42" t="s">
        <v>169</v>
      </c>
      <c r="B105" s="38">
        <v>10</v>
      </c>
      <c r="C105" s="10">
        <v>2</v>
      </c>
      <c r="D105" t="s">
        <v>54</v>
      </c>
      <c r="E105">
        <v>5</v>
      </c>
      <c r="F105" s="11">
        <v>0</v>
      </c>
      <c r="G105" s="11">
        <v>0</v>
      </c>
      <c r="H105">
        <v>2</v>
      </c>
      <c r="I105">
        <v>883</v>
      </c>
      <c r="J105" t="s">
        <v>168</v>
      </c>
      <c r="K105">
        <v>0</v>
      </c>
    </row>
    <row r="106" hidden="1" spans="1:7">
      <c r="A106" s="43" t="s">
        <v>170</v>
      </c>
      <c r="B106" s="38">
        <v>11</v>
      </c>
      <c r="C106" s="10">
        <v>2</v>
      </c>
      <c r="D106" t="s">
        <v>36</v>
      </c>
      <c r="E106" s="47">
        <v>2</v>
      </c>
      <c r="F106" s="11">
        <v>0</v>
      </c>
      <c r="G106" s="11"/>
    </row>
    <row r="107" hidden="1" spans="1:7">
      <c r="A107" s="42" t="s">
        <v>171</v>
      </c>
      <c r="B107" s="38">
        <v>11</v>
      </c>
      <c r="C107" s="10">
        <v>2</v>
      </c>
      <c r="D107" t="s">
        <v>38</v>
      </c>
      <c r="E107" s="47">
        <v>1.53333333333333</v>
      </c>
      <c r="F107" s="11">
        <v>0</v>
      </c>
      <c r="G107" s="11"/>
    </row>
    <row r="108" hidden="1" spans="1:7">
      <c r="A108" s="43" t="s">
        <v>172</v>
      </c>
      <c r="B108" s="38">
        <v>11</v>
      </c>
      <c r="C108" s="10">
        <v>2</v>
      </c>
      <c r="D108" t="s">
        <v>40</v>
      </c>
      <c r="E108" s="47">
        <v>1.83333333333333</v>
      </c>
      <c r="F108" s="11">
        <v>0</v>
      </c>
      <c r="G108" s="11"/>
    </row>
    <row r="109" hidden="1" spans="1:7">
      <c r="A109" s="42" t="s">
        <v>173</v>
      </c>
      <c r="B109" s="38">
        <v>11</v>
      </c>
      <c r="C109" s="10">
        <v>2</v>
      </c>
      <c r="D109" t="s">
        <v>42</v>
      </c>
      <c r="E109" s="47">
        <v>3.2</v>
      </c>
      <c r="F109" s="11">
        <v>0</v>
      </c>
      <c r="G109" s="11"/>
    </row>
    <row r="110" hidden="1" spans="1:7">
      <c r="A110" s="43" t="s">
        <v>174</v>
      </c>
      <c r="B110" s="38">
        <v>11</v>
      </c>
      <c r="C110" s="10">
        <v>2</v>
      </c>
      <c r="D110" t="s">
        <v>44</v>
      </c>
      <c r="E110" s="47">
        <v>2.66666666666667</v>
      </c>
      <c r="F110" s="11">
        <v>0</v>
      </c>
      <c r="G110" s="11"/>
    </row>
    <row r="111" hidden="1" spans="1:7">
      <c r="A111" s="42" t="s">
        <v>175</v>
      </c>
      <c r="B111" s="38">
        <v>11</v>
      </c>
      <c r="C111" s="10">
        <v>2</v>
      </c>
      <c r="D111" t="s">
        <v>90</v>
      </c>
      <c r="E111" s="47">
        <v>2.23333333333333</v>
      </c>
      <c r="F111" s="11">
        <v>0</v>
      </c>
      <c r="G111" s="11"/>
    </row>
    <row r="112" hidden="1" spans="1:7">
      <c r="A112" s="43" t="s">
        <v>176</v>
      </c>
      <c r="B112" s="38">
        <v>11</v>
      </c>
      <c r="C112" s="10">
        <v>2</v>
      </c>
      <c r="D112" t="s">
        <v>46</v>
      </c>
      <c r="E112" s="47">
        <v>3.6</v>
      </c>
      <c r="F112" s="11">
        <v>0</v>
      </c>
      <c r="G112" s="11"/>
    </row>
    <row r="113" hidden="1" spans="1:7">
      <c r="A113" s="42" t="s">
        <v>177</v>
      </c>
      <c r="B113" s="38">
        <v>11</v>
      </c>
      <c r="C113" s="10">
        <v>2</v>
      </c>
      <c r="D113" t="s">
        <v>86</v>
      </c>
      <c r="E113" s="47">
        <v>3</v>
      </c>
      <c r="F113" s="11">
        <v>0</v>
      </c>
      <c r="G113" s="11"/>
    </row>
    <row r="114" hidden="1" spans="1:7">
      <c r="A114" s="43" t="s">
        <v>178</v>
      </c>
      <c r="B114" s="38">
        <v>11</v>
      </c>
      <c r="C114" s="10">
        <v>2</v>
      </c>
      <c r="D114" t="s">
        <v>50</v>
      </c>
      <c r="E114" s="47">
        <v>10</v>
      </c>
      <c r="F114" s="11">
        <v>0</v>
      </c>
      <c r="G114" s="11"/>
    </row>
    <row r="115" hidden="1" spans="1:11">
      <c r="A115" s="43" t="s">
        <v>179</v>
      </c>
      <c r="B115" s="38">
        <v>11</v>
      </c>
      <c r="C115" s="10">
        <v>2</v>
      </c>
      <c r="D115" t="s">
        <v>180</v>
      </c>
      <c r="E115" s="47">
        <v>4.66666666666667</v>
      </c>
      <c r="F115" s="11">
        <v>0</v>
      </c>
      <c r="G115" s="11">
        <v>0</v>
      </c>
      <c r="H115" s="11">
        <v>2</v>
      </c>
      <c r="I115" s="11">
        <v>895</v>
      </c>
      <c r="J115" t="s">
        <v>168</v>
      </c>
      <c r="K115">
        <v>0</v>
      </c>
    </row>
    <row r="116" hidden="1" spans="1:7">
      <c r="A116" s="42" t="s">
        <v>181</v>
      </c>
      <c r="B116" s="38">
        <v>12</v>
      </c>
      <c r="C116" s="10">
        <v>2</v>
      </c>
      <c r="D116" t="s">
        <v>36</v>
      </c>
      <c r="E116" s="47">
        <v>2.5</v>
      </c>
      <c r="F116" s="11">
        <v>0</v>
      </c>
      <c r="G116" s="11"/>
    </row>
    <row r="117" hidden="1" spans="1:7">
      <c r="A117" s="43" t="s">
        <v>182</v>
      </c>
      <c r="B117" s="38">
        <v>12</v>
      </c>
      <c r="C117" s="10">
        <v>2</v>
      </c>
      <c r="D117" t="s">
        <v>38</v>
      </c>
      <c r="E117" s="47">
        <v>2.3</v>
      </c>
      <c r="F117" s="11">
        <v>0</v>
      </c>
      <c r="G117" s="11"/>
    </row>
    <row r="118" hidden="1" spans="1:7">
      <c r="A118" s="42" t="s">
        <v>183</v>
      </c>
      <c r="B118" s="38">
        <v>12</v>
      </c>
      <c r="C118" s="10">
        <v>2</v>
      </c>
      <c r="D118" t="s">
        <v>40</v>
      </c>
      <c r="E118" s="47">
        <v>2.53333333333333</v>
      </c>
      <c r="F118" s="11">
        <v>0</v>
      </c>
      <c r="G118" s="11"/>
    </row>
    <row r="119" hidden="1" spans="1:7">
      <c r="A119" s="43" t="s">
        <v>184</v>
      </c>
      <c r="B119" s="38">
        <v>12</v>
      </c>
      <c r="C119" s="10">
        <v>2</v>
      </c>
      <c r="D119" t="s">
        <v>42</v>
      </c>
      <c r="E119" s="47">
        <v>1.93333333333333</v>
      </c>
      <c r="F119" s="11">
        <v>0</v>
      </c>
      <c r="G119" s="11"/>
    </row>
    <row r="120" hidden="1" spans="1:7">
      <c r="A120" s="42" t="s">
        <v>185</v>
      </c>
      <c r="B120" s="38">
        <v>12</v>
      </c>
      <c r="C120" s="10">
        <v>2</v>
      </c>
      <c r="D120" t="s">
        <v>44</v>
      </c>
      <c r="E120" s="47">
        <v>2.16666666666667</v>
      </c>
      <c r="F120" s="11">
        <v>0</v>
      </c>
      <c r="G120" s="11"/>
    </row>
    <row r="121" hidden="1" spans="1:7">
      <c r="A121" s="43" t="s">
        <v>186</v>
      </c>
      <c r="B121" s="38">
        <v>12</v>
      </c>
      <c r="C121" s="10">
        <v>2</v>
      </c>
      <c r="D121" t="s">
        <v>46</v>
      </c>
      <c r="E121" s="47">
        <v>1.86666666666667</v>
      </c>
      <c r="F121" s="11">
        <v>0</v>
      </c>
      <c r="G121" s="11"/>
    </row>
    <row r="122" hidden="1" spans="1:7">
      <c r="A122" s="42" t="s">
        <v>187</v>
      </c>
      <c r="B122" s="38">
        <v>12</v>
      </c>
      <c r="C122" s="10">
        <v>2</v>
      </c>
      <c r="D122" t="s">
        <v>86</v>
      </c>
      <c r="E122" s="47">
        <v>6.66666666666667</v>
      </c>
      <c r="F122" s="11">
        <v>0</v>
      </c>
      <c r="G122" s="11"/>
    </row>
    <row r="123" hidden="1" spans="1:7">
      <c r="A123" s="43" t="s">
        <v>188</v>
      </c>
      <c r="B123" s="38">
        <v>12</v>
      </c>
      <c r="C123" s="10">
        <v>2</v>
      </c>
      <c r="D123" t="s">
        <v>50</v>
      </c>
      <c r="E123" s="47">
        <v>4.83333333333333</v>
      </c>
      <c r="F123" s="11">
        <v>0</v>
      </c>
      <c r="G123" s="11"/>
    </row>
    <row r="124" hidden="1" spans="1:7">
      <c r="A124" s="42" t="s">
        <v>189</v>
      </c>
      <c r="B124" s="38">
        <v>13</v>
      </c>
      <c r="C124" s="10">
        <v>2</v>
      </c>
      <c r="D124" t="s">
        <v>36</v>
      </c>
      <c r="E124" s="47">
        <v>1.66666666666667</v>
      </c>
      <c r="F124" s="11">
        <v>0</v>
      </c>
      <c r="G124" s="11"/>
    </row>
    <row r="125" hidden="1" spans="1:7">
      <c r="A125" s="43" t="s">
        <v>190</v>
      </c>
      <c r="B125" s="38">
        <v>13</v>
      </c>
      <c r="C125" s="10">
        <v>2</v>
      </c>
      <c r="D125" t="s">
        <v>38</v>
      </c>
      <c r="E125" s="47">
        <v>2</v>
      </c>
      <c r="F125" s="11">
        <v>0</v>
      </c>
      <c r="G125" s="11"/>
    </row>
    <row r="126" hidden="1" spans="1:7">
      <c r="A126" s="42" t="s">
        <v>191</v>
      </c>
      <c r="B126" s="38">
        <v>13</v>
      </c>
      <c r="C126" s="10">
        <v>2</v>
      </c>
      <c r="D126" t="s">
        <v>40</v>
      </c>
      <c r="E126" s="47">
        <v>3.23333333333333</v>
      </c>
      <c r="F126" s="11">
        <v>0</v>
      </c>
      <c r="G126" s="11"/>
    </row>
    <row r="127" hidden="1" spans="1:7">
      <c r="A127" s="43" t="s">
        <v>192</v>
      </c>
      <c r="B127" s="38">
        <v>13</v>
      </c>
      <c r="C127" s="10">
        <v>2</v>
      </c>
      <c r="D127" t="s">
        <v>42</v>
      </c>
      <c r="E127" s="47">
        <v>2.13333333333333</v>
      </c>
      <c r="F127" s="11">
        <v>0</v>
      </c>
      <c r="G127" s="11"/>
    </row>
    <row r="128" hidden="1" spans="1:7">
      <c r="A128" s="42" t="s">
        <v>193</v>
      </c>
      <c r="B128" s="38">
        <v>13</v>
      </c>
      <c r="C128" s="10">
        <v>2</v>
      </c>
      <c r="D128" t="s">
        <v>44</v>
      </c>
      <c r="E128" s="47">
        <v>3.6</v>
      </c>
      <c r="F128" s="11">
        <v>0</v>
      </c>
      <c r="G128" s="11"/>
    </row>
    <row r="129" hidden="1" spans="1:7">
      <c r="A129" s="43" t="s">
        <v>194</v>
      </c>
      <c r="B129" s="38">
        <v>13</v>
      </c>
      <c r="C129" s="10">
        <v>2</v>
      </c>
      <c r="D129" t="s">
        <v>46</v>
      </c>
      <c r="E129" s="47">
        <v>2.36666666666667</v>
      </c>
      <c r="F129" s="11">
        <v>0</v>
      </c>
      <c r="G129" s="11"/>
    </row>
    <row r="130" hidden="1" spans="1:7">
      <c r="A130" s="42" t="s">
        <v>195</v>
      </c>
      <c r="B130" s="38">
        <v>13</v>
      </c>
      <c r="C130" s="10">
        <v>2</v>
      </c>
      <c r="D130" t="s">
        <v>86</v>
      </c>
      <c r="E130" s="47">
        <v>3.33333333333333</v>
      </c>
      <c r="F130" s="11">
        <v>0</v>
      </c>
      <c r="G130" s="11"/>
    </row>
    <row r="131" hidden="1" spans="1:7">
      <c r="A131" s="43" t="s">
        <v>196</v>
      </c>
      <c r="B131" s="38">
        <v>13</v>
      </c>
      <c r="C131" s="10">
        <v>2</v>
      </c>
      <c r="D131" t="s">
        <v>50</v>
      </c>
      <c r="E131" s="47">
        <v>5.7</v>
      </c>
      <c r="F131" s="11">
        <v>0</v>
      </c>
      <c r="G131" s="11"/>
    </row>
    <row r="132" hidden="1" spans="1:7">
      <c r="A132" s="42" t="s">
        <v>197</v>
      </c>
      <c r="B132" s="38">
        <v>14</v>
      </c>
      <c r="C132" s="10">
        <v>2</v>
      </c>
      <c r="D132" t="s">
        <v>36</v>
      </c>
      <c r="E132" s="47">
        <v>1.66666666666667</v>
      </c>
      <c r="F132" s="11">
        <v>0</v>
      </c>
      <c r="G132" s="11"/>
    </row>
    <row r="133" hidden="1" spans="1:8">
      <c r="A133" s="43" t="s">
        <v>198</v>
      </c>
      <c r="B133" s="38">
        <v>14</v>
      </c>
      <c r="C133" s="10">
        <v>2</v>
      </c>
      <c r="D133" t="s">
        <v>38</v>
      </c>
      <c r="E133" s="47">
        <v>1.4</v>
      </c>
      <c r="F133" s="11">
        <v>0</v>
      </c>
      <c r="G133" s="11"/>
      <c r="H133" s="11"/>
    </row>
    <row r="134" hidden="1" spans="1:8">
      <c r="A134" s="42" t="s">
        <v>199</v>
      </c>
      <c r="B134" s="38">
        <v>14</v>
      </c>
      <c r="C134" s="10">
        <v>2</v>
      </c>
      <c r="D134" t="s">
        <v>40</v>
      </c>
      <c r="E134" s="47">
        <v>1.4</v>
      </c>
      <c r="F134" s="11">
        <v>0</v>
      </c>
      <c r="G134" s="11"/>
      <c r="H134" s="11"/>
    </row>
    <row r="135" hidden="1" spans="1:8">
      <c r="A135" s="43" t="s">
        <v>200</v>
      </c>
      <c r="B135" s="38">
        <v>14</v>
      </c>
      <c r="C135" s="10">
        <v>2</v>
      </c>
      <c r="D135" t="s">
        <v>42</v>
      </c>
      <c r="E135" s="47">
        <v>2.16666666666667</v>
      </c>
      <c r="F135" s="11">
        <v>0</v>
      </c>
      <c r="G135" s="11"/>
      <c r="H135" s="11"/>
    </row>
    <row r="136" hidden="1" spans="1:8">
      <c r="A136" s="42" t="s">
        <v>201</v>
      </c>
      <c r="B136" s="38">
        <v>14</v>
      </c>
      <c r="C136" s="10">
        <v>2</v>
      </c>
      <c r="D136" t="s">
        <v>44</v>
      </c>
      <c r="E136" s="47">
        <v>1.66666666666667</v>
      </c>
      <c r="F136" s="11">
        <v>0</v>
      </c>
      <c r="G136" s="11"/>
      <c r="H136" s="11"/>
    </row>
    <row r="137" hidden="1" spans="1:8">
      <c r="A137" s="43" t="s">
        <v>202</v>
      </c>
      <c r="B137" s="38">
        <v>14</v>
      </c>
      <c r="C137" s="10">
        <v>2</v>
      </c>
      <c r="D137" t="s">
        <v>46</v>
      </c>
      <c r="E137" s="47">
        <v>9.33333333333333</v>
      </c>
      <c r="F137" s="11">
        <v>0</v>
      </c>
      <c r="G137" s="11"/>
      <c r="H137" s="11"/>
    </row>
    <row r="138" hidden="1" spans="1:11">
      <c r="A138" s="43" t="s">
        <v>203</v>
      </c>
      <c r="B138" s="38">
        <v>14</v>
      </c>
      <c r="C138" s="10">
        <v>2</v>
      </c>
      <c r="D138" t="s">
        <v>204</v>
      </c>
      <c r="E138" s="47">
        <f>105/30</f>
        <v>3.5</v>
      </c>
      <c r="F138" s="11">
        <v>0</v>
      </c>
      <c r="G138" s="11">
        <v>0</v>
      </c>
      <c r="H138" s="11">
        <v>2</v>
      </c>
      <c r="I138" s="11">
        <v>787</v>
      </c>
      <c r="J138" s="51" t="s">
        <v>205</v>
      </c>
      <c r="K138" s="51">
        <v>0</v>
      </c>
    </row>
    <row r="139" hidden="1" spans="1:9">
      <c r="A139" s="42" t="s">
        <v>206</v>
      </c>
      <c r="B139" s="38">
        <v>3009</v>
      </c>
      <c r="C139" s="10">
        <v>2</v>
      </c>
      <c r="D139" t="s">
        <v>86</v>
      </c>
      <c r="E139" s="47">
        <v>2.16666666666667</v>
      </c>
      <c r="F139" s="11">
        <v>0</v>
      </c>
      <c r="G139" s="11"/>
      <c r="H139" s="11"/>
      <c r="I139" s="11"/>
    </row>
    <row r="140" hidden="1" spans="1:9">
      <c r="A140" s="43" t="s">
        <v>207</v>
      </c>
      <c r="B140" s="38">
        <v>3009</v>
      </c>
      <c r="C140" s="10">
        <v>2</v>
      </c>
      <c r="D140" t="s">
        <v>50</v>
      </c>
      <c r="E140" s="47">
        <v>3.66666666666667</v>
      </c>
      <c r="F140" s="11">
        <v>0</v>
      </c>
      <c r="G140" s="11"/>
      <c r="H140" s="11"/>
      <c r="I140" s="11"/>
    </row>
    <row r="141" hidden="1" spans="1:9">
      <c r="A141" s="43" t="s">
        <v>208</v>
      </c>
      <c r="B141" s="38">
        <v>3009</v>
      </c>
      <c r="C141" s="10">
        <v>2</v>
      </c>
      <c r="D141" t="s">
        <v>135</v>
      </c>
      <c r="E141" s="47">
        <v>3.33333333333333</v>
      </c>
      <c r="F141" s="11">
        <v>0</v>
      </c>
      <c r="G141" s="11"/>
      <c r="H141" s="11"/>
      <c r="I141" s="11"/>
    </row>
    <row r="142" hidden="1" spans="1:7">
      <c r="A142" s="42" t="s">
        <v>209</v>
      </c>
      <c r="B142" s="38">
        <v>15</v>
      </c>
      <c r="C142" s="10">
        <v>2</v>
      </c>
      <c r="D142" t="s">
        <v>36</v>
      </c>
      <c r="E142" s="47">
        <v>2.16666666666667</v>
      </c>
      <c r="F142" s="11">
        <v>0</v>
      </c>
      <c r="G142" s="11"/>
    </row>
    <row r="143" hidden="1" spans="1:7">
      <c r="A143" s="43" t="s">
        <v>210</v>
      </c>
      <c r="B143" s="38">
        <v>15</v>
      </c>
      <c r="C143" s="10">
        <v>2</v>
      </c>
      <c r="D143" t="s">
        <v>38</v>
      </c>
      <c r="E143" s="47">
        <v>5</v>
      </c>
      <c r="F143" s="11">
        <v>0</v>
      </c>
      <c r="G143" s="11"/>
    </row>
    <row r="144" hidden="1" spans="1:7">
      <c r="A144" s="42" t="s">
        <v>211</v>
      </c>
      <c r="B144" s="38">
        <v>15</v>
      </c>
      <c r="C144" s="10">
        <v>2</v>
      </c>
      <c r="D144" t="s">
        <v>40</v>
      </c>
      <c r="E144" s="47">
        <v>2.5</v>
      </c>
      <c r="F144" s="11">
        <v>0</v>
      </c>
      <c r="G144" s="11"/>
    </row>
    <row r="145" hidden="1" spans="1:7">
      <c r="A145" s="43" t="s">
        <v>212</v>
      </c>
      <c r="B145" s="38">
        <v>15</v>
      </c>
      <c r="C145" s="10">
        <v>2</v>
      </c>
      <c r="D145" t="s">
        <v>42</v>
      </c>
      <c r="E145" s="47">
        <v>2.26666666666667</v>
      </c>
      <c r="F145" s="11">
        <v>0</v>
      </c>
      <c r="G145" s="11"/>
    </row>
    <row r="146" hidden="1" spans="1:7">
      <c r="A146" s="42" t="s">
        <v>213</v>
      </c>
      <c r="B146" s="38">
        <v>15</v>
      </c>
      <c r="C146" s="10">
        <v>2</v>
      </c>
      <c r="D146" t="s">
        <v>44</v>
      </c>
      <c r="E146" s="47">
        <v>2.5</v>
      </c>
      <c r="F146" s="11">
        <v>0</v>
      </c>
      <c r="G146" s="11"/>
    </row>
    <row r="147" hidden="1" spans="1:7">
      <c r="A147" s="43" t="s">
        <v>214</v>
      </c>
      <c r="B147" s="38">
        <v>15</v>
      </c>
      <c r="C147" s="10">
        <v>2</v>
      </c>
      <c r="D147" t="s">
        <v>46</v>
      </c>
      <c r="E147" s="47">
        <v>9</v>
      </c>
      <c r="F147" s="11">
        <v>0</v>
      </c>
      <c r="G147" s="11"/>
    </row>
    <row r="148" hidden="1" spans="1:7">
      <c r="A148" s="42" t="s">
        <v>215</v>
      </c>
      <c r="B148" s="38">
        <v>15</v>
      </c>
      <c r="C148" s="10">
        <v>2</v>
      </c>
      <c r="D148" t="s">
        <v>86</v>
      </c>
      <c r="E148" s="47">
        <v>1.66666666666667</v>
      </c>
      <c r="F148" s="11">
        <v>0</v>
      </c>
      <c r="G148" s="11"/>
    </row>
    <row r="149" hidden="1" spans="1:7">
      <c r="A149" s="43" t="s">
        <v>216</v>
      </c>
      <c r="B149" s="38">
        <v>15</v>
      </c>
      <c r="C149" s="10">
        <v>2</v>
      </c>
      <c r="D149" t="s">
        <v>50</v>
      </c>
      <c r="E149" s="47">
        <v>3.4</v>
      </c>
      <c r="F149" s="11">
        <v>0</v>
      </c>
      <c r="G149" s="11"/>
    </row>
    <row r="150" hidden="1" spans="1:7">
      <c r="A150" s="43" t="s">
        <v>217</v>
      </c>
      <c r="B150" s="38">
        <v>15</v>
      </c>
      <c r="C150" s="10">
        <v>2</v>
      </c>
      <c r="D150" t="s">
        <v>218</v>
      </c>
      <c r="E150">
        <v>2.33333333333333</v>
      </c>
      <c r="F150" s="11">
        <v>0</v>
      </c>
      <c r="G150" s="11"/>
    </row>
    <row r="151" hidden="1" spans="1:7">
      <c r="A151" s="43" t="s">
        <v>219</v>
      </c>
      <c r="B151" s="38">
        <v>15</v>
      </c>
      <c r="C151" s="10">
        <v>2</v>
      </c>
      <c r="D151" t="s">
        <v>109</v>
      </c>
      <c r="E151">
        <v>2.66666666666667</v>
      </c>
      <c r="F151" s="11">
        <v>0</v>
      </c>
      <c r="G151" s="11"/>
    </row>
    <row r="152" hidden="1" spans="1:7">
      <c r="A152" s="43" t="s">
        <v>220</v>
      </c>
      <c r="B152" s="38">
        <v>15</v>
      </c>
      <c r="C152" s="10">
        <v>2</v>
      </c>
      <c r="D152" t="s">
        <v>97</v>
      </c>
      <c r="E152">
        <v>1.86666666666667</v>
      </c>
      <c r="F152" s="11">
        <v>0</v>
      </c>
      <c r="G152" s="11"/>
    </row>
    <row r="153" hidden="1" spans="1:7">
      <c r="A153" s="43" t="s">
        <v>221</v>
      </c>
      <c r="B153" s="38">
        <v>15</v>
      </c>
      <c r="C153" s="10">
        <v>2</v>
      </c>
      <c r="D153" t="s">
        <v>77</v>
      </c>
      <c r="E153">
        <v>2</v>
      </c>
      <c r="F153" s="11">
        <v>0</v>
      </c>
      <c r="G153" s="11"/>
    </row>
    <row r="154" hidden="1" spans="1:7">
      <c r="A154" s="43" t="s">
        <v>222</v>
      </c>
      <c r="B154" s="38">
        <v>15</v>
      </c>
      <c r="C154" s="10">
        <v>2</v>
      </c>
      <c r="D154" t="s">
        <v>54</v>
      </c>
      <c r="E154">
        <v>2.33333333333333</v>
      </c>
      <c r="F154" s="11">
        <v>0</v>
      </c>
      <c r="G154" s="11"/>
    </row>
    <row r="155" hidden="1" spans="1:7">
      <c r="A155" s="42" t="s">
        <v>223</v>
      </c>
      <c r="B155" s="38">
        <v>16</v>
      </c>
      <c r="C155" s="10">
        <v>2</v>
      </c>
      <c r="D155" t="s">
        <v>36</v>
      </c>
      <c r="E155">
        <v>0.0666666666666667</v>
      </c>
      <c r="F155" s="11">
        <v>0</v>
      </c>
      <c r="G155" s="11"/>
    </row>
    <row r="156" hidden="1" spans="1:7">
      <c r="A156" s="43" t="s">
        <v>224</v>
      </c>
      <c r="B156" s="38">
        <v>16</v>
      </c>
      <c r="C156" s="10">
        <v>2</v>
      </c>
      <c r="D156" t="s">
        <v>38</v>
      </c>
      <c r="E156" s="47">
        <v>1.73333333333333</v>
      </c>
      <c r="F156" s="11">
        <v>0</v>
      </c>
      <c r="G156" s="11"/>
    </row>
    <row r="157" hidden="1" spans="1:7">
      <c r="A157" s="42" t="s">
        <v>225</v>
      </c>
      <c r="B157" s="38">
        <v>16</v>
      </c>
      <c r="C157" s="10">
        <v>2</v>
      </c>
      <c r="D157" t="s">
        <v>40</v>
      </c>
      <c r="E157" s="47">
        <v>1.66666666666667</v>
      </c>
      <c r="F157" s="11">
        <v>0</v>
      </c>
      <c r="G157" s="11"/>
    </row>
    <row r="158" hidden="1" spans="1:7">
      <c r="A158" s="43" t="s">
        <v>226</v>
      </c>
      <c r="B158" s="38">
        <v>16</v>
      </c>
      <c r="C158" s="10">
        <v>2</v>
      </c>
      <c r="D158" t="s">
        <v>42</v>
      </c>
      <c r="E158" s="47">
        <v>4.33333333333333</v>
      </c>
      <c r="F158" s="11" t="s">
        <v>227</v>
      </c>
      <c r="G158" s="11"/>
    </row>
    <row r="159" hidden="1" spans="1:12">
      <c r="A159" s="42" t="s">
        <v>228</v>
      </c>
      <c r="B159" s="38">
        <v>16</v>
      </c>
      <c r="C159" s="10">
        <v>2</v>
      </c>
      <c r="D159" t="s">
        <v>44</v>
      </c>
      <c r="E159" s="47">
        <v>4.66666666666667</v>
      </c>
      <c r="F159" s="11">
        <v>0</v>
      </c>
      <c r="G159" s="11">
        <v>0</v>
      </c>
      <c r="L159" s="4" t="s">
        <v>229</v>
      </c>
    </row>
    <row r="160" hidden="1" spans="1:7">
      <c r="A160" s="43" t="s">
        <v>230</v>
      </c>
      <c r="B160" s="38">
        <v>16</v>
      </c>
      <c r="C160" s="10">
        <v>2</v>
      </c>
      <c r="D160" t="s">
        <v>46</v>
      </c>
      <c r="E160" s="47">
        <v>3.16666666666667</v>
      </c>
      <c r="F160" s="11">
        <v>0</v>
      </c>
      <c r="G160" s="11"/>
    </row>
    <row r="161" hidden="1" spans="1:7">
      <c r="A161" s="42" t="s">
        <v>231</v>
      </c>
      <c r="B161" s="38">
        <v>16</v>
      </c>
      <c r="C161" s="10">
        <v>2</v>
      </c>
      <c r="D161" t="s">
        <v>86</v>
      </c>
      <c r="E161" s="47">
        <v>6</v>
      </c>
      <c r="F161" s="11">
        <v>0</v>
      </c>
      <c r="G161" s="11"/>
    </row>
    <row r="162" hidden="1" spans="1:7">
      <c r="A162" s="43" t="s">
        <v>232</v>
      </c>
      <c r="B162" s="38">
        <v>16</v>
      </c>
      <c r="C162" s="10">
        <v>2</v>
      </c>
      <c r="D162" t="s">
        <v>50</v>
      </c>
      <c r="E162" s="47">
        <v>9.66666666666667</v>
      </c>
      <c r="F162" s="11">
        <v>0</v>
      </c>
      <c r="G162" s="11"/>
    </row>
    <row r="163" hidden="1" spans="1:12">
      <c r="A163" s="43" t="s">
        <v>233</v>
      </c>
      <c r="B163" s="38">
        <v>16</v>
      </c>
      <c r="C163" s="10">
        <v>2</v>
      </c>
      <c r="D163" t="s">
        <v>90</v>
      </c>
      <c r="E163" s="49">
        <v>10.2</v>
      </c>
      <c r="F163" s="11">
        <v>0</v>
      </c>
      <c r="G163" s="11">
        <v>0</v>
      </c>
      <c r="L163" s="4" t="s">
        <v>234</v>
      </c>
    </row>
    <row r="164" hidden="1" spans="1:12">
      <c r="A164" s="43" t="s">
        <v>235</v>
      </c>
      <c r="B164" s="38">
        <v>16</v>
      </c>
      <c r="C164" s="10">
        <v>2</v>
      </c>
      <c r="D164" t="s">
        <v>236</v>
      </c>
      <c r="E164" s="47">
        <f>80/30</f>
        <v>2.66666666666667</v>
      </c>
      <c r="F164" s="11">
        <v>0</v>
      </c>
      <c r="G164" s="11">
        <v>0</v>
      </c>
      <c r="H164" s="11">
        <v>1</v>
      </c>
      <c r="I164" s="11">
        <v>857</v>
      </c>
      <c r="J164" t="s">
        <v>237</v>
      </c>
      <c r="K164">
        <v>0</v>
      </c>
      <c r="L164" s="4"/>
    </row>
    <row r="165" hidden="1" spans="1:12">
      <c r="A165" s="43" t="s">
        <v>238</v>
      </c>
      <c r="B165" s="38">
        <v>16</v>
      </c>
      <c r="C165" s="10">
        <v>2</v>
      </c>
      <c r="D165" t="s">
        <v>60</v>
      </c>
      <c r="E165" s="47">
        <v>2</v>
      </c>
      <c r="F165" s="11">
        <v>0</v>
      </c>
      <c r="G165" s="11" t="s">
        <v>61</v>
      </c>
      <c r="H165" s="11" t="s">
        <v>62</v>
      </c>
      <c r="I165" s="11" t="s">
        <v>239</v>
      </c>
      <c r="J165" s="11" t="s">
        <v>240</v>
      </c>
      <c r="K165" s="11" t="s">
        <v>61</v>
      </c>
      <c r="L165" s="4" t="s">
        <v>241</v>
      </c>
    </row>
    <row r="166" hidden="1" spans="1:9">
      <c r="A166" s="42" t="s">
        <v>242</v>
      </c>
      <c r="B166" s="38">
        <v>17</v>
      </c>
      <c r="C166" s="10">
        <v>2</v>
      </c>
      <c r="D166" t="s">
        <v>36</v>
      </c>
      <c r="E166" s="11">
        <v>3.2</v>
      </c>
      <c r="F166" s="11">
        <v>0</v>
      </c>
      <c r="G166" s="11"/>
      <c r="I166" s="11"/>
    </row>
    <row r="167" hidden="1" spans="1:7">
      <c r="A167" s="43" t="s">
        <v>243</v>
      </c>
      <c r="B167" s="38">
        <v>17</v>
      </c>
      <c r="C167" s="10">
        <v>2</v>
      </c>
      <c r="D167" t="s">
        <v>38</v>
      </c>
      <c r="E167" s="11">
        <v>1.33333333333333</v>
      </c>
      <c r="F167" s="11">
        <v>0</v>
      </c>
      <c r="G167" s="11"/>
    </row>
    <row r="168" hidden="1" spans="1:7">
      <c r="A168" s="42" t="s">
        <v>244</v>
      </c>
      <c r="B168" s="38">
        <v>17</v>
      </c>
      <c r="C168" s="10">
        <v>2</v>
      </c>
      <c r="D168" t="s">
        <v>40</v>
      </c>
      <c r="E168" s="11">
        <v>2.83333333333333</v>
      </c>
      <c r="F168" s="11">
        <v>0</v>
      </c>
      <c r="G168" s="11"/>
    </row>
    <row r="169" hidden="1" spans="1:7">
      <c r="A169" s="43" t="s">
        <v>245</v>
      </c>
      <c r="B169" s="38">
        <v>17</v>
      </c>
      <c r="C169" s="10">
        <v>2</v>
      </c>
      <c r="D169" t="s">
        <v>42</v>
      </c>
      <c r="E169" s="11">
        <v>3.93333333333333</v>
      </c>
      <c r="F169" s="11">
        <v>0</v>
      </c>
      <c r="G169" s="11"/>
    </row>
    <row r="170" hidden="1" spans="1:7">
      <c r="A170" s="42" t="s">
        <v>246</v>
      </c>
      <c r="B170" s="38">
        <v>17</v>
      </c>
      <c r="C170" s="10">
        <v>2</v>
      </c>
      <c r="D170" t="s">
        <v>247</v>
      </c>
      <c r="E170" s="11">
        <v>2.06666666666667</v>
      </c>
      <c r="F170" s="11">
        <v>0</v>
      </c>
      <c r="G170" s="11"/>
    </row>
    <row r="171" hidden="1" spans="1:7">
      <c r="A171" s="43" t="s">
        <v>248</v>
      </c>
      <c r="B171" s="38">
        <v>3007</v>
      </c>
      <c r="C171" s="10">
        <v>2</v>
      </c>
      <c r="D171" t="s">
        <v>44</v>
      </c>
      <c r="E171" s="11">
        <v>10.6666666666667</v>
      </c>
      <c r="F171" s="11">
        <v>0</v>
      </c>
      <c r="G171" s="11"/>
    </row>
    <row r="172" hidden="1" spans="1:7">
      <c r="A172" s="42" t="s">
        <v>249</v>
      </c>
      <c r="B172" s="38">
        <v>3007</v>
      </c>
      <c r="C172" s="10">
        <v>2</v>
      </c>
      <c r="D172" t="s">
        <v>46</v>
      </c>
      <c r="E172" s="11">
        <v>3.66666666666667</v>
      </c>
      <c r="F172" s="11">
        <v>0</v>
      </c>
      <c r="G172" s="11"/>
    </row>
    <row r="173" hidden="1" spans="1:7">
      <c r="A173" s="43" t="s">
        <v>250</v>
      </c>
      <c r="B173" s="38">
        <v>3007</v>
      </c>
      <c r="C173" s="10">
        <v>2</v>
      </c>
      <c r="D173" t="s">
        <v>86</v>
      </c>
      <c r="E173" s="11">
        <v>1.33333333333333</v>
      </c>
      <c r="F173" s="11">
        <v>0</v>
      </c>
      <c r="G173" s="11"/>
    </row>
    <row r="174" hidden="1" spans="1:7">
      <c r="A174" s="43" t="s">
        <v>251</v>
      </c>
      <c r="B174" s="38">
        <v>3007</v>
      </c>
      <c r="C174" s="10">
        <v>2</v>
      </c>
      <c r="D174" t="s">
        <v>252</v>
      </c>
      <c r="E174" s="11">
        <v>2.73333333333333</v>
      </c>
      <c r="F174" s="11">
        <v>0</v>
      </c>
      <c r="G174" s="11"/>
    </row>
    <row r="175" hidden="1" spans="1:7">
      <c r="A175" s="42" t="s">
        <v>253</v>
      </c>
      <c r="B175" s="38">
        <v>18</v>
      </c>
      <c r="C175" s="10">
        <v>2</v>
      </c>
      <c r="D175" t="s">
        <v>36</v>
      </c>
      <c r="E175">
        <v>2.66666666666667</v>
      </c>
      <c r="F175" s="11">
        <v>0</v>
      </c>
      <c r="G175" s="11"/>
    </row>
    <row r="176" hidden="1" spans="1:7">
      <c r="A176" s="43" t="s">
        <v>254</v>
      </c>
      <c r="B176" s="38">
        <v>18</v>
      </c>
      <c r="C176" s="10">
        <v>2</v>
      </c>
      <c r="D176" t="s">
        <v>38</v>
      </c>
      <c r="E176">
        <v>2.33333333333333</v>
      </c>
      <c r="F176" s="11">
        <v>0</v>
      </c>
      <c r="G176" s="11"/>
    </row>
    <row r="177" hidden="1" spans="1:7">
      <c r="A177" s="42" t="s">
        <v>255</v>
      </c>
      <c r="B177" s="38">
        <v>18</v>
      </c>
      <c r="C177" s="10">
        <v>2</v>
      </c>
      <c r="D177" t="s">
        <v>40</v>
      </c>
      <c r="E177">
        <v>2.33333333333333</v>
      </c>
      <c r="F177" s="11">
        <v>0</v>
      </c>
      <c r="G177" s="11"/>
    </row>
    <row r="178" hidden="1" spans="1:7">
      <c r="A178" s="43" t="s">
        <v>256</v>
      </c>
      <c r="B178" s="38">
        <v>19</v>
      </c>
      <c r="C178" s="10">
        <v>2</v>
      </c>
      <c r="D178" t="s">
        <v>36</v>
      </c>
      <c r="E178">
        <v>1.2</v>
      </c>
      <c r="F178" s="11">
        <v>0</v>
      </c>
      <c r="G178" s="11"/>
    </row>
    <row r="179" hidden="1" spans="1:7">
      <c r="A179" s="42" t="s">
        <v>257</v>
      </c>
      <c r="B179" s="38">
        <v>19</v>
      </c>
      <c r="C179" s="10">
        <v>2</v>
      </c>
      <c r="D179" t="s">
        <v>38</v>
      </c>
      <c r="E179">
        <v>1.6</v>
      </c>
      <c r="F179" s="11">
        <v>0</v>
      </c>
      <c r="G179" s="11"/>
    </row>
    <row r="180" hidden="1" spans="1:7">
      <c r="A180" s="43" t="s">
        <v>258</v>
      </c>
      <c r="B180" s="38">
        <v>19</v>
      </c>
      <c r="C180" s="10">
        <v>2</v>
      </c>
      <c r="D180" t="s">
        <v>40</v>
      </c>
      <c r="E180">
        <v>4.33333333333333</v>
      </c>
      <c r="F180" s="11">
        <v>0</v>
      </c>
      <c r="G180" s="11"/>
    </row>
    <row r="181" hidden="1" spans="1:7">
      <c r="A181" s="42" t="s">
        <v>259</v>
      </c>
      <c r="B181" s="38">
        <v>19</v>
      </c>
      <c r="C181" s="10">
        <v>2</v>
      </c>
      <c r="D181" t="s">
        <v>42</v>
      </c>
      <c r="E181">
        <v>7.83333333333333</v>
      </c>
      <c r="F181" s="11">
        <v>0</v>
      </c>
      <c r="G181" s="11"/>
    </row>
    <row r="182" hidden="1" spans="1:7">
      <c r="A182" s="42" t="s">
        <v>260</v>
      </c>
      <c r="B182" s="38">
        <v>19</v>
      </c>
      <c r="C182" s="10">
        <v>2</v>
      </c>
      <c r="D182" t="s">
        <v>261</v>
      </c>
      <c r="E182">
        <v>0.6</v>
      </c>
      <c r="F182" s="11">
        <v>1</v>
      </c>
      <c r="G182" s="11"/>
    </row>
    <row r="183" hidden="1" spans="1:7">
      <c r="A183" s="42" t="s">
        <v>262</v>
      </c>
      <c r="B183" s="38">
        <v>19</v>
      </c>
      <c r="C183" s="10">
        <v>2</v>
      </c>
      <c r="D183" t="s">
        <v>236</v>
      </c>
      <c r="E183">
        <v>3.16666666666667</v>
      </c>
      <c r="F183" s="11">
        <v>0</v>
      </c>
      <c r="G183" s="11"/>
    </row>
    <row r="184" hidden="1" spans="1:7">
      <c r="A184" s="42" t="s">
        <v>263</v>
      </c>
      <c r="B184" s="38">
        <v>19</v>
      </c>
      <c r="C184" s="10">
        <v>2</v>
      </c>
      <c r="D184" t="s">
        <v>264</v>
      </c>
      <c r="E184">
        <v>2</v>
      </c>
      <c r="F184" s="11">
        <v>1</v>
      </c>
      <c r="G184" s="11"/>
    </row>
    <row r="185" hidden="1" spans="1:7">
      <c r="A185" s="42" t="s">
        <v>265</v>
      </c>
      <c r="B185" s="38">
        <v>19</v>
      </c>
      <c r="C185" s="10">
        <v>2</v>
      </c>
      <c r="D185" t="s">
        <v>266</v>
      </c>
      <c r="E185">
        <v>1.06666666666667</v>
      </c>
      <c r="F185" s="11">
        <v>0</v>
      </c>
      <c r="G185" s="11"/>
    </row>
    <row r="186" hidden="1" spans="1:7">
      <c r="A186" s="42" t="s">
        <v>267</v>
      </c>
      <c r="B186" s="38">
        <v>19</v>
      </c>
      <c r="C186" s="10">
        <v>2</v>
      </c>
      <c r="D186" t="s">
        <v>268</v>
      </c>
      <c r="E186">
        <v>3.5</v>
      </c>
      <c r="F186" s="11">
        <v>0</v>
      </c>
      <c r="G186" s="11"/>
    </row>
    <row r="187" hidden="1" spans="1:7">
      <c r="A187" s="42" t="s">
        <v>269</v>
      </c>
      <c r="B187" s="38">
        <v>19</v>
      </c>
      <c r="C187" s="10">
        <v>2</v>
      </c>
      <c r="D187" t="s">
        <v>270</v>
      </c>
      <c r="E187">
        <v>1.66666666666667</v>
      </c>
      <c r="F187" s="11">
        <v>0</v>
      </c>
      <c r="G187" s="11"/>
    </row>
    <row r="188" hidden="1" spans="1:7">
      <c r="A188" s="42" t="s">
        <v>271</v>
      </c>
      <c r="B188" s="38">
        <v>19</v>
      </c>
      <c r="C188" s="10">
        <v>2</v>
      </c>
      <c r="D188" t="s">
        <v>272</v>
      </c>
      <c r="E188">
        <f>32/30</f>
        <v>1.06666666666667</v>
      </c>
      <c r="F188" s="11">
        <v>0</v>
      </c>
      <c r="G188" s="11"/>
    </row>
    <row r="189" hidden="1" spans="1:7">
      <c r="A189" s="42" t="s">
        <v>273</v>
      </c>
      <c r="B189" s="38">
        <v>19</v>
      </c>
      <c r="C189" s="10">
        <v>2</v>
      </c>
      <c r="D189" t="s">
        <v>60</v>
      </c>
      <c r="E189">
        <v>2</v>
      </c>
      <c r="F189" s="11">
        <v>0</v>
      </c>
      <c r="G189" s="11"/>
    </row>
    <row r="190" hidden="1" spans="1:7">
      <c r="A190" s="43" t="s">
        <v>274</v>
      </c>
      <c r="B190" s="38">
        <v>20</v>
      </c>
      <c r="C190" s="10">
        <v>2</v>
      </c>
      <c r="D190" t="s">
        <v>36</v>
      </c>
      <c r="E190">
        <v>3.23333333333333</v>
      </c>
      <c r="F190" s="11">
        <v>0</v>
      </c>
      <c r="G190" s="11"/>
    </row>
    <row r="191" hidden="1" spans="1:7">
      <c r="A191" s="42" t="s">
        <v>275</v>
      </c>
      <c r="B191" s="38">
        <v>20</v>
      </c>
      <c r="C191" s="10">
        <v>2</v>
      </c>
      <c r="D191" t="s">
        <v>38</v>
      </c>
      <c r="E191" s="50">
        <v>6.66666666666667</v>
      </c>
      <c r="F191" s="11">
        <v>0</v>
      </c>
      <c r="G191" s="11"/>
    </row>
    <row r="192" hidden="1" spans="1:7">
      <c r="A192" s="43" t="s">
        <v>276</v>
      </c>
      <c r="B192" s="38">
        <v>20</v>
      </c>
      <c r="C192" s="10">
        <v>2</v>
      </c>
      <c r="D192" t="s">
        <v>40</v>
      </c>
      <c r="E192">
        <v>3.06666666666667</v>
      </c>
      <c r="F192" s="11">
        <v>0</v>
      </c>
      <c r="G192" s="11"/>
    </row>
    <row r="193" hidden="1" spans="1:7">
      <c r="A193" s="42" t="s">
        <v>277</v>
      </c>
      <c r="B193" s="38">
        <v>20</v>
      </c>
      <c r="C193" s="10">
        <v>2</v>
      </c>
      <c r="D193" t="s">
        <v>42</v>
      </c>
      <c r="E193">
        <v>5.33333333333333</v>
      </c>
      <c r="F193" s="11">
        <v>0</v>
      </c>
      <c r="G193" s="11"/>
    </row>
    <row r="194" hidden="1" spans="1:7">
      <c r="A194" s="42" t="s">
        <v>278</v>
      </c>
      <c r="B194" s="38">
        <v>21</v>
      </c>
      <c r="C194" s="10">
        <v>2</v>
      </c>
      <c r="D194" t="s">
        <v>36</v>
      </c>
      <c r="E194">
        <v>3.33333333333333</v>
      </c>
      <c r="F194" s="11">
        <v>0</v>
      </c>
      <c r="G194" s="11"/>
    </row>
    <row r="195" hidden="1" spans="1:7">
      <c r="A195" s="43" t="s">
        <v>279</v>
      </c>
      <c r="B195" s="38">
        <v>21</v>
      </c>
      <c r="C195" s="10">
        <v>2</v>
      </c>
      <c r="D195" t="s">
        <v>38</v>
      </c>
      <c r="E195">
        <v>1.33333333333333</v>
      </c>
      <c r="F195" s="11">
        <v>0</v>
      </c>
      <c r="G195" s="11"/>
    </row>
    <row r="196" hidden="1" spans="1:7">
      <c r="A196" s="42" t="s">
        <v>280</v>
      </c>
      <c r="B196" s="38">
        <v>21</v>
      </c>
      <c r="C196" s="10">
        <v>2</v>
      </c>
      <c r="D196" t="s">
        <v>40</v>
      </c>
      <c r="E196">
        <v>2.16666666666667</v>
      </c>
      <c r="F196" s="11">
        <v>0</v>
      </c>
      <c r="G196" s="11"/>
    </row>
    <row r="197" hidden="1" spans="1:7">
      <c r="A197" s="43" t="s">
        <v>281</v>
      </c>
      <c r="B197" s="38">
        <v>21</v>
      </c>
      <c r="C197" s="10">
        <v>2</v>
      </c>
      <c r="D197" t="s">
        <v>42</v>
      </c>
      <c r="E197">
        <v>3.16666666666667</v>
      </c>
      <c r="F197" s="11">
        <v>0</v>
      </c>
      <c r="G197" s="11"/>
    </row>
    <row r="198" hidden="1" spans="1:7">
      <c r="A198" s="42" t="s">
        <v>282</v>
      </c>
      <c r="B198" s="38">
        <v>21</v>
      </c>
      <c r="C198" s="10">
        <v>2</v>
      </c>
      <c r="D198" t="s">
        <v>44</v>
      </c>
      <c r="E198">
        <v>0.8</v>
      </c>
      <c r="F198" s="11">
        <v>0</v>
      </c>
      <c r="G198" s="11"/>
    </row>
    <row r="199" hidden="1" spans="1:7">
      <c r="A199" s="42" t="s">
        <v>283</v>
      </c>
      <c r="B199" s="38">
        <v>22</v>
      </c>
      <c r="C199" s="10">
        <v>2</v>
      </c>
      <c r="D199" t="s">
        <v>36</v>
      </c>
      <c r="E199">
        <v>1.06666666666667</v>
      </c>
      <c r="F199" s="11">
        <v>0</v>
      </c>
      <c r="G199" s="11"/>
    </row>
    <row r="200" hidden="1" spans="1:7">
      <c r="A200" s="43" t="s">
        <v>284</v>
      </c>
      <c r="B200" s="38">
        <v>22</v>
      </c>
      <c r="C200" s="10">
        <v>2</v>
      </c>
      <c r="D200" t="s">
        <v>38</v>
      </c>
      <c r="E200">
        <v>2.33333333333333</v>
      </c>
      <c r="F200" s="11">
        <v>0</v>
      </c>
      <c r="G200" s="11"/>
    </row>
    <row r="201" hidden="1" spans="1:7">
      <c r="A201" s="42" t="s">
        <v>285</v>
      </c>
      <c r="B201" s="38">
        <v>22</v>
      </c>
      <c r="C201" s="10">
        <v>2</v>
      </c>
      <c r="D201" t="s">
        <v>40</v>
      </c>
      <c r="E201">
        <v>1.83333333333333</v>
      </c>
      <c r="F201" s="11">
        <v>0</v>
      </c>
      <c r="G201" s="11"/>
    </row>
    <row r="202" s="11" customFormat="1" hidden="1" spans="1:6">
      <c r="A202" s="43" t="s">
        <v>286</v>
      </c>
      <c r="B202" s="11">
        <v>1001</v>
      </c>
      <c r="C202" s="11">
        <v>3</v>
      </c>
      <c r="D202" s="11" t="s">
        <v>36</v>
      </c>
      <c r="E202" s="11">
        <v>1.46666666666667</v>
      </c>
      <c r="F202" s="11">
        <v>0</v>
      </c>
    </row>
    <row r="203" s="11" customFormat="1" hidden="1" spans="1:6">
      <c r="A203" s="43" t="s">
        <v>287</v>
      </c>
      <c r="B203" s="11">
        <v>1002</v>
      </c>
      <c r="C203" s="11">
        <v>3</v>
      </c>
      <c r="D203" s="11" t="s">
        <v>36</v>
      </c>
      <c r="E203" s="11">
        <v>2</v>
      </c>
      <c r="F203" s="11">
        <v>0</v>
      </c>
    </row>
    <row r="204" s="11" customFormat="1" hidden="1" spans="1:6">
      <c r="A204" s="43" t="s">
        <v>288</v>
      </c>
      <c r="B204" s="11">
        <v>1003</v>
      </c>
      <c r="C204" s="11">
        <v>3</v>
      </c>
      <c r="D204" s="11" t="s">
        <v>36</v>
      </c>
      <c r="E204" s="11">
        <v>2.5</v>
      </c>
      <c r="F204" s="11">
        <v>0</v>
      </c>
    </row>
    <row r="205" s="11" customFormat="1" hidden="1" spans="1:6">
      <c r="A205" s="43" t="s">
        <v>289</v>
      </c>
      <c r="B205" s="11">
        <v>1004</v>
      </c>
      <c r="C205" s="11">
        <v>3</v>
      </c>
      <c r="D205" s="11" t="s">
        <v>36</v>
      </c>
      <c r="E205" s="11">
        <v>1.2</v>
      </c>
      <c r="F205" s="11">
        <v>0</v>
      </c>
    </row>
    <row r="206" hidden="1" spans="1:7">
      <c r="A206" s="43" t="s">
        <v>290</v>
      </c>
      <c r="B206" s="38">
        <v>1005</v>
      </c>
      <c r="C206" s="10">
        <v>2</v>
      </c>
      <c r="D206" t="s">
        <v>36</v>
      </c>
      <c r="E206">
        <v>1.8</v>
      </c>
      <c r="F206" s="11">
        <v>0</v>
      </c>
      <c r="G206" s="11"/>
    </row>
    <row r="207" hidden="1" spans="1:7">
      <c r="A207" s="42" t="s">
        <v>291</v>
      </c>
      <c r="B207" s="38">
        <v>1006</v>
      </c>
      <c r="C207" s="10">
        <v>2</v>
      </c>
      <c r="D207" t="s">
        <v>36</v>
      </c>
      <c r="E207">
        <v>1.86666666666667</v>
      </c>
      <c r="F207" s="11">
        <v>0</v>
      </c>
      <c r="G207" s="11"/>
    </row>
    <row r="208" hidden="1" spans="1:7">
      <c r="A208" s="43" t="s">
        <v>292</v>
      </c>
      <c r="B208" s="38">
        <v>1006</v>
      </c>
      <c r="C208" s="10">
        <v>2</v>
      </c>
      <c r="D208" t="s">
        <v>38</v>
      </c>
      <c r="E208">
        <v>1.66666666666667</v>
      </c>
      <c r="F208" s="11">
        <v>0</v>
      </c>
      <c r="G208" s="11"/>
    </row>
    <row r="209" hidden="1" spans="1:7">
      <c r="A209" s="43" t="s">
        <v>293</v>
      </c>
      <c r="B209" s="38">
        <v>1007</v>
      </c>
      <c r="C209" s="10">
        <v>2</v>
      </c>
      <c r="D209" t="s">
        <v>36</v>
      </c>
      <c r="E209">
        <v>1.16666666666667</v>
      </c>
      <c r="F209" s="11">
        <v>0</v>
      </c>
      <c r="G209" s="11"/>
    </row>
    <row r="210" hidden="1" spans="1:11">
      <c r="A210" s="2" t="s">
        <v>294</v>
      </c>
      <c r="B210" s="3">
        <v>3001</v>
      </c>
      <c r="C210" s="10">
        <v>2</v>
      </c>
      <c r="D210" t="s">
        <v>295</v>
      </c>
      <c r="E210">
        <v>1.66667</v>
      </c>
      <c r="F210" s="11">
        <v>0</v>
      </c>
      <c r="G210" s="11" t="s">
        <v>61</v>
      </c>
      <c r="H210" t="s">
        <v>95</v>
      </c>
      <c r="I210" t="s">
        <v>296</v>
      </c>
      <c r="J210" t="s">
        <v>297</v>
      </c>
      <c r="K210" t="s">
        <v>298</v>
      </c>
    </row>
    <row r="211" hidden="1" spans="1:7">
      <c r="A211" s="42" t="s">
        <v>299</v>
      </c>
      <c r="B211" s="3">
        <v>1</v>
      </c>
      <c r="C211" s="10">
        <v>1</v>
      </c>
      <c r="D211" s="52" t="s">
        <v>300</v>
      </c>
      <c r="F211" s="11">
        <v>1</v>
      </c>
      <c r="G211" s="11"/>
    </row>
    <row r="212" hidden="1" spans="1:8">
      <c r="A212" s="2" t="s">
        <v>301</v>
      </c>
      <c r="B212" s="3">
        <v>23</v>
      </c>
      <c r="C212" s="10">
        <v>2</v>
      </c>
      <c r="D212" t="s">
        <v>36</v>
      </c>
      <c r="E212">
        <v>1</v>
      </c>
      <c r="F212" s="11">
        <v>0</v>
      </c>
      <c r="G212" s="11"/>
      <c r="H212" s="47"/>
    </row>
    <row r="213" hidden="1" spans="1:8">
      <c r="A213" s="2" t="s">
        <v>302</v>
      </c>
      <c r="B213" s="3">
        <v>23</v>
      </c>
      <c r="C213" s="10">
        <v>2</v>
      </c>
      <c r="D213" t="s">
        <v>38</v>
      </c>
      <c r="E213">
        <v>1.93333333333333</v>
      </c>
      <c r="F213" s="11">
        <v>0</v>
      </c>
      <c r="G213" s="11"/>
      <c r="H213" s="47"/>
    </row>
    <row r="214" hidden="1" spans="1:8">
      <c r="A214" s="2" t="s">
        <v>303</v>
      </c>
      <c r="B214" s="3">
        <v>23</v>
      </c>
      <c r="C214" s="10">
        <v>2</v>
      </c>
      <c r="D214" t="s">
        <v>40</v>
      </c>
      <c r="E214">
        <v>2.5</v>
      </c>
      <c r="F214" s="11">
        <v>0</v>
      </c>
      <c r="G214" s="11"/>
      <c r="H214" s="47"/>
    </row>
    <row r="215" hidden="1" spans="1:8">
      <c r="A215" s="2" t="s">
        <v>304</v>
      </c>
      <c r="B215" s="38">
        <v>24</v>
      </c>
      <c r="C215">
        <v>2</v>
      </c>
      <c r="D215" t="s">
        <v>36</v>
      </c>
      <c r="E215">
        <v>1.4</v>
      </c>
      <c r="F215" s="11">
        <v>0</v>
      </c>
      <c r="G215" s="11"/>
      <c r="H215" s="47"/>
    </row>
    <row r="216" hidden="1" spans="1:8">
      <c r="A216" s="2" t="s">
        <v>305</v>
      </c>
      <c r="B216" s="38">
        <v>24</v>
      </c>
      <c r="C216">
        <v>2</v>
      </c>
      <c r="D216" t="s">
        <v>38</v>
      </c>
      <c r="E216">
        <v>1.33333333333333</v>
      </c>
      <c r="F216" s="11">
        <v>0</v>
      </c>
      <c r="G216" s="11"/>
      <c r="H216" s="47"/>
    </row>
    <row r="217" hidden="1" spans="1:8">
      <c r="A217" s="2" t="s">
        <v>306</v>
      </c>
      <c r="B217" s="38">
        <v>24</v>
      </c>
      <c r="C217">
        <v>2</v>
      </c>
      <c r="D217" t="s">
        <v>40</v>
      </c>
      <c r="E217">
        <v>1.4</v>
      </c>
      <c r="F217" s="11">
        <v>0</v>
      </c>
      <c r="G217" s="11"/>
      <c r="H217" s="47"/>
    </row>
    <row r="218" hidden="1" spans="1:7">
      <c r="A218" s="2" t="s">
        <v>307</v>
      </c>
      <c r="B218" s="3">
        <v>1008</v>
      </c>
      <c r="C218">
        <v>2</v>
      </c>
      <c r="D218" t="s">
        <v>36</v>
      </c>
      <c r="E218">
        <v>1</v>
      </c>
      <c r="F218" s="11">
        <v>0</v>
      </c>
      <c r="G218" s="11"/>
    </row>
    <row r="219" hidden="1" spans="1:7">
      <c r="A219" s="2" t="s">
        <v>308</v>
      </c>
      <c r="B219" s="3">
        <v>1009</v>
      </c>
      <c r="C219">
        <v>2</v>
      </c>
      <c r="D219" t="s">
        <v>36</v>
      </c>
      <c r="E219">
        <v>1.06666666666667</v>
      </c>
      <c r="F219" s="11">
        <v>0</v>
      </c>
      <c r="G219" s="11"/>
    </row>
    <row r="220" hidden="1" spans="1:9">
      <c r="A220" s="2" t="s">
        <v>309</v>
      </c>
      <c r="B220" s="3">
        <v>1010</v>
      </c>
      <c r="C220">
        <v>2</v>
      </c>
      <c r="D220" t="s">
        <v>36</v>
      </c>
      <c r="E220">
        <v>1.6</v>
      </c>
      <c r="F220" s="11">
        <v>0</v>
      </c>
      <c r="G220" s="11"/>
      <c r="I220" s="47"/>
    </row>
    <row r="221" hidden="1" spans="1:9">
      <c r="A221" s="2" t="s">
        <v>310</v>
      </c>
      <c r="B221" s="38">
        <v>25</v>
      </c>
      <c r="C221">
        <v>3</v>
      </c>
      <c r="D221" s="53" t="s">
        <v>36</v>
      </c>
      <c r="E221">
        <v>1.06666666666667</v>
      </c>
      <c r="F221" s="11">
        <v>0</v>
      </c>
      <c r="G221" s="11"/>
      <c r="I221" s="47"/>
    </row>
    <row r="222" hidden="1" spans="1:9">
      <c r="A222" s="2" t="s">
        <v>311</v>
      </c>
      <c r="B222" s="38">
        <v>25</v>
      </c>
      <c r="C222">
        <v>3</v>
      </c>
      <c r="D222" s="53" t="s">
        <v>38</v>
      </c>
      <c r="E222">
        <v>1.06666666666667</v>
      </c>
      <c r="F222" s="11">
        <v>0</v>
      </c>
      <c r="G222" s="11"/>
      <c r="I222" s="47"/>
    </row>
    <row r="223" hidden="1" spans="1:9">
      <c r="A223" s="2" t="s">
        <v>312</v>
      </c>
      <c r="B223" s="38">
        <v>25</v>
      </c>
      <c r="C223">
        <v>3</v>
      </c>
      <c r="D223" s="53" t="s">
        <v>40</v>
      </c>
      <c r="E223">
        <v>2.33333333333333</v>
      </c>
      <c r="F223" s="11">
        <v>0</v>
      </c>
      <c r="G223" s="11"/>
      <c r="I223" s="47"/>
    </row>
    <row r="224" hidden="1" spans="1:9">
      <c r="A224" s="2" t="s">
        <v>313</v>
      </c>
      <c r="B224" s="38">
        <v>25</v>
      </c>
      <c r="C224">
        <v>3</v>
      </c>
      <c r="D224" s="53" t="s">
        <v>314</v>
      </c>
      <c r="E224">
        <v>2.16666666666667</v>
      </c>
      <c r="F224" s="11">
        <v>0</v>
      </c>
      <c r="G224" s="11"/>
      <c r="I224" s="47"/>
    </row>
    <row r="225" hidden="1" spans="1:9">
      <c r="A225" s="2" t="s">
        <v>315</v>
      </c>
      <c r="B225" s="38">
        <v>25</v>
      </c>
      <c r="C225">
        <v>3</v>
      </c>
      <c r="D225" s="53" t="s">
        <v>44</v>
      </c>
      <c r="E225">
        <v>5.66666666666667</v>
      </c>
      <c r="F225" s="11">
        <v>0</v>
      </c>
      <c r="G225" s="11"/>
      <c r="I225" s="47"/>
    </row>
    <row r="226" hidden="1" spans="1:9">
      <c r="A226" s="2" t="s">
        <v>316</v>
      </c>
      <c r="B226" s="38">
        <v>25</v>
      </c>
      <c r="C226">
        <v>3</v>
      </c>
      <c r="D226" s="53" t="s">
        <v>46</v>
      </c>
      <c r="E226">
        <v>1.2</v>
      </c>
      <c r="F226" s="11">
        <v>0</v>
      </c>
      <c r="G226" s="11"/>
      <c r="I226" s="47"/>
    </row>
    <row r="227" hidden="1" spans="1:7">
      <c r="A227" s="2" t="s">
        <v>317</v>
      </c>
      <c r="B227" s="38">
        <v>25</v>
      </c>
      <c r="C227">
        <v>3</v>
      </c>
      <c r="D227" s="53" t="s">
        <v>86</v>
      </c>
      <c r="E227">
        <v>3.33333333333333</v>
      </c>
      <c r="F227" s="11">
        <v>0</v>
      </c>
      <c r="G227" s="11"/>
    </row>
    <row r="228" hidden="1" spans="1:7">
      <c r="A228" s="2" t="s">
        <v>318</v>
      </c>
      <c r="B228" s="38">
        <v>25</v>
      </c>
      <c r="C228">
        <v>3</v>
      </c>
      <c r="D228" s="53" t="s">
        <v>50</v>
      </c>
      <c r="E228">
        <v>10.3333333333333</v>
      </c>
      <c r="F228" s="11">
        <v>0</v>
      </c>
      <c r="G228" s="11"/>
    </row>
    <row r="229" hidden="1" spans="1:6">
      <c r="A229" s="2" t="s">
        <v>319</v>
      </c>
      <c r="B229" s="38">
        <v>26</v>
      </c>
      <c r="C229">
        <v>3</v>
      </c>
      <c r="D229" s="53" t="s">
        <v>36</v>
      </c>
      <c r="E229">
        <v>1.43333333333333</v>
      </c>
      <c r="F229" s="11">
        <v>0</v>
      </c>
    </row>
    <row r="230" hidden="1" spans="1:6">
      <c r="A230" s="2" t="s">
        <v>320</v>
      </c>
      <c r="B230" s="38">
        <v>26</v>
      </c>
      <c r="C230">
        <v>3</v>
      </c>
      <c r="D230" s="53" t="s">
        <v>38</v>
      </c>
      <c r="E230">
        <v>1.73333333333333</v>
      </c>
      <c r="F230" s="11">
        <v>0</v>
      </c>
    </row>
    <row r="231" hidden="1" spans="1:6">
      <c r="A231" s="2" t="s">
        <v>321</v>
      </c>
      <c r="B231" s="38">
        <v>26</v>
      </c>
      <c r="C231">
        <v>3</v>
      </c>
      <c r="D231" s="53" t="s">
        <v>40</v>
      </c>
      <c r="E231">
        <v>7.33333333333333</v>
      </c>
      <c r="F231" s="11">
        <v>0</v>
      </c>
    </row>
    <row r="232" hidden="1" spans="1:6">
      <c r="A232" s="2" t="s">
        <v>322</v>
      </c>
      <c r="B232" s="38">
        <v>26</v>
      </c>
      <c r="C232">
        <v>3</v>
      </c>
      <c r="D232" s="53" t="s">
        <v>42</v>
      </c>
      <c r="E232">
        <v>2.5</v>
      </c>
      <c r="F232" s="11">
        <v>0</v>
      </c>
    </row>
    <row r="233" hidden="1" spans="1:6">
      <c r="A233" s="2" t="s">
        <v>323</v>
      </c>
      <c r="B233" s="38">
        <v>26</v>
      </c>
      <c r="C233">
        <v>3</v>
      </c>
      <c r="D233" s="53" t="s">
        <v>44</v>
      </c>
      <c r="E233">
        <v>1.43333333333333</v>
      </c>
      <c r="F233" s="11">
        <v>0</v>
      </c>
    </row>
    <row r="234" hidden="1" spans="1:6">
      <c r="A234" s="2" t="s">
        <v>324</v>
      </c>
      <c r="B234" s="38">
        <v>26</v>
      </c>
      <c r="C234">
        <v>3</v>
      </c>
      <c r="D234" s="53" t="s">
        <v>46</v>
      </c>
      <c r="E234">
        <v>1.53333333333333</v>
      </c>
      <c r="F234" s="11">
        <v>0</v>
      </c>
    </row>
    <row r="235" hidden="1" spans="1:6">
      <c r="A235" s="2" t="s">
        <v>325</v>
      </c>
      <c r="B235" s="38">
        <v>26</v>
      </c>
      <c r="C235">
        <v>3</v>
      </c>
      <c r="D235" s="53" t="s">
        <v>86</v>
      </c>
      <c r="E235">
        <v>4.33333333333333</v>
      </c>
      <c r="F235" s="11">
        <v>0</v>
      </c>
    </row>
    <row r="236" hidden="1" spans="1:6">
      <c r="A236" s="2" t="s">
        <v>326</v>
      </c>
      <c r="B236" s="38">
        <v>26</v>
      </c>
      <c r="C236">
        <v>3</v>
      </c>
      <c r="D236" s="53" t="s">
        <v>50</v>
      </c>
      <c r="E236">
        <v>7.76666666666667</v>
      </c>
      <c r="F236" s="11">
        <v>0</v>
      </c>
    </row>
    <row r="237" hidden="1" spans="1:7">
      <c r="A237" s="2" t="s">
        <v>327</v>
      </c>
      <c r="B237" s="38">
        <v>27</v>
      </c>
      <c r="C237">
        <v>3</v>
      </c>
      <c r="D237" s="53" t="s">
        <v>36</v>
      </c>
      <c r="E237">
        <v>1.06666666666667</v>
      </c>
      <c r="F237" s="11">
        <v>0</v>
      </c>
      <c r="G237" s="11"/>
    </row>
    <row r="238" hidden="1" spans="1:12">
      <c r="A238" s="2" t="s">
        <v>328</v>
      </c>
      <c r="B238" s="38">
        <v>27</v>
      </c>
      <c r="C238">
        <v>3</v>
      </c>
      <c r="D238" s="53" t="s">
        <v>38</v>
      </c>
      <c r="E238">
        <v>0.8</v>
      </c>
      <c r="F238" s="11">
        <v>0</v>
      </c>
      <c r="G238" s="11">
        <v>0</v>
      </c>
      <c r="L238" s="4" t="s">
        <v>329</v>
      </c>
    </row>
    <row r="239" hidden="1" spans="1:7">
      <c r="A239" s="2" t="s">
        <v>330</v>
      </c>
      <c r="B239" s="38">
        <v>27</v>
      </c>
      <c r="C239">
        <v>3</v>
      </c>
      <c r="D239" s="53" t="s">
        <v>40</v>
      </c>
      <c r="E239">
        <v>1.66666666666667</v>
      </c>
      <c r="F239" s="11">
        <v>0</v>
      </c>
      <c r="G239" s="11"/>
    </row>
    <row r="240" hidden="1" spans="1:7">
      <c r="A240" s="2" t="s">
        <v>331</v>
      </c>
      <c r="B240" s="38">
        <v>27</v>
      </c>
      <c r="C240">
        <v>3</v>
      </c>
      <c r="D240" s="53" t="s">
        <v>42</v>
      </c>
      <c r="E240">
        <v>1.66666666666667</v>
      </c>
      <c r="F240" s="11">
        <v>0</v>
      </c>
      <c r="G240" s="11"/>
    </row>
    <row r="241" hidden="1" spans="1:7">
      <c r="A241" s="2" t="s">
        <v>332</v>
      </c>
      <c r="B241" s="38">
        <v>27</v>
      </c>
      <c r="C241">
        <v>3</v>
      </c>
      <c r="D241" s="53" t="s">
        <v>44</v>
      </c>
      <c r="E241">
        <v>5.33333333333333</v>
      </c>
      <c r="F241" s="11">
        <v>0</v>
      </c>
      <c r="G241" s="11"/>
    </row>
    <row r="242" hidden="1" spans="1:12">
      <c r="A242" s="2" t="s">
        <v>333</v>
      </c>
      <c r="B242" s="38">
        <v>27</v>
      </c>
      <c r="C242">
        <v>3</v>
      </c>
      <c r="D242" s="53" t="s">
        <v>46</v>
      </c>
      <c r="E242">
        <v>2.36666666666667</v>
      </c>
      <c r="F242" s="11">
        <v>0</v>
      </c>
      <c r="G242" s="11">
        <v>0</v>
      </c>
      <c r="L242" s="4" t="s">
        <v>334</v>
      </c>
    </row>
    <row r="243" hidden="1" spans="1:7">
      <c r="A243" s="2" t="s">
        <v>335</v>
      </c>
      <c r="B243" s="38">
        <v>27</v>
      </c>
      <c r="C243">
        <v>3</v>
      </c>
      <c r="D243" s="53" t="s">
        <v>86</v>
      </c>
      <c r="E243">
        <v>1.83333333333333</v>
      </c>
      <c r="F243" s="11">
        <v>0</v>
      </c>
      <c r="G243" s="11"/>
    </row>
    <row r="244" hidden="1" spans="1:12">
      <c r="A244" s="2" t="s">
        <v>336</v>
      </c>
      <c r="B244" s="38">
        <v>27</v>
      </c>
      <c r="C244">
        <v>3</v>
      </c>
      <c r="D244" s="53" t="s">
        <v>50</v>
      </c>
      <c r="E244">
        <v>6.3</v>
      </c>
      <c r="F244" s="11">
        <v>0</v>
      </c>
      <c r="G244" s="11">
        <v>0</v>
      </c>
      <c r="L244" s="4" t="s">
        <v>337</v>
      </c>
    </row>
    <row r="245" hidden="1" spans="1:8">
      <c r="A245" s="2" t="s">
        <v>338</v>
      </c>
      <c r="B245" s="38">
        <v>27</v>
      </c>
      <c r="C245">
        <v>3</v>
      </c>
      <c r="D245" s="53" t="s">
        <v>272</v>
      </c>
      <c r="E245">
        <v>1.2</v>
      </c>
      <c r="F245" s="11">
        <v>0</v>
      </c>
      <c r="G245" s="11"/>
      <c r="H245" s="11"/>
    </row>
    <row r="246" hidden="1" spans="1:7">
      <c r="A246" s="2" t="s">
        <v>339</v>
      </c>
      <c r="B246" s="38">
        <v>28</v>
      </c>
      <c r="C246">
        <v>3</v>
      </c>
      <c r="D246" s="53" t="s">
        <v>36</v>
      </c>
      <c r="E246">
        <v>1.4</v>
      </c>
      <c r="F246" s="11">
        <v>0</v>
      </c>
      <c r="G246" s="11"/>
    </row>
    <row r="247" hidden="1" spans="1:7">
      <c r="A247" s="2" t="s">
        <v>340</v>
      </c>
      <c r="B247" s="38">
        <v>28</v>
      </c>
      <c r="C247">
        <v>3</v>
      </c>
      <c r="D247" s="53" t="s">
        <v>38</v>
      </c>
      <c r="E247">
        <v>1.66666666666667</v>
      </c>
      <c r="F247" s="11">
        <v>0</v>
      </c>
      <c r="G247" s="11"/>
    </row>
    <row r="248" hidden="1" spans="1:7">
      <c r="A248" s="2" t="s">
        <v>341</v>
      </c>
      <c r="B248" s="38">
        <v>28</v>
      </c>
      <c r="C248">
        <v>3</v>
      </c>
      <c r="D248" s="53" t="s">
        <v>40</v>
      </c>
      <c r="E248">
        <v>1.5</v>
      </c>
      <c r="F248" s="11">
        <v>0</v>
      </c>
      <c r="G248" s="11"/>
    </row>
    <row r="249" hidden="1" spans="1:7">
      <c r="A249" s="2" t="s">
        <v>342</v>
      </c>
      <c r="B249" s="38">
        <v>28</v>
      </c>
      <c r="C249">
        <v>3</v>
      </c>
      <c r="D249" s="53" t="s">
        <v>42</v>
      </c>
      <c r="E249">
        <v>2.16666666666667</v>
      </c>
      <c r="F249" s="11">
        <v>0</v>
      </c>
      <c r="G249" s="11"/>
    </row>
    <row r="250" hidden="1" spans="1:7">
      <c r="A250" s="2" t="s">
        <v>343</v>
      </c>
      <c r="B250" s="38">
        <v>28</v>
      </c>
      <c r="C250">
        <v>3</v>
      </c>
      <c r="D250" s="53" t="s">
        <v>44</v>
      </c>
      <c r="E250">
        <v>3.83333333333333</v>
      </c>
      <c r="F250" s="11">
        <v>0</v>
      </c>
      <c r="G250" s="11"/>
    </row>
    <row r="251" hidden="1" spans="1:7">
      <c r="A251" s="2" t="s">
        <v>344</v>
      </c>
      <c r="B251" s="38">
        <v>28</v>
      </c>
      <c r="C251">
        <v>3</v>
      </c>
      <c r="D251" s="53" t="s">
        <v>46</v>
      </c>
      <c r="E251">
        <v>2.83333333333333</v>
      </c>
      <c r="F251" s="11">
        <v>0</v>
      </c>
      <c r="G251" s="11"/>
    </row>
    <row r="252" hidden="1" spans="1:7">
      <c r="A252" s="2" t="s">
        <v>345</v>
      </c>
      <c r="B252" s="38">
        <v>28</v>
      </c>
      <c r="C252">
        <v>3</v>
      </c>
      <c r="D252" s="53" t="s">
        <v>86</v>
      </c>
      <c r="E252">
        <v>1.33333333333333</v>
      </c>
      <c r="F252" s="11">
        <v>0</v>
      </c>
      <c r="G252" s="11"/>
    </row>
    <row r="253" hidden="1" spans="1:7">
      <c r="A253" s="2" t="s">
        <v>346</v>
      </c>
      <c r="B253" s="38">
        <v>28</v>
      </c>
      <c r="C253">
        <v>3</v>
      </c>
      <c r="D253" s="53" t="s">
        <v>50</v>
      </c>
      <c r="E253">
        <v>3.83333333333333</v>
      </c>
      <c r="F253" s="11">
        <v>0</v>
      </c>
      <c r="G253" s="11"/>
    </row>
    <row r="254" hidden="1" spans="1:8">
      <c r="A254" s="2" t="s">
        <v>347</v>
      </c>
      <c r="B254" s="3">
        <v>29</v>
      </c>
      <c r="C254">
        <v>3</v>
      </c>
      <c r="D254" s="53" t="s">
        <v>36</v>
      </c>
      <c r="E254">
        <v>3.16666666666667</v>
      </c>
      <c r="F254" s="11">
        <v>0</v>
      </c>
      <c r="G254" s="11"/>
      <c r="H254" s="11"/>
    </row>
    <row r="255" hidden="1" spans="1:8">
      <c r="A255" s="2" t="s">
        <v>348</v>
      </c>
      <c r="B255" s="3">
        <v>29</v>
      </c>
      <c r="C255">
        <v>3</v>
      </c>
      <c r="D255" s="53" t="s">
        <v>38</v>
      </c>
      <c r="E255">
        <v>3</v>
      </c>
      <c r="F255" s="11">
        <v>0</v>
      </c>
      <c r="G255" s="11"/>
      <c r="H255" s="11"/>
    </row>
    <row r="256" hidden="1" spans="1:8">
      <c r="A256" s="2" t="s">
        <v>349</v>
      </c>
      <c r="B256" s="3">
        <v>29</v>
      </c>
      <c r="C256">
        <v>3</v>
      </c>
      <c r="D256" s="53" t="s">
        <v>40</v>
      </c>
      <c r="E256">
        <v>5.66666666666667</v>
      </c>
      <c r="F256" s="11">
        <v>0</v>
      </c>
      <c r="G256" s="11"/>
      <c r="H256" s="11"/>
    </row>
    <row r="257" hidden="1" spans="1:8">
      <c r="A257" s="2" t="s">
        <v>350</v>
      </c>
      <c r="B257" s="3">
        <v>30</v>
      </c>
      <c r="C257">
        <v>3</v>
      </c>
      <c r="D257" s="53" t="s">
        <v>36</v>
      </c>
      <c r="E257">
        <v>1.66666666666667</v>
      </c>
      <c r="F257" s="11">
        <v>0</v>
      </c>
      <c r="G257" s="11"/>
      <c r="H257" s="11"/>
    </row>
    <row r="258" hidden="1" spans="1:8">
      <c r="A258" s="2" t="s">
        <v>351</v>
      </c>
      <c r="B258" s="3">
        <v>30</v>
      </c>
      <c r="C258">
        <v>3</v>
      </c>
      <c r="D258" s="53" t="s">
        <v>38</v>
      </c>
      <c r="E258">
        <v>4.33333333333333</v>
      </c>
      <c r="F258" s="11">
        <v>0</v>
      </c>
      <c r="G258" s="11"/>
      <c r="H258" s="11"/>
    </row>
    <row r="259" hidden="1" spans="1:8">
      <c r="A259" s="2" t="s">
        <v>352</v>
      </c>
      <c r="B259" s="3">
        <v>30</v>
      </c>
      <c r="C259">
        <v>3</v>
      </c>
      <c r="D259" s="53" t="s">
        <v>40</v>
      </c>
      <c r="E259">
        <v>2.33333333333333</v>
      </c>
      <c r="F259" s="11">
        <v>0</v>
      </c>
      <c r="G259" s="11"/>
      <c r="H259" s="11"/>
    </row>
    <row r="260" hidden="1" spans="1:7">
      <c r="A260" s="2" t="s">
        <v>353</v>
      </c>
      <c r="B260" s="3">
        <v>31</v>
      </c>
      <c r="C260">
        <v>3</v>
      </c>
      <c r="D260" s="53" t="s">
        <v>36</v>
      </c>
      <c r="E260">
        <v>1.56666666666667</v>
      </c>
      <c r="F260" s="11">
        <v>0</v>
      </c>
      <c r="G260" s="11"/>
    </row>
    <row r="261" hidden="1" spans="1:7">
      <c r="A261" s="2" t="s">
        <v>354</v>
      </c>
      <c r="B261" s="3">
        <v>31</v>
      </c>
      <c r="C261">
        <v>3</v>
      </c>
      <c r="D261" s="53" t="s">
        <v>38</v>
      </c>
      <c r="E261">
        <v>1.43333333333333</v>
      </c>
      <c r="F261" s="11">
        <v>0</v>
      </c>
      <c r="G261" s="11"/>
    </row>
    <row r="262" hidden="1" spans="1:7">
      <c r="A262" s="2" t="s">
        <v>355</v>
      </c>
      <c r="B262" s="3">
        <v>31</v>
      </c>
      <c r="C262">
        <v>3</v>
      </c>
      <c r="D262" s="53" t="s">
        <v>40</v>
      </c>
      <c r="E262">
        <v>1.73333333333333</v>
      </c>
      <c r="F262" s="11">
        <v>0</v>
      </c>
      <c r="G262" s="11"/>
    </row>
    <row r="263" hidden="1" spans="1:7">
      <c r="A263" s="2" t="s">
        <v>356</v>
      </c>
      <c r="B263" s="3">
        <v>31</v>
      </c>
      <c r="C263">
        <v>3</v>
      </c>
      <c r="D263" t="s">
        <v>314</v>
      </c>
      <c r="E263">
        <v>5.33333333333333</v>
      </c>
      <c r="F263" s="11">
        <v>0</v>
      </c>
      <c r="G263" s="11"/>
    </row>
    <row r="264" hidden="1" spans="1:7">
      <c r="A264" s="2" t="s">
        <v>357</v>
      </c>
      <c r="B264" s="3">
        <v>32</v>
      </c>
      <c r="C264">
        <v>3</v>
      </c>
      <c r="D264" s="53" t="s">
        <v>36</v>
      </c>
      <c r="E264">
        <v>2.5</v>
      </c>
      <c r="F264" s="11">
        <v>0</v>
      </c>
      <c r="G264" s="11"/>
    </row>
    <row r="265" hidden="1" spans="1:7">
      <c r="A265" s="2" t="s">
        <v>358</v>
      </c>
      <c r="B265" s="3">
        <v>32</v>
      </c>
      <c r="C265">
        <v>3</v>
      </c>
      <c r="D265" s="53" t="s">
        <v>38</v>
      </c>
      <c r="E265">
        <v>2.33333333333333</v>
      </c>
      <c r="F265" s="11">
        <v>0</v>
      </c>
      <c r="G265" s="11"/>
    </row>
    <row r="266" hidden="1" spans="1:7">
      <c r="A266" s="2" t="s">
        <v>359</v>
      </c>
      <c r="B266" s="3">
        <v>32</v>
      </c>
      <c r="C266">
        <v>3</v>
      </c>
      <c r="D266" s="53" t="s">
        <v>40</v>
      </c>
      <c r="E266">
        <v>3.33333333333333</v>
      </c>
      <c r="F266" s="11">
        <v>0</v>
      </c>
      <c r="G266" s="11"/>
    </row>
    <row r="267" hidden="1" spans="1:8">
      <c r="A267" s="2" t="s">
        <v>360</v>
      </c>
      <c r="B267" s="3">
        <v>33</v>
      </c>
      <c r="C267">
        <v>3</v>
      </c>
      <c r="D267" s="53" t="s">
        <v>36</v>
      </c>
      <c r="E267">
        <v>1.86666666666667</v>
      </c>
      <c r="F267" s="11">
        <v>0</v>
      </c>
      <c r="G267" s="11"/>
      <c r="H267" s="11"/>
    </row>
    <row r="268" hidden="1" spans="1:8">
      <c r="A268" s="2" t="s">
        <v>361</v>
      </c>
      <c r="B268" s="3">
        <v>33</v>
      </c>
      <c r="C268">
        <v>3</v>
      </c>
      <c r="D268" s="53" t="s">
        <v>38</v>
      </c>
      <c r="E268">
        <v>1.16666666666667</v>
      </c>
      <c r="F268" s="11">
        <v>0</v>
      </c>
      <c r="G268" s="11"/>
      <c r="H268" s="11"/>
    </row>
    <row r="269" hidden="1" spans="1:8">
      <c r="A269" s="2" t="s">
        <v>362</v>
      </c>
      <c r="B269" s="3">
        <v>33</v>
      </c>
      <c r="C269">
        <v>3</v>
      </c>
      <c r="D269" s="53" t="s">
        <v>40</v>
      </c>
      <c r="E269">
        <v>1.76666666666667</v>
      </c>
      <c r="F269" s="11">
        <v>0</v>
      </c>
      <c r="G269" s="11"/>
      <c r="H269" s="11"/>
    </row>
    <row r="270" hidden="1" spans="1:8">
      <c r="A270" s="2" t="s">
        <v>363</v>
      </c>
      <c r="B270" s="3">
        <v>33</v>
      </c>
      <c r="C270">
        <v>3</v>
      </c>
      <c r="D270" t="s">
        <v>314</v>
      </c>
      <c r="E270">
        <v>2.83333333333333</v>
      </c>
      <c r="F270" s="11">
        <v>0</v>
      </c>
      <c r="G270" s="11"/>
      <c r="H270" s="11"/>
    </row>
    <row r="271" hidden="1" spans="1:7">
      <c r="A271" s="2" t="s">
        <v>364</v>
      </c>
      <c r="B271" s="3">
        <v>1011</v>
      </c>
      <c r="C271">
        <v>2</v>
      </c>
      <c r="D271" s="53" t="s">
        <v>36</v>
      </c>
      <c r="E271">
        <v>1.66666666666667</v>
      </c>
      <c r="F271" s="11">
        <v>0</v>
      </c>
      <c r="G271" s="11"/>
    </row>
    <row r="272" hidden="1" spans="1:7">
      <c r="A272" s="2" t="s">
        <v>365</v>
      </c>
      <c r="B272" s="3">
        <v>1012</v>
      </c>
      <c r="C272">
        <v>2</v>
      </c>
      <c r="D272" s="53" t="s">
        <v>36</v>
      </c>
      <c r="E272">
        <v>1.83333333333333</v>
      </c>
      <c r="F272" s="11">
        <v>0</v>
      </c>
      <c r="G272" s="11"/>
    </row>
    <row r="273" hidden="1" spans="1:7">
      <c r="A273" s="2" t="s">
        <v>366</v>
      </c>
      <c r="B273" s="3">
        <v>1012</v>
      </c>
      <c r="C273">
        <v>2</v>
      </c>
      <c r="D273" s="53" t="s">
        <v>38</v>
      </c>
      <c r="E273">
        <v>2.16666666666667</v>
      </c>
      <c r="F273" s="11">
        <v>0</v>
      </c>
      <c r="G273" s="11"/>
    </row>
    <row r="274" hidden="1" spans="1:6">
      <c r="A274" s="2" t="s">
        <v>367</v>
      </c>
      <c r="B274" s="3">
        <v>35</v>
      </c>
      <c r="C274">
        <v>2</v>
      </c>
      <c r="D274" t="s">
        <v>36</v>
      </c>
      <c r="E274">
        <v>1.6</v>
      </c>
      <c r="F274">
        <v>0</v>
      </c>
    </row>
    <row r="275" hidden="1" spans="1:12">
      <c r="A275" s="2" t="s">
        <v>368</v>
      </c>
      <c r="B275" s="3">
        <v>35</v>
      </c>
      <c r="C275">
        <v>2</v>
      </c>
      <c r="D275" t="s">
        <v>38</v>
      </c>
      <c r="E275">
        <v>1.33333333333333</v>
      </c>
      <c r="F275">
        <v>0</v>
      </c>
      <c r="G275">
        <v>0</v>
      </c>
      <c r="L275" s="4" t="s">
        <v>369</v>
      </c>
    </row>
    <row r="276" hidden="1" spans="1:6">
      <c r="A276" s="2" t="s">
        <v>370</v>
      </c>
      <c r="B276" s="3">
        <v>35</v>
      </c>
      <c r="C276">
        <v>2</v>
      </c>
      <c r="D276" t="s">
        <v>40</v>
      </c>
      <c r="E276">
        <v>1.5</v>
      </c>
      <c r="F276">
        <v>0</v>
      </c>
    </row>
    <row r="277" hidden="1" spans="1:6">
      <c r="A277" s="2" t="s">
        <v>371</v>
      </c>
      <c r="B277" s="3">
        <v>35</v>
      </c>
      <c r="C277">
        <v>2</v>
      </c>
      <c r="D277" t="s">
        <v>42</v>
      </c>
      <c r="E277">
        <v>1.83333333333333</v>
      </c>
      <c r="F277">
        <v>0</v>
      </c>
    </row>
    <row r="278" hidden="1" spans="1:6">
      <c r="A278" s="2" t="s">
        <v>372</v>
      </c>
      <c r="B278" s="3">
        <v>35</v>
      </c>
      <c r="C278">
        <v>2</v>
      </c>
      <c r="D278" t="s">
        <v>44</v>
      </c>
      <c r="E278">
        <v>3.83333333333333</v>
      </c>
      <c r="F278">
        <v>0</v>
      </c>
    </row>
    <row r="279" hidden="1" spans="1:6">
      <c r="A279" s="2" t="s">
        <v>373</v>
      </c>
      <c r="B279" s="3">
        <v>35</v>
      </c>
      <c r="C279">
        <v>2</v>
      </c>
      <c r="D279" t="s">
        <v>46</v>
      </c>
      <c r="E279">
        <v>1.83333333333333</v>
      </c>
      <c r="F279">
        <v>0</v>
      </c>
    </row>
    <row r="280" hidden="1" spans="1:6">
      <c r="A280" s="2" t="s">
        <v>374</v>
      </c>
      <c r="B280" s="3">
        <v>35</v>
      </c>
      <c r="C280">
        <v>2</v>
      </c>
      <c r="D280" t="s">
        <v>86</v>
      </c>
      <c r="E280">
        <v>3.16666666666667</v>
      </c>
      <c r="F280">
        <v>0</v>
      </c>
    </row>
    <row r="281" hidden="1" spans="1:6">
      <c r="A281" s="2" t="s">
        <v>375</v>
      </c>
      <c r="B281" s="3">
        <v>35</v>
      </c>
      <c r="C281">
        <v>2</v>
      </c>
      <c r="D281" t="s">
        <v>50</v>
      </c>
      <c r="E281">
        <v>6.2</v>
      </c>
      <c r="F281">
        <v>0</v>
      </c>
    </row>
    <row r="282" s="1" customFormat="1" hidden="1" spans="1:12">
      <c r="A282" s="5" t="s">
        <v>376</v>
      </c>
      <c r="B282" s="54">
        <v>35</v>
      </c>
      <c r="C282" s="1">
        <v>2</v>
      </c>
      <c r="D282" s="1" t="s">
        <v>90</v>
      </c>
      <c r="E282" s="1">
        <f>316/30</f>
        <v>10.5333333333333</v>
      </c>
      <c r="F282" s="1">
        <v>0</v>
      </c>
      <c r="L282" s="7"/>
    </row>
    <row r="283" s="1" customFormat="1" hidden="1" spans="1:12">
      <c r="A283" s="5" t="s">
        <v>377</v>
      </c>
      <c r="B283" s="54">
        <v>35</v>
      </c>
      <c r="C283" s="1">
        <v>2</v>
      </c>
      <c r="D283" s="1" t="s">
        <v>48</v>
      </c>
      <c r="E283" s="1">
        <f>115/30</f>
        <v>3.83333333333333</v>
      </c>
      <c r="F283" s="1">
        <v>0</v>
      </c>
      <c r="L283" s="7"/>
    </row>
    <row r="284" hidden="1" spans="1:6">
      <c r="A284" s="2" t="s">
        <v>378</v>
      </c>
      <c r="B284" s="3">
        <v>35</v>
      </c>
      <c r="C284">
        <v>2</v>
      </c>
      <c r="D284" t="s">
        <v>261</v>
      </c>
      <c r="E284">
        <f>26/30</f>
        <v>0.866666666666667</v>
      </c>
      <c r="F284">
        <v>1</v>
      </c>
    </row>
    <row r="285" hidden="1" spans="1:11">
      <c r="A285" s="2" t="s">
        <v>379</v>
      </c>
      <c r="B285" s="3">
        <v>35</v>
      </c>
      <c r="C285">
        <v>2</v>
      </c>
      <c r="D285" t="s">
        <v>380</v>
      </c>
      <c r="E285">
        <f>85/30</f>
        <v>2.83333333333333</v>
      </c>
      <c r="F285">
        <v>0</v>
      </c>
      <c r="G285" t="s">
        <v>61</v>
      </c>
      <c r="H285" t="s">
        <v>381</v>
      </c>
      <c r="I285" t="s">
        <v>382</v>
      </c>
      <c r="J285" t="s">
        <v>383</v>
      </c>
      <c r="K285" t="s">
        <v>61</v>
      </c>
    </row>
    <row r="286" hidden="1" spans="1:11">
      <c r="A286" s="2" t="s">
        <v>384</v>
      </c>
      <c r="B286" s="3">
        <v>35</v>
      </c>
      <c r="C286">
        <v>2</v>
      </c>
      <c r="D286" t="s">
        <v>385</v>
      </c>
      <c r="E286">
        <f>111/30</f>
        <v>3.7</v>
      </c>
      <c r="F286">
        <v>0</v>
      </c>
      <c r="G286">
        <v>0</v>
      </c>
      <c r="H286">
        <v>2</v>
      </c>
      <c r="I286">
        <v>867</v>
      </c>
      <c r="J286" t="s">
        <v>58</v>
      </c>
      <c r="K286">
        <v>1</v>
      </c>
    </row>
    <row r="287" hidden="1" spans="1:11">
      <c r="A287" s="2" t="s">
        <v>386</v>
      </c>
      <c r="B287" s="3">
        <v>35</v>
      </c>
      <c r="C287">
        <v>2</v>
      </c>
      <c r="D287" t="s">
        <v>92</v>
      </c>
      <c r="E287">
        <v>3.66666666666667</v>
      </c>
      <c r="F287">
        <v>0</v>
      </c>
      <c r="G287">
        <v>0</v>
      </c>
      <c r="H287">
        <v>2</v>
      </c>
      <c r="I287">
        <v>884</v>
      </c>
      <c r="J287" s="56" t="s">
        <v>387</v>
      </c>
      <c r="K287">
        <v>1</v>
      </c>
    </row>
    <row r="288" hidden="1" spans="1:10">
      <c r="A288" s="2" t="s">
        <v>388</v>
      </c>
      <c r="B288" s="3">
        <v>35</v>
      </c>
      <c r="C288">
        <v>2</v>
      </c>
      <c r="D288" t="s">
        <v>57</v>
      </c>
      <c r="E288">
        <v>2.66666666666667</v>
      </c>
      <c r="F288">
        <v>0</v>
      </c>
      <c r="J288" s="56"/>
    </row>
    <row r="289" hidden="1" spans="1:6">
      <c r="A289" s="2" t="s">
        <v>389</v>
      </c>
      <c r="B289" s="3">
        <v>35</v>
      </c>
      <c r="C289">
        <v>2</v>
      </c>
      <c r="D289" t="s">
        <v>272</v>
      </c>
      <c r="E289">
        <v>1</v>
      </c>
      <c r="F289">
        <v>0</v>
      </c>
    </row>
    <row r="290" hidden="1" spans="1:11">
      <c r="A290" s="2" t="s">
        <v>390</v>
      </c>
      <c r="B290" s="3">
        <v>35</v>
      </c>
      <c r="C290">
        <v>2</v>
      </c>
      <c r="D290" t="s">
        <v>60</v>
      </c>
      <c r="E290">
        <v>4</v>
      </c>
      <c r="F290">
        <v>0</v>
      </c>
      <c r="G290" t="s">
        <v>61</v>
      </c>
      <c r="H290" t="s">
        <v>62</v>
      </c>
      <c r="I290" t="s">
        <v>391</v>
      </c>
      <c r="J290" s="56" t="s">
        <v>240</v>
      </c>
      <c r="K290" t="s">
        <v>95</v>
      </c>
    </row>
    <row r="291" hidden="1" spans="1:8">
      <c r="A291" s="2" t="s">
        <v>392</v>
      </c>
      <c r="B291" s="3">
        <v>36</v>
      </c>
      <c r="C291">
        <v>2</v>
      </c>
      <c r="D291" t="s">
        <v>36</v>
      </c>
      <c r="E291">
        <v>1.66666666666667</v>
      </c>
      <c r="F291">
        <v>0</v>
      </c>
      <c r="H291" s="47"/>
    </row>
    <row r="292" hidden="1" spans="1:8">
      <c r="A292" s="2" t="s">
        <v>393</v>
      </c>
      <c r="B292" s="3">
        <v>36</v>
      </c>
      <c r="C292">
        <v>2</v>
      </c>
      <c r="D292" t="s">
        <v>38</v>
      </c>
      <c r="E292">
        <v>2.66666666666667</v>
      </c>
      <c r="F292">
        <v>0</v>
      </c>
      <c r="H292" s="47"/>
    </row>
    <row r="293" hidden="1" spans="1:8">
      <c r="A293" s="2" t="s">
        <v>394</v>
      </c>
      <c r="B293" s="3">
        <v>36</v>
      </c>
      <c r="C293">
        <v>2</v>
      </c>
      <c r="D293" t="s">
        <v>40</v>
      </c>
      <c r="E293">
        <v>3.16666666666667</v>
      </c>
      <c r="F293">
        <v>0</v>
      </c>
      <c r="H293" s="47"/>
    </row>
    <row r="294" hidden="1" spans="1:12">
      <c r="A294" s="2" t="s">
        <v>395</v>
      </c>
      <c r="B294" s="3">
        <v>36</v>
      </c>
      <c r="C294">
        <v>2</v>
      </c>
      <c r="D294" t="s">
        <v>42</v>
      </c>
      <c r="E294">
        <v>4</v>
      </c>
      <c r="F294">
        <v>0</v>
      </c>
      <c r="G294">
        <v>0</v>
      </c>
      <c r="H294" s="47"/>
      <c r="L294" s="4" t="s">
        <v>396</v>
      </c>
    </row>
    <row r="295" hidden="1" spans="1:8">
      <c r="A295" s="2" t="s">
        <v>397</v>
      </c>
      <c r="B295" s="3">
        <v>36</v>
      </c>
      <c r="C295">
        <v>2</v>
      </c>
      <c r="D295" t="s">
        <v>44</v>
      </c>
      <c r="E295">
        <v>0</v>
      </c>
      <c r="F295">
        <v>0</v>
      </c>
      <c r="H295" s="47"/>
    </row>
    <row r="296" hidden="1" spans="1:8">
      <c r="A296" s="2" t="s">
        <v>398</v>
      </c>
      <c r="B296" s="3">
        <v>36</v>
      </c>
      <c r="C296">
        <v>2</v>
      </c>
      <c r="D296" t="s">
        <v>46</v>
      </c>
      <c r="E296">
        <v>3.16666666666667</v>
      </c>
      <c r="F296">
        <v>0</v>
      </c>
      <c r="H296" s="47"/>
    </row>
    <row r="297" hidden="1" spans="1:12">
      <c r="A297" s="2" t="s">
        <v>399</v>
      </c>
      <c r="B297" s="3">
        <v>36</v>
      </c>
      <c r="C297">
        <v>2</v>
      </c>
      <c r="D297" t="s">
        <v>86</v>
      </c>
      <c r="E297">
        <v>2.4</v>
      </c>
      <c r="F297">
        <v>0</v>
      </c>
      <c r="G297">
        <v>0</v>
      </c>
      <c r="H297" s="47"/>
      <c r="L297" s="4" t="s">
        <v>396</v>
      </c>
    </row>
    <row r="298" hidden="1" spans="1:11">
      <c r="A298" s="2" t="s">
        <v>400</v>
      </c>
      <c r="B298" s="3">
        <v>36</v>
      </c>
      <c r="C298">
        <v>2</v>
      </c>
      <c r="D298" s="51" t="s">
        <v>204</v>
      </c>
      <c r="E298">
        <f>50/30</f>
        <v>1.66666666666667</v>
      </c>
      <c r="F298">
        <v>0</v>
      </c>
      <c r="G298">
        <v>0</v>
      </c>
      <c r="H298" s="47">
        <v>2</v>
      </c>
      <c r="I298">
        <v>786</v>
      </c>
      <c r="J298" s="51" t="s">
        <v>205</v>
      </c>
      <c r="K298" s="51">
        <v>0</v>
      </c>
    </row>
    <row r="299" hidden="1" spans="1:11">
      <c r="A299" s="2" t="s">
        <v>401</v>
      </c>
      <c r="B299" s="3">
        <v>36</v>
      </c>
      <c r="C299">
        <v>2</v>
      </c>
      <c r="D299" s="51" t="s">
        <v>92</v>
      </c>
      <c r="E299">
        <v>2.4</v>
      </c>
      <c r="F299">
        <v>0</v>
      </c>
      <c r="G299">
        <v>0</v>
      </c>
      <c r="H299" s="47">
        <v>2</v>
      </c>
      <c r="I299">
        <v>853</v>
      </c>
      <c r="J299" s="51" t="s">
        <v>58</v>
      </c>
      <c r="K299" s="51">
        <v>0</v>
      </c>
    </row>
    <row r="300" hidden="1" spans="1:11">
      <c r="A300" s="2" t="s">
        <v>402</v>
      </c>
      <c r="B300" s="3">
        <v>36</v>
      </c>
      <c r="C300">
        <v>2</v>
      </c>
      <c r="D300" s="51" t="s">
        <v>109</v>
      </c>
      <c r="E300">
        <v>3.33333333333333</v>
      </c>
      <c r="F300">
        <v>0</v>
      </c>
      <c r="G300">
        <v>0</v>
      </c>
      <c r="H300" s="47">
        <v>2</v>
      </c>
      <c r="I300" s="56">
        <v>873</v>
      </c>
      <c r="J300" s="51" t="s">
        <v>403</v>
      </c>
      <c r="K300" s="51">
        <v>0</v>
      </c>
    </row>
    <row r="301" hidden="1" spans="1:11">
      <c r="A301" s="2" t="s">
        <v>404</v>
      </c>
      <c r="B301" s="3">
        <v>36</v>
      </c>
      <c r="C301">
        <v>2</v>
      </c>
      <c r="D301" s="51" t="s">
        <v>60</v>
      </c>
      <c r="E301">
        <f>65/30</f>
        <v>2.16666666666667</v>
      </c>
      <c r="F301">
        <v>0</v>
      </c>
      <c r="G301">
        <v>0</v>
      </c>
      <c r="H301" s="47">
        <v>2</v>
      </c>
      <c r="I301" s="56">
        <v>953</v>
      </c>
      <c r="J301" s="51" t="s">
        <v>58</v>
      </c>
      <c r="K301" s="51">
        <v>0</v>
      </c>
    </row>
    <row r="302" hidden="1" spans="1:11">
      <c r="A302" s="2" t="s">
        <v>405</v>
      </c>
      <c r="B302" s="3">
        <v>36</v>
      </c>
      <c r="C302" s="1">
        <v>3</v>
      </c>
      <c r="D302" s="51" t="s">
        <v>50</v>
      </c>
      <c r="E302">
        <f>560/30</f>
        <v>18.6666666666667</v>
      </c>
      <c r="F302">
        <v>0</v>
      </c>
      <c r="J302" s="51"/>
      <c r="K302" s="51"/>
    </row>
    <row r="303" hidden="1" spans="1:8">
      <c r="A303" s="2" t="s">
        <v>406</v>
      </c>
      <c r="B303" s="3">
        <v>3008</v>
      </c>
      <c r="C303">
        <v>2</v>
      </c>
      <c r="D303" s="55" t="s">
        <v>90</v>
      </c>
      <c r="E303">
        <v>2.16666666666667</v>
      </c>
      <c r="F303">
        <v>0</v>
      </c>
      <c r="H303" s="47"/>
    </row>
    <row r="304" hidden="1" spans="1:12">
      <c r="A304" s="2" t="s">
        <v>407</v>
      </c>
      <c r="B304" s="3">
        <v>3008</v>
      </c>
      <c r="C304">
        <v>2</v>
      </c>
      <c r="D304" s="55" t="s">
        <v>140</v>
      </c>
      <c r="E304">
        <v>5.33333333333333</v>
      </c>
      <c r="F304">
        <v>0</v>
      </c>
      <c r="G304">
        <v>0</v>
      </c>
      <c r="H304" s="47"/>
      <c r="L304" s="4" t="s">
        <v>408</v>
      </c>
    </row>
    <row r="305" hidden="1" spans="1:8">
      <c r="A305" s="2" t="s">
        <v>409</v>
      </c>
      <c r="B305" s="3">
        <v>3008</v>
      </c>
      <c r="C305">
        <v>2</v>
      </c>
      <c r="D305" s="55" t="s">
        <v>48</v>
      </c>
      <c r="E305">
        <v>2.83333333333333</v>
      </c>
      <c r="F305">
        <v>0</v>
      </c>
      <c r="H305" s="47"/>
    </row>
    <row r="306" hidden="1" spans="1:8">
      <c r="A306" s="2" t="s">
        <v>410</v>
      </c>
      <c r="B306" s="3">
        <v>3008</v>
      </c>
      <c r="C306">
        <v>2</v>
      </c>
      <c r="D306" s="55" t="s">
        <v>133</v>
      </c>
      <c r="E306">
        <f>435/30</f>
        <v>14.5</v>
      </c>
      <c r="F306">
        <v>0</v>
      </c>
      <c r="H306" s="47"/>
    </row>
    <row r="307" hidden="1" spans="1:8">
      <c r="A307" s="2" t="s">
        <v>411</v>
      </c>
      <c r="B307" s="3">
        <v>3008</v>
      </c>
      <c r="C307">
        <v>3</v>
      </c>
      <c r="D307" s="56" t="s">
        <v>412</v>
      </c>
      <c r="E307">
        <f>74/30</f>
        <v>2.46666666666667</v>
      </c>
      <c r="F307">
        <v>0</v>
      </c>
      <c r="H307" s="47"/>
    </row>
    <row r="308" hidden="1" spans="1:6">
      <c r="A308" s="2" t="s">
        <v>413</v>
      </c>
      <c r="B308" s="3">
        <v>38</v>
      </c>
      <c r="C308">
        <v>2</v>
      </c>
      <c r="D308" t="s">
        <v>36</v>
      </c>
      <c r="E308">
        <v>1.13333333333333</v>
      </c>
      <c r="F308">
        <v>0</v>
      </c>
    </row>
    <row r="309" hidden="1" spans="1:6">
      <c r="A309" s="2" t="s">
        <v>414</v>
      </c>
      <c r="B309" s="3">
        <v>38</v>
      </c>
      <c r="C309">
        <v>2</v>
      </c>
      <c r="D309" t="s">
        <v>38</v>
      </c>
      <c r="E309">
        <v>1.13333333333333</v>
      </c>
      <c r="F309">
        <v>0</v>
      </c>
    </row>
    <row r="310" hidden="1" spans="1:6">
      <c r="A310" s="2" t="s">
        <v>415</v>
      </c>
      <c r="B310" s="3">
        <v>38</v>
      </c>
      <c r="C310">
        <v>2</v>
      </c>
      <c r="D310" t="s">
        <v>40</v>
      </c>
      <c r="E310">
        <v>4.5</v>
      </c>
      <c r="F310">
        <v>0</v>
      </c>
    </row>
    <row r="311" hidden="1" spans="1:6">
      <c r="A311" s="2" t="s">
        <v>416</v>
      </c>
      <c r="B311" s="3">
        <v>38</v>
      </c>
      <c r="C311">
        <v>2</v>
      </c>
      <c r="D311" t="s">
        <v>42</v>
      </c>
      <c r="E311">
        <v>1.33333333333333</v>
      </c>
      <c r="F311">
        <v>0</v>
      </c>
    </row>
    <row r="312" hidden="1" spans="1:6">
      <c r="A312" s="2" t="s">
        <v>417</v>
      </c>
      <c r="B312" s="3">
        <v>38</v>
      </c>
      <c r="C312">
        <v>2</v>
      </c>
      <c r="D312" t="s">
        <v>44</v>
      </c>
      <c r="E312">
        <v>1.53333333333333</v>
      </c>
      <c r="F312">
        <v>0</v>
      </c>
    </row>
    <row r="313" hidden="1" spans="1:6">
      <c r="A313" s="2" t="s">
        <v>418</v>
      </c>
      <c r="B313" s="3">
        <v>38</v>
      </c>
      <c r="C313">
        <v>2</v>
      </c>
      <c r="D313" t="s">
        <v>135</v>
      </c>
      <c r="E313">
        <v>3.5</v>
      </c>
      <c r="F313">
        <v>0</v>
      </c>
    </row>
    <row r="314" hidden="1" spans="1:12">
      <c r="A314" s="2" t="s">
        <v>419</v>
      </c>
      <c r="B314" s="3">
        <v>38</v>
      </c>
      <c r="C314">
        <v>2</v>
      </c>
      <c r="D314" t="s">
        <v>50</v>
      </c>
      <c r="E314">
        <v>8.53333333333333</v>
      </c>
      <c r="F314">
        <v>0</v>
      </c>
      <c r="G314">
        <v>0</v>
      </c>
      <c r="L314" s="4" t="s">
        <v>420</v>
      </c>
    </row>
    <row r="315" hidden="1" spans="1:6">
      <c r="A315" s="2" t="s">
        <v>421</v>
      </c>
      <c r="B315" s="3">
        <v>38</v>
      </c>
      <c r="C315">
        <v>2</v>
      </c>
      <c r="D315" t="s">
        <v>86</v>
      </c>
      <c r="E315">
        <v>3.83333333333333</v>
      </c>
      <c r="F315">
        <v>0</v>
      </c>
    </row>
    <row r="316" hidden="1" spans="1:6">
      <c r="A316" s="2" t="s">
        <v>422</v>
      </c>
      <c r="B316" s="3">
        <v>30003</v>
      </c>
      <c r="C316">
        <v>2</v>
      </c>
      <c r="D316" t="s">
        <v>423</v>
      </c>
      <c r="E316">
        <v>2.63333333333333</v>
      </c>
      <c r="F316">
        <v>0</v>
      </c>
    </row>
    <row r="317" hidden="1" spans="1:6">
      <c r="A317" s="2" t="s">
        <v>424</v>
      </c>
      <c r="B317" s="3">
        <v>30003</v>
      </c>
      <c r="C317">
        <v>2</v>
      </c>
      <c r="D317" t="s">
        <v>140</v>
      </c>
      <c r="E317">
        <v>1.2</v>
      </c>
      <c r="F317">
        <v>0</v>
      </c>
    </row>
    <row r="318" hidden="1" spans="1:6">
      <c r="A318" s="2" t="s">
        <v>425</v>
      </c>
      <c r="B318" s="3">
        <v>30003</v>
      </c>
      <c r="C318">
        <v>2</v>
      </c>
      <c r="D318" t="s">
        <v>133</v>
      </c>
      <c r="E318">
        <v>1.33333333333333</v>
      </c>
      <c r="F318">
        <v>0</v>
      </c>
    </row>
    <row r="319" hidden="1" spans="1:6">
      <c r="A319" s="2" t="s">
        <v>426</v>
      </c>
      <c r="B319" s="3">
        <v>30003</v>
      </c>
      <c r="C319">
        <v>2</v>
      </c>
      <c r="D319" t="s">
        <v>412</v>
      </c>
      <c r="E319">
        <v>1.33333333333333</v>
      </c>
      <c r="F319">
        <v>0</v>
      </c>
    </row>
    <row r="320" hidden="1" spans="1:6">
      <c r="A320" s="2" t="s">
        <v>427</v>
      </c>
      <c r="B320" s="3">
        <v>39</v>
      </c>
      <c r="C320">
        <v>2</v>
      </c>
      <c r="D320" t="s">
        <v>36</v>
      </c>
      <c r="E320">
        <v>2.66666666666667</v>
      </c>
      <c r="F320">
        <v>0</v>
      </c>
    </row>
    <row r="321" hidden="1" spans="1:6">
      <c r="A321" s="2" t="s">
        <v>428</v>
      </c>
      <c r="B321" s="3">
        <v>39</v>
      </c>
      <c r="C321">
        <v>2</v>
      </c>
      <c r="D321" t="s">
        <v>38</v>
      </c>
      <c r="E321">
        <v>1.33333333333333</v>
      </c>
      <c r="F321">
        <v>0</v>
      </c>
    </row>
    <row r="322" hidden="1" spans="1:6">
      <c r="A322" s="2" t="s">
        <v>429</v>
      </c>
      <c r="B322" s="3">
        <v>39</v>
      </c>
      <c r="C322">
        <v>2</v>
      </c>
      <c r="D322" t="s">
        <v>40</v>
      </c>
      <c r="E322">
        <v>1.16666666666667</v>
      </c>
      <c r="F322">
        <v>0</v>
      </c>
    </row>
    <row r="323" hidden="1" spans="1:6">
      <c r="A323" s="2" t="s">
        <v>430</v>
      </c>
      <c r="B323" s="3">
        <v>39</v>
      </c>
      <c r="C323">
        <v>2</v>
      </c>
      <c r="D323" t="s">
        <v>42</v>
      </c>
      <c r="E323">
        <f>110/30</f>
        <v>3.66666666666667</v>
      </c>
      <c r="F323">
        <v>0</v>
      </c>
    </row>
    <row r="324" hidden="1" spans="1:6">
      <c r="A324" s="2" t="s">
        <v>431</v>
      </c>
      <c r="B324" s="3">
        <v>39</v>
      </c>
      <c r="C324">
        <v>2</v>
      </c>
      <c r="D324" t="s">
        <v>44</v>
      </c>
      <c r="E324">
        <v>3</v>
      </c>
      <c r="F324">
        <v>0</v>
      </c>
    </row>
    <row r="325" hidden="1" spans="1:6">
      <c r="A325" s="2" t="s">
        <v>432</v>
      </c>
      <c r="B325" s="3">
        <v>39</v>
      </c>
      <c r="C325">
        <v>2</v>
      </c>
      <c r="D325" t="s">
        <v>46</v>
      </c>
      <c r="E325">
        <v>4.33333333333333</v>
      </c>
      <c r="F325">
        <v>0</v>
      </c>
    </row>
    <row r="326" hidden="1" spans="1:6">
      <c r="A326" s="2" t="s">
        <v>433</v>
      </c>
      <c r="B326" s="3">
        <v>39</v>
      </c>
      <c r="C326">
        <v>2</v>
      </c>
      <c r="D326" t="s">
        <v>135</v>
      </c>
      <c r="E326">
        <v>4.33333333333333</v>
      </c>
      <c r="F326">
        <v>0</v>
      </c>
    </row>
    <row r="327" hidden="1" spans="1:6">
      <c r="A327" s="2" t="s">
        <v>434</v>
      </c>
      <c r="B327" s="3">
        <v>39</v>
      </c>
      <c r="C327">
        <v>2</v>
      </c>
      <c r="D327" t="s">
        <v>50</v>
      </c>
      <c r="E327">
        <v>8.16666666666667</v>
      </c>
      <c r="F327">
        <v>0</v>
      </c>
    </row>
    <row r="328" hidden="1" spans="1:6">
      <c r="A328" s="57" t="s">
        <v>435</v>
      </c>
      <c r="B328" s="3">
        <v>39</v>
      </c>
      <c r="C328">
        <v>2</v>
      </c>
      <c r="D328" t="s">
        <v>436</v>
      </c>
      <c r="E328">
        <f>55/30</f>
        <v>1.83333333333333</v>
      </c>
      <c r="F328">
        <v>0</v>
      </c>
    </row>
    <row r="329" hidden="1" spans="1:12">
      <c r="A329" s="57" t="s">
        <v>437</v>
      </c>
      <c r="B329" s="3">
        <v>39</v>
      </c>
      <c r="C329">
        <v>2</v>
      </c>
      <c r="D329" t="s">
        <v>438</v>
      </c>
      <c r="E329">
        <f>24/30</f>
        <v>0.8</v>
      </c>
      <c r="F329">
        <v>1</v>
      </c>
      <c r="G329">
        <v>0</v>
      </c>
      <c r="H329">
        <v>2</v>
      </c>
      <c r="I329">
        <v>854</v>
      </c>
      <c r="J329" t="s">
        <v>58</v>
      </c>
      <c r="K329">
        <v>0</v>
      </c>
      <c r="L329" s="4" t="s">
        <v>439</v>
      </c>
    </row>
    <row r="330" hidden="1" spans="1:11">
      <c r="A330" s="57" t="s">
        <v>440</v>
      </c>
      <c r="B330" s="3">
        <v>39</v>
      </c>
      <c r="C330">
        <v>2</v>
      </c>
      <c r="D330" t="s">
        <v>385</v>
      </c>
      <c r="E330">
        <v>4.83333333333333</v>
      </c>
      <c r="F330">
        <v>0</v>
      </c>
      <c r="G330">
        <v>0</v>
      </c>
      <c r="H330">
        <v>2</v>
      </c>
      <c r="I330">
        <v>886</v>
      </c>
      <c r="J330" t="s">
        <v>237</v>
      </c>
      <c r="K330">
        <v>1</v>
      </c>
    </row>
    <row r="331" hidden="1" spans="1:11">
      <c r="A331" s="57" t="s">
        <v>441</v>
      </c>
      <c r="B331" s="3">
        <v>39</v>
      </c>
      <c r="C331">
        <v>2</v>
      </c>
      <c r="D331" t="s">
        <v>54</v>
      </c>
      <c r="E331">
        <v>3.16666666666667</v>
      </c>
      <c r="F331">
        <v>0</v>
      </c>
      <c r="G331">
        <v>0</v>
      </c>
      <c r="H331">
        <v>2</v>
      </c>
      <c r="I331">
        <v>887</v>
      </c>
      <c r="J331" t="s">
        <v>237</v>
      </c>
      <c r="K331">
        <v>1</v>
      </c>
    </row>
    <row r="332" hidden="1" spans="1:6">
      <c r="A332" s="2" t="s">
        <v>442</v>
      </c>
      <c r="B332" s="3">
        <v>40</v>
      </c>
      <c r="C332">
        <v>2</v>
      </c>
      <c r="D332" t="s">
        <v>36</v>
      </c>
      <c r="E332">
        <v>3</v>
      </c>
      <c r="F332">
        <v>0</v>
      </c>
    </row>
    <row r="333" hidden="1" spans="1:6">
      <c r="A333" s="2" t="s">
        <v>443</v>
      </c>
      <c r="B333" s="3">
        <v>40</v>
      </c>
      <c r="C333">
        <v>2</v>
      </c>
      <c r="D333" t="s">
        <v>40</v>
      </c>
      <c r="E333">
        <v>2.5</v>
      </c>
      <c r="F333">
        <v>0</v>
      </c>
    </row>
    <row r="334" hidden="1" spans="1:6">
      <c r="A334" s="2" t="s">
        <v>444</v>
      </c>
      <c r="B334" s="3">
        <v>40</v>
      </c>
      <c r="C334">
        <v>2</v>
      </c>
      <c r="D334" t="s">
        <v>42</v>
      </c>
      <c r="E334">
        <v>6.66666666666667</v>
      </c>
      <c r="F334">
        <v>0</v>
      </c>
    </row>
    <row r="335" hidden="1" spans="1:6">
      <c r="A335" s="2" t="s">
        <v>445</v>
      </c>
      <c r="B335" s="3">
        <v>40</v>
      </c>
      <c r="C335">
        <v>2</v>
      </c>
      <c r="D335" t="s">
        <v>44</v>
      </c>
      <c r="E335">
        <v>1.93333333333333</v>
      </c>
      <c r="F335">
        <v>0</v>
      </c>
    </row>
    <row r="336" hidden="1" spans="1:6">
      <c r="A336" s="2" t="s">
        <v>446</v>
      </c>
      <c r="B336" s="3">
        <v>40</v>
      </c>
      <c r="C336">
        <v>2</v>
      </c>
      <c r="D336" t="s">
        <v>46</v>
      </c>
      <c r="E336">
        <v>2.83333333333333</v>
      </c>
      <c r="F336">
        <v>0</v>
      </c>
    </row>
    <row r="337" hidden="1" spans="1:6">
      <c r="A337" s="2" t="s">
        <v>447</v>
      </c>
      <c r="B337" s="3">
        <v>40</v>
      </c>
      <c r="C337">
        <v>2</v>
      </c>
      <c r="D337" t="s">
        <v>86</v>
      </c>
      <c r="E337">
        <v>6.83333333333333</v>
      </c>
      <c r="F337">
        <v>0</v>
      </c>
    </row>
    <row r="338" hidden="1" spans="1:6">
      <c r="A338" s="2" t="s">
        <v>448</v>
      </c>
      <c r="B338" s="3">
        <v>40</v>
      </c>
      <c r="C338">
        <v>2</v>
      </c>
      <c r="D338" t="s">
        <v>50</v>
      </c>
      <c r="E338">
        <v>10.1666666666667</v>
      </c>
      <c r="F338">
        <v>0</v>
      </c>
    </row>
    <row r="339" hidden="1" spans="1:6">
      <c r="A339" s="2" t="s">
        <v>449</v>
      </c>
      <c r="B339" s="3">
        <v>40</v>
      </c>
      <c r="C339">
        <v>2</v>
      </c>
      <c r="D339" t="s">
        <v>247</v>
      </c>
      <c r="E339">
        <v>1.83333333333333</v>
      </c>
      <c r="F339">
        <v>0</v>
      </c>
    </row>
    <row r="340" hidden="1" spans="1:6">
      <c r="A340" s="2" t="s">
        <v>450</v>
      </c>
      <c r="B340" s="3">
        <v>40</v>
      </c>
      <c r="C340">
        <v>2</v>
      </c>
      <c r="D340" t="s">
        <v>48</v>
      </c>
      <c r="E340">
        <v>3</v>
      </c>
      <c r="F340">
        <v>0</v>
      </c>
    </row>
    <row r="341" hidden="1" spans="1:11">
      <c r="A341" s="2" t="s">
        <v>451</v>
      </c>
      <c r="B341" s="3">
        <v>40</v>
      </c>
      <c r="C341">
        <v>2</v>
      </c>
      <c r="D341" t="s">
        <v>97</v>
      </c>
      <c r="E341">
        <v>2.83333333333333</v>
      </c>
      <c r="F341">
        <v>0</v>
      </c>
      <c r="G341">
        <v>0</v>
      </c>
      <c r="H341">
        <v>2</v>
      </c>
      <c r="I341">
        <v>878</v>
      </c>
      <c r="J341" t="s">
        <v>452</v>
      </c>
      <c r="K341">
        <v>0</v>
      </c>
    </row>
    <row r="342" hidden="1" spans="1:11">
      <c r="A342" s="2" t="s">
        <v>453</v>
      </c>
      <c r="B342" s="3">
        <v>40</v>
      </c>
      <c r="C342">
        <v>2</v>
      </c>
      <c r="D342" t="s">
        <v>54</v>
      </c>
      <c r="E342">
        <v>3.66666666666667</v>
      </c>
      <c r="F342">
        <v>0</v>
      </c>
      <c r="G342">
        <v>0</v>
      </c>
      <c r="H342">
        <v>2</v>
      </c>
      <c r="I342">
        <v>879</v>
      </c>
      <c r="J342" t="s">
        <v>454</v>
      </c>
      <c r="K342">
        <v>1</v>
      </c>
    </row>
    <row r="343" hidden="1" spans="1:6">
      <c r="A343" s="2" t="s">
        <v>455</v>
      </c>
      <c r="B343" s="3">
        <v>41</v>
      </c>
      <c r="C343">
        <v>2</v>
      </c>
      <c r="D343" s="53" t="s">
        <v>36</v>
      </c>
      <c r="E343" s="58">
        <v>2.06666666666667</v>
      </c>
      <c r="F343">
        <v>0</v>
      </c>
    </row>
    <row r="344" hidden="1" spans="1:6">
      <c r="A344" s="2" t="s">
        <v>456</v>
      </c>
      <c r="B344" s="3">
        <v>41</v>
      </c>
      <c r="C344">
        <v>2</v>
      </c>
      <c r="D344" s="53" t="s">
        <v>38</v>
      </c>
      <c r="E344" s="58">
        <v>3.33333333333333</v>
      </c>
      <c r="F344">
        <v>0</v>
      </c>
    </row>
    <row r="345" hidden="1" spans="1:6">
      <c r="A345" s="2" t="s">
        <v>457</v>
      </c>
      <c r="B345" s="3">
        <v>41</v>
      </c>
      <c r="C345">
        <v>2</v>
      </c>
      <c r="D345" s="53" t="s">
        <v>40</v>
      </c>
      <c r="E345" s="58">
        <v>1.83333333333333</v>
      </c>
      <c r="F345">
        <v>0</v>
      </c>
    </row>
    <row r="346" hidden="1" spans="1:6">
      <c r="A346" s="2" t="s">
        <v>458</v>
      </c>
      <c r="B346" s="3">
        <v>41</v>
      </c>
      <c r="C346">
        <v>2</v>
      </c>
      <c r="D346" s="53" t="s">
        <v>42</v>
      </c>
      <c r="E346" s="58">
        <v>6.63333333333333</v>
      </c>
      <c r="F346">
        <v>0</v>
      </c>
    </row>
    <row r="347" hidden="1" spans="1:6">
      <c r="A347" s="2" t="s">
        <v>459</v>
      </c>
      <c r="B347" s="3">
        <v>41</v>
      </c>
      <c r="C347">
        <v>2</v>
      </c>
      <c r="D347" s="53" t="s">
        <v>44</v>
      </c>
      <c r="E347" s="58">
        <v>4</v>
      </c>
      <c r="F347">
        <v>0</v>
      </c>
    </row>
    <row r="348" hidden="1" spans="1:6">
      <c r="A348" s="2" t="s">
        <v>460</v>
      </c>
      <c r="B348" s="3">
        <v>41</v>
      </c>
      <c r="C348">
        <v>2</v>
      </c>
      <c r="D348" s="53" t="s">
        <v>46</v>
      </c>
      <c r="E348" s="58">
        <v>3.33333333333333</v>
      </c>
      <c r="F348">
        <v>0</v>
      </c>
    </row>
    <row r="349" hidden="1" spans="1:6">
      <c r="A349" s="2" t="s">
        <v>461</v>
      </c>
      <c r="B349" s="3">
        <v>41</v>
      </c>
      <c r="C349">
        <v>2</v>
      </c>
      <c r="D349" s="53" t="s">
        <v>462</v>
      </c>
      <c r="E349" s="58">
        <v>1.66666666666667</v>
      </c>
      <c r="F349">
        <v>0</v>
      </c>
    </row>
    <row r="350" hidden="1" spans="1:6">
      <c r="A350" s="2" t="s">
        <v>463</v>
      </c>
      <c r="B350" s="3">
        <v>41</v>
      </c>
      <c r="C350">
        <v>2</v>
      </c>
      <c r="D350" s="53" t="s">
        <v>143</v>
      </c>
      <c r="E350" s="58">
        <v>9.83333333333333</v>
      </c>
      <c r="F350">
        <v>0</v>
      </c>
    </row>
    <row r="351" hidden="1" spans="1:6">
      <c r="A351" s="2" t="s">
        <v>464</v>
      </c>
      <c r="B351" s="3">
        <v>42</v>
      </c>
      <c r="C351">
        <v>2</v>
      </c>
      <c r="D351" s="53" t="s">
        <v>36</v>
      </c>
      <c r="E351" s="47">
        <v>2.16666666666667</v>
      </c>
      <c r="F351">
        <v>0</v>
      </c>
    </row>
    <row r="352" hidden="1" spans="1:6">
      <c r="A352" s="2" t="s">
        <v>465</v>
      </c>
      <c r="B352" s="3">
        <v>42</v>
      </c>
      <c r="C352">
        <v>2</v>
      </c>
      <c r="D352" s="53" t="s">
        <v>38</v>
      </c>
      <c r="E352" s="47">
        <v>3.83333333333333</v>
      </c>
      <c r="F352">
        <v>0</v>
      </c>
    </row>
    <row r="353" hidden="1" spans="1:6">
      <c r="A353" s="2" t="s">
        <v>466</v>
      </c>
      <c r="B353" s="3">
        <v>42</v>
      </c>
      <c r="C353">
        <v>2</v>
      </c>
      <c r="D353" s="53" t="s">
        <v>40</v>
      </c>
      <c r="E353" s="47">
        <v>6.6</v>
      </c>
      <c r="F353">
        <v>0</v>
      </c>
    </row>
    <row r="354" hidden="1" spans="1:6">
      <c r="A354" s="2" t="s">
        <v>467</v>
      </c>
      <c r="B354" s="3">
        <v>42</v>
      </c>
      <c r="C354">
        <v>2</v>
      </c>
      <c r="D354" s="53" t="s">
        <v>42</v>
      </c>
      <c r="E354" s="47">
        <f>172/30</f>
        <v>5.73333333333333</v>
      </c>
      <c r="F354">
        <v>0</v>
      </c>
    </row>
    <row r="355" hidden="1" spans="1:6">
      <c r="A355" s="2" t="s">
        <v>468</v>
      </c>
      <c r="B355" s="3">
        <v>42</v>
      </c>
      <c r="C355">
        <v>2</v>
      </c>
      <c r="D355" s="53" t="s">
        <v>44</v>
      </c>
      <c r="E355" s="47">
        <v>3.33333333333333</v>
      </c>
      <c r="F355">
        <v>0</v>
      </c>
    </row>
    <row r="356" hidden="1" spans="1:6">
      <c r="A356" s="2" t="s">
        <v>469</v>
      </c>
      <c r="B356" s="3">
        <v>42</v>
      </c>
      <c r="C356">
        <v>2</v>
      </c>
      <c r="D356" s="53" t="s">
        <v>46</v>
      </c>
      <c r="E356" s="47">
        <v>2.83333333333333</v>
      </c>
      <c r="F356">
        <v>0</v>
      </c>
    </row>
    <row r="357" hidden="1" spans="1:6">
      <c r="A357" s="2" t="s">
        <v>470</v>
      </c>
      <c r="B357" s="3">
        <v>42</v>
      </c>
      <c r="C357">
        <v>2</v>
      </c>
      <c r="D357" s="53" t="s">
        <v>50</v>
      </c>
      <c r="E357" s="47">
        <f>189/30</f>
        <v>6.3</v>
      </c>
      <c r="F357">
        <v>0</v>
      </c>
    </row>
    <row r="358" hidden="1" spans="1:6">
      <c r="A358" s="2" t="s">
        <v>471</v>
      </c>
      <c r="B358" s="3">
        <v>42</v>
      </c>
      <c r="C358">
        <v>2</v>
      </c>
      <c r="D358" s="53" t="s">
        <v>135</v>
      </c>
      <c r="E358" s="47">
        <v>3.66666666666667</v>
      </c>
      <c r="F358">
        <v>0</v>
      </c>
    </row>
    <row r="359" hidden="1" spans="1:11">
      <c r="A359" s="2" t="s">
        <v>472</v>
      </c>
      <c r="B359" s="3">
        <v>42</v>
      </c>
      <c r="C359">
        <v>2</v>
      </c>
      <c r="D359" s="53" t="s">
        <v>54</v>
      </c>
      <c r="E359" s="47">
        <v>3.16666666666667</v>
      </c>
      <c r="F359">
        <v>0</v>
      </c>
      <c r="G359">
        <v>0</v>
      </c>
      <c r="H359">
        <v>2</v>
      </c>
      <c r="I359">
        <v>885</v>
      </c>
      <c r="J359" s="56" t="s">
        <v>473</v>
      </c>
      <c r="K359">
        <v>1</v>
      </c>
    </row>
    <row r="360" hidden="1" spans="1:6">
      <c r="A360" s="2" t="s">
        <v>474</v>
      </c>
      <c r="B360" s="3">
        <v>43</v>
      </c>
      <c r="C360">
        <v>2</v>
      </c>
      <c r="D360" t="s">
        <v>36</v>
      </c>
      <c r="E360">
        <v>1.26666666666667</v>
      </c>
      <c r="F360">
        <v>0</v>
      </c>
    </row>
    <row r="361" hidden="1" spans="1:6">
      <c r="A361" s="2" t="s">
        <v>475</v>
      </c>
      <c r="B361" s="3">
        <v>43</v>
      </c>
      <c r="C361">
        <v>2</v>
      </c>
      <c r="D361" t="s">
        <v>38</v>
      </c>
      <c r="E361">
        <v>1.4</v>
      </c>
      <c r="F361">
        <v>0</v>
      </c>
    </row>
    <row r="362" hidden="1" spans="1:6">
      <c r="A362" s="2" t="s">
        <v>476</v>
      </c>
      <c r="B362" s="3">
        <v>43</v>
      </c>
      <c r="C362">
        <v>2</v>
      </c>
      <c r="D362" t="s">
        <v>40</v>
      </c>
      <c r="E362">
        <v>1.93333333333333</v>
      </c>
      <c r="F362">
        <v>0</v>
      </c>
    </row>
    <row r="363" hidden="1" spans="1:6">
      <c r="A363" s="2" t="s">
        <v>477</v>
      </c>
      <c r="B363" s="3">
        <v>43</v>
      </c>
      <c r="C363">
        <v>2</v>
      </c>
      <c r="D363" t="s">
        <v>42</v>
      </c>
      <c r="E363">
        <v>3.33333333333333</v>
      </c>
      <c r="F363">
        <v>0</v>
      </c>
    </row>
    <row r="364" hidden="1" spans="1:6">
      <c r="A364" s="2" t="s">
        <v>478</v>
      </c>
      <c r="B364" s="3">
        <v>43</v>
      </c>
      <c r="C364">
        <v>2</v>
      </c>
      <c r="D364" t="s">
        <v>44</v>
      </c>
      <c r="E364">
        <v>1.83333333333333</v>
      </c>
      <c r="F364">
        <v>0</v>
      </c>
    </row>
    <row r="365" hidden="1" spans="1:6">
      <c r="A365" s="2" t="s">
        <v>479</v>
      </c>
      <c r="B365" s="3">
        <v>30001</v>
      </c>
      <c r="C365">
        <v>2</v>
      </c>
      <c r="D365" t="s">
        <v>46</v>
      </c>
      <c r="E365">
        <v>6</v>
      </c>
      <c r="F365">
        <v>0</v>
      </c>
    </row>
    <row r="366" hidden="1" spans="1:6">
      <c r="A366" s="2" t="s">
        <v>480</v>
      </c>
      <c r="B366" s="3">
        <v>30001</v>
      </c>
      <c r="C366">
        <v>2</v>
      </c>
      <c r="D366" t="s">
        <v>86</v>
      </c>
      <c r="E366">
        <v>2.06666666666667</v>
      </c>
      <c r="F366">
        <v>0</v>
      </c>
    </row>
    <row r="367" hidden="1" spans="1:6">
      <c r="A367" s="2" t="s">
        <v>481</v>
      </c>
      <c r="B367" s="3">
        <v>30001</v>
      </c>
      <c r="C367">
        <v>2</v>
      </c>
      <c r="D367" t="s">
        <v>50</v>
      </c>
      <c r="E367">
        <v>3.03333333333333</v>
      </c>
      <c r="F367">
        <v>0</v>
      </c>
    </row>
    <row r="368" hidden="1" spans="1:6">
      <c r="A368" s="57" t="s">
        <v>482</v>
      </c>
      <c r="B368" s="3">
        <v>30001</v>
      </c>
      <c r="C368">
        <v>2</v>
      </c>
      <c r="D368" t="s">
        <v>247</v>
      </c>
      <c r="E368">
        <v>1.66666666666667</v>
      </c>
      <c r="F368">
        <v>0</v>
      </c>
    </row>
    <row r="369" hidden="1" spans="1:6">
      <c r="A369" s="2" t="s">
        <v>483</v>
      </c>
      <c r="B369" s="3">
        <v>44</v>
      </c>
      <c r="C369">
        <v>2</v>
      </c>
      <c r="D369" s="53" t="s">
        <v>36</v>
      </c>
      <c r="E369" s="47">
        <v>1.83333333333333</v>
      </c>
      <c r="F369">
        <v>0</v>
      </c>
    </row>
    <row r="370" hidden="1" spans="1:6">
      <c r="A370" s="2" t="s">
        <v>484</v>
      </c>
      <c r="B370" s="3">
        <v>44</v>
      </c>
      <c r="C370">
        <v>2</v>
      </c>
      <c r="D370" s="53" t="s">
        <v>485</v>
      </c>
      <c r="E370" s="47">
        <v>4.5</v>
      </c>
      <c r="F370">
        <v>0</v>
      </c>
    </row>
    <row r="371" hidden="1" spans="1:6">
      <c r="A371" s="2" t="s">
        <v>486</v>
      </c>
      <c r="B371" s="3">
        <v>44</v>
      </c>
      <c r="C371">
        <v>2</v>
      </c>
      <c r="D371" s="53" t="s">
        <v>40</v>
      </c>
      <c r="E371" s="47">
        <v>3.5</v>
      </c>
      <c r="F371">
        <v>0</v>
      </c>
    </row>
    <row r="372" hidden="1" spans="1:6">
      <c r="A372" s="2" t="s">
        <v>487</v>
      </c>
      <c r="B372" s="3">
        <v>44</v>
      </c>
      <c r="C372">
        <v>2</v>
      </c>
      <c r="D372" s="53" t="s">
        <v>42</v>
      </c>
      <c r="E372" s="47">
        <v>2.16666666666667</v>
      </c>
      <c r="F372">
        <v>0</v>
      </c>
    </row>
    <row r="373" hidden="1" spans="1:6">
      <c r="A373" s="2" t="s">
        <v>488</v>
      </c>
      <c r="B373" s="3">
        <v>44</v>
      </c>
      <c r="C373">
        <v>2</v>
      </c>
      <c r="D373" s="53" t="s">
        <v>489</v>
      </c>
      <c r="E373" s="47">
        <v>0.933333333333333</v>
      </c>
      <c r="F373">
        <v>0</v>
      </c>
    </row>
    <row r="374" hidden="1" spans="1:6">
      <c r="A374" s="2" t="s">
        <v>490</v>
      </c>
      <c r="B374" s="3">
        <v>34</v>
      </c>
      <c r="C374">
        <v>2</v>
      </c>
      <c r="D374" t="s">
        <v>36</v>
      </c>
      <c r="E374" s="47">
        <v>3.33333333333333</v>
      </c>
      <c r="F374">
        <v>0</v>
      </c>
    </row>
    <row r="375" hidden="1" spans="1:6">
      <c r="A375" s="2" t="s">
        <v>491</v>
      </c>
      <c r="B375" s="3">
        <v>34</v>
      </c>
      <c r="C375">
        <v>2</v>
      </c>
      <c r="D375" t="s">
        <v>38</v>
      </c>
      <c r="E375" s="47">
        <v>3</v>
      </c>
      <c r="F375">
        <v>0</v>
      </c>
    </row>
    <row r="376" hidden="1" spans="1:6">
      <c r="A376" s="2" t="s">
        <v>492</v>
      </c>
      <c r="B376" s="3">
        <v>34</v>
      </c>
      <c r="C376">
        <v>2</v>
      </c>
      <c r="D376" t="s">
        <v>40</v>
      </c>
      <c r="E376" s="47">
        <v>3.33333333333333</v>
      </c>
      <c r="F376">
        <v>0</v>
      </c>
    </row>
    <row r="377" hidden="1" spans="1:6">
      <c r="A377" s="2" t="s">
        <v>493</v>
      </c>
      <c r="B377" s="3">
        <v>34</v>
      </c>
      <c r="C377">
        <v>2</v>
      </c>
      <c r="D377" t="s">
        <v>42</v>
      </c>
      <c r="E377" s="47">
        <v>5.5</v>
      </c>
      <c r="F377">
        <v>0</v>
      </c>
    </row>
    <row r="378" hidden="1" spans="1:6">
      <c r="A378" s="2" t="s">
        <v>494</v>
      </c>
      <c r="B378" s="3">
        <v>34</v>
      </c>
      <c r="C378">
        <v>2</v>
      </c>
      <c r="D378" t="s">
        <v>44</v>
      </c>
      <c r="E378" s="47">
        <v>10.1666666666667</v>
      </c>
      <c r="F378">
        <v>0</v>
      </c>
    </row>
    <row r="379" hidden="1" spans="1:6">
      <c r="A379" s="2" t="s">
        <v>495</v>
      </c>
      <c r="B379" s="3">
        <v>34</v>
      </c>
      <c r="C379">
        <v>2</v>
      </c>
      <c r="D379" t="s">
        <v>46</v>
      </c>
      <c r="E379" s="47">
        <v>3</v>
      </c>
      <c r="F379">
        <v>0</v>
      </c>
    </row>
    <row r="380" hidden="1" spans="1:6">
      <c r="A380" s="2" t="s">
        <v>496</v>
      </c>
      <c r="B380" s="3">
        <v>34</v>
      </c>
      <c r="C380">
        <v>2</v>
      </c>
      <c r="D380" t="s">
        <v>86</v>
      </c>
      <c r="E380" s="47">
        <v>6.66666666666667</v>
      </c>
      <c r="F380">
        <v>0</v>
      </c>
    </row>
    <row r="381" hidden="1" spans="1:6">
      <c r="A381" s="2" t="s">
        <v>497</v>
      </c>
      <c r="B381" s="3">
        <v>34</v>
      </c>
      <c r="C381">
        <v>2</v>
      </c>
      <c r="D381" t="s">
        <v>135</v>
      </c>
      <c r="E381" s="47">
        <v>9</v>
      </c>
      <c r="F381">
        <v>0</v>
      </c>
    </row>
    <row r="382" hidden="1" spans="1:6">
      <c r="A382" s="2" t="s">
        <v>498</v>
      </c>
      <c r="B382" s="3">
        <v>1013</v>
      </c>
      <c r="C382">
        <v>2</v>
      </c>
      <c r="D382" t="s">
        <v>36</v>
      </c>
      <c r="E382">
        <v>1.5</v>
      </c>
      <c r="F382">
        <v>0</v>
      </c>
    </row>
    <row r="383" hidden="1" spans="1:6">
      <c r="A383" s="2" t="s">
        <v>499</v>
      </c>
      <c r="B383" s="3">
        <v>1014</v>
      </c>
      <c r="C383">
        <v>2</v>
      </c>
      <c r="D383" t="s">
        <v>36</v>
      </c>
      <c r="E383">
        <v>1.93333333333333</v>
      </c>
      <c r="F383">
        <v>0</v>
      </c>
    </row>
    <row r="384" hidden="1" spans="1:6">
      <c r="A384" s="2" t="s">
        <v>500</v>
      </c>
      <c r="B384" s="3">
        <v>1015</v>
      </c>
      <c r="C384">
        <v>2</v>
      </c>
      <c r="D384" t="s">
        <v>36</v>
      </c>
      <c r="E384" s="47">
        <v>1.86666666666667</v>
      </c>
      <c r="F384">
        <v>0</v>
      </c>
    </row>
    <row r="385" hidden="1" spans="1:6">
      <c r="A385" s="2" t="s">
        <v>501</v>
      </c>
      <c r="B385" s="3">
        <v>1018</v>
      </c>
      <c r="C385">
        <v>2</v>
      </c>
      <c r="D385" t="s">
        <v>36</v>
      </c>
      <c r="E385" s="47">
        <v>2</v>
      </c>
      <c r="F385">
        <v>0</v>
      </c>
    </row>
    <row r="386" hidden="1" spans="1:6">
      <c r="A386" s="2" t="s">
        <v>502</v>
      </c>
      <c r="B386" s="3">
        <v>1019</v>
      </c>
      <c r="C386">
        <v>2</v>
      </c>
      <c r="D386" t="s">
        <v>36</v>
      </c>
      <c r="E386" s="47">
        <v>2</v>
      </c>
      <c r="F386">
        <v>0</v>
      </c>
    </row>
    <row r="387" hidden="1" spans="1:6">
      <c r="A387" s="2" t="s">
        <v>503</v>
      </c>
      <c r="B387" s="3">
        <v>1019</v>
      </c>
      <c r="C387">
        <v>2</v>
      </c>
      <c r="D387" t="s">
        <v>38</v>
      </c>
      <c r="E387" s="47">
        <v>2.5</v>
      </c>
      <c r="F387">
        <v>0</v>
      </c>
    </row>
    <row r="388" hidden="1" spans="1:6">
      <c r="A388" s="2" t="s">
        <v>504</v>
      </c>
      <c r="B388" s="3">
        <v>1020</v>
      </c>
      <c r="C388">
        <v>2</v>
      </c>
      <c r="D388" t="s">
        <v>36</v>
      </c>
      <c r="E388">
        <v>2.33333333333333</v>
      </c>
      <c r="F388">
        <v>0</v>
      </c>
    </row>
    <row r="389" hidden="1" spans="1:6">
      <c r="A389" s="2" t="s">
        <v>505</v>
      </c>
      <c r="B389" s="3">
        <v>1021</v>
      </c>
      <c r="C389">
        <v>2</v>
      </c>
      <c r="D389" t="s">
        <v>36</v>
      </c>
      <c r="E389">
        <v>1.06666666666667</v>
      </c>
      <c r="F389">
        <v>0</v>
      </c>
    </row>
    <row r="390" hidden="1" spans="1:6">
      <c r="A390" s="2" t="s">
        <v>506</v>
      </c>
      <c r="B390" s="3">
        <v>1022</v>
      </c>
      <c r="C390">
        <v>2</v>
      </c>
      <c r="D390" t="s">
        <v>36</v>
      </c>
      <c r="E390">
        <v>1.06666666666667</v>
      </c>
      <c r="F390">
        <v>0</v>
      </c>
    </row>
    <row r="391" hidden="1" spans="1:6">
      <c r="A391" s="2" t="s">
        <v>507</v>
      </c>
      <c r="B391" s="3">
        <v>1023</v>
      </c>
      <c r="C391">
        <v>2</v>
      </c>
      <c r="D391" t="s">
        <v>36</v>
      </c>
      <c r="E391">
        <v>2</v>
      </c>
      <c r="F391">
        <v>0</v>
      </c>
    </row>
    <row r="392" hidden="1" spans="1:6">
      <c r="A392" s="2" t="s">
        <v>508</v>
      </c>
      <c r="B392" s="3">
        <v>1024</v>
      </c>
      <c r="C392">
        <v>2</v>
      </c>
      <c r="D392" t="s">
        <v>36</v>
      </c>
      <c r="E392">
        <v>1.66666666666667</v>
      </c>
      <c r="F392">
        <v>0</v>
      </c>
    </row>
    <row r="393" hidden="1" spans="1:6">
      <c r="A393" s="2" t="s">
        <v>509</v>
      </c>
      <c r="B393" s="3">
        <v>1025</v>
      </c>
      <c r="C393">
        <v>2</v>
      </c>
      <c r="D393" t="s">
        <v>36</v>
      </c>
      <c r="E393">
        <v>2</v>
      </c>
      <c r="F393">
        <v>0</v>
      </c>
    </row>
    <row r="394" hidden="1" spans="1:6">
      <c r="A394" s="2" t="s">
        <v>510</v>
      </c>
      <c r="B394" s="3">
        <v>1026</v>
      </c>
      <c r="C394">
        <v>2</v>
      </c>
      <c r="D394" t="s">
        <v>36</v>
      </c>
      <c r="E394">
        <v>2</v>
      </c>
      <c r="F394">
        <v>0</v>
      </c>
    </row>
    <row r="395" hidden="1" spans="1:6">
      <c r="A395" s="2" t="s">
        <v>511</v>
      </c>
      <c r="B395" s="3">
        <v>1027</v>
      </c>
      <c r="C395">
        <v>2</v>
      </c>
      <c r="D395" t="s">
        <v>36</v>
      </c>
      <c r="E395">
        <v>1.66666666666667</v>
      </c>
      <c r="F395">
        <v>0</v>
      </c>
    </row>
    <row r="396" hidden="1" spans="1:6">
      <c r="A396" s="2" t="s">
        <v>512</v>
      </c>
      <c r="B396" s="3">
        <v>1016</v>
      </c>
      <c r="C396">
        <v>2</v>
      </c>
      <c r="D396" t="s">
        <v>36</v>
      </c>
      <c r="E396">
        <v>1.33333333333333</v>
      </c>
      <c r="F396">
        <v>0</v>
      </c>
    </row>
    <row r="397" hidden="1" spans="1:6">
      <c r="A397" s="2" t="s">
        <v>513</v>
      </c>
      <c r="B397" s="3">
        <v>1016</v>
      </c>
      <c r="C397">
        <v>2</v>
      </c>
      <c r="D397" t="s">
        <v>38</v>
      </c>
      <c r="E397">
        <v>2.16666666666667</v>
      </c>
      <c r="F397">
        <v>0</v>
      </c>
    </row>
    <row r="398" hidden="1" spans="1:6">
      <c r="A398" s="2" t="s">
        <v>514</v>
      </c>
      <c r="B398" s="3">
        <v>1029</v>
      </c>
      <c r="C398">
        <v>2</v>
      </c>
      <c r="D398" t="s">
        <v>36</v>
      </c>
      <c r="E398">
        <v>2.56666666666667</v>
      </c>
      <c r="F398">
        <v>0</v>
      </c>
    </row>
    <row r="399" hidden="1" spans="1:6">
      <c r="A399" s="2" t="s">
        <v>515</v>
      </c>
      <c r="B399" s="3">
        <v>1030</v>
      </c>
      <c r="C399">
        <v>2</v>
      </c>
      <c r="D399" t="s">
        <v>36</v>
      </c>
      <c r="E399">
        <v>1.5</v>
      </c>
      <c r="F399">
        <v>0</v>
      </c>
    </row>
    <row r="400" hidden="1" spans="1:6">
      <c r="A400" s="2" t="s">
        <v>516</v>
      </c>
      <c r="B400" s="3">
        <v>1017</v>
      </c>
      <c r="C400">
        <v>2</v>
      </c>
      <c r="D400" t="s">
        <v>36</v>
      </c>
      <c r="E400">
        <v>1.83333333333333</v>
      </c>
      <c r="F400">
        <v>0</v>
      </c>
    </row>
    <row r="401" hidden="1" spans="1:6">
      <c r="A401" s="2" t="s">
        <v>517</v>
      </c>
      <c r="B401" s="3">
        <v>1017</v>
      </c>
      <c r="C401">
        <v>2</v>
      </c>
      <c r="D401" t="s">
        <v>38</v>
      </c>
      <c r="E401">
        <v>2.16666666666667</v>
      </c>
      <c r="F401">
        <v>0</v>
      </c>
    </row>
    <row r="402" hidden="1" spans="1:6">
      <c r="A402" s="2" t="s">
        <v>518</v>
      </c>
      <c r="B402" s="3">
        <v>1031</v>
      </c>
      <c r="C402">
        <v>2</v>
      </c>
      <c r="D402" t="s">
        <v>36</v>
      </c>
      <c r="E402">
        <v>2.06666666666667</v>
      </c>
      <c r="F402">
        <v>0</v>
      </c>
    </row>
    <row r="403" hidden="1" spans="1:6">
      <c r="A403" s="2" t="s">
        <v>519</v>
      </c>
      <c r="B403" s="3">
        <v>1032</v>
      </c>
      <c r="C403">
        <v>2</v>
      </c>
      <c r="D403" t="s">
        <v>36</v>
      </c>
      <c r="E403">
        <v>1.73333333333333</v>
      </c>
      <c r="F403">
        <v>0</v>
      </c>
    </row>
    <row r="404" hidden="1" spans="1:6">
      <c r="A404" s="2" t="s">
        <v>520</v>
      </c>
      <c r="B404" s="3">
        <v>1033</v>
      </c>
      <c r="C404">
        <v>2</v>
      </c>
      <c r="D404" t="s">
        <v>36</v>
      </c>
      <c r="E404">
        <v>3.2</v>
      </c>
      <c r="F404">
        <v>0</v>
      </c>
    </row>
    <row r="405" hidden="1" spans="1:6">
      <c r="A405" s="2" t="s">
        <v>521</v>
      </c>
      <c r="B405" s="3">
        <v>46</v>
      </c>
      <c r="C405">
        <v>3</v>
      </c>
      <c r="D405" t="s">
        <v>36</v>
      </c>
      <c r="E405">
        <v>1.93333333333333</v>
      </c>
      <c r="F405">
        <v>0</v>
      </c>
    </row>
    <row r="406" hidden="1" spans="1:6">
      <c r="A406" s="2" t="s">
        <v>522</v>
      </c>
      <c r="B406" s="3">
        <v>46</v>
      </c>
      <c r="C406">
        <v>3</v>
      </c>
      <c r="D406" t="s">
        <v>38</v>
      </c>
      <c r="E406">
        <v>7</v>
      </c>
      <c r="F406">
        <v>0</v>
      </c>
    </row>
    <row r="407" hidden="1" spans="1:6">
      <c r="A407" s="2" t="s">
        <v>523</v>
      </c>
      <c r="B407" s="3">
        <v>46</v>
      </c>
      <c r="C407">
        <v>3</v>
      </c>
      <c r="D407" t="s">
        <v>40</v>
      </c>
      <c r="E407">
        <v>2.5</v>
      </c>
      <c r="F407">
        <v>0</v>
      </c>
    </row>
    <row r="408" hidden="1" spans="1:6">
      <c r="A408" s="2" t="s">
        <v>524</v>
      </c>
      <c r="B408" s="3">
        <v>46</v>
      </c>
      <c r="C408">
        <v>3</v>
      </c>
      <c r="D408" t="s">
        <v>42</v>
      </c>
      <c r="E408">
        <v>2</v>
      </c>
      <c r="F408">
        <v>0</v>
      </c>
    </row>
    <row r="409" hidden="1" spans="1:6">
      <c r="A409" s="2" t="s">
        <v>525</v>
      </c>
      <c r="B409" s="3">
        <v>46</v>
      </c>
      <c r="C409">
        <v>3</v>
      </c>
      <c r="D409" t="s">
        <v>44</v>
      </c>
      <c r="E409">
        <v>2.5</v>
      </c>
      <c r="F409">
        <v>0</v>
      </c>
    </row>
    <row r="410" hidden="1" spans="1:6">
      <c r="A410" s="2" t="s">
        <v>526</v>
      </c>
      <c r="B410" s="3">
        <v>46</v>
      </c>
      <c r="C410">
        <v>3</v>
      </c>
      <c r="D410" t="s">
        <v>46</v>
      </c>
      <c r="E410">
        <v>5</v>
      </c>
      <c r="F410">
        <v>0</v>
      </c>
    </row>
    <row r="411" hidden="1" spans="1:6">
      <c r="A411" s="2" t="s">
        <v>527</v>
      </c>
      <c r="B411" s="3">
        <v>46</v>
      </c>
      <c r="C411">
        <v>3</v>
      </c>
      <c r="D411" t="s">
        <v>86</v>
      </c>
      <c r="E411">
        <v>3.5</v>
      </c>
      <c r="F411">
        <v>0</v>
      </c>
    </row>
    <row r="412" hidden="1" spans="1:12">
      <c r="A412" s="2" t="s">
        <v>528</v>
      </c>
      <c r="B412" s="3">
        <v>46</v>
      </c>
      <c r="C412">
        <v>3</v>
      </c>
      <c r="D412" t="s">
        <v>50</v>
      </c>
      <c r="E412">
        <v>9</v>
      </c>
      <c r="F412">
        <v>0</v>
      </c>
      <c r="G412">
        <v>0</v>
      </c>
      <c r="L412" s="4" t="s">
        <v>529</v>
      </c>
    </row>
    <row r="413" hidden="1" spans="1:6">
      <c r="A413" s="57" t="s">
        <v>530</v>
      </c>
      <c r="B413" s="3">
        <v>46</v>
      </c>
      <c r="C413">
        <v>3</v>
      </c>
      <c r="D413" t="s">
        <v>531</v>
      </c>
      <c r="E413">
        <v>6.6</v>
      </c>
      <c r="F413">
        <v>0</v>
      </c>
    </row>
    <row r="414" hidden="1" spans="1:6">
      <c r="A414" s="2" t="s">
        <v>532</v>
      </c>
      <c r="B414" s="3">
        <v>1038</v>
      </c>
      <c r="C414">
        <v>3</v>
      </c>
      <c r="D414" t="s">
        <v>36</v>
      </c>
      <c r="E414">
        <v>1.16666666666667</v>
      </c>
      <c r="F414">
        <v>0</v>
      </c>
    </row>
    <row r="415" hidden="1" spans="1:6">
      <c r="A415" s="2" t="s">
        <v>533</v>
      </c>
      <c r="B415" s="3">
        <v>1038</v>
      </c>
      <c r="C415">
        <v>3</v>
      </c>
      <c r="D415" t="s">
        <v>38</v>
      </c>
      <c r="E415">
        <v>2.83333333333333</v>
      </c>
      <c r="F415">
        <v>0</v>
      </c>
    </row>
    <row r="416" hidden="1" spans="1:6">
      <c r="A416" s="2" t="s">
        <v>534</v>
      </c>
      <c r="B416" s="3">
        <v>45</v>
      </c>
      <c r="C416">
        <v>3</v>
      </c>
      <c r="D416" t="s">
        <v>36</v>
      </c>
      <c r="E416">
        <v>2.83333333333333</v>
      </c>
      <c r="F416">
        <v>0</v>
      </c>
    </row>
    <row r="417" hidden="1" spans="1:6">
      <c r="A417" s="2" t="s">
        <v>535</v>
      </c>
      <c r="B417" s="3">
        <v>45</v>
      </c>
      <c r="C417">
        <v>3</v>
      </c>
      <c r="D417" t="s">
        <v>38</v>
      </c>
      <c r="E417">
        <v>3</v>
      </c>
      <c r="F417">
        <v>0</v>
      </c>
    </row>
    <row r="418" hidden="1" spans="1:6">
      <c r="A418" s="2" t="s">
        <v>536</v>
      </c>
      <c r="B418" s="3">
        <v>45</v>
      </c>
      <c r="C418">
        <v>3</v>
      </c>
      <c r="D418" t="s">
        <v>40</v>
      </c>
      <c r="E418">
        <f>250/30</f>
        <v>8.33333333333333</v>
      </c>
      <c r="F418">
        <v>0</v>
      </c>
    </row>
    <row r="419" hidden="1" spans="1:6">
      <c r="A419" s="2" t="s">
        <v>537</v>
      </c>
      <c r="B419" s="3">
        <v>45</v>
      </c>
      <c r="C419">
        <v>3</v>
      </c>
      <c r="D419" t="s">
        <v>42</v>
      </c>
      <c r="E419">
        <v>7.66666666666667</v>
      </c>
      <c r="F419">
        <v>0</v>
      </c>
    </row>
    <row r="420" hidden="1" spans="1:6">
      <c r="A420" s="2" t="s">
        <v>538</v>
      </c>
      <c r="B420" s="3">
        <v>1040</v>
      </c>
      <c r="C420">
        <v>3</v>
      </c>
      <c r="D420" t="s">
        <v>36</v>
      </c>
      <c r="E420">
        <v>2.33333333333333</v>
      </c>
      <c r="F420">
        <v>0</v>
      </c>
    </row>
    <row r="421" hidden="1" spans="1:6">
      <c r="A421" s="2" t="s">
        <v>539</v>
      </c>
      <c r="B421" s="3">
        <v>1040</v>
      </c>
      <c r="C421">
        <v>3</v>
      </c>
      <c r="D421" t="s">
        <v>38</v>
      </c>
      <c r="E421">
        <v>2.83333333333333</v>
      </c>
      <c r="F421">
        <v>0</v>
      </c>
    </row>
    <row r="422" hidden="1" spans="1:6">
      <c r="A422" s="2" t="s">
        <v>540</v>
      </c>
      <c r="B422" s="3">
        <v>1043</v>
      </c>
      <c r="C422">
        <v>3</v>
      </c>
      <c r="D422" t="s">
        <v>36</v>
      </c>
      <c r="E422">
        <v>2.5</v>
      </c>
      <c r="F422">
        <v>0</v>
      </c>
    </row>
    <row r="423" hidden="1" spans="1:6">
      <c r="A423" s="2" t="s">
        <v>541</v>
      </c>
      <c r="B423" s="3">
        <v>1043</v>
      </c>
      <c r="C423">
        <v>3</v>
      </c>
      <c r="D423" t="s">
        <v>38</v>
      </c>
      <c r="E423">
        <v>2.33333333333333</v>
      </c>
      <c r="F423">
        <v>0</v>
      </c>
    </row>
    <row r="424" hidden="1" spans="1:6">
      <c r="A424" s="2" t="s">
        <v>542</v>
      </c>
      <c r="B424" s="3">
        <v>1044</v>
      </c>
      <c r="C424">
        <v>3</v>
      </c>
      <c r="D424" t="s">
        <v>36</v>
      </c>
      <c r="E424">
        <v>2.83333333333333</v>
      </c>
      <c r="F424">
        <v>0</v>
      </c>
    </row>
    <row r="425" hidden="1" spans="1:6">
      <c r="A425" s="2" t="s">
        <v>543</v>
      </c>
      <c r="B425" s="3">
        <v>1044</v>
      </c>
      <c r="C425">
        <v>3</v>
      </c>
      <c r="D425" t="s">
        <v>38</v>
      </c>
      <c r="E425">
        <v>2.5</v>
      </c>
      <c r="F425">
        <v>0</v>
      </c>
    </row>
    <row r="426" hidden="1" spans="1:6">
      <c r="A426" s="59" t="s">
        <v>544</v>
      </c>
      <c r="B426" s="60">
        <v>1044</v>
      </c>
      <c r="C426">
        <v>3</v>
      </c>
      <c r="D426" t="s">
        <v>92</v>
      </c>
      <c r="E426">
        <v>2.5</v>
      </c>
      <c r="F426">
        <v>0</v>
      </c>
    </row>
    <row r="427" hidden="1" spans="1:6">
      <c r="A427" s="59" t="s">
        <v>545</v>
      </c>
      <c r="B427" s="60">
        <v>1044</v>
      </c>
      <c r="C427">
        <v>3</v>
      </c>
      <c r="D427" t="s">
        <v>109</v>
      </c>
      <c r="E427">
        <v>2.5</v>
      </c>
      <c r="F427">
        <v>0</v>
      </c>
    </row>
    <row r="428" hidden="1" spans="1:6">
      <c r="A428" s="2" t="s">
        <v>546</v>
      </c>
      <c r="B428" s="3">
        <v>47</v>
      </c>
      <c r="C428">
        <v>3</v>
      </c>
      <c r="D428" t="s">
        <v>36</v>
      </c>
      <c r="E428">
        <v>2.6</v>
      </c>
      <c r="F428">
        <v>0</v>
      </c>
    </row>
    <row r="429" hidden="1" spans="1:6">
      <c r="A429" s="2" t="s">
        <v>547</v>
      </c>
      <c r="B429" s="3">
        <v>47</v>
      </c>
      <c r="C429">
        <v>3</v>
      </c>
      <c r="D429" t="s">
        <v>38</v>
      </c>
      <c r="E429">
        <v>2.33333333333333</v>
      </c>
      <c r="F429">
        <v>0</v>
      </c>
    </row>
    <row r="430" hidden="1" spans="1:6">
      <c r="A430" s="2" t="s">
        <v>548</v>
      </c>
      <c r="B430" s="3">
        <v>47</v>
      </c>
      <c r="C430">
        <v>3</v>
      </c>
      <c r="D430" t="s">
        <v>40</v>
      </c>
      <c r="E430">
        <v>5</v>
      </c>
      <c r="F430">
        <v>0</v>
      </c>
    </row>
    <row r="431" hidden="1" spans="1:6">
      <c r="A431" s="2" t="s">
        <v>549</v>
      </c>
      <c r="B431" s="3">
        <v>47</v>
      </c>
      <c r="C431">
        <v>3</v>
      </c>
      <c r="D431" t="s">
        <v>42</v>
      </c>
      <c r="E431">
        <v>5.76666666666667</v>
      </c>
      <c r="F431">
        <v>0</v>
      </c>
    </row>
    <row r="432" hidden="1" spans="1:6">
      <c r="A432" s="2" t="s">
        <v>550</v>
      </c>
      <c r="B432" s="3">
        <v>47</v>
      </c>
      <c r="C432">
        <v>3</v>
      </c>
      <c r="D432" t="s">
        <v>44</v>
      </c>
      <c r="E432">
        <v>3.76666666666667</v>
      </c>
      <c r="F432">
        <v>0</v>
      </c>
    </row>
    <row r="433" hidden="1" spans="1:6">
      <c r="A433" s="2" t="s">
        <v>551</v>
      </c>
      <c r="B433" s="3">
        <v>47</v>
      </c>
      <c r="C433">
        <v>3</v>
      </c>
      <c r="D433" t="s">
        <v>46</v>
      </c>
      <c r="E433">
        <v>2.16666666666667</v>
      </c>
      <c r="F433">
        <v>0</v>
      </c>
    </row>
    <row r="434" hidden="1" spans="1:6">
      <c r="A434" s="2" t="s">
        <v>552</v>
      </c>
      <c r="B434" s="3">
        <v>47</v>
      </c>
      <c r="C434">
        <v>3</v>
      </c>
      <c r="D434" t="s">
        <v>86</v>
      </c>
      <c r="E434">
        <v>4.66666666666667</v>
      </c>
      <c r="F434">
        <v>0</v>
      </c>
    </row>
    <row r="435" hidden="1" spans="1:6">
      <c r="A435" s="2" t="s">
        <v>553</v>
      </c>
      <c r="B435" s="3">
        <v>47</v>
      </c>
      <c r="C435">
        <v>3</v>
      </c>
      <c r="D435" t="s">
        <v>50</v>
      </c>
      <c r="E435">
        <v>7.33333333333333</v>
      </c>
      <c r="F435">
        <v>0</v>
      </c>
    </row>
    <row r="436" hidden="1" spans="1:11">
      <c r="A436" s="2" t="s">
        <v>554</v>
      </c>
      <c r="B436" s="3">
        <v>47</v>
      </c>
      <c r="C436">
        <v>3</v>
      </c>
      <c r="D436" t="s">
        <v>385</v>
      </c>
      <c r="E436">
        <v>9</v>
      </c>
      <c r="F436">
        <v>0</v>
      </c>
      <c r="G436" t="s">
        <v>61</v>
      </c>
      <c r="H436" t="s">
        <v>95</v>
      </c>
      <c r="I436" t="s">
        <v>555</v>
      </c>
      <c r="J436" t="s">
        <v>556</v>
      </c>
      <c r="K436" t="s">
        <v>95</v>
      </c>
    </row>
    <row r="437" hidden="1" spans="1:11">
      <c r="A437" s="2" t="s">
        <v>557</v>
      </c>
      <c r="B437" s="3">
        <v>47</v>
      </c>
      <c r="C437">
        <v>3</v>
      </c>
      <c r="D437" t="s">
        <v>558</v>
      </c>
      <c r="E437">
        <v>13.6666666666667</v>
      </c>
      <c r="F437">
        <v>0</v>
      </c>
      <c r="G437">
        <v>0</v>
      </c>
      <c r="H437">
        <v>1</v>
      </c>
      <c r="I437">
        <v>904</v>
      </c>
      <c r="J437" t="s">
        <v>58</v>
      </c>
      <c r="K437">
        <v>1</v>
      </c>
    </row>
    <row r="438" hidden="1" spans="1:11">
      <c r="A438" s="2" t="s">
        <v>559</v>
      </c>
      <c r="B438" s="3">
        <v>47</v>
      </c>
      <c r="C438">
        <v>3</v>
      </c>
      <c r="D438" t="s">
        <v>272</v>
      </c>
      <c r="E438">
        <v>2</v>
      </c>
      <c r="F438">
        <v>0</v>
      </c>
      <c r="G438">
        <v>0</v>
      </c>
      <c r="H438">
        <v>2</v>
      </c>
      <c r="I438">
        <v>987</v>
      </c>
      <c r="J438" t="s">
        <v>58</v>
      </c>
      <c r="K438">
        <v>1</v>
      </c>
    </row>
    <row r="439" hidden="1" spans="1:11">
      <c r="A439" s="2" t="s">
        <v>560</v>
      </c>
      <c r="B439" s="3">
        <v>47</v>
      </c>
      <c r="C439">
        <v>3</v>
      </c>
      <c r="D439" t="s">
        <v>60</v>
      </c>
      <c r="E439">
        <v>2.5</v>
      </c>
      <c r="F439">
        <v>0</v>
      </c>
      <c r="G439">
        <v>0</v>
      </c>
      <c r="H439">
        <v>2</v>
      </c>
      <c r="I439">
        <v>956</v>
      </c>
      <c r="J439" t="s">
        <v>58</v>
      </c>
      <c r="K439">
        <v>0</v>
      </c>
    </row>
    <row r="440" hidden="1" spans="1:6">
      <c r="A440" s="2" t="s">
        <v>561</v>
      </c>
      <c r="B440" s="3">
        <v>1045</v>
      </c>
      <c r="C440">
        <v>3</v>
      </c>
      <c r="D440" t="s">
        <v>36</v>
      </c>
      <c r="E440">
        <v>2.53333333333333</v>
      </c>
      <c r="F440">
        <v>0</v>
      </c>
    </row>
    <row r="441" hidden="1" spans="1:6">
      <c r="A441" s="2" t="s">
        <v>562</v>
      </c>
      <c r="B441" s="3">
        <v>1045</v>
      </c>
      <c r="C441">
        <v>3</v>
      </c>
      <c r="D441" t="s">
        <v>38</v>
      </c>
      <c r="E441">
        <v>2.53333333333333</v>
      </c>
      <c r="F441">
        <v>0</v>
      </c>
    </row>
    <row r="442" hidden="1" spans="1:6">
      <c r="A442" s="2" t="s">
        <v>563</v>
      </c>
      <c r="B442" s="3">
        <v>1042</v>
      </c>
      <c r="C442">
        <v>3</v>
      </c>
      <c r="D442" t="s">
        <v>36</v>
      </c>
      <c r="E442">
        <v>2.73333333333333</v>
      </c>
      <c r="F442">
        <v>0</v>
      </c>
    </row>
    <row r="443" hidden="1" spans="1:6">
      <c r="A443" s="2" t="s">
        <v>564</v>
      </c>
      <c r="B443" s="3">
        <v>1042</v>
      </c>
      <c r="C443">
        <v>3</v>
      </c>
      <c r="D443" t="s">
        <v>38</v>
      </c>
      <c r="E443">
        <v>2.33333333333333</v>
      </c>
      <c r="F443">
        <v>0</v>
      </c>
    </row>
    <row r="444" hidden="1" spans="1:6">
      <c r="A444" s="2" t="s">
        <v>565</v>
      </c>
      <c r="B444" s="3">
        <v>1046</v>
      </c>
      <c r="C444">
        <v>3</v>
      </c>
      <c r="D444" t="s">
        <v>36</v>
      </c>
      <c r="E444">
        <v>2.46666666666667</v>
      </c>
      <c r="F444">
        <v>0</v>
      </c>
    </row>
    <row r="445" hidden="1" spans="1:6">
      <c r="A445" s="2" t="s">
        <v>566</v>
      </c>
      <c r="B445" s="3">
        <v>48</v>
      </c>
      <c r="C445">
        <v>3</v>
      </c>
      <c r="D445" t="s">
        <v>36</v>
      </c>
      <c r="E445">
        <v>2</v>
      </c>
      <c r="F445">
        <v>0</v>
      </c>
    </row>
    <row r="446" hidden="1" spans="1:6">
      <c r="A446" s="2" t="s">
        <v>567</v>
      </c>
      <c r="B446" s="3">
        <v>48</v>
      </c>
      <c r="C446">
        <v>3</v>
      </c>
      <c r="D446" t="s">
        <v>38</v>
      </c>
      <c r="E446">
        <v>3.33333333333333</v>
      </c>
      <c r="F446">
        <v>0</v>
      </c>
    </row>
    <row r="447" hidden="1" spans="1:6">
      <c r="A447" s="2" t="s">
        <v>568</v>
      </c>
      <c r="B447" s="3">
        <v>48</v>
      </c>
      <c r="C447">
        <v>3</v>
      </c>
      <c r="D447" t="s">
        <v>40</v>
      </c>
      <c r="E447">
        <v>7</v>
      </c>
      <c r="F447">
        <v>0</v>
      </c>
    </row>
    <row r="448" hidden="1" spans="1:6">
      <c r="A448" s="2" t="s">
        <v>569</v>
      </c>
      <c r="B448" s="3">
        <v>48</v>
      </c>
      <c r="C448">
        <v>3</v>
      </c>
      <c r="D448" t="s">
        <v>42</v>
      </c>
      <c r="E448">
        <v>3.83333333333333</v>
      </c>
      <c r="F448">
        <v>0</v>
      </c>
    </row>
    <row r="449" hidden="1" spans="1:6">
      <c r="A449" s="2" t="s">
        <v>570</v>
      </c>
      <c r="B449" s="3">
        <v>48</v>
      </c>
      <c r="C449">
        <v>3</v>
      </c>
      <c r="D449" t="s">
        <v>44</v>
      </c>
      <c r="E449">
        <v>7.33333333333333</v>
      </c>
      <c r="F449">
        <v>0</v>
      </c>
    </row>
    <row r="450" hidden="1" spans="1:6">
      <c r="A450" s="2" t="s">
        <v>571</v>
      </c>
      <c r="B450" s="3">
        <v>1047</v>
      </c>
      <c r="C450">
        <v>3</v>
      </c>
      <c r="D450" t="s">
        <v>36</v>
      </c>
      <c r="E450">
        <v>1.6</v>
      </c>
      <c r="F450">
        <v>0</v>
      </c>
    </row>
    <row r="451" hidden="1" spans="1:6">
      <c r="A451" s="2" t="s">
        <v>572</v>
      </c>
      <c r="B451" s="3">
        <v>1047</v>
      </c>
      <c r="C451">
        <v>3</v>
      </c>
      <c r="D451" t="s">
        <v>38</v>
      </c>
      <c r="E451">
        <v>4.03333333333333</v>
      </c>
      <c r="F451">
        <v>0</v>
      </c>
    </row>
    <row r="452" hidden="1" spans="1:6">
      <c r="A452" s="2" t="s">
        <v>573</v>
      </c>
      <c r="B452" s="3">
        <v>1047</v>
      </c>
      <c r="C452">
        <v>3</v>
      </c>
      <c r="D452" t="s">
        <v>40</v>
      </c>
      <c r="E452">
        <v>6.33333333333333</v>
      </c>
      <c r="F452">
        <v>0</v>
      </c>
    </row>
    <row r="453" hidden="1" spans="1:6">
      <c r="A453" s="2" t="s">
        <v>574</v>
      </c>
      <c r="B453" s="3">
        <v>1048</v>
      </c>
      <c r="C453">
        <v>3</v>
      </c>
      <c r="D453" t="s">
        <v>36</v>
      </c>
      <c r="E453">
        <v>2.33333333333333</v>
      </c>
      <c r="F453">
        <v>0</v>
      </c>
    </row>
    <row r="454" hidden="1" spans="1:6">
      <c r="A454" s="2" t="s">
        <v>575</v>
      </c>
      <c r="B454" s="3">
        <v>49</v>
      </c>
      <c r="C454">
        <v>3</v>
      </c>
      <c r="D454" t="s">
        <v>36</v>
      </c>
      <c r="E454">
        <v>1.83333333333333</v>
      </c>
      <c r="F454">
        <v>0</v>
      </c>
    </row>
    <row r="455" hidden="1" spans="1:6">
      <c r="A455" s="2" t="s">
        <v>576</v>
      </c>
      <c r="B455" s="3">
        <v>49</v>
      </c>
      <c r="C455">
        <v>3</v>
      </c>
      <c r="D455" t="s">
        <v>38</v>
      </c>
      <c r="E455">
        <v>2</v>
      </c>
      <c r="F455">
        <v>0</v>
      </c>
    </row>
    <row r="456" hidden="1" spans="1:6">
      <c r="A456" s="2" t="s">
        <v>577</v>
      </c>
      <c r="B456" s="3">
        <v>49</v>
      </c>
      <c r="C456">
        <v>3</v>
      </c>
      <c r="D456" t="s">
        <v>40</v>
      </c>
      <c r="E456">
        <v>2</v>
      </c>
      <c r="F456">
        <v>0</v>
      </c>
    </row>
    <row r="457" hidden="1" spans="1:6">
      <c r="A457" s="2" t="s">
        <v>578</v>
      </c>
      <c r="B457" s="3">
        <v>49</v>
      </c>
      <c r="C457">
        <v>3</v>
      </c>
      <c r="D457" t="s">
        <v>314</v>
      </c>
      <c r="E457">
        <v>1.5</v>
      </c>
      <c r="F457">
        <v>0</v>
      </c>
    </row>
    <row r="458" s="1" customFormat="1" spans="1:14">
      <c r="A458" s="5" t="s">
        <v>579</v>
      </c>
      <c r="B458" s="54">
        <v>50</v>
      </c>
      <c r="C458" s="1">
        <v>3</v>
      </c>
      <c r="D458" s="1" t="s">
        <v>36</v>
      </c>
      <c r="E458" s="1">
        <v>1.5</v>
      </c>
      <c r="F458" s="1">
        <v>0</v>
      </c>
      <c r="L458" s="7"/>
      <c r="N458" s="1" t="s">
        <v>580</v>
      </c>
    </row>
    <row r="459" s="1" customFormat="1" spans="1:14">
      <c r="A459" s="5" t="s">
        <v>581</v>
      </c>
      <c r="B459" s="54">
        <v>50</v>
      </c>
      <c r="C459" s="1">
        <v>3</v>
      </c>
      <c r="D459" s="1" t="s">
        <v>38</v>
      </c>
      <c r="E459" s="1">
        <v>1.83333333333333</v>
      </c>
      <c r="F459" s="1">
        <v>0</v>
      </c>
      <c r="L459" s="7"/>
      <c r="N459" s="1" t="s">
        <v>580</v>
      </c>
    </row>
    <row r="460" s="1" customFormat="1" spans="1:14">
      <c r="A460" s="5" t="s">
        <v>582</v>
      </c>
      <c r="B460" s="54">
        <v>50</v>
      </c>
      <c r="C460" s="1">
        <v>3</v>
      </c>
      <c r="D460" s="1" t="s">
        <v>40</v>
      </c>
      <c r="E460" s="1">
        <v>9.16666666666667</v>
      </c>
      <c r="F460" s="1">
        <v>0</v>
      </c>
      <c r="G460" s="1">
        <v>0</v>
      </c>
      <c r="L460" s="7" t="s">
        <v>583</v>
      </c>
      <c r="N460" s="1" t="s">
        <v>580</v>
      </c>
    </row>
    <row r="461" s="1" customFormat="1" spans="1:14">
      <c r="A461" s="5" t="s">
        <v>584</v>
      </c>
      <c r="B461" s="54">
        <v>50</v>
      </c>
      <c r="C461" s="1">
        <v>3</v>
      </c>
      <c r="D461" s="1" t="s">
        <v>42</v>
      </c>
      <c r="E461" s="1">
        <v>6</v>
      </c>
      <c r="F461" s="1">
        <v>0</v>
      </c>
      <c r="L461" s="7"/>
      <c r="N461" s="1" t="s">
        <v>580</v>
      </c>
    </row>
    <row r="462" s="1" customFormat="1" spans="1:14">
      <c r="A462" s="5" t="s">
        <v>585</v>
      </c>
      <c r="B462" s="54">
        <v>50</v>
      </c>
      <c r="C462" s="1">
        <v>3</v>
      </c>
      <c r="D462" s="1" t="s">
        <v>44</v>
      </c>
      <c r="E462" s="1">
        <v>3.5</v>
      </c>
      <c r="F462" s="1">
        <v>0</v>
      </c>
      <c r="L462" s="7"/>
      <c r="N462" s="1" t="s">
        <v>580</v>
      </c>
    </row>
    <row r="463" s="1" customFormat="1" spans="1:14">
      <c r="A463" s="5" t="s">
        <v>586</v>
      </c>
      <c r="B463" s="54">
        <v>50</v>
      </c>
      <c r="C463" s="1">
        <v>3</v>
      </c>
      <c r="D463" s="1" t="s">
        <v>46</v>
      </c>
      <c r="E463" s="1">
        <v>3</v>
      </c>
      <c r="F463" s="1">
        <v>0</v>
      </c>
      <c r="L463" s="7"/>
      <c r="N463" s="1" t="s">
        <v>580</v>
      </c>
    </row>
    <row r="464" s="1" customFormat="1" spans="1:14">
      <c r="A464" s="5" t="s">
        <v>587</v>
      </c>
      <c r="B464" s="54">
        <v>50</v>
      </c>
      <c r="C464" s="1">
        <v>3</v>
      </c>
      <c r="D464" s="1" t="s">
        <v>86</v>
      </c>
      <c r="E464" s="1">
        <v>12.5</v>
      </c>
      <c r="F464" s="1">
        <v>0</v>
      </c>
      <c r="G464" s="1">
        <v>0</v>
      </c>
      <c r="L464" s="7" t="s">
        <v>588</v>
      </c>
      <c r="N464" s="1" t="s">
        <v>580</v>
      </c>
    </row>
    <row r="465" s="1" customFormat="1" spans="1:14">
      <c r="A465" s="5" t="s">
        <v>589</v>
      </c>
      <c r="B465" s="54">
        <v>50</v>
      </c>
      <c r="C465" s="1">
        <v>3</v>
      </c>
      <c r="D465" s="1" t="s">
        <v>50</v>
      </c>
      <c r="E465" s="1">
        <v>3.16666666666667</v>
      </c>
      <c r="F465" s="1">
        <v>0</v>
      </c>
      <c r="G465" s="1">
        <v>0</v>
      </c>
      <c r="L465" s="7" t="s">
        <v>590</v>
      </c>
      <c r="N465" s="1" t="s">
        <v>580</v>
      </c>
    </row>
    <row r="466" s="1" customFormat="1" spans="1:14">
      <c r="A466" s="5" t="s">
        <v>591</v>
      </c>
      <c r="B466" s="54">
        <v>50</v>
      </c>
      <c r="C466" s="1">
        <v>3</v>
      </c>
      <c r="D466" s="1" t="s">
        <v>90</v>
      </c>
      <c r="E466" s="1">
        <v>15</v>
      </c>
      <c r="F466" s="1">
        <v>0</v>
      </c>
      <c r="G466" s="1">
        <v>0</v>
      </c>
      <c r="L466" s="7"/>
      <c r="N466" s="1" t="s">
        <v>580</v>
      </c>
    </row>
    <row r="467" s="1" customFormat="1" spans="1:14">
      <c r="A467" s="5" t="s">
        <v>592</v>
      </c>
      <c r="B467" s="54">
        <v>50</v>
      </c>
      <c r="C467" s="1">
        <v>3</v>
      </c>
      <c r="D467" s="1" t="s">
        <v>48</v>
      </c>
      <c r="E467" s="1">
        <v>2.5</v>
      </c>
      <c r="F467" s="1">
        <v>0</v>
      </c>
      <c r="L467" s="7"/>
      <c r="N467" s="1" t="s">
        <v>580</v>
      </c>
    </row>
    <row r="468" s="12" customFormat="1" spans="1:14">
      <c r="A468" s="61" t="s">
        <v>593</v>
      </c>
      <c r="B468" s="62">
        <v>50</v>
      </c>
      <c r="C468" s="12">
        <v>3</v>
      </c>
      <c r="D468" s="12" t="s">
        <v>133</v>
      </c>
      <c r="E468" s="12">
        <v>8.933</v>
      </c>
      <c r="F468" s="12">
        <v>0</v>
      </c>
      <c r="G468" s="12"/>
      <c r="H468" s="12"/>
      <c r="I468" s="12"/>
      <c r="J468" s="12"/>
      <c r="K468" s="12"/>
      <c r="L468" s="64"/>
      <c r="N468" s="12" t="s">
        <v>580</v>
      </c>
    </row>
    <row r="469" s="1" customFormat="1" spans="1:14">
      <c r="A469" s="5" t="s">
        <v>594</v>
      </c>
      <c r="B469" s="54">
        <v>50</v>
      </c>
      <c r="C469" s="1">
        <v>3</v>
      </c>
      <c r="D469" s="1" t="s">
        <v>236</v>
      </c>
      <c r="E469" s="1">
        <v>4.33333333333333</v>
      </c>
      <c r="F469" s="1">
        <v>0</v>
      </c>
      <c r="G469" s="1">
        <v>0</v>
      </c>
      <c r="H469" s="1">
        <v>1</v>
      </c>
      <c r="I469" s="1">
        <v>693</v>
      </c>
      <c r="J469" s="1" t="s">
        <v>58</v>
      </c>
      <c r="K469" s="1">
        <v>0</v>
      </c>
      <c r="L469" s="7"/>
      <c r="N469" s="1" t="s">
        <v>580</v>
      </c>
    </row>
    <row r="470" s="1" customFormat="1" spans="1:14">
      <c r="A470" s="5" t="s">
        <v>595</v>
      </c>
      <c r="B470" s="54">
        <v>50</v>
      </c>
      <c r="C470" s="1">
        <v>3</v>
      </c>
      <c r="D470" s="1" t="s">
        <v>204</v>
      </c>
      <c r="E470" s="1">
        <v>2</v>
      </c>
      <c r="F470" s="1">
        <v>0</v>
      </c>
      <c r="G470" s="1">
        <v>0</v>
      </c>
      <c r="H470" s="1">
        <v>1</v>
      </c>
      <c r="I470" s="1">
        <v>694</v>
      </c>
      <c r="J470" s="1" t="s">
        <v>596</v>
      </c>
      <c r="K470" s="1">
        <v>0</v>
      </c>
      <c r="L470" s="7"/>
      <c r="N470" s="1" t="s">
        <v>580</v>
      </c>
    </row>
    <row r="471" s="1" customFormat="1" spans="1:14">
      <c r="A471" s="5" t="s">
        <v>597</v>
      </c>
      <c r="B471" s="54">
        <v>50</v>
      </c>
      <c r="C471" s="1">
        <v>3</v>
      </c>
      <c r="D471" s="1" t="s">
        <v>598</v>
      </c>
      <c r="E471" s="1">
        <v>9.16666666666667</v>
      </c>
      <c r="F471" s="1">
        <v>0</v>
      </c>
      <c r="G471" s="1">
        <v>0</v>
      </c>
      <c r="H471" s="1">
        <v>2</v>
      </c>
      <c r="I471" s="1">
        <v>799</v>
      </c>
      <c r="J471" s="1" t="s">
        <v>596</v>
      </c>
      <c r="K471" s="1">
        <v>0</v>
      </c>
      <c r="L471" s="7"/>
      <c r="N471" s="1" t="s">
        <v>580</v>
      </c>
    </row>
    <row r="472" s="1" customFormat="1" spans="1:14">
      <c r="A472" s="5" t="s">
        <v>599</v>
      </c>
      <c r="B472" s="54">
        <v>50</v>
      </c>
      <c r="C472" s="1">
        <v>3</v>
      </c>
      <c r="D472" s="1" t="s">
        <v>60</v>
      </c>
      <c r="E472" s="1">
        <v>3.33333333333333</v>
      </c>
      <c r="F472" s="1">
        <v>0</v>
      </c>
      <c r="G472" s="1">
        <v>0</v>
      </c>
      <c r="H472" s="1">
        <v>2</v>
      </c>
      <c r="I472" s="1">
        <v>952</v>
      </c>
      <c r="J472" s="1" t="s">
        <v>58</v>
      </c>
      <c r="K472" s="1">
        <v>0</v>
      </c>
      <c r="L472" s="7"/>
      <c r="N472" s="1" t="s">
        <v>580</v>
      </c>
    </row>
    <row r="473" hidden="1" spans="1:6">
      <c r="A473" s="2" t="s">
        <v>600</v>
      </c>
      <c r="B473" s="3">
        <v>1039</v>
      </c>
      <c r="C473">
        <v>3</v>
      </c>
      <c r="D473" t="s">
        <v>36</v>
      </c>
      <c r="E473">
        <v>1.8</v>
      </c>
      <c r="F473">
        <v>0</v>
      </c>
    </row>
    <row r="474" hidden="1" spans="1:6">
      <c r="A474" s="2" t="s">
        <v>601</v>
      </c>
      <c r="B474" s="3">
        <v>1037</v>
      </c>
      <c r="C474">
        <v>3</v>
      </c>
      <c r="D474" t="s">
        <v>36</v>
      </c>
      <c r="E474">
        <v>2.13333333333333</v>
      </c>
      <c r="F474">
        <v>0</v>
      </c>
    </row>
    <row r="475" hidden="1" spans="1:6">
      <c r="A475" s="2" t="s">
        <v>602</v>
      </c>
      <c r="B475" s="3">
        <v>1037</v>
      </c>
      <c r="C475">
        <v>3</v>
      </c>
      <c r="D475" t="s">
        <v>38</v>
      </c>
      <c r="E475">
        <v>1.86666666666667</v>
      </c>
      <c r="F475">
        <v>0</v>
      </c>
    </row>
    <row r="476" hidden="1" spans="1:6">
      <c r="A476" s="2" t="s">
        <v>603</v>
      </c>
      <c r="B476" s="3">
        <v>1049</v>
      </c>
      <c r="C476">
        <v>3</v>
      </c>
      <c r="D476" t="s">
        <v>36</v>
      </c>
      <c r="E476">
        <v>2.03333333333333</v>
      </c>
      <c r="F476">
        <v>0</v>
      </c>
    </row>
    <row r="477" hidden="1" spans="1:6">
      <c r="A477" s="2" t="s">
        <v>604</v>
      </c>
      <c r="B477" s="3">
        <v>51</v>
      </c>
      <c r="C477">
        <v>3</v>
      </c>
      <c r="D477" t="s">
        <v>36</v>
      </c>
      <c r="E477">
        <v>1.66666666666667</v>
      </c>
      <c r="F477">
        <v>0</v>
      </c>
    </row>
    <row r="478" hidden="1" spans="1:6">
      <c r="A478" s="2" t="s">
        <v>605</v>
      </c>
      <c r="B478" s="3">
        <v>51</v>
      </c>
      <c r="C478">
        <v>3</v>
      </c>
      <c r="D478" t="s">
        <v>38</v>
      </c>
      <c r="E478">
        <v>1.66666666666667</v>
      </c>
      <c r="F478">
        <v>0</v>
      </c>
    </row>
    <row r="479" hidden="1" spans="1:6">
      <c r="A479" s="2" t="s">
        <v>606</v>
      </c>
      <c r="B479" s="3">
        <v>51</v>
      </c>
      <c r="C479">
        <v>3</v>
      </c>
      <c r="D479" t="s">
        <v>40</v>
      </c>
      <c r="E479">
        <v>1.66666666666667</v>
      </c>
      <c r="F479">
        <v>0</v>
      </c>
    </row>
    <row r="480" hidden="1" spans="1:6">
      <c r="A480" s="2" t="s">
        <v>607</v>
      </c>
      <c r="B480" s="3">
        <v>51</v>
      </c>
      <c r="C480">
        <v>3</v>
      </c>
      <c r="D480" t="s">
        <v>42</v>
      </c>
      <c r="E480">
        <v>3.83333333333333</v>
      </c>
      <c r="F480">
        <v>0</v>
      </c>
    </row>
    <row r="481" hidden="1" spans="1:6">
      <c r="A481" s="2" t="s">
        <v>608</v>
      </c>
      <c r="B481" s="3">
        <v>51</v>
      </c>
      <c r="C481">
        <v>3</v>
      </c>
      <c r="D481" t="s">
        <v>44</v>
      </c>
      <c r="E481">
        <v>7.33333333333333</v>
      </c>
      <c r="F481">
        <v>0</v>
      </c>
    </row>
    <row r="482" hidden="1" spans="1:6">
      <c r="A482" s="2" t="s">
        <v>609</v>
      </c>
      <c r="B482" s="3">
        <v>51</v>
      </c>
      <c r="C482">
        <v>3</v>
      </c>
      <c r="D482" t="s">
        <v>46</v>
      </c>
      <c r="E482">
        <v>6.33333333333333</v>
      </c>
      <c r="F482">
        <v>0</v>
      </c>
    </row>
    <row r="483" hidden="1" spans="1:6">
      <c r="A483" s="2" t="s">
        <v>610</v>
      </c>
      <c r="B483" s="3">
        <v>51</v>
      </c>
      <c r="C483">
        <v>3</v>
      </c>
      <c r="D483" t="s">
        <v>86</v>
      </c>
      <c r="E483">
        <v>4.16666666666667</v>
      </c>
      <c r="F483">
        <v>0</v>
      </c>
    </row>
    <row r="484" hidden="1" spans="1:6">
      <c r="A484" s="2" t="s">
        <v>611</v>
      </c>
      <c r="B484" s="3">
        <v>51</v>
      </c>
      <c r="C484">
        <v>3</v>
      </c>
      <c r="D484" t="s">
        <v>50</v>
      </c>
      <c r="E484">
        <v>7.5</v>
      </c>
      <c r="F484">
        <v>0</v>
      </c>
    </row>
    <row r="485" hidden="1" spans="1:6">
      <c r="A485" s="2" t="s">
        <v>612</v>
      </c>
      <c r="B485" s="3">
        <v>1041</v>
      </c>
      <c r="C485">
        <v>3</v>
      </c>
      <c r="D485" t="s">
        <v>36</v>
      </c>
      <c r="E485">
        <v>2</v>
      </c>
      <c r="F485">
        <v>0</v>
      </c>
    </row>
    <row r="486" hidden="1" spans="1:12">
      <c r="A486" s="2" t="s">
        <v>613</v>
      </c>
      <c r="B486" s="3">
        <v>1041</v>
      </c>
      <c r="C486">
        <v>3</v>
      </c>
      <c r="D486" t="s">
        <v>38</v>
      </c>
      <c r="E486">
        <v>2.5</v>
      </c>
      <c r="F486">
        <v>0</v>
      </c>
      <c r="G486">
        <v>0</v>
      </c>
      <c r="L486" s="4" t="s">
        <v>614</v>
      </c>
    </row>
    <row r="487" hidden="1" spans="1:6">
      <c r="A487" s="63" t="s">
        <v>615</v>
      </c>
      <c r="B487" s="3">
        <v>1050</v>
      </c>
      <c r="C487">
        <v>3</v>
      </c>
      <c r="D487" t="s">
        <v>36</v>
      </c>
      <c r="E487">
        <v>2.06666666666667</v>
      </c>
      <c r="F487">
        <v>0</v>
      </c>
    </row>
    <row r="488" hidden="1" spans="1:6">
      <c r="A488" s="63" t="s">
        <v>616</v>
      </c>
      <c r="B488" s="3">
        <v>1051</v>
      </c>
      <c r="C488">
        <v>3</v>
      </c>
      <c r="D488" t="s">
        <v>36</v>
      </c>
      <c r="E488">
        <v>3</v>
      </c>
      <c r="F488">
        <v>0</v>
      </c>
    </row>
    <row r="489" hidden="1" spans="1:6">
      <c r="A489" s="63" t="s">
        <v>617</v>
      </c>
      <c r="B489" s="3">
        <v>1052</v>
      </c>
      <c r="C489">
        <v>3</v>
      </c>
      <c r="D489" t="s">
        <v>36</v>
      </c>
      <c r="E489">
        <v>2.16666666666667</v>
      </c>
      <c r="F489">
        <v>0</v>
      </c>
    </row>
    <row r="490" hidden="1" spans="1:6">
      <c r="A490" s="63" t="s">
        <v>618</v>
      </c>
      <c r="B490" s="3">
        <v>1053</v>
      </c>
      <c r="C490">
        <v>3</v>
      </c>
      <c r="D490" t="s">
        <v>36</v>
      </c>
      <c r="E490">
        <v>2.53333333333333</v>
      </c>
      <c r="F490">
        <v>0</v>
      </c>
    </row>
    <row r="491" hidden="1" spans="1:6">
      <c r="A491" s="63" t="s">
        <v>619</v>
      </c>
      <c r="B491" s="3">
        <v>1054</v>
      </c>
      <c r="C491">
        <v>3</v>
      </c>
      <c r="D491" t="s">
        <v>36</v>
      </c>
      <c r="E491">
        <v>2.83333333333333</v>
      </c>
      <c r="F491">
        <v>0</v>
      </c>
    </row>
    <row r="492" hidden="1" spans="1:6">
      <c r="A492" s="63" t="s">
        <v>620</v>
      </c>
      <c r="B492" s="3">
        <v>1055</v>
      </c>
      <c r="C492">
        <v>3</v>
      </c>
      <c r="D492" t="s">
        <v>36</v>
      </c>
      <c r="E492">
        <v>2.3</v>
      </c>
      <c r="F492">
        <v>0</v>
      </c>
    </row>
    <row r="493" hidden="1" spans="1:6">
      <c r="A493" s="2" t="s">
        <v>621</v>
      </c>
      <c r="B493" s="3">
        <v>1035</v>
      </c>
      <c r="C493">
        <v>3</v>
      </c>
      <c r="D493" t="s">
        <v>36</v>
      </c>
      <c r="E493">
        <v>1.8</v>
      </c>
      <c r="F493">
        <v>0</v>
      </c>
    </row>
    <row r="494" hidden="1" spans="1:6">
      <c r="A494" s="2" t="s">
        <v>622</v>
      </c>
      <c r="B494" s="3">
        <v>1036</v>
      </c>
      <c r="C494">
        <v>3</v>
      </c>
      <c r="D494" t="s">
        <v>36</v>
      </c>
      <c r="E494">
        <v>2.16666666666667</v>
      </c>
      <c r="F494">
        <v>0</v>
      </c>
    </row>
    <row r="495" hidden="1" spans="1:6">
      <c r="A495" s="2" t="s">
        <v>623</v>
      </c>
      <c r="B495" s="3">
        <v>1056</v>
      </c>
      <c r="C495">
        <v>3</v>
      </c>
      <c r="D495" t="s">
        <v>36</v>
      </c>
      <c r="E495">
        <v>1.73333333333333</v>
      </c>
      <c r="F495">
        <v>0</v>
      </c>
    </row>
    <row r="496" hidden="1" spans="1:6">
      <c r="A496" s="2" t="s">
        <v>624</v>
      </c>
      <c r="B496" s="3">
        <v>1056</v>
      </c>
      <c r="C496">
        <v>3</v>
      </c>
      <c r="D496" t="s">
        <v>38</v>
      </c>
      <c r="E496">
        <v>2.33333333333333</v>
      </c>
      <c r="F496">
        <v>0</v>
      </c>
    </row>
    <row r="497" hidden="1" spans="1:6">
      <c r="A497" s="2" t="s">
        <v>625</v>
      </c>
      <c r="B497" s="3">
        <v>1057</v>
      </c>
      <c r="C497">
        <v>3</v>
      </c>
      <c r="D497" t="s">
        <v>36</v>
      </c>
      <c r="E497">
        <v>1.76666666666667</v>
      </c>
      <c r="F497">
        <v>0</v>
      </c>
    </row>
    <row r="498" hidden="1" spans="1:6">
      <c r="A498" s="2" t="s">
        <v>626</v>
      </c>
      <c r="B498" s="3">
        <v>1034</v>
      </c>
      <c r="C498">
        <v>3</v>
      </c>
      <c r="D498" t="s">
        <v>36</v>
      </c>
      <c r="E498">
        <v>2.16666666666667</v>
      </c>
      <c r="F498">
        <v>0</v>
      </c>
    </row>
    <row r="499" hidden="1" spans="1:6">
      <c r="A499" s="2" t="s">
        <v>627</v>
      </c>
      <c r="B499" s="3">
        <v>1034</v>
      </c>
      <c r="C499">
        <v>3</v>
      </c>
      <c r="D499" t="s">
        <v>38</v>
      </c>
      <c r="E499">
        <v>2.16666666666667</v>
      </c>
      <c r="F499">
        <v>0</v>
      </c>
    </row>
    <row r="500" hidden="1" spans="1:6">
      <c r="A500" s="2" t="s">
        <v>628</v>
      </c>
      <c r="B500" s="3">
        <v>2018</v>
      </c>
      <c r="C500">
        <v>3</v>
      </c>
      <c r="D500" t="s">
        <v>36</v>
      </c>
      <c r="E500">
        <v>2.33333333333333</v>
      </c>
      <c r="F500">
        <v>0</v>
      </c>
    </row>
    <row r="501" hidden="1" spans="1:6">
      <c r="A501" s="2" t="s">
        <v>629</v>
      </c>
      <c r="B501" s="3">
        <v>2019</v>
      </c>
      <c r="C501">
        <v>3</v>
      </c>
      <c r="D501" t="s">
        <v>36</v>
      </c>
      <c r="E501">
        <v>2.16666666666667</v>
      </c>
      <c r="F501">
        <v>0</v>
      </c>
    </row>
    <row r="502" hidden="1" spans="1:6">
      <c r="A502" s="2" t="s">
        <v>630</v>
      </c>
      <c r="B502" s="3">
        <v>2020</v>
      </c>
      <c r="C502">
        <v>3</v>
      </c>
      <c r="D502" t="s">
        <v>36</v>
      </c>
      <c r="E502">
        <v>2.26666666666667</v>
      </c>
      <c r="F502">
        <v>0</v>
      </c>
    </row>
    <row r="503" hidden="1" spans="1:6">
      <c r="A503" s="2" t="s">
        <v>631</v>
      </c>
      <c r="B503" s="3">
        <v>1058</v>
      </c>
      <c r="C503">
        <v>3</v>
      </c>
      <c r="D503" t="s">
        <v>36</v>
      </c>
      <c r="E503">
        <v>2</v>
      </c>
      <c r="F503">
        <v>0</v>
      </c>
    </row>
    <row r="504" hidden="1" spans="1:6">
      <c r="A504" s="2" t="s">
        <v>632</v>
      </c>
      <c r="B504" s="3">
        <v>1059</v>
      </c>
      <c r="C504">
        <v>3</v>
      </c>
      <c r="D504" t="s">
        <v>36</v>
      </c>
      <c r="E504">
        <v>2</v>
      </c>
      <c r="F504">
        <v>0</v>
      </c>
    </row>
    <row r="505" hidden="1" spans="1:6">
      <c r="A505" s="2" t="s">
        <v>633</v>
      </c>
      <c r="B505" s="3">
        <v>1060</v>
      </c>
      <c r="C505">
        <v>3</v>
      </c>
      <c r="D505" t="s">
        <v>36</v>
      </c>
      <c r="E505">
        <v>3.4</v>
      </c>
      <c r="F505">
        <v>0</v>
      </c>
    </row>
    <row r="506" hidden="1" spans="1:6">
      <c r="A506" s="2" t="s">
        <v>634</v>
      </c>
      <c r="B506" s="3">
        <v>1061</v>
      </c>
      <c r="C506">
        <v>3</v>
      </c>
      <c r="D506" t="s">
        <v>36</v>
      </c>
      <c r="E506">
        <v>3.16666666666667</v>
      </c>
      <c r="F506">
        <v>0</v>
      </c>
    </row>
    <row r="507" hidden="1" spans="1:6">
      <c r="A507" s="2" t="s">
        <v>635</v>
      </c>
      <c r="B507" s="3">
        <v>1062</v>
      </c>
      <c r="C507">
        <v>3</v>
      </c>
      <c r="D507" t="s">
        <v>36</v>
      </c>
      <c r="E507">
        <v>2.8</v>
      </c>
      <c r="F507">
        <v>0</v>
      </c>
    </row>
    <row r="508" hidden="1" spans="1:6">
      <c r="A508" s="2" t="s">
        <v>636</v>
      </c>
      <c r="B508" s="3">
        <v>1062</v>
      </c>
      <c r="C508">
        <v>3</v>
      </c>
      <c r="D508" t="s">
        <v>38</v>
      </c>
      <c r="E508">
        <v>2.33333333333333</v>
      </c>
      <c r="F508">
        <v>0</v>
      </c>
    </row>
    <row r="509" hidden="1" spans="1:6">
      <c r="A509" s="2" t="s">
        <v>637</v>
      </c>
      <c r="B509" s="3">
        <v>1062</v>
      </c>
      <c r="C509">
        <v>3</v>
      </c>
      <c r="D509" t="s">
        <v>40</v>
      </c>
      <c r="E509">
        <v>1.83333333333333</v>
      </c>
      <c r="F509">
        <v>0</v>
      </c>
    </row>
    <row r="510" hidden="1" spans="1:6">
      <c r="A510" s="2" t="s">
        <v>638</v>
      </c>
      <c r="B510" s="3">
        <v>1063</v>
      </c>
      <c r="C510">
        <v>3</v>
      </c>
      <c r="D510" t="s">
        <v>36</v>
      </c>
      <c r="E510">
        <v>2.4</v>
      </c>
      <c r="F510">
        <v>0</v>
      </c>
    </row>
    <row r="511" hidden="1" spans="1:6">
      <c r="A511" s="2" t="s">
        <v>639</v>
      </c>
      <c r="B511" s="3">
        <v>1063</v>
      </c>
      <c r="C511">
        <v>3</v>
      </c>
      <c r="D511" t="s">
        <v>38</v>
      </c>
      <c r="E511">
        <v>3.83333333333333</v>
      </c>
      <c r="F511">
        <v>0</v>
      </c>
    </row>
    <row r="512" hidden="1" spans="1:6">
      <c r="A512" s="2" t="s">
        <v>640</v>
      </c>
      <c r="B512" s="3">
        <v>1063</v>
      </c>
      <c r="C512">
        <v>3</v>
      </c>
      <c r="D512" t="s">
        <v>40</v>
      </c>
      <c r="E512">
        <v>5</v>
      </c>
      <c r="F512">
        <v>0</v>
      </c>
    </row>
    <row r="513" hidden="1" spans="1:6">
      <c r="A513" s="2" t="s">
        <v>641</v>
      </c>
      <c r="B513" s="3">
        <v>1064</v>
      </c>
      <c r="C513">
        <v>3</v>
      </c>
      <c r="D513" t="s">
        <v>36</v>
      </c>
      <c r="E513">
        <v>2.63333333333333</v>
      </c>
      <c r="F513">
        <v>0</v>
      </c>
    </row>
    <row r="514" hidden="1" spans="1:6">
      <c r="A514" s="2" t="s">
        <v>642</v>
      </c>
      <c r="B514" s="3">
        <v>1064</v>
      </c>
      <c r="C514">
        <v>3</v>
      </c>
      <c r="D514" t="s">
        <v>38</v>
      </c>
      <c r="E514">
        <v>2.93333333333333</v>
      </c>
      <c r="F514">
        <v>0</v>
      </c>
    </row>
    <row r="515" hidden="1" spans="1:6">
      <c r="A515" s="2" t="s">
        <v>643</v>
      </c>
      <c r="B515" s="3">
        <v>1064</v>
      </c>
      <c r="C515">
        <v>3</v>
      </c>
      <c r="D515" t="s">
        <v>40</v>
      </c>
      <c r="E515">
        <v>5</v>
      </c>
      <c r="F515">
        <v>0</v>
      </c>
    </row>
    <row r="516" hidden="1" spans="1:6">
      <c r="A516" s="2" t="s">
        <v>644</v>
      </c>
      <c r="B516" s="3">
        <v>1065</v>
      </c>
      <c r="C516">
        <v>3</v>
      </c>
      <c r="D516" t="s">
        <v>36</v>
      </c>
      <c r="E516">
        <v>2.1</v>
      </c>
      <c r="F516">
        <v>0</v>
      </c>
    </row>
    <row r="517" hidden="1" spans="1:6">
      <c r="A517" s="2" t="s">
        <v>645</v>
      </c>
      <c r="B517" s="3">
        <v>1065</v>
      </c>
      <c r="C517">
        <v>3</v>
      </c>
      <c r="D517" t="s">
        <v>38</v>
      </c>
      <c r="E517">
        <v>2.66666666666667</v>
      </c>
      <c r="F517">
        <v>0</v>
      </c>
    </row>
    <row r="518" hidden="1" spans="1:6">
      <c r="A518" s="2" t="s">
        <v>646</v>
      </c>
      <c r="B518" s="3">
        <v>1065</v>
      </c>
      <c r="C518">
        <v>3</v>
      </c>
      <c r="D518" t="s">
        <v>40</v>
      </c>
      <c r="E518">
        <v>2.66666666666667</v>
      </c>
      <c r="F518">
        <v>0</v>
      </c>
    </row>
    <row r="519" hidden="1" spans="1:6">
      <c r="A519" s="2" t="s">
        <v>647</v>
      </c>
      <c r="B519" s="3">
        <v>1066</v>
      </c>
      <c r="C519">
        <v>3</v>
      </c>
      <c r="D519" t="s">
        <v>36</v>
      </c>
      <c r="E519">
        <v>2.26666666666667</v>
      </c>
      <c r="F519">
        <v>0</v>
      </c>
    </row>
    <row r="520" hidden="1" spans="1:6">
      <c r="A520" s="2" t="s">
        <v>648</v>
      </c>
      <c r="B520" s="3">
        <v>1066</v>
      </c>
      <c r="C520">
        <v>3</v>
      </c>
      <c r="D520" t="s">
        <v>38</v>
      </c>
      <c r="E520">
        <v>2</v>
      </c>
      <c r="F520">
        <v>0</v>
      </c>
    </row>
    <row r="521" hidden="1" spans="1:6">
      <c r="A521" s="2" t="s">
        <v>649</v>
      </c>
      <c r="B521" s="3">
        <v>1067</v>
      </c>
      <c r="C521">
        <v>3</v>
      </c>
      <c r="D521" t="s">
        <v>36</v>
      </c>
      <c r="E521">
        <v>1.83333333333333</v>
      </c>
      <c r="F521">
        <v>0</v>
      </c>
    </row>
    <row r="522" hidden="1" spans="1:6">
      <c r="A522" s="2" t="s">
        <v>650</v>
      </c>
      <c r="B522" s="3">
        <v>1068</v>
      </c>
      <c r="C522">
        <v>3</v>
      </c>
      <c r="D522" t="s">
        <v>36</v>
      </c>
      <c r="E522">
        <v>3.2</v>
      </c>
      <c r="F522">
        <v>0</v>
      </c>
    </row>
    <row r="523" hidden="1" spans="1:6">
      <c r="A523" s="2" t="s">
        <v>651</v>
      </c>
      <c r="B523" s="3">
        <v>1069</v>
      </c>
      <c r="C523">
        <v>3</v>
      </c>
      <c r="D523" t="s">
        <v>36</v>
      </c>
      <c r="E523">
        <v>3.06666666666667</v>
      </c>
      <c r="F523">
        <v>0</v>
      </c>
    </row>
    <row r="524" hidden="1" spans="1:6">
      <c r="A524" s="2" t="s">
        <v>652</v>
      </c>
      <c r="B524" s="3">
        <v>1070</v>
      </c>
      <c r="C524">
        <v>3</v>
      </c>
      <c r="D524" t="s">
        <v>36</v>
      </c>
      <c r="E524">
        <v>2.46666666666667</v>
      </c>
      <c r="F524">
        <v>0</v>
      </c>
    </row>
    <row r="525" hidden="1" spans="1:6">
      <c r="A525" s="2" t="s">
        <v>653</v>
      </c>
      <c r="B525" s="3">
        <v>1071</v>
      </c>
      <c r="C525">
        <v>3</v>
      </c>
      <c r="D525" t="s">
        <v>36</v>
      </c>
      <c r="E525">
        <v>3.66666666666667</v>
      </c>
      <c r="F525">
        <v>0</v>
      </c>
    </row>
    <row r="526" hidden="1" spans="1:6">
      <c r="A526" s="2" t="s">
        <v>654</v>
      </c>
      <c r="B526" s="3">
        <v>1072</v>
      </c>
      <c r="C526">
        <v>3</v>
      </c>
      <c r="D526" t="s">
        <v>36</v>
      </c>
      <c r="E526">
        <v>2.7</v>
      </c>
      <c r="F526">
        <v>0</v>
      </c>
    </row>
    <row r="527" hidden="1" spans="1:6">
      <c r="A527" s="2" t="s">
        <v>655</v>
      </c>
      <c r="B527" s="3">
        <v>1073</v>
      </c>
      <c r="C527">
        <v>3</v>
      </c>
      <c r="D527" t="s">
        <v>36</v>
      </c>
      <c r="E527">
        <v>3.83333333333333</v>
      </c>
      <c r="F527">
        <v>0</v>
      </c>
    </row>
    <row r="528" hidden="1" spans="1:6">
      <c r="A528" s="2" t="s">
        <v>656</v>
      </c>
      <c r="B528" s="3">
        <v>52</v>
      </c>
      <c r="C528">
        <v>3</v>
      </c>
      <c r="D528" t="s">
        <v>36</v>
      </c>
      <c r="E528">
        <v>3.1</v>
      </c>
      <c r="F528">
        <v>0</v>
      </c>
    </row>
    <row r="529" hidden="1" spans="1:6">
      <c r="A529" s="2" t="s">
        <v>657</v>
      </c>
      <c r="B529" s="3">
        <v>52</v>
      </c>
      <c r="C529">
        <v>3</v>
      </c>
      <c r="D529" t="s">
        <v>38</v>
      </c>
      <c r="E529">
        <v>2.5</v>
      </c>
      <c r="F529">
        <v>0</v>
      </c>
    </row>
    <row r="530" hidden="1" spans="1:12">
      <c r="A530" s="2" t="s">
        <v>658</v>
      </c>
      <c r="B530" s="3">
        <v>52</v>
      </c>
      <c r="C530">
        <v>3</v>
      </c>
      <c r="D530" t="s">
        <v>40</v>
      </c>
      <c r="E530">
        <v>2.5</v>
      </c>
      <c r="F530">
        <v>0</v>
      </c>
      <c r="G530">
        <v>0</v>
      </c>
      <c r="L530" s="4" t="s">
        <v>659</v>
      </c>
    </row>
    <row r="531" hidden="1" spans="1:12">
      <c r="A531" s="2" t="s">
        <v>660</v>
      </c>
      <c r="B531" s="3">
        <v>52</v>
      </c>
      <c r="C531">
        <v>3</v>
      </c>
      <c r="D531" t="s">
        <v>42</v>
      </c>
      <c r="E531">
        <v>4.8</v>
      </c>
      <c r="F531">
        <v>0</v>
      </c>
      <c r="G531">
        <v>0</v>
      </c>
      <c r="L531" s="4" t="s">
        <v>661</v>
      </c>
    </row>
    <row r="532" hidden="1" spans="1:6">
      <c r="A532" s="2" t="s">
        <v>662</v>
      </c>
      <c r="B532" s="3">
        <v>52</v>
      </c>
      <c r="C532">
        <v>3</v>
      </c>
      <c r="D532" t="s">
        <v>44</v>
      </c>
      <c r="E532">
        <v>2.16666666666667</v>
      </c>
      <c r="F532">
        <v>0</v>
      </c>
    </row>
    <row r="533" hidden="1" spans="1:6">
      <c r="A533" s="2" t="s">
        <v>663</v>
      </c>
      <c r="B533" s="3">
        <v>52</v>
      </c>
      <c r="C533">
        <v>3</v>
      </c>
      <c r="D533" t="s">
        <v>46</v>
      </c>
      <c r="E533">
        <v>1.73333333333333</v>
      </c>
      <c r="F533">
        <v>0</v>
      </c>
    </row>
    <row r="534" hidden="1" spans="1:12">
      <c r="A534" s="2" t="s">
        <v>664</v>
      </c>
      <c r="B534" s="3">
        <v>52</v>
      </c>
      <c r="C534">
        <v>3</v>
      </c>
      <c r="D534" t="s">
        <v>86</v>
      </c>
      <c r="E534">
        <v>6.5</v>
      </c>
      <c r="F534">
        <v>0</v>
      </c>
      <c r="G534">
        <v>0</v>
      </c>
      <c r="L534" s="4" t="s">
        <v>665</v>
      </c>
    </row>
    <row r="535" hidden="1" spans="1:12">
      <c r="A535" s="2" t="s">
        <v>666</v>
      </c>
      <c r="B535" s="3">
        <v>52</v>
      </c>
      <c r="C535">
        <v>3</v>
      </c>
      <c r="D535" t="s">
        <v>50</v>
      </c>
      <c r="E535">
        <v>10</v>
      </c>
      <c r="F535">
        <v>0</v>
      </c>
      <c r="G535">
        <v>0</v>
      </c>
      <c r="L535" s="4" t="s">
        <v>667</v>
      </c>
    </row>
    <row r="536" hidden="1" spans="1:13">
      <c r="A536" s="2" t="s">
        <v>668</v>
      </c>
      <c r="B536" s="3">
        <v>52</v>
      </c>
      <c r="C536">
        <v>3</v>
      </c>
      <c r="D536" t="s">
        <v>669</v>
      </c>
      <c r="E536">
        <v>0.8</v>
      </c>
      <c r="F536">
        <v>1</v>
      </c>
      <c r="G536">
        <v>0</v>
      </c>
      <c r="H536">
        <v>1</v>
      </c>
      <c r="I536">
        <v>846</v>
      </c>
      <c r="J536" t="s">
        <v>670</v>
      </c>
      <c r="K536">
        <v>0</v>
      </c>
      <c r="L536" s="4" t="s">
        <v>671</v>
      </c>
      <c r="M536" t="s">
        <v>672</v>
      </c>
    </row>
    <row r="537" hidden="1" spans="1:11">
      <c r="A537" s="2" t="s">
        <v>673</v>
      </c>
      <c r="B537" s="3">
        <v>52</v>
      </c>
      <c r="C537">
        <v>3</v>
      </c>
      <c r="D537" t="s">
        <v>380</v>
      </c>
      <c r="E537">
        <v>3.83333333333333</v>
      </c>
      <c r="F537">
        <v>0</v>
      </c>
      <c r="G537">
        <v>0</v>
      </c>
      <c r="H537">
        <v>2</v>
      </c>
      <c r="I537">
        <v>876</v>
      </c>
      <c r="J537" s="56" t="s">
        <v>403</v>
      </c>
      <c r="K537">
        <v>1</v>
      </c>
    </row>
    <row r="538" hidden="1" spans="1:11">
      <c r="A538" s="2" t="s">
        <v>674</v>
      </c>
      <c r="B538" s="3">
        <v>52</v>
      </c>
      <c r="C538">
        <v>3</v>
      </c>
      <c r="D538" t="s">
        <v>77</v>
      </c>
      <c r="E538">
        <v>3.66666666666667</v>
      </c>
      <c r="F538">
        <v>0</v>
      </c>
      <c r="G538">
        <v>0</v>
      </c>
      <c r="H538">
        <v>2</v>
      </c>
      <c r="I538">
        <v>877</v>
      </c>
      <c r="J538" t="s">
        <v>168</v>
      </c>
      <c r="K538">
        <v>1</v>
      </c>
    </row>
    <row r="539" hidden="1" spans="1:6">
      <c r="A539" s="2" t="s">
        <v>675</v>
      </c>
      <c r="B539" s="3">
        <v>2015</v>
      </c>
      <c r="C539">
        <v>3</v>
      </c>
      <c r="D539" t="s">
        <v>36</v>
      </c>
      <c r="E539">
        <v>1.93333333333333</v>
      </c>
      <c r="F539">
        <v>0</v>
      </c>
    </row>
    <row r="540" hidden="1" spans="1:6">
      <c r="A540" s="2" t="s">
        <v>676</v>
      </c>
      <c r="B540" s="3">
        <v>2015</v>
      </c>
      <c r="C540">
        <v>3</v>
      </c>
      <c r="D540" t="s">
        <v>38</v>
      </c>
      <c r="E540">
        <v>1.53333333333333</v>
      </c>
      <c r="F540">
        <v>0</v>
      </c>
    </row>
    <row r="541" hidden="1" spans="1:6">
      <c r="A541" s="2" t="s">
        <v>677</v>
      </c>
      <c r="B541" s="3">
        <v>2015</v>
      </c>
      <c r="C541">
        <v>3</v>
      </c>
      <c r="D541" t="s">
        <v>40</v>
      </c>
      <c r="E541">
        <v>2.4</v>
      </c>
      <c r="F541">
        <v>0</v>
      </c>
    </row>
    <row r="542" hidden="1" spans="1:6">
      <c r="A542" s="2" t="s">
        <v>678</v>
      </c>
      <c r="B542" s="3">
        <v>2015</v>
      </c>
      <c r="C542">
        <v>3</v>
      </c>
      <c r="D542" t="s">
        <v>42</v>
      </c>
      <c r="E542">
        <v>8.66666666666667</v>
      </c>
      <c r="F542">
        <v>0</v>
      </c>
    </row>
    <row r="543" hidden="1" spans="1:6">
      <c r="A543" s="2" t="s">
        <v>679</v>
      </c>
      <c r="B543" s="3">
        <v>53</v>
      </c>
      <c r="C543">
        <v>3</v>
      </c>
      <c r="D543" t="s">
        <v>36</v>
      </c>
      <c r="E543">
        <v>2.83333333333333</v>
      </c>
      <c r="F543">
        <v>0</v>
      </c>
    </row>
    <row r="544" hidden="1" spans="1:6">
      <c r="A544" s="2" t="s">
        <v>680</v>
      </c>
      <c r="B544" s="3">
        <v>53</v>
      </c>
      <c r="C544">
        <v>3</v>
      </c>
      <c r="D544" t="s">
        <v>38</v>
      </c>
      <c r="E544">
        <v>2</v>
      </c>
      <c r="F544">
        <v>0</v>
      </c>
    </row>
    <row r="545" hidden="1" spans="1:6">
      <c r="A545" s="2" t="s">
        <v>681</v>
      </c>
      <c r="B545" s="3">
        <v>53</v>
      </c>
      <c r="C545">
        <v>3</v>
      </c>
      <c r="D545" t="s">
        <v>40</v>
      </c>
      <c r="E545">
        <v>5.33333333333333</v>
      </c>
      <c r="F545">
        <v>0</v>
      </c>
    </row>
    <row r="546" hidden="1" spans="1:6">
      <c r="A546" s="2" t="s">
        <v>682</v>
      </c>
      <c r="B546" s="3">
        <v>53</v>
      </c>
      <c r="C546">
        <v>3</v>
      </c>
      <c r="D546" t="s">
        <v>42</v>
      </c>
      <c r="E546">
        <v>3.43333333333333</v>
      </c>
      <c r="F546">
        <v>0</v>
      </c>
    </row>
    <row r="547" hidden="1" spans="1:6">
      <c r="A547" s="2" t="s">
        <v>683</v>
      </c>
      <c r="B547" s="3">
        <v>53</v>
      </c>
      <c r="C547">
        <v>3</v>
      </c>
      <c r="D547" t="s">
        <v>44</v>
      </c>
      <c r="E547">
        <v>1.66666666666667</v>
      </c>
      <c r="F547">
        <v>0</v>
      </c>
    </row>
    <row r="548" hidden="1" spans="1:6">
      <c r="A548" s="2" t="s">
        <v>684</v>
      </c>
      <c r="B548" s="3">
        <v>53</v>
      </c>
      <c r="C548">
        <v>3</v>
      </c>
      <c r="D548" t="s">
        <v>46</v>
      </c>
      <c r="E548">
        <v>4.16666666666667</v>
      </c>
      <c r="F548">
        <v>0</v>
      </c>
    </row>
    <row r="549" hidden="1" spans="1:6">
      <c r="A549" s="2" t="s">
        <v>685</v>
      </c>
      <c r="B549" s="3">
        <v>53</v>
      </c>
      <c r="C549">
        <v>3</v>
      </c>
      <c r="D549" t="s">
        <v>86</v>
      </c>
      <c r="E549">
        <v>2.5</v>
      </c>
      <c r="F549">
        <v>0</v>
      </c>
    </row>
    <row r="550" hidden="1" spans="1:12">
      <c r="A550" s="2" t="s">
        <v>686</v>
      </c>
      <c r="B550" s="3">
        <v>53</v>
      </c>
      <c r="C550">
        <v>3</v>
      </c>
      <c r="D550" t="s">
        <v>50</v>
      </c>
      <c r="E550">
        <v>11.3333333333333</v>
      </c>
      <c r="F550">
        <v>0</v>
      </c>
      <c r="G550">
        <v>0</v>
      </c>
      <c r="L550" s="4" t="s">
        <v>687</v>
      </c>
    </row>
    <row r="551" hidden="1" spans="1:6">
      <c r="A551" s="2" t="s">
        <v>688</v>
      </c>
      <c r="B551" s="3">
        <v>53</v>
      </c>
      <c r="C551">
        <v>3</v>
      </c>
      <c r="D551" t="s">
        <v>247</v>
      </c>
      <c r="E551">
        <v>2.7</v>
      </c>
      <c r="F551">
        <v>0</v>
      </c>
    </row>
    <row r="552" hidden="1" spans="1:6">
      <c r="A552" s="2" t="s">
        <v>689</v>
      </c>
      <c r="B552" s="3">
        <v>53</v>
      </c>
      <c r="C552">
        <v>3</v>
      </c>
      <c r="D552" t="s">
        <v>48</v>
      </c>
      <c r="E552">
        <f>315/30</f>
        <v>10.5</v>
      </c>
      <c r="F552">
        <v>0</v>
      </c>
    </row>
    <row r="553" hidden="1" spans="1:12">
      <c r="A553" s="2" t="s">
        <v>690</v>
      </c>
      <c r="B553" s="3">
        <v>1120</v>
      </c>
      <c r="C553">
        <v>3</v>
      </c>
      <c r="D553" t="s">
        <v>236</v>
      </c>
      <c r="E553">
        <v>2</v>
      </c>
      <c r="F553">
        <v>0</v>
      </c>
      <c r="G553">
        <v>0</v>
      </c>
      <c r="H553">
        <v>1</v>
      </c>
      <c r="I553">
        <v>849</v>
      </c>
      <c r="J553" t="s">
        <v>168</v>
      </c>
      <c r="K553">
        <v>0</v>
      </c>
      <c r="L553" s="4" t="s">
        <v>691</v>
      </c>
    </row>
    <row r="554" hidden="1" spans="1:6">
      <c r="A554" s="2" t="s">
        <v>692</v>
      </c>
      <c r="B554" s="3">
        <v>1074</v>
      </c>
      <c r="C554">
        <v>3</v>
      </c>
      <c r="D554" t="s">
        <v>36</v>
      </c>
      <c r="E554">
        <v>2</v>
      </c>
      <c r="F554">
        <v>0</v>
      </c>
    </row>
    <row r="555" hidden="1" spans="1:6">
      <c r="A555" s="2" t="s">
        <v>693</v>
      </c>
      <c r="B555" s="3">
        <v>1074</v>
      </c>
      <c r="C555">
        <v>3</v>
      </c>
      <c r="D555" t="s">
        <v>38</v>
      </c>
      <c r="E555">
        <v>2.66666666666667</v>
      </c>
      <c r="F555">
        <v>0</v>
      </c>
    </row>
    <row r="556" hidden="1" spans="1:6">
      <c r="A556" s="2" t="s">
        <v>694</v>
      </c>
      <c r="B556" s="3">
        <v>1092</v>
      </c>
      <c r="C556">
        <v>3</v>
      </c>
      <c r="D556" t="s">
        <v>36</v>
      </c>
      <c r="E556">
        <f>55/30</f>
        <v>1.83333333333333</v>
      </c>
      <c r="F556">
        <v>0</v>
      </c>
    </row>
    <row r="557" hidden="1" spans="1:6">
      <c r="A557" s="2" t="s">
        <v>695</v>
      </c>
      <c r="B557" s="3">
        <v>1093</v>
      </c>
      <c r="C557">
        <v>3</v>
      </c>
      <c r="D557" t="s">
        <v>36</v>
      </c>
      <c r="E557">
        <v>2</v>
      </c>
      <c r="F557">
        <v>0</v>
      </c>
    </row>
    <row r="558" hidden="1" spans="1:6">
      <c r="A558" s="2" t="s">
        <v>696</v>
      </c>
      <c r="B558" s="3">
        <v>1075</v>
      </c>
      <c r="C558">
        <v>3</v>
      </c>
      <c r="D558" t="s">
        <v>36</v>
      </c>
      <c r="E558">
        <v>3.26666666666667</v>
      </c>
      <c r="F558">
        <v>0</v>
      </c>
    </row>
    <row r="559" hidden="1" spans="1:6">
      <c r="A559" s="2" t="s">
        <v>697</v>
      </c>
      <c r="B559" s="3">
        <v>1121</v>
      </c>
      <c r="C559">
        <v>3</v>
      </c>
      <c r="D559" t="s">
        <v>36</v>
      </c>
      <c r="E559">
        <v>2.5</v>
      </c>
      <c r="F559">
        <v>0</v>
      </c>
    </row>
    <row r="560" hidden="1" spans="1:6">
      <c r="A560" s="2" t="s">
        <v>698</v>
      </c>
      <c r="B560" s="3">
        <v>1121</v>
      </c>
      <c r="C560">
        <v>3</v>
      </c>
      <c r="D560" t="s">
        <v>699</v>
      </c>
      <c r="E560">
        <v>2</v>
      </c>
      <c r="F560">
        <v>0</v>
      </c>
    </row>
    <row r="561" hidden="1" spans="1:6">
      <c r="A561" s="2" t="s">
        <v>700</v>
      </c>
      <c r="B561" s="3">
        <v>1076</v>
      </c>
      <c r="C561">
        <v>3</v>
      </c>
      <c r="D561" t="s">
        <v>36</v>
      </c>
      <c r="E561">
        <v>2.43333333333333</v>
      </c>
      <c r="F561">
        <v>0</v>
      </c>
    </row>
    <row r="562" hidden="1" spans="1:6">
      <c r="A562" s="63" t="s">
        <v>701</v>
      </c>
      <c r="B562" s="3">
        <v>1076</v>
      </c>
      <c r="C562">
        <v>3</v>
      </c>
      <c r="D562" t="s">
        <v>699</v>
      </c>
      <c r="E562">
        <v>2.16666666666667</v>
      </c>
      <c r="F562">
        <v>0</v>
      </c>
    </row>
    <row r="563" hidden="1" spans="1:6">
      <c r="A563" s="63" t="s">
        <v>702</v>
      </c>
      <c r="B563" s="3">
        <v>1077</v>
      </c>
      <c r="C563">
        <v>3</v>
      </c>
      <c r="D563" t="s">
        <v>36</v>
      </c>
      <c r="E563">
        <v>2.23333333333333</v>
      </c>
      <c r="F563">
        <v>0</v>
      </c>
    </row>
    <row r="564" hidden="1" spans="1:6">
      <c r="A564" s="63" t="s">
        <v>703</v>
      </c>
      <c r="B564" s="3">
        <v>1077</v>
      </c>
      <c r="C564">
        <v>3</v>
      </c>
      <c r="D564" t="s">
        <v>699</v>
      </c>
      <c r="E564">
        <f>80/30</f>
        <v>2.66666666666667</v>
      </c>
      <c r="F564">
        <v>0</v>
      </c>
    </row>
    <row r="565" hidden="1" spans="1:6">
      <c r="A565" s="63" t="s">
        <v>704</v>
      </c>
      <c r="B565" s="3">
        <v>1078</v>
      </c>
      <c r="C565">
        <v>3</v>
      </c>
      <c r="D565" t="s">
        <v>36</v>
      </c>
      <c r="E565">
        <v>1.83333333333333</v>
      </c>
      <c r="F565">
        <v>0</v>
      </c>
    </row>
    <row r="566" hidden="1" spans="1:6">
      <c r="A566" s="63" t="s">
        <v>705</v>
      </c>
      <c r="B566" s="3">
        <v>1078</v>
      </c>
      <c r="C566">
        <v>3</v>
      </c>
      <c r="D566" t="s">
        <v>699</v>
      </c>
      <c r="E566">
        <v>1.83333333333333</v>
      </c>
      <c r="F566">
        <v>0</v>
      </c>
    </row>
    <row r="567" hidden="1" spans="1:6">
      <c r="A567" s="63" t="s">
        <v>706</v>
      </c>
      <c r="B567" s="3">
        <v>1079</v>
      </c>
      <c r="C567">
        <v>3</v>
      </c>
      <c r="D567" t="s">
        <v>36</v>
      </c>
      <c r="E567">
        <v>2.46666666666667</v>
      </c>
      <c r="F567">
        <v>0</v>
      </c>
    </row>
    <row r="568" hidden="1" spans="1:6">
      <c r="A568" s="63" t="s">
        <v>707</v>
      </c>
      <c r="B568" s="3">
        <v>1079</v>
      </c>
      <c r="C568">
        <v>3</v>
      </c>
      <c r="D568" t="s">
        <v>699</v>
      </c>
      <c r="E568">
        <v>4</v>
      </c>
      <c r="F568">
        <v>0</v>
      </c>
    </row>
    <row r="569" hidden="1" spans="1:6">
      <c r="A569" s="63" t="s">
        <v>708</v>
      </c>
      <c r="B569" s="3">
        <v>1079</v>
      </c>
      <c r="C569">
        <v>3</v>
      </c>
      <c r="D569" t="s">
        <v>40</v>
      </c>
      <c r="E569">
        <v>5.53333333333333</v>
      </c>
      <c r="F569">
        <v>0</v>
      </c>
    </row>
    <row r="570" hidden="1" spans="1:6">
      <c r="A570" s="63" t="s">
        <v>709</v>
      </c>
      <c r="B570" s="3">
        <v>1080</v>
      </c>
      <c r="C570">
        <v>3</v>
      </c>
      <c r="D570" t="s">
        <v>36</v>
      </c>
      <c r="E570">
        <v>1.96666666666667</v>
      </c>
      <c r="F570">
        <v>0</v>
      </c>
    </row>
    <row r="571" hidden="1" spans="1:6">
      <c r="A571" s="63" t="s">
        <v>710</v>
      </c>
      <c r="B571" s="3">
        <v>1080</v>
      </c>
      <c r="C571">
        <v>3</v>
      </c>
      <c r="D571" t="s">
        <v>699</v>
      </c>
      <c r="E571">
        <v>1.66666666666667</v>
      </c>
      <c r="F571">
        <v>0</v>
      </c>
    </row>
    <row r="572" hidden="1" spans="1:6">
      <c r="A572" s="63" t="s">
        <v>711</v>
      </c>
      <c r="B572" s="3">
        <v>1080</v>
      </c>
      <c r="C572">
        <v>3</v>
      </c>
      <c r="D572" t="s">
        <v>40</v>
      </c>
      <c r="E572">
        <v>2</v>
      </c>
      <c r="F572">
        <v>0</v>
      </c>
    </row>
    <row r="573" hidden="1" spans="1:6">
      <c r="A573" s="63" t="s">
        <v>712</v>
      </c>
      <c r="B573" s="3">
        <v>1082</v>
      </c>
      <c r="C573">
        <v>3</v>
      </c>
      <c r="D573" t="s">
        <v>36</v>
      </c>
      <c r="E573">
        <v>2.33333333333333</v>
      </c>
      <c r="F573">
        <v>0</v>
      </c>
    </row>
    <row r="574" hidden="1" spans="1:6">
      <c r="A574" s="63" t="s">
        <v>713</v>
      </c>
      <c r="B574" s="3">
        <v>1082</v>
      </c>
      <c r="C574">
        <v>3</v>
      </c>
      <c r="D574" t="s">
        <v>699</v>
      </c>
      <c r="E574">
        <v>4.16666666666667</v>
      </c>
      <c r="F574">
        <v>0</v>
      </c>
    </row>
    <row r="575" hidden="1" spans="1:6">
      <c r="A575" s="63" t="s">
        <v>714</v>
      </c>
      <c r="B575" s="3">
        <v>1082</v>
      </c>
      <c r="C575">
        <v>3</v>
      </c>
      <c r="D575" t="s">
        <v>40</v>
      </c>
      <c r="E575">
        <v>6.33333333333333</v>
      </c>
      <c r="F575">
        <v>0</v>
      </c>
    </row>
    <row r="576" hidden="1" spans="1:6">
      <c r="A576" s="63" t="s">
        <v>715</v>
      </c>
      <c r="B576" s="3">
        <v>1083</v>
      </c>
      <c r="C576">
        <v>3</v>
      </c>
      <c r="D576" t="s">
        <v>36</v>
      </c>
      <c r="E576">
        <v>1.96666666666667</v>
      </c>
      <c r="F576">
        <v>0</v>
      </c>
    </row>
    <row r="577" hidden="1" spans="1:6">
      <c r="A577" s="63" t="s">
        <v>716</v>
      </c>
      <c r="B577" s="3">
        <v>1083</v>
      </c>
      <c r="C577">
        <v>3</v>
      </c>
      <c r="D577" t="s">
        <v>699</v>
      </c>
      <c r="E577">
        <v>2.83333333333333</v>
      </c>
      <c r="F577">
        <v>0</v>
      </c>
    </row>
    <row r="578" hidden="1" spans="1:6">
      <c r="A578" s="63" t="s">
        <v>717</v>
      </c>
      <c r="B578" s="3">
        <v>1084</v>
      </c>
      <c r="C578">
        <v>3</v>
      </c>
      <c r="D578" t="s">
        <v>36</v>
      </c>
      <c r="E578">
        <v>1.8</v>
      </c>
      <c r="F578">
        <v>0</v>
      </c>
    </row>
    <row r="579" hidden="1" spans="1:6">
      <c r="A579" s="63" t="s">
        <v>718</v>
      </c>
      <c r="B579" s="3">
        <v>1084</v>
      </c>
      <c r="C579">
        <v>3</v>
      </c>
      <c r="D579" t="s">
        <v>699</v>
      </c>
      <c r="E579">
        <v>2</v>
      </c>
      <c r="F579">
        <v>0</v>
      </c>
    </row>
    <row r="580" hidden="1" spans="1:6">
      <c r="A580" s="63" t="s">
        <v>719</v>
      </c>
      <c r="B580" s="3">
        <v>1084</v>
      </c>
      <c r="C580">
        <v>3</v>
      </c>
      <c r="D580" t="s">
        <v>40</v>
      </c>
      <c r="E580">
        <v>3.06666666666667</v>
      </c>
      <c r="F580">
        <v>0</v>
      </c>
    </row>
    <row r="581" hidden="1" spans="1:6">
      <c r="A581" s="63" t="s">
        <v>720</v>
      </c>
      <c r="B581" s="3">
        <v>1085</v>
      </c>
      <c r="C581">
        <v>3</v>
      </c>
      <c r="D581" t="s">
        <v>36</v>
      </c>
      <c r="E581">
        <v>1.66666666666667</v>
      </c>
      <c r="F581">
        <v>0</v>
      </c>
    </row>
    <row r="582" hidden="1" spans="1:6">
      <c r="A582" s="63" t="s">
        <v>721</v>
      </c>
      <c r="B582" s="3">
        <v>1085</v>
      </c>
      <c r="C582">
        <v>3</v>
      </c>
      <c r="D582" t="s">
        <v>699</v>
      </c>
      <c r="E582">
        <v>2.6</v>
      </c>
      <c r="F582">
        <v>0</v>
      </c>
    </row>
    <row r="583" hidden="1" spans="1:6">
      <c r="A583" s="63" t="s">
        <v>722</v>
      </c>
      <c r="B583" s="3">
        <v>1087</v>
      </c>
      <c r="C583">
        <v>3</v>
      </c>
      <c r="D583" t="s">
        <v>36</v>
      </c>
      <c r="E583">
        <v>2.43333333333333</v>
      </c>
      <c r="F583">
        <v>0</v>
      </c>
    </row>
    <row r="584" hidden="1" spans="1:6">
      <c r="A584" s="63" t="s">
        <v>723</v>
      </c>
      <c r="B584" s="3">
        <v>1087</v>
      </c>
      <c r="C584">
        <v>3</v>
      </c>
      <c r="D584" t="s">
        <v>699</v>
      </c>
      <c r="E584">
        <v>4.1</v>
      </c>
      <c r="F584">
        <v>0</v>
      </c>
    </row>
    <row r="585" hidden="1" spans="1:6">
      <c r="A585" s="63" t="s">
        <v>724</v>
      </c>
      <c r="B585" s="3">
        <v>1088</v>
      </c>
      <c r="C585">
        <v>3</v>
      </c>
      <c r="D585" t="s">
        <v>36</v>
      </c>
      <c r="E585">
        <v>2.66666666666667</v>
      </c>
      <c r="F585">
        <v>0</v>
      </c>
    </row>
    <row r="586" hidden="1" spans="1:6">
      <c r="A586" s="63" t="s">
        <v>725</v>
      </c>
      <c r="B586" s="3">
        <v>1088</v>
      </c>
      <c r="C586">
        <v>3</v>
      </c>
      <c r="D586" t="s">
        <v>699</v>
      </c>
      <c r="E586">
        <v>3.63333333333333</v>
      </c>
      <c r="F586">
        <v>0</v>
      </c>
    </row>
    <row r="587" hidden="1" spans="1:6">
      <c r="A587" s="63" t="s">
        <v>726</v>
      </c>
      <c r="B587" s="3">
        <v>1089</v>
      </c>
      <c r="C587">
        <v>3</v>
      </c>
      <c r="D587" t="s">
        <v>36</v>
      </c>
      <c r="E587">
        <v>2</v>
      </c>
      <c r="F587">
        <v>0</v>
      </c>
    </row>
    <row r="588" hidden="1" spans="1:6">
      <c r="A588" s="63" t="s">
        <v>727</v>
      </c>
      <c r="B588" s="3">
        <v>1089</v>
      </c>
      <c r="C588">
        <v>3</v>
      </c>
      <c r="D588" t="s">
        <v>699</v>
      </c>
      <c r="E588">
        <v>1.83333333333333</v>
      </c>
      <c r="F588">
        <v>0</v>
      </c>
    </row>
    <row r="589" hidden="1" spans="1:6">
      <c r="A589" s="63" t="s">
        <v>728</v>
      </c>
      <c r="B589" s="3">
        <v>1089</v>
      </c>
      <c r="C589">
        <v>3</v>
      </c>
      <c r="D589" t="s">
        <v>40</v>
      </c>
      <c r="E589">
        <v>3</v>
      </c>
      <c r="F589">
        <v>0</v>
      </c>
    </row>
    <row r="590" hidden="1" spans="1:6">
      <c r="A590" s="63" t="s">
        <v>729</v>
      </c>
      <c r="B590" s="3">
        <v>1089</v>
      </c>
      <c r="C590">
        <v>3</v>
      </c>
      <c r="D590" t="s">
        <v>42</v>
      </c>
      <c r="E590">
        <v>9.26666666666667</v>
      </c>
      <c r="F590">
        <v>0</v>
      </c>
    </row>
    <row r="591" hidden="1" spans="1:6">
      <c r="A591" s="63" t="s">
        <v>730</v>
      </c>
      <c r="B591" s="3">
        <v>1090</v>
      </c>
      <c r="C591">
        <v>3</v>
      </c>
      <c r="D591" t="s">
        <v>36</v>
      </c>
      <c r="E591">
        <v>2</v>
      </c>
      <c r="F591">
        <v>0</v>
      </c>
    </row>
    <row r="592" hidden="1" spans="1:6">
      <c r="A592" s="63" t="s">
        <v>731</v>
      </c>
      <c r="B592" s="3">
        <v>1091</v>
      </c>
      <c r="C592">
        <v>3</v>
      </c>
      <c r="D592" t="s">
        <v>36</v>
      </c>
      <c r="E592">
        <v>1.8</v>
      </c>
      <c r="F592">
        <v>0</v>
      </c>
    </row>
    <row r="593" hidden="1" spans="1:6">
      <c r="A593" s="63" t="s">
        <v>732</v>
      </c>
      <c r="B593" s="3">
        <v>1094</v>
      </c>
      <c r="C593">
        <v>3</v>
      </c>
      <c r="D593" t="s">
        <v>36</v>
      </c>
      <c r="E593">
        <v>2.33333333333333</v>
      </c>
      <c r="F593">
        <v>0</v>
      </c>
    </row>
    <row r="594" hidden="1" spans="1:6">
      <c r="A594" s="63" t="s">
        <v>733</v>
      </c>
      <c r="B594" s="3">
        <v>1095</v>
      </c>
      <c r="C594">
        <v>3</v>
      </c>
      <c r="D594" t="s">
        <v>36</v>
      </c>
      <c r="E594">
        <v>1.66666666666667</v>
      </c>
      <c r="F594">
        <v>0</v>
      </c>
    </row>
    <row r="595" hidden="1" spans="1:6">
      <c r="A595" s="63" t="s">
        <v>734</v>
      </c>
      <c r="B595" s="3">
        <v>1096</v>
      </c>
      <c r="C595">
        <v>3</v>
      </c>
      <c r="D595" t="s">
        <v>36</v>
      </c>
      <c r="E595">
        <v>1.66666666666667</v>
      </c>
      <c r="F595">
        <v>0</v>
      </c>
    </row>
    <row r="596" hidden="1" spans="1:6">
      <c r="A596" s="63" t="s">
        <v>735</v>
      </c>
      <c r="B596" s="3">
        <v>1097</v>
      </c>
      <c r="C596">
        <v>3</v>
      </c>
      <c r="D596" t="s">
        <v>36</v>
      </c>
      <c r="E596">
        <v>2</v>
      </c>
      <c r="F596">
        <v>0</v>
      </c>
    </row>
    <row r="597" hidden="1" spans="1:6">
      <c r="A597" s="63" t="s">
        <v>736</v>
      </c>
      <c r="B597" s="3">
        <v>1098</v>
      </c>
      <c r="C597">
        <v>3</v>
      </c>
      <c r="D597" t="s">
        <v>36</v>
      </c>
      <c r="E597">
        <v>2.16666666666667</v>
      </c>
      <c r="F597">
        <v>0</v>
      </c>
    </row>
    <row r="598" hidden="1" spans="1:6">
      <c r="A598" s="63" t="s">
        <v>737</v>
      </c>
      <c r="B598" s="3">
        <v>1099</v>
      </c>
      <c r="C598">
        <v>3</v>
      </c>
      <c r="D598" t="s">
        <v>36</v>
      </c>
      <c r="E598">
        <v>2.16666666666667</v>
      </c>
      <c r="F598">
        <v>0</v>
      </c>
    </row>
    <row r="599" hidden="1" spans="1:6">
      <c r="A599" s="63" t="s">
        <v>738</v>
      </c>
      <c r="B599" s="3">
        <v>1100</v>
      </c>
      <c r="C599">
        <v>3</v>
      </c>
      <c r="D599" t="s">
        <v>36</v>
      </c>
      <c r="E599">
        <v>1.83333333333333</v>
      </c>
      <c r="F599">
        <v>0</v>
      </c>
    </row>
    <row r="600" hidden="1" spans="1:6">
      <c r="A600" s="63" t="s">
        <v>739</v>
      </c>
      <c r="B600" s="3">
        <v>1101</v>
      </c>
      <c r="C600">
        <v>3</v>
      </c>
      <c r="D600" t="s">
        <v>36</v>
      </c>
      <c r="E600">
        <v>2.5</v>
      </c>
      <c r="F600">
        <v>0</v>
      </c>
    </row>
    <row r="601" hidden="1" spans="1:6">
      <c r="A601" s="63" t="s">
        <v>740</v>
      </c>
      <c r="B601" s="3">
        <v>1102</v>
      </c>
      <c r="C601">
        <v>3</v>
      </c>
      <c r="D601" t="s">
        <v>36</v>
      </c>
      <c r="E601">
        <v>3.2</v>
      </c>
      <c r="F601">
        <v>0</v>
      </c>
    </row>
    <row r="602" hidden="1" spans="1:6">
      <c r="A602" s="63" t="s">
        <v>741</v>
      </c>
      <c r="B602" s="3">
        <v>1103</v>
      </c>
      <c r="C602">
        <v>3</v>
      </c>
      <c r="D602" t="s">
        <v>36</v>
      </c>
      <c r="E602">
        <v>2.76666666666667</v>
      </c>
      <c r="F602">
        <v>0</v>
      </c>
    </row>
    <row r="603" hidden="1" spans="1:6">
      <c r="A603" s="2" t="s">
        <v>742</v>
      </c>
      <c r="B603" s="3">
        <v>2107</v>
      </c>
      <c r="C603">
        <v>3</v>
      </c>
      <c r="D603" t="s">
        <v>36</v>
      </c>
      <c r="E603">
        <v>2.33333333333333</v>
      </c>
      <c r="F603">
        <v>0</v>
      </c>
    </row>
    <row r="604" hidden="1" spans="1:6">
      <c r="A604" s="2" t="s">
        <v>743</v>
      </c>
      <c r="B604" s="3">
        <v>2107</v>
      </c>
      <c r="C604">
        <v>3</v>
      </c>
      <c r="D604" t="s">
        <v>38</v>
      </c>
      <c r="E604">
        <v>3.33333333333333</v>
      </c>
      <c r="F604">
        <v>0</v>
      </c>
    </row>
    <row r="605" hidden="1" spans="1:6">
      <c r="A605" s="2" t="s">
        <v>744</v>
      </c>
      <c r="B605" s="3">
        <v>2107</v>
      </c>
      <c r="C605">
        <v>3</v>
      </c>
      <c r="D605" t="s">
        <v>40</v>
      </c>
      <c r="E605">
        <v>3.33333333333333</v>
      </c>
      <c r="F605">
        <v>0</v>
      </c>
    </row>
    <row r="606" hidden="1" spans="1:6">
      <c r="A606" s="2" t="s">
        <v>745</v>
      </c>
      <c r="B606" s="3">
        <v>2107</v>
      </c>
      <c r="C606">
        <v>3</v>
      </c>
      <c r="D606" t="s">
        <v>42</v>
      </c>
      <c r="E606">
        <v>5.33333333333333</v>
      </c>
      <c r="F606">
        <v>0</v>
      </c>
    </row>
    <row r="607" hidden="1" spans="1:6">
      <c r="A607" s="2" t="s">
        <v>746</v>
      </c>
      <c r="B607" s="3">
        <v>2108</v>
      </c>
      <c r="C607">
        <v>3</v>
      </c>
      <c r="D607" t="s">
        <v>36</v>
      </c>
      <c r="E607">
        <v>2</v>
      </c>
      <c r="F607">
        <v>0</v>
      </c>
    </row>
    <row r="608" hidden="1" spans="1:6">
      <c r="A608" s="2" t="s">
        <v>747</v>
      </c>
      <c r="B608" s="3">
        <v>2108</v>
      </c>
      <c r="C608">
        <v>3</v>
      </c>
      <c r="D608" t="s">
        <v>699</v>
      </c>
      <c r="E608">
        <v>2.5</v>
      </c>
      <c r="F608">
        <v>0</v>
      </c>
    </row>
    <row r="609" hidden="1" spans="1:6">
      <c r="A609" s="2" t="s">
        <v>748</v>
      </c>
      <c r="B609" s="3">
        <v>2109</v>
      </c>
      <c r="C609">
        <v>3</v>
      </c>
      <c r="D609" t="s">
        <v>36</v>
      </c>
      <c r="E609">
        <v>2.83333333333333</v>
      </c>
      <c r="F609">
        <v>0</v>
      </c>
    </row>
    <row r="610" hidden="1" spans="1:6">
      <c r="A610" s="2" t="s">
        <v>749</v>
      </c>
      <c r="B610" s="3">
        <v>2112</v>
      </c>
      <c r="C610">
        <v>3</v>
      </c>
      <c r="D610" t="s">
        <v>36</v>
      </c>
      <c r="E610">
        <v>3.33333333333333</v>
      </c>
      <c r="F610">
        <v>0</v>
      </c>
    </row>
    <row r="611" hidden="1" spans="1:6">
      <c r="A611" s="2" t="s">
        <v>750</v>
      </c>
      <c r="B611" s="3">
        <v>2112</v>
      </c>
      <c r="C611">
        <v>3</v>
      </c>
      <c r="D611" t="s">
        <v>699</v>
      </c>
      <c r="E611">
        <v>2.66666666666667</v>
      </c>
      <c r="F611">
        <v>0</v>
      </c>
    </row>
    <row r="612" hidden="1" spans="1:6">
      <c r="A612" s="2" t="s">
        <v>751</v>
      </c>
      <c r="B612" s="3">
        <v>54</v>
      </c>
      <c r="C612">
        <v>3</v>
      </c>
      <c r="D612" t="s">
        <v>36</v>
      </c>
      <c r="E612">
        <v>3.33333333333333</v>
      </c>
      <c r="F612">
        <v>0</v>
      </c>
    </row>
    <row r="613" hidden="1" spans="1:6">
      <c r="A613" s="2" t="s">
        <v>752</v>
      </c>
      <c r="B613" s="3">
        <v>54</v>
      </c>
      <c r="C613">
        <v>3</v>
      </c>
      <c r="D613" t="s">
        <v>699</v>
      </c>
      <c r="E613">
        <v>3</v>
      </c>
      <c r="F613">
        <v>0</v>
      </c>
    </row>
    <row r="614" hidden="1" spans="1:6">
      <c r="A614" s="2" t="s">
        <v>753</v>
      </c>
      <c r="B614" s="3">
        <v>54</v>
      </c>
      <c r="C614">
        <v>3</v>
      </c>
      <c r="D614" t="s">
        <v>40</v>
      </c>
      <c r="E614">
        <v>4.33333333333333</v>
      </c>
      <c r="F614">
        <v>0</v>
      </c>
    </row>
    <row r="615" hidden="1" spans="1:6">
      <c r="A615" s="2" t="s">
        <v>754</v>
      </c>
      <c r="B615" s="3">
        <v>54</v>
      </c>
      <c r="C615">
        <v>3</v>
      </c>
      <c r="D615" t="s">
        <v>755</v>
      </c>
      <c r="E615">
        <v>2</v>
      </c>
      <c r="F615">
        <v>0</v>
      </c>
    </row>
    <row r="616" hidden="1" spans="1:6">
      <c r="A616" s="2" t="s">
        <v>756</v>
      </c>
      <c r="B616" s="3">
        <v>54</v>
      </c>
      <c r="C616">
        <v>3</v>
      </c>
      <c r="D616" t="s">
        <v>44</v>
      </c>
      <c r="E616">
        <v>3.16666666666667</v>
      </c>
      <c r="F616">
        <v>0</v>
      </c>
    </row>
    <row r="617" hidden="1" spans="1:6">
      <c r="A617" s="2" t="s">
        <v>757</v>
      </c>
      <c r="B617" s="3">
        <v>54</v>
      </c>
      <c r="C617">
        <v>3</v>
      </c>
      <c r="D617" t="s">
        <v>758</v>
      </c>
      <c r="E617">
        <v>2.66666666666667</v>
      </c>
      <c r="F617">
        <v>0</v>
      </c>
    </row>
    <row r="618" hidden="1" spans="1:6">
      <c r="A618" s="2" t="s">
        <v>759</v>
      </c>
      <c r="B618" s="3">
        <v>54</v>
      </c>
      <c r="C618">
        <v>3</v>
      </c>
      <c r="D618" t="s">
        <v>86</v>
      </c>
      <c r="E618">
        <v>11.3333333333333</v>
      </c>
      <c r="F618">
        <v>0</v>
      </c>
    </row>
    <row r="619" hidden="1" spans="1:6">
      <c r="A619" s="2" t="s">
        <v>760</v>
      </c>
      <c r="B619" s="3">
        <v>54</v>
      </c>
      <c r="C619">
        <v>3</v>
      </c>
      <c r="D619" t="s">
        <v>761</v>
      </c>
      <c r="E619">
        <v>7</v>
      </c>
      <c r="F619">
        <v>0</v>
      </c>
    </row>
    <row r="620" hidden="1" spans="1:11">
      <c r="A620" s="4" t="s">
        <v>762</v>
      </c>
      <c r="B620" s="3">
        <v>54</v>
      </c>
      <c r="C620">
        <v>3</v>
      </c>
      <c r="D620" t="s">
        <v>92</v>
      </c>
      <c r="E620">
        <v>3.83333333333333</v>
      </c>
      <c r="F620">
        <v>0</v>
      </c>
      <c r="G620">
        <v>0</v>
      </c>
      <c r="H620">
        <v>2</v>
      </c>
      <c r="I620">
        <v>1028</v>
      </c>
      <c r="J620" t="s">
        <v>403</v>
      </c>
      <c r="K620">
        <v>1</v>
      </c>
    </row>
    <row r="621" hidden="1" spans="1:6">
      <c r="A621" s="4" t="s">
        <v>763</v>
      </c>
      <c r="B621" s="3">
        <v>54</v>
      </c>
      <c r="C621">
        <v>3</v>
      </c>
      <c r="D621" t="s">
        <v>109</v>
      </c>
      <c r="E621">
        <v>5.36666666666667</v>
      </c>
      <c r="F621">
        <v>0</v>
      </c>
    </row>
    <row r="622" hidden="1" spans="1:6">
      <c r="A622" s="4" t="s">
        <v>764</v>
      </c>
      <c r="B622" s="3">
        <v>54</v>
      </c>
      <c r="C622">
        <v>3</v>
      </c>
      <c r="D622" t="s">
        <v>97</v>
      </c>
      <c r="E622">
        <v>3.16666666666667</v>
      </c>
      <c r="F622">
        <v>0</v>
      </c>
    </row>
    <row r="623" hidden="1" spans="1:7">
      <c r="A623" s="65" t="s">
        <v>765</v>
      </c>
      <c r="B623" s="66" t="s">
        <v>174</v>
      </c>
      <c r="C623">
        <v>3</v>
      </c>
      <c r="D623" t="s">
        <v>36</v>
      </c>
      <c r="E623">
        <v>2</v>
      </c>
      <c r="F623">
        <v>0</v>
      </c>
      <c r="G623" s="4"/>
    </row>
    <row r="624" hidden="1" spans="1:7">
      <c r="A624" s="65" t="s">
        <v>766</v>
      </c>
      <c r="B624" s="66">
        <v>1106</v>
      </c>
      <c r="C624">
        <v>3</v>
      </c>
      <c r="D624" t="s">
        <v>36</v>
      </c>
      <c r="E624">
        <v>1.66666666666667</v>
      </c>
      <c r="F624">
        <v>0</v>
      </c>
      <c r="G624" s="4"/>
    </row>
    <row r="625" hidden="1" spans="1:7">
      <c r="A625" s="65" t="s">
        <v>767</v>
      </c>
      <c r="B625" s="66">
        <v>1107</v>
      </c>
      <c r="C625">
        <v>3</v>
      </c>
      <c r="D625" t="s">
        <v>36</v>
      </c>
      <c r="E625">
        <v>1.66666666666667</v>
      </c>
      <c r="F625">
        <v>0</v>
      </c>
      <c r="G625" s="4"/>
    </row>
    <row r="626" hidden="1" spans="1:7">
      <c r="A626" s="65" t="s">
        <v>768</v>
      </c>
      <c r="B626" s="66">
        <v>1108</v>
      </c>
      <c r="C626">
        <v>3</v>
      </c>
      <c r="D626" t="s">
        <v>36</v>
      </c>
      <c r="E626">
        <v>1.66666666666667</v>
      </c>
      <c r="F626">
        <v>0</v>
      </c>
      <c r="G626" s="4"/>
    </row>
    <row r="627" hidden="1" spans="1:7">
      <c r="A627" s="65" t="s">
        <v>769</v>
      </c>
      <c r="B627" s="66">
        <v>1110</v>
      </c>
      <c r="C627">
        <v>3</v>
      </c>
      <c r="D627" t="s">
        <v>36</v>
      </c>
      <c r="E627">
        <v>1.33333333333333</v>
      </c>
      <c r="F627">
        <v>0</v>
      </c>
      <c r="G627" s="4"/>
    </row>
    <row r="628" hidden="1" spans="1:7">
      <c r="A628" s="65" t="s">
        <v>770</v>
      </c>
      <c r="B628" s="66">
        <v>1111</v>
      </c>
      <c r="C628">
        <v>3</v>
      </c>
      <c r="D628" t="s">
        <v>36</v>
      </c>
      <c r="E628">
        <v>2</v>
      </c>
      <c r="F628">
        <v>0</v>
      </c>
      <c r="G628" s="4"/>
    </row>
    <row r="629" hidden="1" spans="1:7">
      <c r="A629" s="65" t="s">
        <v>771</v>
      </c>
      <c r="B629" s="66">
        <v>1112</v>
      </c>
      <c r="C629">
        <v>3</v>
      </c>
      <c r="D629" t="s">
        <v>36</v>
      </c>
      <c r="E629">
        <v>2.33333333333333</v>
      </c>
      <c r="F629">
        <v>0</v>
      </c>
      <c r="G629" s="4"/>
    </row>
    <row r="630" hidden="1" spans="1:7">
      <c r="A630" s="65" t="s">
        <v>772</v>
      </c>
      <c r="B630" s="66">
        <v>1118</v>
      </c>
      <c r="C630">
        <v>3</v>
      </c>
      <c r="D630" t="s">
        <v>36</v>
      </c>
      <c r="E630">
        <v>1.83333333333333</v>
      </c>
      <c r="F630">
        <v>0</v>
      </c>
      <c r="G630" s="4"/>
    </row>
    <row r="631" hidden="1" spans="1:7">
      <c r="A631" s="65" t="s">
        <v>773</v>
      </c>
      <c r="B631" s="66">
        <v>1114</v>
      </c>
      <c r="C631">
        <v>3</v>
      </c>
      <c r="D631" t="s">
        <v>36</v>
      </c>
      <c r="E631">
        <v>2.33333333333333</v>
      </c>
      <c r="F631">
        <v>0</v>
      </c>
      <c r="G631" s="4"/>
    </row>
    <row r="632" hidden="1" spans="1:7">
      <c r="A632" s="65" t="s">
        <v>774</v>
      </c>
      <c r="B632" s="66">
        <v>1115</v>
      </c>
      <c r="C632">
        <v>3</v>
      </c>
      <c r="D632" t="s">
        <v>36</v>
      </c>
      <c r="E632">
        <v>2.16666666666667</v>
      </c>
      <c r="F632">
        <v>0</v>
      </c>
      <c r="G632" s="4"/>
    </row>
    <row r="633" hidden="1" spans="1:7">
      <c r="A633" s="65" t="s">
        <v>775</v>
      </c>
      <c r="B633" s="66">
        <v>1116</v>
      </c>
      <c r="C633">
        <v>3</v>
      </c>
      <c r="D633" t="s">
        <v>36</v>
      </c>
      <c r="E633">
        <v>2.83333333333333</v>
      </c>
      <c r="F633">
        <v>0</v>
      </c>
      <c r="G633" s="4"/>
    </row>
    <row r="634" hidden="1" spans="1:7">
      <c r="A634" s="65" t="s">
        <v>776</v>
      </c>
      <c r="B634" s="66">
        <v>1117</v>
      </c>
      <c r="C634">
        <v>3</v>
      </c>
      <c r="D634" t="s">
        <v>36</v>
      </c>
      <c r="E634">
        <v>3.36666666666667</v>
      </c>
      <c r="F634">
        <v>0</v>
      </c>
      <c r="G634" s="4"/>
    </row>
    <row r="635" hidden="1" spans="1:7">
      <c r="A635" s="65" t="s">
        <v>777</v>
      </c>
      <c r="B635" s="66">
        <v>1113</v>
      </c>
      <c r="C635">
        <v>3</v>
      </c>
      <c r="D635" t="s">
        <v>36</v>
      </c>
      <c r="E635">
        <v>2.16666666666667</v>
      </c>
      <c r="F635">
        <v>0</v>
      </c>
      <c r="G635" s="4"/>
    </row>
    <row r="636" hidden="1" spans="1:7">
      <c r="A636" s="65" t="s">
        <v>778</v>
      </c>
      <c r="B636" s="66">
        <v>1119</v>
      </c>
      <c r="C636">
        <v>3</v>
      </c>
      <c r="D636" t="s">
        <v>36</v>
      </c>
      <c r="E636">
        <v>2.33333333333333</v>
      </c>
      <c r="F636">
        <v>0</v>
      </c>
      <c r="G636" s="4"/>
    </row>
    <row r="637" hidden="1" spans="1:11">
      <c r="A637" s="2" t="s">
        <v>779</v>
      </c>
      <c r="B637" s="3">
        <v>30002</v>
      </c>
      <c r="C637">
        <v>3</v>
      </c>
      <c r="D637" t="s">
        <v>780</v>
      </c>
      <c r="E637">
        <v>2.33333333333333</v>
      </c>
      <c r="F637">
        <v>0</v>
      </c>
      <c r="G637">
        <v>0</v>
      </c>
      <c r="H637">
        <v>2</v>
      </c>
      <c r="I637" s="56">
        <v>300039</v>
      </c>
      <c r="J637" t="s">
        <v>58</v>
      </c>
      <c r="K637">
        <v>1</v>
      </c>
    </row>
    <row r="638" hidden="1" spans="1:6">
      <c r="A638" s="2" t="s">
        <v>781</v>
      </c>
      <c r="B638" s="3">
        <v>30002</v>
      </c>
      <c r="C638">
        <v>3</v>
      </c>
      <c r="D638" t="s">
        <v>36</v>
      </c>
      <c r="E638">
        <v>2.83333333333333</v>
      </c>
      <c r="F638">
        <v>0</v>
      </c>
    </row>
    <row r="639" hidden="1" spans="1:6">
      <c r="A639" s="2" t="s">
        <v>782</v>
      </c>
      <c r="B639" s="3">
        <v>55</v>
      </c>
      <c r="C639">
        <v>3</v>
      </c>
      <c r="D639" t="s">
        <v>36</v>
      </c>
      <c r="E639">
        <v>3.33333333333333</v>
      </c>
      <c r="F639">
        <v>0</v>
      </c>
    </row>
    <row r="640" hidden="1" spans="1:6">
      <c r="A640" s="2" t="s">
        <v>783</v>
      </c>
      <c r="B640" s="3">
        <v>55</v>
      </c>
      <c r="C640">
        <v>3</v>
      </c>
      <c r="D640" t="s">
        <v>38</v>
      </c>
      <c r="E640">
        <v>3</v>
      </c>
      <c r="F640">
        <v>0</v>
      </c>
    </row>
    <row r="641" hidden="1" spans="1:6">
      <c r="A641" s="2" t="s">
        <v>784</v>
      </c>
      <c r="B641" s="3">
        <v>55</v>
      </c>
      <c r="C641">
        <v>3</v>
      </c>
      <c r="D641" t="s">
        <v>40</v>
      </c>
      <c r="E641">
        <v>2</v>
      </c>
      <c r="F641">
        <v>0</v>
      </c>
    </row>
    <row r="642" hidden="1" spans="1:6">
      <c r="A642" s="2" t="s">
        <v>785</v>
      </c>
      <c r="B642" s="3">
        <v>55</v>
      </c>
      <c r="C642">
        <v>3</v>
      </c>
      <c r="D642" t="s">
        <v>42</v>
      </c>
      <c r="E642">
        <v>9.5</v>
      </c>
      <c r="F642">
        <v>0</v>
      </c>
    </row>
    <row r="643" hidden="1" spans="1:6">
      <c r="A643" s="2" t="s">
        <v>786</v>
      </c>
      <c r="B643" s="3">
        <v>55</v>
      </c>
      <c r="C643">
        <v>3</v>
      </c>
      <c r="D643" t="s">
        <v>44</v>
      </c>
      <c r="E643">
        <v>2.66666666666667</v>
      </c>
      <c r="F643">
        <v>0</v>
      </c>
    </row>
    <row r="644" hidden="1" spans="1:6">
      <c r="A644" s="2" t="s">
        <v>787</v>
      </c>
      <c r="B644" s="3">
        <v>55</v>
      </c>
      <c r="C644">
        <v>3</v>
      </c>
      <c r="D644" t="s">
        <v>46</v>
      </c>
      <c r="E644">
        <v>2.33333333333333</v>
      </c>
      <c r="F644">
        <v>0</v>
      </c>
    </row>
    <row r="645" hidden="1" spans="1:6">
      <c r="A645" s="2" t="s">
        <v>788</v>
      </c>
      <c r="B645" s="3">
        <v>55</v>
      </c>
      <c r="C645">
        <v>3</v>
      </c>
      <c r="D645" t="s">
        <v>86</v>
      </c>
      <c r="E645">
        <v>4.66666666666667</v>
      </c>
      <c r="F645">
        <v>0</v>
      </c>
    </row>
    <row r="646" hidden="1" spans="1:6">
      <c r="A646" s="2" t="s">
        <v>789</v>
      </c>
      <c r="B646" s="3">
        <v>55</v>
      </c>
      <c r="C646">
        <v>3</v>
      </c>
      <c r="D646" t="s">
        <v>50</v>
      </c>
      <c r="E646">
        <v>7.33333333333333</v>
      </c>
      <c r="F646">
        <v>0</v>
      </c>
    </row>
    <row r="647" hidden="1" spans="1:6">
      <c r="A647" s="2" t="s">
        <v>790</v>
      </c>
      <c r="B647" s="3">
        <v>55</v>
      </c>
      <c r="C647">
        <v>3</v>
      </c>
      <c r="D647" t="s">
        <v>90</v>
      </c>
      <c r="E647">
        <v>1.33333333333333</v>
      </c>
      <c r="F647">
        <v>0</v>
      </c>
    </row>
    <row r="648" hidden="1" spans="1:6">
      <c r="A648" s="2" t="s">
        <v>791</v>
      </c>
      <c r="B648" s="3">
        <v>55</v>
      </c>
      <c r="C648">
        <v>3</v>
      </c>
      <c r="D648" t="s">
        <v>48</v>
      </c>
      <c r="E648">
        <v>7.5</v>
      </c>
      <c r="F648">
        <v>0</v>
      </c>
    </row>
    <row r="649" hidden="1" spans="1:6">
      <c r="A649" s="2" t="s">
        <v>792</v>
      </c>
      <c r="B649" s="3">
        <v>55</v>
      </c>
      <c r="C649">
        <v>3</v>
      </c>
      <c r="D649" t="s">
        <v>52</v>
      </c>
      <c r="E649">
        <v>2.66666666666667</v>
      </c>
      <c r="F649">
        <v>0</v>
      </c>
    </row>
    <row r="650" hidden="1" spans="1:11">
      <c r="A650" s="2" t="s">
        <v>793</v>
      </c>
      <c r="B650" s="3">
        <v>55</v>
      </c>
      <c r="C650">
        <v>3</v>
      </c>
      <c r="D650" t="s">
        <v>92</v>
      </c>
      <c r="E650">
        <v>4</v>
      </c>
      <c r="F650">
        <v>0</v>
      </c>
      <c r="G650">
        <v>0</v>
      </c>
      <c r="H650">
        <v>2</v>
      </c>
      <c r="I650" s="56">
        <v>1151</v>
      </c>
      <c r="J650" t="s">
        <v>58</v>
      </c>
      <c r="K650">
        <v>1</v>
      </c>
    </row>
    <row r="651" hidden="1" spans="1:6">
      <c r="A651" s="67" t="s">
        <v>794</v>
      </c>
      <c r="B651" s="3">
        <v>55</v>
      </c>
      <c r="C651">
        <v>3</v>
      </c>
      <c r="D651" t="s">
        <v>795</v>
      </c>
      <c r="E651">
        <f>38/30</f>
        <v>1.26666666666667</v>
      </c>
      <c r="F651">
        <v>0</v>
      </c>
    </row>
    <row r="652" hidden="1" spans="1:6">
      <c r="A652" s="68" t="s">
        <v>796</v>
      </c>
      <c r="B652" s="3">
        <v>1086</v>
      </c>
      <c r="C652">
        <v>3</v>
      </c>
      <c r="D652" t="s">
        <v>36</v>
      </c>
      <c r="E652">
        <v>2.16666666666667</v>
      </c>
      <c r="F652">
        <v>0</v>
      </c>
    </row>
    <row r="653" hidden="1" spans="1:6">
      <c r="A653" s="68" t="s">
        <v>797</v>
      </c>
      <c r="B653" s="3">
        <v>1086</v>
      </c>
      <c r="C653">
        <v>3</v>
      </c>
      <c r="D653" t="s">
        <v>38</v>
      </c>
      <c r="E653">
        <v>2</v>
      </c>
      <c r="F653">
        <v>0</v>
      </c>
    </row>
    <row r="654" hidden="1" spans="1:6">
      <c r="A654" s="2" t="s">
        <v>798</v>
      </c>
      <c r="B654" s="3">
        <v>56</v>
      </c>
      <c r="C654">
        <v>3</v>
      </c>
      <c r="D654" t="s">
        <v>36</v>
      </c>
      <c r="E654">
        <v>2.4</v>
      </c>
      <c r="F654">
        <v>0</v>
      </c>
    </row>
    <row r="655" hidden="1" spans="1:6">
      <c r="A655" s="2" t="s">
        <v>799</v>
      </c>
      <c r="B655" s="3">
        <v>56</v>
      </c>
      <c r="C655">
        <v>3</v>
      </c>
      <c r="D655" t="s">
        <v>38</v>
      </c>
      <c r="E655">
        <v>2.5</v>
      </c>
      <c r="F655">
        <v>0</v>
      </c>
    </row>
    <row r="656" hidden="1" spans="1:6">
      <c r="A656" s="2" t="s">
        <v>800</v>
      </c>
      <c r="B656" s="3">
        <v>56</v>
      </c>
      <c r="C656">
        <v>3</v>
      </c>
      <c r="D656" t="s">
        <v>40</v>
      </c>
      <c r="E656">
        <v>3.16666666666667</v>
      </c>
      <c r="F656">
        <v>0</v>
      </c>
    </row>
    <row r="657" hidden="1" spans="1:6">
      <c r="A657" s="2" t="s">
        <v>801</v>
      </c>
      <c r="B657" s="3">
        <v>56</v>
      </c>
      <c r="C657">
        <v>3</v>
      </c>
      <c r="D657" t="s">
        <v>42</v>
      </c>
      <c r="E657">
        <v>6.66666666666667</v>
      </c>
      <c r="F657">
        <v>0</v>
      </c>
    </row>
    <row r="658" hidden="1" spans="1:6">
      <c r="A658" s="2" t="s">
        <v>802</v>
      </c>
      <c r="B658" s="3">
        <v>56</v>
      </c>
      <c r="C658">
        <v>3</v>
      </c>
      <c r="D658" t="s">
        <v>44</v>
      </c>
      <c r="E658">
        <v>5.33333333333333</v>
      </c>
      <c r="F658">
        <v>0</v>
      </c>
    </row>
    <row r="659" hidden="1" spans="1:6">
      <c r="A659" s="2" t="s">
        <v>803</v>
      </c>
      <c r="B659" s="3">
        <v>56</v>
      </c>
      <c r="C659">
        <v>3</v>
      </c>
      <c r="D659" t="s">
        <v>46</v>
      </c>
      <c r="E659">
        <v>2.83333333333333</v>
      </c>
      <c r="F659">
        <v>0</v>
      </c>
    </row>
    <row r="660" hidden="1" spans="1:6">
      <c r="A660" s="2" t="s">
        <v>804</v>
      </c>
      <c r="B660" s="3">
        <v>56</v>
      </c>
      <c r="C660">
        <v>3</v>
      </c>
      <c r="D660" t="s">
        <v>86</v>
      </c>
      <c r="E660">
        <v>11.4</v>
      </c>
      <c r="F660">
        <v>0</v>
      </c>
    </row>
    <row r="661" hidden="1" spans="1:6">
      <c r="A661" s="2" t="s">
        <v>805</v>
      </c>
      <c r="B661" s="3">
        <v>56</v>
      </c>
      <c r="C661">
        <v>3</v>
      </c>
      <c r="D661" t="s">
        <v>50</v>
      </c>
      <c r="E661">
        <v>9</v>
      </c>
      <c r="F661">
        <v>0</v>
      </c>
    </row>
    <row r="662" hidden="1" spans="1:11">
      <c r="A662" s="2" t="s">
        <v>806</v>
      </c>
      <c r="B662" s="3">
        <v>56</v>
      </c>
      <c r="C662">
        <v>3</v>
      </c>
      <c r="D662" t="s">
        <v>807</v>
      </c>
      <c r="E662">
        <v>4.66666666666667</v>
      </c>
      <c r="F662">
        <v>0</v>
      </c>
      <c r="G662">
        <v>0</v>
      </c>
      <c r="H662">
        <v>2</v>
      </c>
      <c r="I662">
        <v>1155</v>
      </c>
      <c r="J662" t="s">
        <v>58</v>
      </c>
      <c r="K662">
        <v>1</v>
      </c>
    </row>
    <row r="663" s="10" customFormat="1" hidden="1" spans="1:6">
      <c r="A663" s="69" t="s">
        <v>808</v>
      </c>
      <c r="B663" s="10">
        <v>400101</v>
      </c>
      <c r="C663" s="10">
        <v>3</v>
      </c>
      <c r="D663" s="10" t="s">
        <v>36</v>
      </c>
      <c r="E663" s="10">
        <v>3.4</v>
      </c>
      <c r="F663" s="10">
        <v>0</v>
      </c>
    </row>
    <row r="664" s="10" customFormat="1" hidden="1" spans="1:6">
      <c r="A664" s="69" t="s">
        <v>809</v>
      </c>
      <c r="B664" s="10">
        <v>400101</v>
      </c>
      <c r="C664" s="10">
        <v>3</v>
      </c>
      <c r="D664" s="10" t="s">
        <v>38</v>
      </c>
      <c r="E664" s="10">
        <v>3.16666666666667</v>
      </c>
      <c r="F664" s="10">
        <v>0</v>
      </c>
    </row>
    <row r="665" s="10" customFormat="1" hidden="1" spans="1:6">
      <c r="A665" s="69" t="s">
        <v>810</v>
      </c>
      <c r="B665" s="10">
        <v>400101</v>
      </c>
      <c r="C665" s="10">
        <v>3</v>
      </c>
      <c r="D665" s="10" t="s">
        <v>40</v>
      </c>
      <c r="E665" s="10">
        <v>4.33333333333333</v>
      </c>
      <c r="F665" s="10">
        <v>0</v>
      </c>
    </row>
    <row r="666" s="10" customFormat="1" hidden="1" spans="1:6">
      <c r="A666" s="69" t="s">
        <v>811</v>
      </c>
      <c r="B666" s="10">
        <v>400101</v>
      </c>
      <c r="C666" s="10">
        <v>3</v>
      </c>
      <c r="D666" s="10" t="s">
        <v>42</v>
      </c>
      <c r="E666" s="10">
        <v>5.66666666666667</v>
      </c>
      <c r="F666" s="10">
        <v>0</v>
      </c>
    </row>
    <row r="667" s="10" customFormat="1" hidden="1" spans="1:6">
      <c r="A667" s="69" t="s">
        <v>812</v>
      </c>
      <c r="B667" s="10">
        <v>400101</v>
      </c>
      <c r="C667" s="10">
        <v>3</v>
      </c>
      <c r="D667" s="10" t="s">
        <v>44</v>
      </c>
      <c r="E667" s="10">
        <v>11.3333333333333</v>
      </c>
      <c r="F667" s="10">
        <v>0</v>
      </c>
    </row>
    <row r="668" s="10" customFormat="1" hidden="1" spans="1:6">
      <c r="A668" s="69" t="s">
        <v>813</v>
      </c>
      <c r="B668" s="10">
        <v>400101</v>
      </c>
      <c r="C668" s="10">
        <v>3</v>
      </c>
      <c r="D668" s="10" t="s">
        <v>46</v>
      </c>
      <c r="E668" s="10">
        <v>2.33333333333333</v>
      </c>
      <c r="F668" s="10">
        <v>0</v>
      </c>
    </row>
    <row r="669" s="10" customFormat="1" hidden="1" spans="1:6">
      <c r="A669" s="69" t="s">
        <v>814</v>
      </c>
      <c r="B669" s="10">
        <v>400101</v>
      </c>
      <c r="C669" s="10">
        <v>3</v>
      </c>
      <c r="D669" s="10" t="s">
        <v>48</v>
      </c>
      <c r="E669" s="10">
        <v>7</v>
      </c>
      <c r="F669" s="10">
        <v>0</v>
      </c>
    </row>
    <row r="670" s="10" customFormat="1" hidden="1" spans="1:6">
      <c r="A670" s="69" t="s">
        <v>815</v>
      </c>
      <c r="B670" s="10">
        <v>400101</v>
      </c>
      <c r="C670" s="10">
        <v>3</v>
      </c>
      <c r="D670" s="10" t="s">
        <v>50</v>
      </c>
      <c r="E670" s="10">
        <v>2.33333333333333</v>
      </c>
      <c r="F670" s="10">
        <v>0</v>
      </c>
    </row>
    <row r="671" s="10" customFormat="1" hidden="1" spans="1:10">
      <c r="A671" s="70" t="s">
        <v>816</v>
      </c>
      <c r="B671" s="10">
        <v>400101</v>
      </c>
      <c r="C671" s="10">
        <v>3</v>
      </c>
      <c r="D671" s="10" t="s">
        <v>52</v>
      </c>
      <c r="E671" s="10">
        <v>6</v>
      </c>
      <c r="F671" s="10">
        <v>0</v>
      </c>
      <c r="J671" s="11"/>
    </row>
    <row r="672" s="10" customFormat="1" hidden="1" spans="1:13">
      <c r="A672" s="69" t="s">
        <v>817</v>
      </c>
      <c r="B672" s="10">
        <v>400101</v>
      </c>
      <c r="C672" s="10">
        <v>3</v>
      </c>
      <c r="D672" s="10" t="s">
        <v>54</v>
      </c>
      <c r="E672" s="10">
        <f>250/30</f>
        <v>8.33333333333333</v>
      </c>
      <c r="F672" s="10">
        <v>0</v>
      </c>
      <c r="G672" s="10">
        <v>0</v>
      </c>
      <c r="H672" s="10">
        <v>2</v>
      </c>
      <c r="I672" s="10">
        <v>848</v>
      </c>
      <c r="J672" s="10" t="s">
        <v>55</v>
      </c>
      <c r="K672" s="10">
        <v>1</v>
      </c>
      <c r="M672" s="11"/>
    </row>
    <row r="673" s="10" customFormat="1" hidden="1" spans="1:13">
      <c r="A673" s="69" t="s">
        <v>818</v>
      </c>
      <c r="B673" s="10">
        <v>400101</v>
      </c>
      <c r="C673" s="10">
        <v>3</v>
      </c>
      <c r="D673" s="10" t="s">
        <v>57</v>
      </c>
      <c r="E673" s="10">
        <v>1.83333333333333</v>
      </c>
      <c r="F673" s="10">
        <v>0</v>
      </c>
      <c r="G673" s="10">
        <v>0</v>
      </c>
      <c r="H673" s="10">
        <v>2</v>
      </c>
      <c r="I673" s="10">
        <v>896</v>
      </c>
      <c r="J673" s="11" t="s">
        <v>58</v>
      </c>
      <c r="K673" s="10">
        <v>1</v>
      </c>
      <c r="M673" s="11"/>
    </row>
    <row r="674" s="10" customFormat="1" hidden="1" spans="1:13">
      <c r="A674" s="69" t="s">
        <v>819</v>
      </c>
      <c r="B674" s="10">
        <v>400101</v>
      </c>
      <c r="C674" s="10">
        <v>3</v>
      </c>
      <c r="D674" s="10" t="s">
        <v>60</v>
      </c>
      <c r="E674" s="10">
        <v>5</v>
      </c>
      <c r="F674" s="10">
        <v>0</v>
      </c>
      <c r="G674" s="10" t="s">
        <v>61</v>
      </c>
      <c r="H674" s="10" t="s">
        <v>62</v>
      </c>
      <c r="I674" s="10" t="s">
        <v>63</v>
      </c>
      <c r="J674" s="11" t="s">
        <v>64</v>
      </c>
      <c r="K674" s="10" t="s">
        <v>61</v>
      </c>
      <c r="M674" s="11"/>
    </row>
    <row r="675" hidden="1" spans="1:7">
      <c r="A675" s="69" t="s">
        <v>820</v>
      </c>
      <c r="B675" s="10">
        <v>400101</v>
      </c>
      <c r="C675" s="10">
        <v>1</v>
      </c>
      <c r="D675" s="52" t="s">
        <v>300</v>
      </c>
      <c r="F675" s="11">
        <v>1</v>
      </c>
      <c r="G675" s="11"/>
    </row>
    <row r="676" hidden="1" spans="1:6">
      <c r="A676" s="71" t="s">
        <v>821</v>
      </c>
      <c r="B676" s="3">
        <v>403501</v>
      </c>
      <c r="C676">
        <v>2</v>
      </c>
      <c r="D676" t="s">
        <v>36</v>
      </c>
      <c r="E676">
        <v>1.6</v>
      </c>
      <c r="F676">
        <v>0</v>
      </c>
    </row>
    <row r="677" hidden="1" spans="1:12">
      <c r="A677" s="71" t="s">
        <v>822</v>
      </c>
      <c r="B677" s="3">
        <v>403501</v>
      </c>
      <c r="C677">
        <v>2</v>
      </c>
      <c r="D677" t="s">
        <v>38</v>
      </c>
      <c r="E677">
        <v>1.33333333333333</v>
      </c>
      <c r="F677">
        <v>0</v>
      </c>
      <c r="G677">
        <v>0</v>
      </c>
      <c r="L677" s="4" t="s">
        <v>823</v>
      </c>
    </row>
    <row r="678" hidden="1" spans="1:6">
      <c r="A678" s="71" t="s">
        <v>824</v>
      </c>
      <c r="B678" s="3">
        <v>403501</v>
      </c>
      <c r="C678">
        <v>2</v>
      </c>
      <c r="D678" t="s">
        <v>40</v>
      </c>
      <c r="E678">
        <v>1.5</v>
      </c>
      <c r="F678">
        <v>0</v>
      </c>
    </row>
    <row r="679" hidden="1" spans="1:6">
      <c r="A679" s="71" t="s">
        <v>825</v>
      </c>
      <c r="B679" s="3">
        <v>403501</v>
      </c>
      <c r="C679">
        <v>2</v>
      </c>
      <c r="D679" t="s">
        <v>42</v>
      </c>
      <c r="E679">
        <v>1.83333333333333</v>
      </c>
      <c r="F679">
        <v>0</v>
      </c>
    </row>
    <row r="680" hidden="1" spans="1:6">
      <c r="A680" s="71" t="s">
        <v>826</v>
      </c>
      <c r="B680" s="3">
        <v>403501</v>
      </c>
      <c r="C680">
        <v>2</v>
      </c>
      <c r="D680" t="s">
        <v>44</v>
      </c>
      <c r="E680">
        <v>3.83333333333333</v>
      </c>
      <c r="F680">
        <v>0</v>
      </c>
    </row>
    <row r="681" hidden="1" spans="1:6">
      <c r="A681" s="71" t="s">
        <v>827</v>
      </c>
      <c r="B681" s="3">
        <v>403501</v>
      </c>
      <c r="C681">
        <v>2</v>
      </c>
      <c r="D681" t="s">
        <v>46</v>
      </c>
      <c r="E681">
        <v>1.83333333333333</v>
      </c>
      <c r="F681">
        <v>0</v>
      </c>
    </row>
    <row r="682" hidden="1" spans="1:6">
      <c r="A682" s="71" t="s">
        <v>828</v>
      </c>
      <c r="B682" s="3">
        <v>403501</v>
      </c>
      <c r="C682">
        <v>2</v>
      </c>
      <c r="D682" t="s">
        <v>86</v>
      </c>
      <c r="E682">
        <v>3.16666666666667</v>
      </c>
      <c r="F682">
        <v>0</v>
      </c>
    </row>
    <row r="683" hidden="1" spans="1:6">
      <c r="A683" s="71" t="s">
        <v>829</v>
      </c>
      <c r="B683" s="3">
        <v>403501</v>
      </c>
      <c r="C683">
        <v>2</v>
      </c>
      <c r="D683" t="s">
        <v>50</v>
      </c>
      <c r="E683">
        <v>6.2</v>
      </c>
      <c r="F683">
        <v>0</v>
      </c>
    </row>
    <row r="684" hidden="1" spans="1:6">
      <c r="A684" s="71" t="s">
        <v>830</v>
      </c>
      <c r="B684" s="3">
        <v>403501</v>
      </c>
      <c r="C684">
        <v>2</v>
      </c>
      <c r="D684" t="s">
        <v>90</v>
      </c>
      <c r="E684">
        <f>316/30</f>
        <v>10.5333333333333</v>
      </c>
      <c r="F684">
        <v>0</v>
      </c>
    </row>
    <row r="685" hidden="1" spans="1:6">
      <c r="A685" s="71" t="s">
        <v>831</v>
      </c>
      <c r="B685" s="3">
        <v>403501</v>
      </c>
      <c r="C685">
        <v>2</v>
      </c>
      <c r="D685" t="s">
        <v>48</v>
      </c>
      <c r="E685">
        <f>115/30</f>
        <v>3.83333333333333</v>
      </c>
      <c r="F685">
        <v>0</v>
      </c>
    </row>
    <row r="686" hidden="1" spans="1:6">
      <c r="A686" s="71" t="s">
        <v>832</v>
      </c>
      <c r="B686" s="3">
        <v>403501</v>
      </c>
      <c r="C686">
        <v>2</v>
      </c>
      <c r="D686" t="s">
        <v>261</v>
      </c>
      <c r="E686">
        <f>26/30</f>
        <v>0.866666666666667</v>
      </c>
      <c r="F686">
        <v>1</v>
      </c>
    </row>
    <row r="687" hidden="1" spans="1:11">
      <c r="A687" s="71" t="s">
        <v>833</v>
      </c>
      <c r="B687" s="3">
        <v>403501</v>
      </c>
      <c r="C687">
        <v>2</v>
      </c>
      <c r="D687" t="s">
        <v>380</v>
      </c>
      <c r="E687">
        <f>85/30</f>
        <v>2.83333333333333</v>
      </c>
      <c r="F687">
        <v>0</v>
      </c>
      <c r="G687" t="s">
        <v>61</v>
      </c>
      <c r="H687" t="s">
        <v>381</v>
      </c>
      <c r="I687" t="s">
        <v>382</v>
      </c>
      <c r="J687" t="s">
        <v>383</v>
      </c>
      <c r="K687" t="s">
        <v>61</v>
      </c>
    </row>
    <row r="688" hidden="1" spans="1:11">
      <c r="A688" s="71" t="s">
        <v>834</v>
      </c>
      <c r="B688" s="3">
        <v>403501</v>
      </c>
      <c r="C688">
        <v>2</v>
      </c>
      <c r="D688" t="s">
        <v>385</v>
      </c>
      <c r="E688">
        <f>111/30</f>
        <v>3.7</v>
      </c>
      <c r="F688">
        <v>0</v>
      </c>
      <c r="G688">
        <v>0</v>
      </c>
      <c r="H688">
        <v>2</v>
      </c>
      <c r="I688">
        <v>867</v>
      </c>
      <c r="J688" t="s">
        <v>58</v>
      </c>
      <c r="K688">
        <v>1</v>
      </c>
    </row>
    <row r="689" hidden="1" spans="1:11">
      <c r="A689" s="71" t="s">
        <v>835</v>
      </c>
      <c r="B689" s="3">
        <v>403501</v>
      </c>
      <c r="C689">
        <v>2</v>
      </c>
      <c r="D689" t="s">
        <v>92</v>
      </c>
      <c r="E689">
        <v>3.66666666666667</v>
      </c>
      <c r="F689">
        <v>0</v>
      </c>
      <c r="G689">
        <v>0</v>
      </c>
      <c r="H689">
        <v>2</v>
      </c>
      <c r="I689">
        <v>884</v>
      </c>
      <c r="J689" s="56" t="s">
        <v>387</v>
      </c>
      <c r="K689">
        <v>1</v>
      </c>
    </row>
    <row r="690" hidden="1" spans="1:10">
      <c r="A690" s="71" t="s">
        <v>836</v>
      </c>
      <c r="B690" s="3">
        <v>403501</v>
      </c>
      <c r="C690">
        <v>2</v>
      </c>
      <c r="D690" t="s">
        <v>57</v>
      </c>
      <c r="E690">
        <v>2.66666666666667</v>
      </c>
      <c r="F690">
        <v>0</v>
      </c>
      <c r="J690" s="56"/>
    </row>
    <row r="691" hidden="1" spans="1:6">
      <c r="A691" s="71" t="s">
        <v>837</v>
      </c>
      <c r="B691" s="3">
        <v>403501</v>
      </c>
      <c r="C691">
        <v>2</v>
      </c>
      <c r="D691" t="s">
        <v>272</v>
      </c>
      <c r="E691">
        <v>1</v>
      </c>
      <c r="F691">
        <v>0</v>
      </c>
    </row>
    <row r="692" hidden="1" spans="1:11">
      <c r="A692" s="71" t="s">
        <v>838</v>
      </c>
      <c r="B692" s="3">
        <v>403501</v>
      </c>
      <c r="C692">
        <v>2</v>
      </c>
      <c r="D692" t="s">
        <v>60</v>
      </c>
      <c r="E692">
        <v>4</v>
      </c>
      <c r="F692">
        <v>0</v>
      </c>
      <c r="G692" t="s">
        <v>61</v>
      </c>
      <c r="H692" t="s">
        <v>62</v>
      </c>
      <c r="I692" t="s">
        <v>391</v>
      </c>
      <c r="J692" s="56" t="s">
        <v>240</v>
      </c>
      <c r="K692" t="s">
        <v>95</v>
      </c>
    </row>
    <row r="693" hidden="1" spans="1:6">
      <c r="A693" s="71" t="s">
        <v>839</v>
      </c>
      <c r="B693" s="3">
        <v>405601</v>
      </c>
      <c r="C693">
        <v>3</v>
      </c>
      <c r="D693" t="s">
        <v>36</v>
      </c>
      <c r="E693">
        <v>2.4</v>
      </c>
      <c r="F693">
        <v>0</v>
      </c>
    </row>
    <row r="694" hidden="1" spans="1:6">
      <c r="A694" s="71" t="s">
        <v>840</v>
      </c>
      <c r="B694" s="3">
        <v>405601</v>
      </c>
      <c r="C694">
        <v>3</v>
      </c>
      <c r="D694" t="s">
        <v>38</v>
      </c>
      <c r="E694">
        <v>2.5</v>
      </c>
      <c r="F694">
        <v>0</v>
      </c>
    </row>
    <row r="695" hidden="1" spans="1:6">
      <c r="A695" s="71" t="s">
        <v>841</v>
      </c>
      <c r="B695" s="3">
        <v>405601</v>
      </c>
      <c r="C695">
        <v>3</v>
      </c>
      <c r="D695" t="s">
        <v>40</v>
      </c>
      <c r="E695">
        <v>3.16666666666667</v>
      </c>
      <c r="F695">
        <v>0</v>
      </c>
    </row>
    <row r="696" hidden="1" spans="1:6">
      <c r="A696" s="71" t="s">
        <v>842</v>
      </c>
      <c r="B696" s="3">
        <v>405601</v>
      </c>
      <c r="C696">
        <v>3</v>
      </c>
      <c r="D696" t="s">
        <v>42</v>
      </c>
      <c r="E696">
        <v>6.66666666666667</v>
      </c>
      <c r="F696">
        <v>0</v>
      </c>
    </row>
    <row r="697" hidden="1" spans="1:6">
      <c r="A697" s="71" t="s">
        <v>843</v>
      </c>
      <c r="B697" s="3">
        <v>405601</v>
      </c>
      <c r="C697">
        <v>3</v>
      </c>
      <c r="D697" t="s">
        <v>44</v>
      </c>
      <c r="E697">
        <v>5.33333333333333</v>
      </c>
      <c r="F697">
        <v>0</v>
      </c>
    </row>
    <row r="698" hidden="1" spans="1:6">
      <c r="A698" s="71" t="s">
        <v>844</v>
      </c>
      <c r="B698" s="3">
        <v>405601</v>
      </c>
      <c r="C698">
        <v>3</v>
      </c>
      <c r="D698" t="s">
        <v>46</v>
      </c>
      <c r="E698">
        <v>2.83333333333333</v>
      </c>
      <c r="F698">
        <v>0</v>
      </c>
    </row>
    <row r="699" hidden="1" spans="1:6">
      <c r="A699" s="71" t="s">
        <v>845</v>
      </c>
      <c r="B699" s="3">
        <v>405601</v>
      </c>
      <c r="C699">
        <v>3</v>
      </c>
      <c r="D699" t="s">
        <v>86</v>
      </c>
      <c r="E699">
        <v>11.4</v>
      </c>
      <c r="F699">
        <v>0</v>
      </c>
    </row>
    <row r="700" hidden="1" spans="1:6">
      <c r="A700" s="71" t="s">
        <v>846</v>
      </c>
      <c r="B700" s="3">
        <v>405601</v>
      </c>
      <c r="C700">
        <v>3</v>
      </c>
      <c r="D700" t="s">
        <v>50</v>
      </c>
      <c r="E700">
        <v>9</v>
      </c>
      <c r="F700">
        <v>0</v>
      </c>
    </row>
    <row r="701" hidden="1" spans="1:11">
      <c r="A701" s="71" t="s">
        <v>847</v>
      </c>
      <c r="B701" s="3">
        <v>405601</v>
      </c>
      <c r="C701">
        <v>3</v>
      </c>
      <c r="D701" t="s">
        <v>807</v>
      </c>
      <c r="E701">
        <v>4.66666666666667</v>
      </c>
      <c r="F701">
        <v>0</v>
      </c>
      <c r="G701">
        <v>0</v>
      </c>
      <c r="H701">
        <v>2</v>
      </c>
      <c r="I701">
        <v>1155</v>
      </c>
      <c r="J701" t="s">
        <v>58</v>
      </c>
      <c r="K701">
        <v>1</v>
      </c>
    </row>
    <row r="702" hidden="1" spans="1:6">
      <c r="A702" s="2" t="s">
        <v>848</v>
      </c>
      <c r="B702" s="3">
        <v>57</v>
      </c>
      <c r="C702">
        <v>2</v>
      </c>
      <c r="D702" t="s">
        <v>36</v>
      </c>
      <c r="E702">
        <v>2.66666666666667</v>
      </c>
      <c r="F702">
        <v>0</v>
      </c>
    </row>
    <row r="703" hidden="1" spans="1:6">
      <c r="A703" s="2" t="s">
        <v>849</v>
      </c>
      <c r="B703" s="3">
        <v>57</v>
      </c>
      <c r="C703">
        <v>2</v>
      </c>
      <c r="D703" t="s">
        <v>38</v>
      </c>
      <c r="E703">
        <v>2.83333333333333</v>
      </c>
      <c r="F703">
        <v>0</v>
      </c>
    </row>
    <row r="704" hidden="1" spans="1:6">
      <c r="A704" s="2" t="s">
        <v>850</v>
      </c>
      <c r="B704" s="3">
        <v>57</v>
      </c>
      <c r="C704">
        <v>2</v>
      </c>
      <c r="D704" t="s">
        <v>40</v>
      </c>
      <c r="E704">
        <v>10.3333333333333</v>
      </c>
      <c r="F704">
        <v>0</v>
      </c>
    </row>
    <row r="705" hidden="1" spans="1:6">
      <c r="A705" s="2" t="s">
        <v>851</v>
      </c>
      <c r="B705" s="3">
        <v>57</v>
      </c>
      <c r="C705">
        <v>2</v>
      </c>
      <c r="D705" t="s">
        <v>42</v>
      </c>
      <c r="E705">
        <v>3</v>
      </c>
      <c r="F705">
        <v>0</v>
      </c>
    </row>
    <row r="706" hidden="1" spans="1:6">
      <c r="A706" s="2" t="s">
        <v>852</v>
      </c>
      <c r="B706" s="3">
        <v>57</v>
      </c>
      <c r="C706">
        <v>2</v>
      </c>
      <c r="D706" t="s">
        <v>44</v>
      </c>
      <c r="E706">
        <v>2.33333333333333</v>
      </c>
      <c r="F706">
        <v>0</v>
      </c>
    </row>
    <row r="707" hidden="1" spans="1:6">
      <c r="A707" s="2" t="s">
        <v>853</v>
      </c>
      <c r="B707" s="3">
        <v>57</v>
      </c>
      <c r="C707">
        <v>2</v>
      </c>
      <c r="D707" t="s">
        <v>46</v>
      </c>
      <c r="E707">
        <v>1.83333333333333</v>
      </c>
      <c r="F707">
        <v>0</v>
      </c>
    </row>
    <row r="708" hidden="1" spans="1:6">
      <c r="A708" s="2" t="s">
        <v>854</v>
      </c>
      <c r="B708" s="3">
        <v>57</v>
      </c>
      <c r="C708">
        <v>2</v>
      </c>
      <c r="D708" t="s">
        <v>86</v>
      </c>
      <c r="E708">
        <v>8</v>
      </c>
      <c r="F708">
        <v>0</v>
      </c>
    </row>
    <row r="709" hidden="1" spans="1:6">
      <c r="A709" s="2" t="s">
        <v>855</v>
      </c>
      <c r="B709" s="3">
        <v>57</v>
      </c>
      <c r="C709">
        <v>2</v>
      </c>
      <c r="D709" t="s">
        <v>50</v>
      </c>
      <c r="E709">
        <v>7.33333333333333</v>
      </c>
      <c r="F709">
        <v>0</v>
      </c>
    </row>
    <row r="710" hidden="1" spans="1:6">
      <c r="A710" s="2" t="s">
        <v>856</v>
      </c>
      <c r="B710" s="3">
        <v>57</v>
      </c>
      <c r="C710">
        <v>2</v>
      </c>
      <c r="D710" t="s">
        <v>90</v>
      </c>
      <c r="E710">
        <v>10.3333333333333</v>
      </c>
      <c r="F710">
        <v>0</v>
      </c>
    </row>
    <row r="711" hidden="1" spans="1:6">
      <c r="A711" s="53">
        <v>112601</v>
      </c>
      <c r="B711" s="3">
        <v>1126</v>
      </c>
      <c r="C711">
        <v>2</v>
      </c>
      <c r="D711" t="s">
        <v>36</v>
      </c>
      <c r="E711">
        <v>2</v>
      </c>
      <c r="F711">
        <v>0</v>
      </c>
    </row>
    <row r="712" hidden="1" spans="1:6">
      <c r="A712" s="53">
        <v>112602</v>
      </c>
      <c r="B712" s="3">
        <v>1126</v>
      </c>
      <c r="C712">
        <v>2</v>
      </c>
      <c r="D712" t="s">
        <v>38</v>
      </c>
      <c r="E712">
        <v>1.66666666666667</v>
      </c>
      <c r="F712">
        <v>0</v>
      </c>
    </row>
    <row r="713" hidden="1" spans="1:6">
      <c r="A713" s="53">
        <v>112603</v>
      </c>
      <c r="B713" s="3">
        <v>1126</v>
      </c>
      <c r="C713">
        <v>2</v>
      </c>
      <c r="D713" t="s">
        <v>40</v>
      </c>
      <c r="E713">
        <v>5</v>
      </c>
      <c r="F713">
        <v>0</v>
      </c>
    </row>
    <row r="714" hidden="1" spans="1:6">
      <c r="A714" s="53">
        <v>112701</v>
      </c>
      <c r="B714" s="3">
        <v>1127</v>
      </c>
      <c r="C714">
        <v>2</v>
      </c>
      <c r="D714" t="s">
        <v>36</v>
      </c>
      <c r="E714">
        <v>2</v>
      </c>
      <c r="F714">
        <v>0</v>
      </c>
    </row>
    <row r="715" hidden="1" spans="1:6">
      <c r="A715" s="53">
        <v>112702</v>
      </c>
      <c r="B715" s="3">
        <v>1127</v>
      </c>
      <c r="C715">
        <v>2</v>
      </c>
      <c r="D715" t="s">
        <v>38</v>
      </c>
      <c r="E715">
        <v>2.06666666666667</v>
      </c>
      <c r="F715">
        <v>0</v>
      </c>
    </row>
    <row r="716" hidden="1" spans="1:6">
      <c r="A716" s="53">
        <v>112703</v>
      </c>
      <c r="B716" s="3">
        <v>1127</v>
      </c>
      <c r="C716">
        <v>2</v>
      </c>
      <c r="D716" t="s">
        <v>40</v>
      </c>
      <c r="E716">
        <v>4</v>
      </c>
      <c r="F716">
        <v>0</v>
      </c>
    </row>
    <row r="717" hidden="1" spans="1:6">
      <c r="A717" s="53">
        <v>112801</v>
      </c>
      <c r="B717" s="3">
        <v>1128</v>
      </c>
      <c r="C717">
        <v>2</v>
      </c>
      <c r="D717" t="s">
        <v>36</v>
      </c>
      <c r="E717">
        <v>3.33333333333333</v>
      </c>
      <c r="F717">
        <v>0</v>
      </c>
    </row>
    <row r="718" hidden="1" spans="1:6">
      <c r="A718" s="53">
        <v>112802</v>
      </c>
      <c r="B718" s="3">
        <v>1128</v>
      </c>
      <c r="C718">
        <v>2</v>
      </c>
      <c r="D718" t="s">
        <v>38</v>
      </c>
      <c r="E718">
        <v>2</v>
      </c>
      <c r="F718">
        <v>0</v>
      </c>
    </row>
    <row r="719" hidden="1" spans="1:6">
      <c r="A719" s="53">
        <v>112803</v>
      </c>
      <c r="B719" s="3">
        <v>1128</v>
      </c>
      <c r="C719">
        <v>2</v>
      </c>
      <c r="D719" t="s">
        <v>40</v>
      </c>
      <c r="E719">
        <v>2.16666666666667</v>
      </c>
      <c r="F719">
        <v>0</v>
      </c>
    </row>
    <row r="720" hidden="1" spans="1:6">
      <c r="A720" s="53">
        <v>112901</v>
      </c>
      <c r="B720" s="3">
        <v>1129</v>
      </c>
      <c r="C720">
        <v>2</v>
      </c>
      <c r="D720" t="s">
        <v>36</v>
      </c>
      <c r="E720">
        <v>1.16666666666667</v>
      </c>
      <c r="F720">
        <v>0</v>
      </c>
    </row>
    <row r="721" hidden="1" spans="1:6">
      <c r="A721" s="53">
        <v>112902</v>
      </c>
      <c r="B721" s="3">
        <v>1129</v>
      </c>
      <c r="C721">
        <v>2</v>
      </c>
      <c r="D721" t="s">
        <v>38</v>
      </c>
      <c r="E721">
        <v>2.66666666666667</v>
      </c>
      <c r="F721">
        <v>0</v>
      </c>
    </row>
    <row r="722" hidden="1" spans="1:6">
      <c r="A722" s="53">
        <v>112903</v>
      </c>
      <c r="B722" s="3">
        <v>1129</v>
      </c>
      <c r="C722">
        <v>2</v>
      </c>
      <c r="D722" t="s">
        <v>40</v>
      </c>
      <c r="E722">
        <v>3.83333333333333</v>
      </c>
      <c r="F722">
        <v>0</v>
      </c>
    </row>
    <row r="723" hidden="1" spans="1:6">
      <c r="A723" s="72" t="s">
        <v>857</v>
      </c>
      <c r="B723" s="3">
        <v>1130</v>
      </c>
      <c r="C723">
        <v>2</v>
      </c>
      <c r="D723" t="s">
        <v>36</v>
      </c>
      <c r="E723">
        <v>4</v>
      </c>
      <c r="F723">
        <v>0</v>
      </c>
    </row>
    <row r="724" hidden="1" spans="1:6">
      <c r="A724" s="72" t="s">
        <v>858</v>
      </c>
      <c r="B724" s="3">
        <v>1130</v>
      </c>
      <c r="C724">
        <v>2</v>
      </c>
      <c r="D724" t="s">
        <v>38</v>
      </c>
      <c r="E724">
        <v>4</v>
      </c>
      <c r="F724">
        <v>0</v>
      </c>
    </row>
    <row r="725" hidden="1" spans="1:6">
      <c r="A725" s="72" t="s">
        <v>859</v>
      </c>
      <c r="B725" s="3">
        <v>1130</v>
      </c>
      <c r="C725">
        <v>2</v>
      </c>
      <c r="D725" t="s">
        <v>40</v>
      </c>
      <c r="E725">
        <v>4</v>
      </c>
      <c r="F725">
        <v>0</v>
      </c>
    </row>
    <row r="726" hidden="1" spans="1:6">
      <c r="A726" s="72" t="s">
        <v>860</v>
      </c>
      <c r="B726" s="3">
        <v>1130</v>
      </c>
      <c r="C726">
        <v>2</v>
      </c>
      <c r="D726" t="s">
        <v>42</v>
      </c>
      <c r="E726">
        <v>5.66666666666667</v>
      </c>
      <c r="F726">
        <v>0</v>
      </c>
    </row>
    <row r="727" hidden="1" spans="1:6">
      <c r="A727" s="72" t="s">
        <v>861</v>
      </c>
      <c r="B727" s="3">
        <v>1130</v>
      </c>
      <c r="C727">
        <v>2</v>
      </c>
      <c r="D727" t="s">
        <v>44</v>
      </c>
      <c r="E727">
        <v>8.66666666666667</v>
      </c>
      <c r="F727">
        <v>0</v>
      </c>
    </row>
    <row r="728" hidden="1" spans="1:6">
      <c r="A728" s="72" t="s">
        <v>862</v>
      </c>
      <c r="B728" s="3">
        <v>1130</v>
      </c>
      <c r="C728">
        <v>2</v>
      </c>
      <c r="D728" t="s">
        <v>46</v>
      </c>
      <c r="E728">
        <v>13.6666666666667</v>
      </c>
      <c r="F728">
        <v>0</v>
      </c>
    </row>
    <row r="729" hidden="1" spans="1:13">
      <c r="A729" s="73" t="s">
        <v>863</v>
      </c>
      <c r="B729" s="11">
        <v>400201</v>
      </c>
      <c r="C729" s="11">
        <v>3</v>
      </c>
      <c r="D729" s="11" t="s">
        <v>36</v>
      </c>
      <c r="E729" s="11">
        <v>3.33333333333333</v>
      </c>
      <c r="F729" s="11">
        <v>0</v>
      </c>
      <c r="G729" s="11"/>
      <c r="H729" s="11"/>
      <c r="I729" s="11"/>
      <c r="J729" s="11"/>
      <c r="K729" s="11"/>
      <c r="L729" s="11"/>
      <c r="M729" s="11"/>
    </row>
    <row r="730" hidden="1" spans="1:13">
      <c r="A730" s="73" t="s">
        <v>864</v>
      </c>
      <c r="B730" s="11">
        <v>400201</v>
      </c>
      <c r="C730" s="11">
        <v>3</v>
      </c>
      <c r="D730" s="11" t="s">
        <v>38</v>
      </c>
      <c r="E730" s="11">
        <v>3.66666666666667</v>
      </c>
      <c r="F730" s="11">
        <v>0</v>
      </c>
      <c r="G730" s="11"/>
      <c r="H730" s="11"/>
      <c r="I730" s="11"/>
      <c r="J730" s="11"/>
      <c r="K730" s="11"/>
      <c r="L730" s="11"/>
      <c r="M730" s="11"/>
    </row>
    <row r="731" hidden="1" spans="1:13">
      <c r="A731" s="73" t="s">
        <v>865</v>
      </c>
      <c r="B731" s="11">
        <v>400201</v>
      </c>
      <c r="C731" s="11">
        <v>3</v>
      </c>
      <c r="D731" s="11" t="s">
        <v>40</v>
      </c>
      <c r="E731" s="11">
        <v>2.66666666666667</v>
      </c>
      <c r="F731" s="11">
        <v>0</v>
      </c>
      <c r="G731" s="11"/>
      <c r="H731" s="11"/>
      <c r="I731" s="11"/>
      <c r="J731" s="11"/>
      <c r="K731" s="11"/>
      <c r="L731" s="11"/>
      <c r="M731" s="11"/>
    </row>
    <row r="732" hidden="1" spans="1:13">
      <c r="A732" s="73" t="s">
        <v>866</v>
      </c>
      <c r="B732" s="11">
        <v>400201</v>
      </c>
      <c r="C732" s="11">
        <v>3</v>
      </c>
      <c r="D732" s="11" t="s">
        <v>42</v>
      </c>
      <c r="E732" s="11">
        <v>4.33333333333333</v>
      </c>
      <c r="F732" s="11">
        <v>0</v>
      </c>
      <c r="G732" s="11"/>
      <c r="H732" s="11"/>
      <c r="I732" s="11"/>
      <c r="J732" s="11"/>
      <c r="K732" s="11"/>
      <c r="L732" s="11"/>
      <c r="M732" s="11"/>
    </row>
    <row r="733" hidden="1" spans="1:13">
      <c r="A733" s="73" t="s">
        <v>867</v>
      </c>
      <c r="B733" s="11">
        <v>400201</v>
      </c>
      <c r="C733" s="11">
        <v>3</v>
      </c>
      <c r="D733" s="11" t="s">
        <v>44</v>
      </c>
      <c r="E733" s="11">
        <v>7</v>
      </c>
      <c r="F733" s="11">
        <v>0</v>
      </c>
      <c r="G733" s="11"/>
      <c r="H733" s="11"/>
      <c r="I733" s="11"/>
      <c r="J733" s="11"/>
      <c r="K733" s="11"/>
      <c r="L733" s="11"/>
      <c r="M733" s="11"/>
    </row>
    <row r="734" hidden="1" spans="1:13">
      <c r="A734" s="73" t="s">
        <v>868</v>
      </c>
      <c r="B734" s="11">
        <v>400201</v>
      </c>
      <c r="C734" s="11">
        <v>3</v>
      </c>
      <c r="D734" s="44" t="s">
        <v>71</v>
      </c>
      <c r="E734" s="11">
        <v>2.16666666666667</v>
      </c>
      <c r="F734" s="11">
        <v>0</v>
      </c>
      <c r="G734" s="11"/>
      <c r="H734" s="11"/>
      <c r="I734" s="11"/>
      <c r="J734" s="11"/>
      <c r="K734" s="11"/>
      <c r="L734" s="11"/>
      <c r="M734" s="11"/>
    </row>
    <row r="735" hidden="1" spans="1:13">
      <c r="A735" s="73" t="s">
        <v>869</v>
      </c>
      <c r="B735" s="11">
        <v>400201</v>
      </c>
      <c r="C735" s="11">
        <v>3</v>
      </c>
      <c r="D735" s="44" t="s">
        <v>73</v>
      </c>
      <c r="E735" s="11">
        <v>2.33333333333333</v>
      </c>
      <c r="F735" s="11">
        <v>0</v>
      </c>
      <c r="G735" s="11"/>
      <c r="H735" s="11"/>
      <c r="I735" s="11"/>
      <c r="J735" s="11"/>
      <c r="K735" s="11"/>
      <c r="L735" s="11"/>
      <c r="M735" s="11"/>
    </row>
    <row r="736" hidden="1" spans="1:13">
      <c r="A736" s="73" t="s">
        <v>870</v>
      </c>
      <c r="B736" s="11">
        <v>3056</v>
      </c>
      <c r="C736" s="11">
        <v>3</v>
      </c>
      <c r="D736" s="44" t="s">
        <v>50</v>
      </c>
      <c r="E736" s="11">
        <v>5.66666666666667</v>
      </c>
      <c r="F736" s="11">
        <v>0</v>
      </c>
      <c r="G736" s="11"/>
      <c r="H736" s="11"/>
      <c r="I736" s="11"/>
      <c r="J736" s="11"/>
      <c r="K736" s="11"/>
      <c r="L736" s="11"/>
      <c r="M736" s="11"/>
    </row>
    <row r="737" hidden="1" spans="1:13">
      <c r="A737" s="74" t="s">
        <v>871</v>
      </c>
      <c r="B737" s="11">
        <v>400201</v>
      </c>
      <c r="C737" s="11">
        <v>3</v>
      </c>
      <c r="D737" s="44" t="s">
        <v>75</v>
      </c>
      <c r="E737" s="11">
        <v>2.93333333333333</v>
      </c>
      <c r="F737" s="11">
        <v>0</v>
      </c>
      <c r="G737" s="11"/>
      <c r="H737" s="11"/>
      <c r="I737" s="11"/>
      <c r="J737" s="11"/>
      <c r="K737" s="11"/>
      <c r="L737" s="11"/>
      <c r="M737" s="11"/>
    </row>
    <row r="738" hidden="1" spans="1:13">
      <c r="A738" s="73" t="s">
        <v>872</v>
      </c>
      <c r="B738" s="11">
        <v>400201</v>
      </c>
      <c r="C738" s="11">
        <v>3</v>
      </c>
      <c r="D738" s="44" t="s">
        <v>77</v>
      </c>
      <c r="E738" s="11">
        <v>3.06666666666667</v>
      </c>
      <c r="F738" s="11">
        <v>0</v>
      </c>
      <c r="G738" s="11">
        <v>0</v>
      </c>
      <c r="H738" s="11">
        <v>2</v>
      </c>
      <c r="I738" s="11">
        <v>880</v>
      </c>
      <c r="J738" s="11" t="s">
        <v>58</v>
      </c>
      <c r="K738" s="11">
        <v>0</v>
      </c>
      <c r="L738" s="11"/>
      <c r="M738" s="11"/>
    </row>
    <row r="739" hidden="1" spans="1:6">
      <c r="A739" s="75" t="s">
        <v>873</v>
      </c>
      <c r="B739" s="3">
        <v>404201</v>
      </c>
      <c r="C739">
        <v>2</v>
      </c>
      <c r="D739" s="53" t="s">
        <v>36</v>
      </c>
      <c r="E739" s="47">
        <v>2.16666666666667</v>
      </c>
      <c r="F739">
        <v>0</v>
      </c>
    </row>
    <row r="740" hidden="1" spans="1:6">
      <c r="A740" s="71" t="s">
        <v>874</v>
      </c>
      <c r="B740" s="3">
        <v>404201</v>
      </c>
      <c r="C740">
        <v>2</v>
      </c>
      <c r="D740" s="53" t="s">
        <v>38</v>
      </c>
      <c r="E740" s="47">
        <v>3.83333333333333</v>
      </c>
      <c r="F740">
        <v>0</v>
      </c>
    </row>
    <row r="741" hidden="1" spans="1:6">
      <c r="A741" s="75" t="s">
        <v>875</v>
      </c>
      <c r="B741" s="3">
        <v>404201</v>
      </c>
      <c r="C741">
        <v>2</v>
      </c>
      <c r="D741" s="53" t="s">
        <v>40</v>
      </c>
      <c r="E741" s="47">
        <v>6.6</v>
      </c>
      <c r="F741">
        <v>0</v>
      </c>
    </row>
    <row r="742" hidden="1" spans="1:6">
      <c r="A742" s="75" t="s">
        <v>876</v>
      </c>
      <c r="B742" s="3">
        <v>404201</v>
      </c>
      <c r="C742">
        <v>2</v>
      </c>
      <c r="D742" s="53" t="s">
        <v>42</v>
      </c>
      <c r="E742" s="47">
        <f>172/30</f>
        <v>5.73333333333333</v>
      </c>
      <c r="F742">
        <v>0</v>
      </c>
    </row>
    <row r="743" hidden="1" spans="1:6">
      <c r="A743" s="75" t="s">
        <v>877</v>
      </c>
      <c r="B743" s="3">
        <v>404201</v>
      </c>
      <c r="C743">
        <v>2</v>
      </c>
      <c r="D743" s="53" t="s">
        <v>44</v>
      </c>
      <c r="E743" s="47">
        <v>3.33333333333333</v>
      </c>
      <c r="F743">
        <v>0</v>
      </c>
    </row>
    <row r="744" hidden="1" spans="1:6">
      <c r="A744" s="75" t="s">
        <v>878</v>
      </c>
      <c r="B744" s="3">
        <v>404201</v>
      </c>
      <c r="C744">
        <v>2</v>
      </c>
      <c r="D744" s="53" t="s">
        <v>46</v>
      </c>
      <c r="E744" s="47">
        <v>2.83333333333333</v>
      </c>
      <c r="F744">
        <v>0</v>
      </c>
    </row>
    <row r="745" hidden="1" spans="1:6">
      <c r="A745" s="75" t="s">
        <v>879</v>
      </c>
      <c r="B745" s="3">
        <v>404201</v>
      </c>
      <c r="C745">
        <v>2</v>
      </c>
      <c r="D745" s="53" t="s">
        <v>50</v>
      </c>
      <c r="E745" s="47">
        <f>189/30</f>
        <v>6.3</v>
      </c>
      <c r="F745">
        <v>0</v>
      </c>
    </row>
    <row r="746" hidden="1" spans="1:6">
      <c r="A746" s="71" t="s">
        <v>880</v>
      </c>
      <c r="B746" s="3">
        <v>404201</v>
      </c>
      <c r="C746">
        <v>2</v>
      </c>
      <c r="D746" s="53" t="s">
        <v>135</v>
      </c>
      <c r="E746" s="47">
        <v>3.66666666666667</v>
      </c>
      <c r="F746">
        <v>0</v>
      </c>
    </row>
    <row r="747" hidden="1" spans="1:11">
      <c r="A747" s="71" t="s">
        <v>881</v>
      </c>
      <c r="B747" s="3">
        <v>404201</v>
      </c>
      <c r="C747">
        <v>2</v>
      </c>
      <c r="D747" s="53" t="s">
        <v>54</v>
      </c>
      <c r="E747" s="47">
        <v>3.16666666666667</v>
      </c>
      <c r="F747">
        <v>0</v>
      </c>
      <c r="G747">
        <v>0</v>
      </c>
      <c r="H747">
        <v>2</v>
      </c>
      <c r="I747">
        <v>885</v>
      </c>
      <c r="J747" s="56" t="s">
        <v>473</v>
      </c>
      <c r="K747">
        <v>1</v>
      </c>
    </row>
    <row r="748" hidden="1" spans="1:13">
      <c r="A748" s="71" t="s">
        <v>882</v>
      </c>
      <c r="B748" s="10">
        <v>400301</v>
      </c>
      <c r="C748" s="10">
        <v>3</v>
      </c>
      <c r="D748" s="10" t="s">
        <v>36</v>
      </c>
      <c r="E748" s="10">
        <v>2.13333333333333</v>
      </c>
      <c r="F748" s="10">
        <v>0</v>
      </c>
      <c r="G748" s="10"/>
      <c r="H748" s="10"/>
      <c r="I748" s="10"/>
      <c r="J748" s="10"/>
      <c r="K748" s="10"/>
      <c r="L748" s="10"/>
      <c r="M748" s="10"/>
    </row>
    <row r="749" hidden="1" spans="1:13">
      <c r="A749" s="71" t="s">
        <v>883</v>
      </c>
      <c r="B749" s="10">
        <v>400301</v>
      </c>
      <c r="C749" s="10">
        <v>3</v>
      </c>
      <c r="D749" s="10" t="s">
        <v>38</v>
      </c>
      <c r="E749" s="10">
        <v>4.06666666666667</v>
      </c>
      <c r="F749" s="10">
        <v>0</v>
      </c>
      <c r="G749" s="10"/>
      <c r="H749" s="10"/>
      <c r="I749" s="10"/>
      <c r="J749" s="10"/>
      <c r="K749" s="10"/>
      <c r="L749" s="10"/>
      <c r="M749" s="10"/>
    </row>
    <row r="750" hidden="1" spans="1:13">
      <c r="A750" s="71" t="s">
        <v>884</v>
      </c>
      <c r="B750" s="10">
        <v>400301</v>
      </c>
      <c r="C750" s="10">
        <v>3</v>
      </c>
      <c r="D750" s="10" t="s">
        <v>40</v>
      </c>
      <c r="E750" s="10">
        <v>6.33333333333333</v>
      </c>
      <c r="F750" s="10">
        <v>0</v>
      </c>
      <c r="G750" s="10"/>
      <c r="H750" s="10"/>
      <c r="I750" s="10"/>
      <c r="J750" s="10"/>
      <c r="K750" s="10"/>
      <c r="L750" s="10"/>
      <c r="M750" s="10"/>
    </row>
    <row r="751" hidden="1" spans="1:13">
      <c r="A751" s="71" t="s">
        <v>885</v>
      </c>
      <c r="B751" s="10">
        <v>400301</v>
      </c>
      <c r="C751" s="10">
        <v>3</v>
      </c>
      <c r="D751" s="10" t="s">
        <v>42</v>
      </c>
      <c r="E751" s="10">
        <v>3</v>
      </c>
      <c r="F751" s="10">
        <v>0</v>
      </c>
      <c r="G751" s="10"/>
      <c r="H751" s="10"/>
      <c r="I751" s="10"/>
      <c r="J751" s="10"/>
      <c r="K751" s="10"/>
      <c r="L751" s="10"/>
      <c r="M751" s="10"/>
    </row>
    <row r="752" hidden="1" spans="1:13">
      <c r="A752" s="71" t="s">
        <v>886</v>
      </c>
      <c r="B752" s="10">
        <v>400301</v>
      </c>
      <c r="C752" s="10">
        <v>3</v>
      </c>
      <c r="D752" s="10" t="s">
        <v>44</v>
      </c>
      <c r="E752" s="10">
        <v>8.5</v>
      </c>
      <c r="F752" s="10">
        <v>0</v>
      </c>
      <c r="G752" s="10">
        <v>0</v>
      </c>
      <c r="H752" s="10"/>
      <c r="I752" s="10"/>
      <c r="J752" s="10"/>
      <c r="K752" s="10"/>
      <c r="L752" s="10" t="s">
        <v>83</v>
      </c>
      <c r="M752" s="10"/>
    </row>
    <row r="753" hidden="1" spans="1:13">
      <c r="A753" s="71" t="s">
        <v>887</v>
      </c>
      <c r="B753" s="10">
        <v>400301</v>
      </c>
      <c r="C753" s="10">
        <v>3</v>
      </c>
      <c r="D753" s="10" t="s">
        <v>50</v>
      </c>
      <c r="E753" s="10">
        <v>4.5</v>
      </c>
      <c r="F753" s="10">
        <v>0</v>
      </c>
      <c r="G753" s="10"/>
      <c r="H753" s="10"/>
      <c r="I753" s="10"/>
      <c r="J753" s="10"/>
      <c r="K753" s="10"/>
      <c r="L753" s="10"/>
      <c r="M753" s="10"/>
    </row>
    <row r="754" hidden="1" spans="1:13">
      <c r="A754" s="71" t="s">
        <v>888</v>
      </c>
      <c r="B754" s="10">
        <v>400301</v>
      </c>
      <c r="C754" s="10">
        <v>3</v>
      </c>
      <c r="D754" s="10" t="s">
        <v>86</v>
      </c>
      <c r="E754" s="10">
        <v>3.43333333333333</v>
      </c>
      <c r="F754" s="10">
        <v>0</v>
      </c>
      <c r="G754" s="10"/>
      <c r="H754" s="10"/>
      <c r="I754" s="10"/>
      <c r="J754" s="10"/>
      <c r="K754" s="10"/>
      <c r="L754" s="10"/>
      <c r="M754" s="10"/>
    </row>
    <row r="755" hidden="1" spans="1:13">
      <c r="A755" s="71" t="s">
        <v>889</v>
      </c>
      <c r="B755" s="10">
        <v>400301</v>
      </c>
      <c r="C755" s="10">
        <v>3</v>
      </c>
      <c r="D755" s="10" t="s">
        <v>88</v>
      </c>
      <c r="E755" s="10">
        <v>4.5</v>
      </c>
      <c r="F755" s="10">
        <v>0</v>
      </c>
      <c r="G755" s="10"/>
      <c r="H755" s="10"/>
      <c r="I755" s="10"/>
      <c r="J755" s="10"/>
      <c r="K755" s="10"/>
      <c r="L755" s="10"/>
      <c r="M755" s="10"/>
    </row>
    <row r="756" hidden="1" spans="1:13">
      <c r="A756" s="71" t="s">
        <v>890</v>
      </c>
      <c r="B756" s="10">
        <v>400301</v>
      </c>
      <c r="C756" s="10">
        <v>3</v>
      </c>
      <c r="D756" s="45" t="s">
        <v>90</v>
      </c>
      <c r="E756" s="10">
        <v>3.33333333333333</v>
      </c>
      <c r="F756" s="10">
        <v>0</v>
      </c>
      <c r="G756" s="10"/>
      <c r="H756" s="10"/>
      <c r="I756" s="10"/>
      <c r="J756" s="10"/>
      <c r="K756" s="10"/>
      <c r="L756" s="10"/>
      <c r="M756" s="10"/>
    </row>
    <row r="757" hidden="1" spans="1:13">
      <c r="A757" s="71" t="s">
        <v>891</v>
      </c>
      <c r="B757" s="10">
        <v>400301</v>
      </c>
      <c r="C757" s="10">
        <v>3</v>
      </c>
      <c r="D757" s="45" t="s">
        <v>92</v>
      </c>
      <c r="E757" s="10">
        <v>3.33333333333333</v>
      </c>
      <c r="F757" s="10">
        <v>0</v>
      </c>
      <c r="G757" s="10" t="s">
        <v>61</v>
      </c>
      <c r="H757" s="10" t="s">
        <v>62</v>
      </c>
      <c r="I757" s="10" t="s">
        <v>93</v>
      </c>
      <c r="J757" s="11" t="s">
        <v>94</v>
      </c>
      <c r="K757" s="10" t="s">
        <v>95</v>
      </c>
      <c r="L757" s="10"/>
      <c r="M757" s="10"/>
    </row>
    <row r="758" hidden="1" spans="1:13">
      <c r="A758" s="71" t="s">
        <v>892</v>
      </c>
      <c r="B758" s="10">
        <v>400301</v>
      </c>
      <c r="C758" s="10">
        <v>3</v>
      </c>
      <c r="D758" s="45" t="s">
        <v>97</v>
      </c>
      <c r="E758" s="10">
        <v>3</v>
      </c>
      <c r="F758" s="10">
        <v>0</v>
      </c>
      <c r="G758" s="10" t="s">
        <v>61</v>
      </c>
      <c r="H758" s="10" t="s">
        <v>62</v>
      </c>
      <c r="I758" s="10" t="s">
        <v>98</v>
      </c>
      <c r="J758" s="11" t="s">
        <v>94</v>
      </c>
      <c r="K758" s="10" t="s">
        <v>95</v>
      </c>
      <c r="L758" s="10"/>
      <c r="M758" s="10"/>
    </row>
    <row r="759" hidden="1" spans="1:13">
      <c r="A759" s="71" t="s">
        <v>893</v>
      </c>
      <c r="B759" s="10">
        <v>400301</v>
      </c>
      <c r="C759" s="10">
        <v>3</v>
      </c>
      <c r="D759" s="45" t="s">
        <v>77</v>
      </c>
      <c r="E759" s="10">
        <v>3</v>
      </c>
      <c r="F759" s="10">
        <v>0</v>
      </c>
      <c r="G759" s="10">
        <v>0</v>
      </c>
      <c r="H759" s="10">
        <v>2</v>
      </c>
      <c r="I759" s="10">
        <v>894</v>
      </c>
      <c r="J759" s="11" t="s">
        <v>58</v>
      </c>
      <c r="K759" s="10">
        <v>1</v>
      </c>
      <c r="L759" s="10"/>
      <c r="M759" s="10"/>
    </row>
    <row r="760" hidden="1" spans="1:13">
      <c r="A760" s="71" t="s">
        <v>894</v>
      </c>
      <c r="B760" s="11">
        <v>400401</v>
      </c>
      <c r="C760" s="11">
        <v>3</v>
      </c>
      <c r="D760" s="11" t="s">
        <v>36</v>
      </c>
      <c r="E760" s="11">
        <v>3.5</v>
      </c>
      <c r="F760" s="11">
        <v>0</v>
      </c>
      <c r="G760" s="11"/>
      <c r="H760" s="11"/>
      <c r="I760" s="11"/>
      <c r="J760" s="11"/>
      <c r="K760" s="11"/>
      <c r="L760" s="11"/>
      <c r="M760" s="11"/>
    </row>
    <row r="761" hidden="1" spans="1:13">
      <c r="A761" s="71" t="s">
        <v>895</v>
      </c>
      <c r="B761" s="11">
        <v>400401</v>
      </c>
      <c r="C761" s="11">
        <v>3</v>
      </c>
      <c r="D761" s="11" t="s">
        <v>38</v>
      </c>
      <c r="E761" s="11">
        <v>5.66666666666667</v>
      </c>
      <c r="F761" s="11">
        <v>0</v>
      </c>
      <c r="G761" s="11"/>
      <c r="H761" s="11"/>
      <c r="I761" s="11"/>
      <c r="J761" s="11"/>
      <c r="K761" s="11"/>
      <c r="L761" s="11"/>
      <c r="M761" s="11"/>
    </row>
    <row r="762" hidden="1" spans="1:13">
      <c r="A762" s="71" t="s">
        <v>896</v>
      </c>
      <c r="B762" s="11">
        <v>400401</v>
      </c>
      <c r="C762" s="11">
        <v>3</v>
      </c>
      <c r="D762" s="11" t="s">
        <v>40</v>
      </c>
      <c r="E762" s="11">
        <v>6.66666666666667</v>
      </c>
      <c r="F762" s="11">
        <v>0</v>
      </c>
      <c r="G762" s="11"/>
      <c r="H762" s="11"/>
      <c r="I762" s="11"/>
      <c r="J762" s="11"/>
      <c r="K762" s="11"/>
      <c r="L762" s="11"/>
      <c r="M762" s="11"/>
    </row>
    <row r="763" hidden="1" spans="1:13">
      <c r="A763" s="71" t="s">
        <v>897</v>
      </c>
      <c r="B763" s="11">
        <v>400401</v>
      </c>
      <c r="C763" s="11">
        <v>3</v>
      </c>
      <c r="D763" s="11" t="s">
        <v>42</v>
      </c>
      <c r="E763" s="11">
        <v>3.5</v>
      </c>
      <c r="F763" s="11">
        <v>0</v>
      </c>
      <c r="G763" s="11"/>
      <c r="H763" s="11"/>
      <c r="I763" s="11"/>
      <c r="J763" s="11"/>
      <c r="K763" s="11"/>
      <c r="L763" s="11"/>
      <c r="M763" s="11"/>
    </row>
    <row r="764" hidden="1" spans="1:13">
      <c r="A764" s="71" t="s">
        <v>898</v>
      </c>
      <c r="B764" s="11">
        <v>400401</v>
      </c>
      <c r="C764" s="11">
        <v>3</v>
      </c>
      <c r="D764" s="11" t="s">
        <v>44</v>
      </c>
      <c r="E764" s="11">
        <v>1.73333333333333</v>
      </c>
      <c r="F764" s="11">
        <v>0</v>
      </c>
      <c r="G764" s="11"/>
      <c r="H764" s="11"/>
      <c r="I764" s="11"/>
      <c r="J764" s="11"/>
      <c r="K764" s="11"/>
      <c r="L764" s="11"/>
      <c r="M764" s="11"/>
    </row>
    <row r="765" hidden="1" spans="1:13">
      <c r="A765" s="71" t="s">
        <v>899</v>
      </c>
      <c r="B765" s="11">
        <v>400401</v>
      </c>
      <c r="C765" s="11">
        <v>3</v>
      </c>
      <c r="D765" s="11" t="s">
        <v>46</v>
      </c>
      <c r="E765" s="11">
        <v>1.66666666666667</v>
      </c>
      <c r="F765" s="11">
        <v>0</v>
      </c>
      <c r="G765" s="11"/>
      <c r="H765" s="11"/>
      <c r="I765" s="11"/>
      <c r="J765" s="11"/>
      <c r="K765" s="11"/>
      <c r="L765" s="11"/>
      <c r="M765" s="11"/>
    </row>
    <row r="766" hidden="1" spans="1:13">
      <c r="A766" s="71" t="s">
        <v>900</v>
      </c>
      <c r="B766" s="11">
        <v>400401</v>
      </c>
      <c r="C766" s="11">
        <v>3</v>
      </c>
      <c r="D766" s="11" t="s">
        <v>86</v>
      </c>
      <c r="E766" s="11">
        <v>1.5</v>
      </c>
      <c r="F766" s="11">
        <v>0</v>
      </c>
      <c r="G766" s="11"/>
      <c r="H766" s="11"/>
      <c r="I766" s="11"/>
      <c r="J766" s="11"/>
      <c r="K766" s="11"/>
      <c r="L766" s="11"/>
      <c r="M766" s="11"/>
    </row>
    <row r="767" hidden="1" spans="1:13">
      <c r="A767" s="71" t="s">
        <v>901</v>
      </c>
      <c r="B767" s="11">
        <v>400401</v>
      </c>
      <c r="C767" s="11">
        <v>3</v>
      </c>
      <c r="D767" s="11" t="s">
        <v>50</v>
      </c>
      <c r="E767" s="11">
        <v>10.6666666666667</v>
      </c>
      <c r="F767" s="11">
        <v>0</v>
      </c>
      <c r="G767" s="11"/>
      <c r="H767" s="11"/>
      <c r="I767" s="11"/>
      <c r="J767" s="11"/>
      <c r="K767" s="11"/>
      <c r="L767" s="11"/>
      <c r="M767" s="11"/>
    </row>
    <row r="768" hidden="1" spans="1:13">
      <c r="A768" s="71" t="s">
        <v>902</v>
      </c>
      <c r="B768" s="11">
        <v>400401</v>
      </c>
      <c r="C768" s="11">
        <v>3</v>
      </c>
      <c r="D768" s="11" t="s">
        <v>109</v>
      </c>
      <c r="E768" s="11">
        <f>70/30</f>
        <v>2.33333333333333</v>
      </c>
      <c r="F768" s="11">
        <v>0</v>
      </c>
      <c r="G768" s="11">
        <v>0</v>
      </c>
      <c r="H768" s="11">
        <v>2</v>
      </c>
      <c r="I768" s="11">
        <v>881</v>
      </c>
      <c r="J768" s="11" t="s">
        <v>58</v>
      </c>
      <c r="K768" s="11">
        <v>0</v>
      </c>
      <c r="L768" s="11"/>
      <c r="M768" s="11"/>
    </row>
    <row r="769" hidden="1" spans="1:12">
      <c r="A769" s="71" t="s">
        <v>903</v>
      </c>
      <c r="B769" s="10">
        <v>400501</v>
      </c>
      <c r="C769" s="10">
        <v>3</v>
      </c>
      <c r="D769" s="10" t="s">
        <v>36</v>
      </c>
      <c r="E769" s="10">
        <v>2.83333333333333</v>
      </c>
      <c r="F769" s="10">
        <v>0</v>
      </c>
      <c r="G769" s="10"/>
      <c r="H769" s="10"/>
      <c r="I769" s="10"/>
      <c r="J769" s="10"/>
      <c r="K769" s="10"/>
      <c r="L769" s="10"/>
    </row>
    <row r="770" hidden="1" spans="1:12">
      <c r="A770" s="71" t="s">
        <v>904</v>
      </c>
      <c r="B770" s="10">
        <v>400501</v>
      </c>
      <c r="C770" s="10">
        <v>3</v>
      </c>
      <c r="D770" s="10" t="s">
        <v>38</v>
      </c>
      <c r="E770" s="10">
        <v>5.66666666666667</v>
      </c>
      <c r="F770" s="10">
        <v>0</v>
      </c>
      <c r="G770" s="10"/>
      <c r="H770" s="10"/>
      <c r="I770" s="10"/>
      <c r="J770" s="10"/>
      <c r="K770" s="10"/>
      <c r="L770" s="10"/>
    </row>
    <row r="771" hidden="1" spans="1:12">
      <c r="A771" s="71" t="s">
        <v>905</v>
      </c>
      <c r="B771" s="10">
        <v>400501</v>
      </c>
      <c r="C771" s="10">
        <v>3</v>
      </c>
      <c r="D771" s="10" t="s">
        <v>40</v>
      </c>
      <c r="E771" s="10">
        <v>2.66666666666667</v>
      </c>
      <c r="F771" s="10">
        <v>0</v>
      </c>
      <c r="G771" s="10"/>
      <c r="H771" s="10"/>
      <c r="I771" s="10"/>
      <c r="J771" s="10"/>
      <c r="K771" s="10"/>
      <c r="L771" s="10"/>
    </row>
    <row r="772" hidden="1" spans="1:12">
      <c r="A772" s="71" t="s">
        <v>906</v>
      </c>
      <c r="B772" s="10">
        <v>400501</v>
      </c>
      <c r="C772" s="10">
        <v>3</v>
      </c>
      <c r="D772" s="10" t="s">
        <v>42</v>
      </c>
      <c r="E772" s="10">
        <v>2.66666666666667</v>
      </c>
      <c r="F772" s="10">
        <v>0</v>
      </c>
      <c r="G772" s="10"/>
      <c r="H772" s="10"/>
      <c r="I772" s="10"/>
      <c r="J772" s="10"/>
      <c r="K772" s="10"/>
      <c r="L772" s="10"/>
    </row>
    <row r="773" hidden="1" spans="1:12">
      <c r="A773" s="71" t="s">
        <v>907</v>
      </c>
      <c r="B773" s="10">
        <v>400501</v>
      </c>
      <c r="C773" s="10">
        <v>3</v>
      </c>
      <c r="D773" s="10" t="s">
        <v>44</v>
      </c>
      <c r="E773" s="10">
        <v>7.53333333333333</v>
      </c>
      <c r="F773" s="10">
        <v>0</v>
      </c>
      <c r="G773" s="10"/>
      <c r="H773" s="10"/>
      <c r="I773" s="10"/>
      <c r="J773" s="10"/>
      <c r="K773" s="10"/>
      <c r="L773" s="10"/>
    </row>
    <row r="774" hidden="1" spans="1:12">
      <c r="A774" s="71" t="s">
        <v>908</v>
      </c>
      <c r="B774" s="10">
        <v>400501</v>
      </c>
      <c r="C774" s="10">
        <v>3</v>
      </c>
      <c r="D774" s="10" t="s">
        <v>71</v>
      </c>
      <c r="E774" s="10">
        <v>2.66666666666667</v>
      </c>
      <c r="F774" s="10">
        <v>0</v>
      </c>
      <c r="G774" s="10"/>
      <c r="H774" s="10"/>
      <c r="I774" s="10"/>
      <c r="J774" s="10"/>
      <c r="K774" s="10"/>
      <c r="L774" s="10"/>
    </row>
    <row r="775" hidden="1" spans="1:12">
      <c r="A775" s="71" t="s">
        <v>909</v>
      </c>
      <c r="B775" s="10">
        <v>400501</v>
      </c>
      <c r="C775" s="10">
        <v>3</v>
      </c>
      <c r="D775" s="10" t="s">
        <v>86</v>
      </c>
      <c r="E775" s="10">
        <v>2.66666666666667</v>
      </c>
      <c r="F775" s="10">
        <v>0</v>
      </c>
      <c r="G775" s="10"/>
      <c r="H775" s="10"/>
      <c r="I775" s="10"/>
      <c r="J775" s="10"/>
      <c r="K775" s="10"/>
      <c r="L775" s="10"/>
    </row>
    <row r="776" hidden="1" spans="1:12">
      <c r="A776" s="71" t="s">
        <v>910</v>
      </c>
      <c r="B776" s="10">
        <v>400501</v>
      </c>
      <c r="C776" s="10">
        <v>3</v>
      </c>
      <c r="D776" s="10" t="s">
        <v>50</v>
      </c>
      <c r="E776" s="10">
        <v>6.66666666666667</v>
      </c>
      <c r="F776" s="10">
        <v>0</v>
      </c>
      <c r="G776" s="10"/>
      <c r="H776" s="10"/>
      <c r="I776" s="10"/>
      <c r="J776" s="10"/>
      <c r="K776" s="10"/>
      <c r="L776" s="10"/>
    </row>
    <row r="777" hidden="1" spans="1:12">
      <c r="A777" s="71" t="s">
        <v>911</v>
      </c>
      <c r="B777" s="10">
        <v>400501</v>
      </c>
      <c r="C777" s="10">
        <v>3</v>
      </c>
      <c r="D777" s="10" t="s">
        <v>90</v>
      </c>
      <c r="E777" s="10">
        <v>3.5</v>
      </c>
      <c r="F777" s="10">
        <v>0</v>
      </c>
      <c r="G777" s="10"/>
      <c r="H777" s="10"/>
      <c r="I777" s="10"/>
      <c r="J777" s="10"/>
      <c r="K777" s="10"/>
      <c r="L777" s="10"/>
    </row>
    <row r="778" hidden="1" spans="1:12">
      <c r="A778" s="71" t="s">
        <v>912</v>
      </c>
      <c r="B778" s="10">
        <v>400501</v>
      </c>
      <c r="C778" s="10">
        <v>3</v>
      </c>
      <c r="D778" s="10" t="s">
        <v>48</v>
      </c>
      <c r="E778" s="10">
        <v>2.33333333333333</v>
      </c>
      <c r="F778" s="10">
        <v>0</v>
      </c>
      <c r="G778" s="10"/>
      <c r="H778" s="10"/>
      <c r="I778" s="10"/>
      <c r="J778" s="10"/>
      <c r="K778" s="10"/>
      <c r="L778" s="10"/>
    </row>
    <row r="779" hidden="1" spans="1:12">
      <c r="A779" s="71" t="s">
        <v>913</v>
      </c>
      <c r="B779" s="10">
        <v>400501</v>
      </c>
      <c r="C779" s="10">
        <v>3</v>
      </c>
      <c r="D779" s="10" t="s">
        <v>92</v>
      </c>
      <c r="E779" s="10">
        <v>2.26666666666667</v>
      </c>
      <c r="F779" s="10">
        <v>0</v>
      </c>
      <c r="G779" s="10">
        <v>0</v>
      </c>
      <c r="H779" s="10">
        <v>2</v>
      </c>
      <c r="I779" s="10">
        <v>888</v>
      </c>
      <c r="J779" s="11" t="s">
        <v>58</v>
      </c>
      <c r="K779" s="10">
        <v>0</v>
      </c>
      <c r="L779" s="10"/>
    </row>
    <row r="780" s="13" customFormat="1" spans="1:14">
      <c r="A780" s="76" t="s">
        <v>914</v>
      </c>
      <c r="B780" s="77">
        <v>405001</v>
      </c>
      <c r="C780" s="13">
        <v>3</v>
      </c>
      <c r="D780" s="13" t="s">
        <v>36</v>
      </c>
      <c r="E780" s="13">
        <v>1.5</v>
      </c>
      <c r="F780" s="13">
        <v>0</v>
      </c>
      <c r="L780" s="78"/>
      <c r="N780" s="13" t="s">
        <v>915</v>
      </c>
    </row>
    <row r="781" s="13" customFormat="1" spans="1:14">
      <c r="A781" s="76" t="s">
        <v>916</v>
      </c>
      <c r="B781" s="77">
        <v>405001</v>
      </c>
      <c r="C781" s="13">
        <v>3</v>
      </c>
      <c r="D781" s="13" t="s">
        <v>38</v>
      </c>
      <c r="E781" s="13">
        <v>1.83333333333333</v>
      </c>
      <c r="F781" s="13">
        <v>0</v>
      </c>
      <c r="L781" s="78"/>
      <c r="N781" s="13" t="s">
        <v>915</v>
      </c>
    </row>
    <row r="782" s="13" customFormat="1" spans="1:14">
      <c r="A782" s="76" t="s">
        <v>917</v>
      </c>
      <c r="B782" s="77">
        <v>405001</v>
      </c>
      <c r="C782" s="13">
        <v>3</v>
      </c>
      <c r="D782" s="13" t="s">
        <v>40</v>
      </c>
      <c r="E782" s="13">
        <v>9.16666666666667</v>
      </c>
      <c r="F782" s="13">
        <v>0</v>
      </c>
      <c r="G782" s="13">
        <v>0</v>
      </c>
      <c r="L782" s="78" t="s">
        <v>583</v>
      </c>
      <c r="N782" s="13" t="s">
        <v>915</v>
      </c>
    </row>
    <row r="783" s="13" customFormat="1" spans="1:14">
      <c r="A783" s="76" t="s">
        <v>918</v>
      </c>
      <c r="B783" s="77">
        <v>405001</v>
      </c>
      <c r="C783" s="13">
        <v>3</v>
      </c>
      <c r="D783" s="13" t="s">
        <v>42</v>
      </c>
      <c r="E783" s="13">
        <v>6</v>
      </c>
      <c r="F783" s="13">
        <v>0</v>
      </c>
      <c r="L783" s="78"/>
      <c r="N783" s="13" t="s">
        <v>915</v>
      </c>
    </row>
    <row r="784" s="13" customFormat="1" spans="1:14">
      <c r="A784" s="76" t="s">
        <v>919</v>
      </c>
      <c r="B784" s="77">
        <v>405001</v>
      </c>
      <c r="C784" s="13">
        <v>3</v>
      </c>
      <c r="D784" s="13" t="s">
        <v>44</v>
      </c>
      <c r="E784" s="13">
        <v>3.5</v>
      </c>
      <c r="F784" s="13">
        <v>0</v>
      </c>
      <c r="L784" s="78"/>
      <c r="N784" s="13" t="s">
        <v>915</v>
      </c>
    </row>
    <row r="785" s="13" customFormat="1" spans="1:14">
      <c r="A785" s="76" t="s">
        <v>920</v>
      </c>
      <c r="B785" s="77">
        <v>405001</v>
      </c>
      <c r="C785" s="13">
        <v>3</v>
      </c>
      <c r="D785" s="13" t="s">
        <v>46</v>
      </c>
      <c r="E785" s="13">
        <v>3</v>
      </c>
      <c r="F785" s="13">
        <v>0</v>
      </c>
      <c r="L785" s="78"/>
      <c r="N785" s="13" t="s">
        <v>915</v>
      </c>
    </row>
    <row r="786" s="13" customFormat="1" spans="1:14">
      <c r="A786" s="76" t="s">
        <v>921</v>
      </c>
      <c r="B786" s="77">
        <v>405001</v>
      </c>
      <c r="C786" s="13">
        <v>3</v>
      </c>
      <c r="D786" s="13" t="s">
        <v>86</v>
      </c>
      <c r="E786" s="13">
        <v>12.5</v>
      </c>
      <c r="F786" s="13">
        <v>0</v>
      </c>
      <c r="G786" s="13">
        <v>0</v>
      </c>
      <c r="L786" s="78" t="s">
        <v>588</v>
      </c>
      <c r="N786" s="13" t="s">
        <v>915</v>
      </c>
    </row>
    <row r="787" s="13" customFormat="1" spans="1:14">
      <c r="A787" s="76" t="s">
        <v>922</v>
      </c>
      <c r="B787" s="77">
        <v>405001</v>
      </c>
      <c r="C787" s="13">
        <v>3</v>
      </c>
      <c r="D787" s="13" t="s">
        <v>50</v>
      </c>
      <c r="E787" s="13">
        <v>3.16666666666667</v>
      </c>
      <c r="F787" s="13">
        <v>0</v>
      </c>
      <c r="G787" s="13">
        <v>0</v>
      </c>
      <c r="L787" s="78" t="s">
        <v>590</v>
      </c>
      <c r="N787" s="13" t="s">
        <v>915</v>
      </c>
    </row>
    <row r="788" s="13" customFormat="1" spans="1:14">
      <c r="A788" s="76" t="s">
        <v>923</v>
      </c>
      <c r="B788" s="77">
        <v>405001</v>
      </c>
      <c r="C788" s="13">
        <v>3</v>
      </c>
      <c r="D788" s="13" t="s">
        <v>90</v>
      </c>
      <c r="E788" s="13">
        <v>15</v>
      </c>
      <c r="F788" s="13">
        <v>0</v>
      </c>
      <c r="G788" s="13">
        <v>0</v>
      </c>
      <c r="L788" s="78"/>
      <c r="N788" s="13" t="s">
        <v>915</v>
      </c>
    </row>
    <row r="789" s="13" customFormat="1" spans="1:14">
      <c r="A789" s="76" t="s">
        <v>924</v>
      </c>
      <c r="B789" s="77">
        <v>405001</v>
      </c>
      <c r="C789" s="13">
        <v>3</v>
      </c>
      <c r="D789" s="13" t="s">
        <v>48</v>
      </c>
      <c r="E789" s="13">
        <v>2.5</v>
      </c>
      <c r="F789" s="13">
        <v>0</v>
      </c>
      <c r="L789" s="78"/>
      <c r="N789" s="13" t="s">
        <v>915</v>
      </c>
    </row>
    <row r="790" s="12" customFormat="1" spans="1:14">
      <c r="A790" s="61" t="s">
        <v>925</v>
      </c>
      <c r="B790" s="62">
        <v>405001</v>
      </c>
      <c r="C790" s="12">
        <v>3</v>
      </c>
      <c r="D790" s="12" t="s">
        <v>133</v>
      </c>
      <c r="E790" s="12">
        <v>8.933</v>
      </c>
      <c r="F790" s="12">
        <v>0</v>
      </c>
      <c r="G790" s="12"/>
      <c r="H790" s="12"/>
      <c r="I790" s="12"/>
      <c r="J790" s="12"/>
      <c r="K790" s="12"/>
      <c r="L790" s="64"/>
      <c r="N790" s="12" t="s">
        <v>915</v>
      </c>
    </row>
    <row r="791" s="13" customFormat="1" spans="1:14">
      <c r="A791" s="76" t="s">
        <v>926</v>
      </c>
      <c r="B791" s="77">
        <v>405001</v>
      </c>
      <c r="C791" s="13">
        <v>3</v>
      </c>
      <c r="D791" s="13" t="s">
        <v>236</v>
      </c>
      <c r="E791" s="13">
        <v>4.33333333333333</v>
      </c>
      <c r="F791" s="13">
        <v>0</v>
      </c>
      <c r="G791" s="13">
        <v>0</v>
      </c>
      <c r="H791" s="13">
        <v>1</v>
      </c>
      <c r="I791" s="13">
        <v>693</v>
      </c>
      <c r="J791" s="13" t="s">
        <v>58</v>
      </c>
      <c r="K791" s="13">
        <v>0</v>
      </c>
      <c r="L791" s="78"/>
      <c r="N791" s="13" t="s">
        <v>915</v>
      </c>
    </row>
    <row r="792" s="13" customFormat="1" spans="1:14">
      <c r="A792" s="76" t="s">
        <v>927</v>
      </c>
      <c r="B792" s="77">
        <v>405001</v>
      </c>
      <c r="C792" s="13">
        <v>3</v>
      </c>
      <c r="D792" s="13" t="s">
        <v>204</v>
      </c>
      <c r="E792" s="13">
        <v>2</v>
      </c>
      <c r="F792" s="13">
        <v>0</v>
      </c>
      <c r="G792" s="13">
        <v>0</v>
      </c>
      <c r="H792" s="13">
        <v>1</v>
      </c>
      <c r="I792" s="13">
        <v>694</v>
      </c>
      <c r="J792" s="13" t="s">
        <v>596</v>
      </c>
      <c r="K792" s="13">
        <v>0</v>
      </c>
      <c r="L792" s="78"/>
      <c r="N792" s="13" t="s">
        <v>915</v>
      </c>
    </row>
    <row r="793" s="13" customFormat="1" spans="1:14">
      <c r="A793" s="76" t="s">
        <v>928</v>
      </c>
      <c r="B793" s="77">
        <v>405001</v>
      </c>
      <c r="C793" s="13">
        <v>3</v>
      </c>
      <c r="D793" s="13" t="s">
        <v>598</v>
      </c>
      <c r="E793" s="13">
        <v>9.16666666666667</v>
      </c>
      <c r="F793" s="13">
        <v>0</v>
      </c>
      <c r="G793" s="13">
        <v>0</v>
      </c>
      <c r="H793" s="13">
        <v>2</v>
      </c>
      <c r="I793" s="13">
        <v>799</v>
      </c>
      <c r="J793" s="13" t="s">
        <v>596</v>
      </c>
      <c r="K793" s="13">
        <v>0</v>
      </c>
      <c r="L793" s="78"/>
      <c r="N793" s="13" t="s">
        <v>915</v>
      </c>
    </row>
    <row r="794" s="13" customFormat="1" spans="1:14">
      <c r="A794" s="76" t="s">
        <v>929</v>
      </c>
      <c r="B794" s="77">
        <v>405001</v>
      </c>
      <c r="C794" s="13">
        <v>3</v>
      </c>
      <c r="D794" s="13" t="s">
        <v>60</v>
      </c>
      <c r="E794" s="13">
        <v>3.33333333333333</v>
      </c>
      <c r="F794" s="13">
        <v>0</v>
      </c>
      <c r="G794" s="13">
        <v>0</v>
      </c>
      <c r="H794" s="13">
        <v>2</v>
      </c>
      <c r="I794" s="13">
        <v>952</v>
      </c>
      <c r="J794" s="13" t="s">
        <v>58</v>
      </c>
      <c r="K794" s="13">
        <v>0</v>
      </c>
      <c r="L794" s="78"/>
      <c r="N794" s="13" t="s">
        <v>915</v>
      </c>
    </row>
    <row r="795" hidden="1" spans="1:6">
      <c r="A795" s="2" t="s">
        <v>930</v>
      </c>
      <c r="B795" s="3">
        <v>1131</v>
      </c>
      <c r="C795">
        <v>3</v>
      </c>
      <c r="D795" t="s">
        <v>36</v>
      </c>
      <c r="E795">
        <f>75/30</f>
        <v>2.5</v>
      </c>
      <c r="F795">
        <v>0</v>
      </c>
    </row>
    <row r="796" hidden="1" spans="1:6">
      <c r="A796" s="2" t="s">
        <v>931</v>
      </c>
      <c r="B796" s="3">
        <v>1132</v>
      </c>
      <c r="C796">
        <v>3</v>
      </c>
      <c r="D796" t="s">
        <v>36</v>
      </c>
      <c r="E796">
        <v>2.1</v>
      </c>
      <c r="F796">
        <v>0</v>
      </c>
    </row>
    <row r="797" hidden="1" spans="1:6">
      <c r="A797" s="2" t="s">
        <v>932</v>
      </c>
      <c r="B797" s="3">
        <v>1133</v>
      </c>
      <c r="C797">
        <v>3</v>
      </c>
      <c r="D797" t="s">
        <v>36</v>
      </c>
      <c r="E797">
        <v>2.06666666666667</v>
      </c>
      <c r="F797">
        <v>0</v>
      </c>
    </row>
    <row r="798" hidden="1" spans="1:6">
      <c r="A798" s="2" t="s">
        <v>933</v>
      </c>
      <c r="B798" s="3">
        <v>1133</v>
      </c>
      <c r="C798">
        <v>3</v>
      </c>
      <c r="D798" t="s">
        <v>780</v>
      </c>
      <c r="E798">
        <v>0.8</v>
      </c>
      <c r="F798">
        <v>0</v>
      </c>
    </row>
    <row r="799" hidden="1" spans="1:6">
      <c r="A799" s="2" t="s">
        <v>934</v>
      </c>
      <c r="B799" s="3">
        <v>1134</v>
      </c>
      <c r="C799">
        <v>3</v>
      </c>
      <c r="D799" t="s">
        <v>36</v>
      </c>
      <c r="E799">
        <v>2.33333333333333</v>
      </c>
      <c r="F799">
        <v>0</v>
      </c>
    </row>
    <row r="800" hidden="1" spans="1:6">
      <c r="A800" s="2" t="s">
        <v>935</v>
      </c>
      <c r="B800" s="3">
        <v>1134</v>
      </c>
      <c r="C800">
        <v>3</v>
      </c>
      <c r="D800" t="s">
        <v>780</v>
      </c>
      <c r="E800">
        <v>0.733333333333333</v>
      </c>
      <c r="F800">
        <v>0</v>
      </c>
    </row>
    <row r="801" hidden="1" spans="1:6">
      <c r="A801" s="2" t="s">
        <v>936</v>
      </c>
      <c r="B801" s="3">
        <v>1135</v>
      </c>
      <c r="C801">
        <v>3</v>
      </c>
      <c r="D801" t="s">
        <v>36</v>
      </c>
      <c r="E801">
        <v>1.8</v>
      </c>
      <c r="F801">
        <v>0</v>
      </c>
    </row>
    <row r="802" hidden="1" spans="1:6">
      <c r="A802" s="2" t="s">
        <v>937</v>
      </c>
      <c r="B802" s="3">
        <v>1135</v>
      </c>
      <c r="C802">
        <v>3</v>
      </c>
      <c r="D802" t="s">
        <v>780</v>
      </c>
      <c r="E802">
        <v>0.733333333333333</v>
      </c>
      <c r="F802">
        <v>0</v>
      </c>
    </row>
    <row r="803" hidden="1" spans="1:6">
      <c r="A803" s="2" t="s">
        <v>938</v>
      </c>
      <c r="B803" s="3">
        <v>1136</v>
      </c>
      <c r="C803">
        <v>3</v>
      </c>
      <c r="D803" t="s">
        <v>36</v>
      </c>
      <c r="E803">
        <v>2.53333333333333</v>
      </c>
      <c r="F803">
        <v>0</v>
      </c>
    </row>
    <row r="804" hidden="1" spans="1:6">
      <c r="A804" s="2" t="s">
        <v>939</v>
      </c>
      <c r="B804" s="3">
        <v>1136</v>
      </c>
      <c r="C804">
        <v>3</v>
      </c>
      <c r="D804" t="s">
        <v>780</v>
      </c>
      <c r="E804">
        <v>0.733333333333333</v>
      </c>
      <c r="F804">
        <v>0</v>
      </c>
    </row>
    <row r="805" hidden="1" spans="1:11">
      <c r="A805" s="2" t="s">
        <v>940</v>
      </c>
      <c r="B805" s="3">
        <v>3057</v>
      </c>
      <c r="C805" s="10">
        <v>2</v>
      </c>
      <c r="D805" t="s">
        <v>295</v>
      </c>
      <c r="E805">
        <v>1.66667</v>
      </c>
      <c r="F805" s="11">
        <v>0</v>
      </c>
      <c r="G805" s="11" t="s">
        <v>61</v>
      </c>
      <c r="H805" t="s">
        <v>95</v>
      </c>
      <c r="I805" t="s">
        <v>296</v>
      </c>
      <c r="J805" t="s">
        <v>297</v>
      </c>
      <c r="K805" t="s">
        <v>298</v>
      </c>
    </row>
    <row r="806" hidden="1" spans="1:11">
      <c r="A806" s="2" t="s">
        <v>941</v>
      </c>
      <c r="B806" s="3">
        <v>30004</v>
      </c>
      <c r="C806" s="10">
        <v>3</v>
      </c>
      <c r="D806" t="s">
        <v>780</v>
      </c>
      <c r="E806">
        <v>0.533333333333333</v>
      </c>
      <c r="F806" s="11">
        <v>0</v>
      </c>
      <c r="G806" s="11" t="s">
        <v>942</v>
      </c>
      <c r="H806" s="11" t="s">
        <v>943</v>
      </c>
      <c r="I806" s="11" t="s">
        <v>944</v>
      </c>
      <c r="J806" t="s">
        <v>945</v>
      </c>
      <c r="K806" t="s">
        <v>942</v>
      </c>
    </row>
    <row r="807" hidden="1" spans="1:9">
      <c r="A807" s="2" t="s">
        <v>946</v>
      </c>
      <c r="B807" s="3">
        <v>30004</v>
      </c>
      <c r="C807" s="10">
        <v>3</v>
      </c>
      <c r="D807" t="s">
        <v>130</v>
      </c>
      <c r="E807">
        <v>0.533333333333333</v>
      </c>
      <c r="F807" s="11">
        <v>0</v>
      </c>
      <c r="G807" s="11"/>
      <c r="H807" s="11"/>
      <c r="I807" s="11"/>
    </row>
    <row r="808" hidden="1" spans="1:6">
      <c r="A808" s="2" t="s">
        <v>947</v>
      </c>
      <c r="B808" s="3">
        <v>58</v>
      </c>
      <c r="C808" s="10">
        <v>3</v>
      </c>
      <c r="D808" t="s">
        <v>36</v>
      </c>
      <c r="E808">
        <v>2.26666666666667</v>
      </c>
      <c r="F808" s="11">
        <v>0</v>
      </c>
    </row>
    <row r="809" hidden="1" spans="1:6">
      <c r="A809" s="2" t="s">
        <v>948</v>
      </c>
      <c r="B809" s="3">
        <v>58</v>
      </c>
      <c r="C809" s="10">
        <v>3</v>
      </c>
      <c r="D809" t="s">
        <v>38</v>
      </c>
      <c r="E809">
        <v>3</v>
      </c>
      <c r="F809" s="11">
        <v>0</v>
      </c>
    </row>
    <row r="810" hidden="1" spans="1:6">
      <c r="A810" s="2" t="s">
        <v>949</v>
      </c>
      <c r="B810" s="3">
        <v>58</v>
      </c>
      <c r="C810" s="10">
        <v>3</v>
      </c>
      <c r="D810" t="s">
        <v>40</v>
      </c>
      <c r="E810">
        <v>2.66666666666667</v>
      </c>
      <c r="F810" s="11">
        <v>0</v>
      </c>
    </row>
    <row r="811" hidden="1" spans="1:6">
      <c r="A811" s="2" t="s">
        <v>950</v>
      </c>
      <c r="B811" s="3">
        <v>58</v>
      </c>
      <c r="C811" s="10">
        <v>3</v>
      </c>
      <c r="D811" t="s">
        <v>42</v>
      </c>
      <c r="E811">
        <v>1.66666666666667</v>
      </c>
      <c r="F811" s="11">
        <v>0</v>
      </c>
    </row>
    <row r="812" hidden="1" spans="1:6">
      <c r="A812" s="2" t="s">
        <v>951</v>
      </c>
      <c r="B812" s="3">
        <v>58</v>
      </c>
      <c r="C812" s="10">
        <v>3</v>
      </c>
      <c r="D812" t="s">
        <v>44</v>
      </c>
      <c r="E812">
        <v>2.16666666666667</v>
      </c>
      <c r="F812" s="11">
        <v>0</v>
      </c>
    </row>
    <row r="813" hidden="1" spans="1:6">
      <c r="A813" s="2" t="s">
        <v>952</v>
      </c>
      <c r="B813" s="3">
        <v>58</v>
      </c>
      <c r="C813" s="10">
        <v>3</v>
      </c>
      <c r="D813" t="s">
        <v>46</v>
      </c>
      <c r="E813">
        <v>10</v>
      </c>
      <c r="F813" s="11">
        <v>0</v>
      </c>
    </row>
    <row r="814" hidden="1" spans="1:6">
      <c r="A814" s="2" t="s">
        <v>953</v>
      </c>
      <c r="B814" s="3">
        <v>58</v>
      </c>
      <c r="C814" s="10">
        <v>3</v>
      </c>
      <c r="D814" t="s">
        <v>86</v>
      </c>
      <c r="E814">
        <v>6</v>
      </c>
      <c r="F814" s="11">
        <v>0</v>
      </c>
    </row>
    <row r="815" hidden="1" spans="1:6">
      <c r="A815" s="2" t="s">
        <v>954</v>
      </c>
      <c r="B815" s="3">
        <v>58</v>
      </c>
      <c r="C815" s="10">
        <v>3</v>
      </c>
      <c r="D815" t="s">
        <v>50</v>
      </c>
      <c r="E815">
        <f>360/30</f>
        <v>12</v>
      </c>
      <c r="F815" s="11">
        <v>0</v>
      </c>
    </row>
    <row r="816" hidden="1" spans="1:6">
      <c r="A816" s="2" t="s">
        <v>955</v>
      </c>
      <c r="B816" s="3">
        <v>59</v>
      </c>
      <c r="C816" s="10">
        <v>3</v>
      </c>
      <c r="D816" t="s">
        <v>36</v>
      </c>
      <c r="E816">
        <v>3.16666666666667</v>
      </c>
      <c r="F816">
        <v>0</v>
      </c>
    </row>
    <row r="817" hidden="1" spans="1:6">
      <c r="A817" s="2" t="s">
        <v>956</v>
      </c>
      <c r="B817" s="3">
        <v>59</v>
      </c>
      <c r="C817" s="10">
        <v>3</v>
      </c>
      <c r="D817" t="s">
        <v>38</v>
      </c>
      <c r="E817">
        <v>3.5</v>
      </c>
      <c r="F817">
        <v>0</v>
      </c>
    </row>
    <row r="818" hidden="1" spans="1:6">
      <c r="A818" s="2" t="s">
        <v>957</v>
      </c>
      <c r="B818" s="3">
        <v>59</v>
      </c>
      <c r="C818" s="10">
        <v>3</v>
      </c>
      <c r="D818" t="s">
        <v>40</v>
      </c>
      <c r="E818">
        <v>2</v>
      </c>
      <c r="F818">
        <v>0</v>
      </c>
    </row>
    <row r="819" hidden="1" spans="1:6">
      <c r="A819" s="2" t="s">
        <v>958</v>
      </c>
      <c r="B819" s="3">
        <v>59</v>
      </c>
      <c r="C819" s="10">
        <v>3</v>
      </c>
      <c r="D819" t="s">
        <v>42</v>
      </c>
      <c r="E819">
        <v>2.5</v>
      </c>
      <c r="F819">
        <v>0</v>
      </c>
    </row>
    <row r="820" hidden="1" spans="1:6">
      <c r="A820" s="2" t="s">
        <v>959</v>
      </c>
      <c r="B820" s="3">
        <v>59</v>
      </c>
      <c r="C820" s="10">
        <v>3</v>
      </c>
      <c r="D820" t="s">
        <v>44</v>
      </c>
      <c r="E820">
        <v>2.5</v>
      </c>
      <c r="F820">
        <v>0</v>
      </c>
    </row>
    <row r="821" hidden="1" spans="1:6">
      <c r="A821" s="2" t="s">
        <v>960</v>
      </c>
      <c r="B821" s="3">
        <v>59</v>
      </c>
      <c r="C821" s="10">
        <v>3</v>
      </c>
      <c r="D821" t="s">
        <v>46</v>
      </c>
      <c r="E821">
        <v>4.66666666666667</v>
      </c>
      <c r="F821">
        <v>0</v>
      </c>
    </row>
    <row r="822" hidden="1" spans="1:6">
      <c r="A822" s="2" t="s">
        <v>961</v>
      </c>
      <c r="B822" s="3">
        <v>59</v>
      </c>
      <c r="C822" s="10">
        <v>3</v>
      </c>
      <c r="D822" t="s">
        <v>86</v>
      </c>
      <c r="E822">
        <v>4</v>
      </c>
      <c r="F822">
        <v>0</v>
      </c>
    </row>
    <row r="823" hidden="1" spans="1:6">
      <c r="A823" s="2" t="s">
        <v>962</v>
      </c>
      <c r="B823" s="3">
        <v>59</v>
      </c>
      <c r="C823" s="10">
        <v>3</v>
      </c>
      <c r="D823" t="s">
        <v>50</v>
      </c>
      <c r="E823">
        <v>7.33333333333333</v>
      </c>
      <c r="F823">
        <v>0</v>
      </c>
    </row>
    <row r="824" hidden="1" spans="1:6">
      <c r="A824" s="2" t="s">
        <v>963</v>
      </c>
      <c r="B824" s="3">
        <v>59</v>
      </c>
      <c r="C824" s="10">
        <v>3</v>
      </c>
      <c r="D824" t="s">
        <v>90</v>
      </c>
      <c r="E824">
        <v>7</v>
      </c>
      <c r="F824">
        <v>0</v>
      </c>
    </row>
    <row r="825" hidden="1" spans="1:6">
      <c r="A825" s="2" t="s">
        <v>964</v>
      </c>
      <c r="B825" s="3">
        <v>59</v>
      </c>
      <c r="C825" s="10">
        <v>3</v>
      </c>
      <c r="D825" t="s">
        <v>48</v>
      </c>
      <c r="E825">
        <v>7</v>
      </c>
      <c r="F825">
        <v>0</v>
      </c>
    </row>
    <row r="826" hidden="1" spans="1:6">
      <c r="A826" s="2" t="s">
        <v>965</v>
      </c>
      <c r="B826" s="3">
        <v>59</v>
      </c>
      <c r="C826" s="10">
        <v>3</v>
      </c>
      <c r="D826" t="s">
        <v>52</v>
      </c>
      <c r="E826">
        <v>4.56666666666667</v>
      </c>
      <c r="F826">
        <v>0</v>
      </c>
    </row>
    <row r="827" hidden="1" spans="1:6">
      <c r="A827" s="2" t="s">
        <v>966</v>
      </c>
      <c r="B827" s="3">
        <v>1137</v>
      </c>
      <c r="C827">
        <v>3</v>
      </c>
      <c r="D827" t="s">
        <v>36</v>
      </c>
      <c r="E827">
        <v>2.13333333333333</v>
      </c>
      <c r="F827">
        <v>0</v>
      </c>
    </row>
    <row r="828" hidden="1" spans="1:6">
      <c r="A828" s="2" t="s">
        <v>967</v>
      </c>
      <c r="B828" s="3">
        <v>1137</v>
      </c>
      <c r="C828">
        <v>3</v>
      </c>
      <c r="D828" t="s">
        <v>38</v>
      </c>
      <c r="E828">
        <f>53/30</f>
        <v>1.76666666666667</v>
      </c>
      <c r="F828">
        <v>0</v>
      </c>
    </row>
    <row r="829" hidden="1" spans="1:6">
      <c r="A829" s="2" t="s">
        <v>968</v>
      </c>
      <c r="B829" s="3">
        <v>60</v>
      </c>
      <c r="D829" t="s">
        <v>36</v>
      </c>
      <c r="E829">
        <v>3</v>
      </c>
      <c r="F829">
        <v>0</v>
      </c>
    </row>
    <row r="830" hidden="1" spans="1:6">
      <c r="A830" s="2" t="s">
        <v>969</v>
      </c>
      <c r="B830" s="3">
        <v>60</v>
      </c>
      <c r="D830" t="s">
        <v>38</v>
      </c>
      <c r="E830">
        <v>3.33333333333333</v>
      </c>
      <c r="F830">
        <v>0</v>
      </c>
    </row>
    <row r="831" hidden="1" spans="1:6">
      <c r="A831" s="2" t="s">
        <v>970</v>
      </c>
      <c r="B831" s="3">
        <v>60</v>
      </c>
      <c r="D831" t="s">
        <v>40</v>
      </c>
      <c r="E831">
        <v>2.06666666666667</v>
      </c>
      <c r="F831">
        <v>0</v>
      </c>
    </row>
    <row r="832" hidden="1" spans="1:6">
      <c r="A832" s="2" t="s">
        <v>971</v>
      </c>
      <c r="B832" s="3">
        <v>60</v>
      </c>
      <c r="D832" t="s">
        <v>42</v>
      </c>
      <c r="E832">
        <v>3</v>
      </c>
      <c r="F832">
        <v>0</v>
      </c>
    </row>
    <row r="833" hidden="1" spans="1:6">
      <c r="A833" s="2" t="s">
        <v>972</v>
      </c>
      <c r="B833" s="3">
        <v>60</v>
      </c>
      <c r="D833" t="s">
        <v>44</v>
      </c>
      <c r="E833">
        <v>2.66666666666667</v>
      </c>
      <c r="F833">
        <v>0</v>
      </c>
    </row>
    <row r="834" hidden="1" spans="1:6">
      <c r="A834" s="2" t="s">
        <v>973</v>
      </c>
      <c r="B834" s="3">
        <v>60</v>
      </c>
      <c r="D834" t="s">
        <v>46</v>
      </c>
      <c r="E834">
        <v>10.3333333333333</v>
      </c>
      <c r="F834">
        <v>0</v>
      </c>
    </row>
    <row r="835" hidden="1" spans="1:12">
      <c r="A835" s="2" t="s">
        <v>974</v>
      </c>
      <c r="B835" s="3">
        <v>60</v>
      </c>
      <c r="D835" t="s">
        <v>86</v>
      </c>
      <c r="E835">
        <v>7.66666666666667</v>
      </c>
      <c r="F835">
        <v>0</v>
      </c>
      <c r="G835">
        <v>0</v>
      </c>
      <c r="L835" s="4" t="s">
        <v>975</v>
      </c>
    </row>
    <row r="836" hidden="1" spans="1:6">
      <c r="A836" s="2" t="s">
        <v>976</v>
      </c>
      <c r="B836" s="3">
        <v>60</v>
      </c>
      <c r="D836" t="s">
        <v>50</v>
      </c>
      <c r="E836">
        <v>10</v>
      </c>
      <c r="F836">
        <v>0</v>
      </c>
    </row>
    <row r="837" hidden="1" spans="1:6">
      <c r="A837" s="2" t="s">
        <v>977</v>
      </c>
      <c r="B837" s="3">
        <v>60</v>
      </c>
      <c r="D837" t="s">
        <v>978</v>
      </c>
      <c r="E837">
        <v>0.8</v>
      </c>
      <c r="F837">
        <v>0</v>
      </c>
    </row>
    <row r="838" hidden="1" spans="1:6">
      <c r="A838" s="2" t="s">
        <v>979</v>
      </c>
      <c r="B838" s="3">
        <v>1138</v>
      </c>
      <c r="D838" t="s">
        <v>36</v>
      </c>
      <c r="E838">
        <v>1.83333333333333</v>
      </c>
      <c r="F838">
        <v>0</v>
      </c>
    </row>
    <row r="839" hidden="1" spans="1:6">
      <c r="A839" s="2" t="s">
        <v>980</v>
      </c>
      <c r="B839" s="3">
        <v>1139</v>
      </c>
      <c r="D839" t="s">
        <v>36</v>
      </c>
      <c r="E839">
        <v>2.46666666666667</v>
      </c>
      <c r="F839">
        <v>0</v>
      </c>
    </row>
    <row r="840" hidden="1" spans="1:6">
      <c r="A840" s="2" t="s">
        <v>981</v>
      </c>
      <c r="B840" s="3">
        <v>1140</v>
      </c>
      <c r="D840" t="s">
        <v>36</v>
      </c>
      <c r="E840">
        <v>1.83333333333333</v>
      </c>
      <c r="F840">
        <v>0</v>
      </c>
    </row>
    <row r="841" hidden="1" spans="1:6">
      <c r="A841" s="2" t="s">
        <v>982</v>
      </c>
      <c r="B841" s="3">
        <v>1141</v>
      </c>
      <c r="D841" t="s">
        <v>36</v>
      </c>
      <c r="E841">
        <v>3.33333333333333</v>
      </c>
      <c r="F841">
        <v>0</v>
      </c>
    </row>
    <row r="842" hidden="1" spans="1:6">
      <c r="A842" s="2" t="s">
        <v>983</v>
      </c>
      <c r="B842" s="3">
        <v>61</v>
      </c>
      <c r="D842" t="s">
        <v>36</v>
      </c>
      <c r="E842">
        <v>2.5</v>
      </c>
      <c r="F842">
        <v>0</v>
      </c>
    </row>
    <row r="843" hidden="1" spans="1:6">
      <c r="A843" s="2" t="s">
        <v>984</v>
      </c>
      <c r="B843" s="3">
        <v>61</v>
      </c>
      <c r="D843" t="s">
        <v>38</v>
      </c>
      <c r="E843">
        <v>2.3</v>
      </c>
      <c r="F843">
        <v>0</v>
      </c>
    </row>
    <row r="844" hidden="1" spans="1:6">
      <c r="A844" s="2" t="s">
        <v>985</v>
      </c>
      <c r="B844" s="3">
        <v>61</v>
      </c>
      <c r="D844" t="s">
        <v>40</v>
      </c>
      <c r="E844">
        <v>2.83333333333333</v>
      </c>
      <c r="F844">
        <v>0</v>
      </c>
    </row>
    <row r="845" hidden="1" spans="1:6">
      <c r="A845" s="2" t="s">
        <v>986</v>
      </c>
      <c r="B845" s="3">
        <v>61</v>
      </c>
      <c r="D845" t="s">
        <v>42</v>
      </c>
      <c r="E845">
        <v>1.93333333333333</v>
      </c>
      <c r="F845">
        <v>0</v>
      </c>
    </row>
    <row r="846" hidden="1" spans="1:6">
      <c r="A846" s="2" t="s">
        <v>987</v>
      </c>
      <c r="B846" s="3">
        <v>61</v>
      </c>
      <c r="D846" t="s">
        <v>44</v>
      </c>
      <c r="E846">
        <v>11</v>
      </c>
      <c r="F846">
        <v>0</v>
      </c>
    </row>
    <row r="847" hidden="1" spans="1:6">
      <c r="A847" s="2" t="s">
        <v>988</v>
      </c>
      <c r="B847" s="3">
        <v>61</v>
      </c>
      <c r="D847" t="s">
        <v>46</v>
      </c>
      <c r="E847">
        <v>2.83333333333333</v>
      </c>
      <c r="F847">
        <v>0</v>
      </c>
    </row>
    <row r="848" hidden="1" spans="1:6">
      <c r="A848" s="2" t="s">
        <v>989</v>
      </c>
      <c r="B848" s="3">
        <v>30005</v>
      </c>
      <c r="D848" t="s">
        <v>86</v>
      </c>
      <c r="E848">
        <v>3.16666666666667</v>
      </c>
      <c r="F848">
        <v>0</v>
      </c>
    </row>
    <row r="849" hidden="1" spans="1:6">
      <c r="A849" s="2" t="s">
        <v>990</v>
      </c>
      <c r="B849" s="3">
        <v>30005</v>
      </c>
      <c r="D849" t="s">
        <v>50</v>
      </c>
      <c r="E849">
        <v>3</v>
      </c>
      <c r="F849">
        <v>0</v>
      </c>
    </row>
    <row r="850" hidden="1" spans="1:6">
      <c r="A850" s="2" t="s">
        <v>991</v>
      </c>
      <c r="B850" s="3">
        <v>30005</v>
      </c>
      <c r="D850" t="s">
        <v>90</v>
      </c>
      <c r="E850">
        <v>9</v>
      </c>
      <c r="F850">
        <v>0</v>
      </c>
    </row>
    <row r="851" hidden="1" spans="1:6">
      <c r="A851" s="2" t="s">
        <v>992</v>
      </c>
      <c r="B851" s="3">
        <v>30005</v>
      </c>
      <c r="D851" t="s">
        <v>48</v>
      </c>
      <c r="E851">
        <v>7.33333333333333</v>
      </c>
      <c r="F851">
        <v>0</v>
      </c>
    </row>
    <row r="852" hidden="1" spans="1:6">
      <c r="A852" s="2" t="s">
        <v>993</v>
      </c>
      <c r="B852" s="3">
        <v>1142</v>
      </c>
      <c r="D852" t="s">
        <v>36</v>
      </c>
      <c r="E852">
        <f>62/30</f>
        <v>2.06666666666667</v>
      </c>
      <c r="F852">
        <v>0</v>
      </c>
    </row>
    <row r="853" hidden="1" spans="1:6">
      <c r="A853" s="2" t="s">
        <v>994</v>
      </c>
      <c r="B853" s="3">
        <v>1143</v>
      </c>
      <c r="D853" t="s">
        <v>36</v>
      </c>
      <c r="E853">
        <f>68/30</f>
        <v>2.26666666666667</v>
      </c>
      <c r="F853">
        <v>0</v>
      </c>
    </row>
    <row r="854" hidden="1" spans="1:6">
      <c r="A854" s="2" t="s">
        <v>995</v>
      </c>
      <c r="B854" s="3">
        <v>1143</v>
      </c>
      <c r="D854" t="s">
        <v>38</v>
      </c>
      <c r="E854">
        <f>80/30</f>
        <v>2.66666666666667</v>
      </c>
      <c r="F854">
        <v>0</v>
      </c>
    </row>
    <row r="855" hidden="1" spans="1:6">
      <c r="A855" s="2" t="s">
        <v>996</v>
      </c>
      <c r="B855" s="3">
        <v>1143</v>
      </c>
      <c r="D855" t="s">
        <v>40</v>
      </c>
      <c r="E855">
        <f>105/30</f>
        <v>3.5</v>
      </c>
      <c r="F855">
        <v>0</v>
      </c>
    </row>
    <row r="856" hidden="1" spans="1:6">
      <c r="A856" s="2" t="s">
        <v>997</v>
      </c>
      <c r="B856" s="3">
        <v>1143</v>
      </c>
      <c r="D856" t="s">
        <v>38</v>
      </c>
      <c r="E856">
        <f>80/30</f>
        <v>2.66666666666667</v>
      </c>
      <c r="F856">
        <v>0</v>
      </c>
    </row>
    <row r="857" hidden="1" spans="1:6">
      <c r="A857" s="2" t="s">
        <v>998</v>
      </c>
      <c r="B857" s="3">
        <v>1144</v>
      </c>
      <c r="D857" t="s">
        <v>36</v>
      </c>
      <c r="E857">
        <f>100/30</f>
        <v>3.33333333333333</v>
      </c>
      <c r="F857">
        <v>0</v>
      </c>
    </row>
    <row r="858" hidden="1" spans="1:6">
      <c r="A858" s="2" t="s">
        <v>999</v>
      </c>
      <c r="B858" s="3">
        <v>1144</v>
      </c>
      <c r="D858" t="s">
        <v>38</v>
      </c>
      <c r="E858">
        <f>81/30</f>
        <v>2.7</v>
      </c>
      <c r="F858">
        <v>0</v>
      </c>
    </row>
    <row r="859" hidden="1" spans="1:6">
      <c r="A859" s="2" t="s">
        <v>1000</v>
      </c>
      <c r="B859" s="3">
        <v>1144</v>
      </c>
      <c r="D859" t="s">
        <v>40</v>
      </c>
      <c r="E859">
        <f>96/30</f>
        <v>3.2</v>
      </c>
      <c r="F859">
        <v>0</v>
      </c>
    </row>
    <row r="860" hidden="1" spans="1:6">
      <c r="A860" s="2" t="s">
        <v>1001</v>
      </c>
      <c r="B860" s="3">
        <v>1144</v>
      </c>
      <c r="D860" t="s">
        <v>42</v>
      </c>
      <c r="E860">
        <f>55/30</f>
        <v>1.83333333333333</v>
      </c>
      <c r="F860">
        <v>0</v>
      </c>
    </row>
    <row r="861" hidden="1" spans="1:6">
      <c r="A861" s="2" t="s">
        <v>1002</v>
      </c>
      <c r="B861" s="3">
        <v>1144</v>
      </c>
      <c r="D861" t="s">
        <v>44</v>
      </c>
      <c r="E861">
        <f>150/30</f>
        <v>5</v>
      </c>
      <c r="F861">
        <v>0</v>
      </c>
    </row>
    <row r="862" hidden="1" spans="1:6">
      <c r="A862" s="2" t="s">
        <v>1003</v>
      </c>
      <c r="B862" s="3">
        <v>1144</v>
      </c>
      <c r="D862" t="s">
        <v>46</v>
      </c>
      <c r="E862">
        <f>115/30</f>
        <v>3.83333333333333</v>
      </c>
      <c r="F862">
        <v>0</v>
      </c>
    </row>
    <row r="863" hidden="1" spans="1:6">
      <c r="A863" s="2" t="s">
        <v>1004</v>
      </c>
      <c r="B863" s="3">
        <v>1144</v>
      </c>
      <c r="D863" t="s">
        <v>86</v>
      </c>
      <c r="E863">
        <f>65/30</f>
        <v>2.16666666666667</v>
      </c>
      <c r="F863">
        <v>0</v>
      </c>
    </row>
    <row r="864" hidden="1" spans="1:6">
      <c r="A864" s="2" t="s">
        <v>1005</v>
      </c>
      <c r="B864" s="3">
        <v>1144</v>
      </c>
      <c r="D864" t="s">
        <v>50</v>
      </c>
      <c r="E864">
        <f>230/30</f>
        <v>7.66666666666667</v>
      </c>
      <c r="F864">
        <v>0</v>
      </c>
    </row>
    <row r="865" hidden="1" spans="1:6">
      <c r="A865" s="2" t="s">
        <v>1006</v>
      </c>
      <c r="B865" s="3">
        <v>1145</v>
      </c>
      <c r="D865" t="s">
        <v>36</v>
      </c>
      <c r="E865">
        <f>83/30</f>
        <v>2.76666666666667</v>
      </c>
      <c r="F865">
        <v>0</v>
      </c>
    </row>
    <row r="866" hidden="1" spans="1:6">
      <c r="A866" s="2" t="s">
        <v>1007</v>
      </c>
      <c r="B866" s="3">
        <v>1145</v>
      </c>
      <c r="D866" t="s">
        <v>38</v>
      </c>
      <c r="E866">
        <f>75/30</f>
        <v>2.5</v>
      </c>
      <c r="F866">
        <v>0</v>
      </c>
    </row>
    <row r="867" hidden="1" spans="1:6">
      <c r="A867" s="2" t="s">
        <v>1008</v>
      </c>
      <c r="B867" s="3">
        <v>1145</v>
      </c>
      <c r="D867" t="s">
        <v>40</v>
      </c>
      <c r="E867">
        <f>60/30</f>
        <v>2</v>
      </c>
      <c r="F867">
        <v>0</v>
      </c>
    </row>
    <row r="868" hidden="1" spans="1:6">
      <c r="A868" s="2" t="s">
        <v>1009</v>
      </c>
      <c r="B868" s="3">
        <v>1145</v>
      </c>
      <c r="D868" t="s">
        <v>42</v>
      </c>
      <c r="E868">
        <f>65/30</f>
        <v>2.16666666666667</v>
      </c>
      <c r="F868">
        <v>0</v>
      </c>
    </row>
    <row r="869" hidden="1" spans="1:6">
      <c r="A869" s="2" t="s">
        <v>1010</v>
      </c>
      <c r="B869" s="3">
        <v>1145</v>
      </c>
      <c r="D869" t="s">
        <v>44</v>
      </c>
      <c r="E869">
        <f>55/30</f>
        <v>1.83333333333333</v>
      </c>
      <c r="F869">
        <v>0</v>
      </c>
    </row>
    <row r="870" hidden="1" spans="1:6">
      <c r="A870" s="2" t="s">
        <v>1011</v>
      </c>
      <c r="B870" s="3">
        <v>1145</v>
      </c>
      <c r="D870" t="s">
        <v>46</v>
      </c>
      <c r="E870">
        <f>145/30</f>
        <v>4.83333333333333</v>
      </c>
      <c r="F870">
        <v>0</v>
      </c>
    </row>
    <row r="871" hidden="1" spans="1:6">
      <c r="A871" s="2" t="s">
        <v>1012</v>
      </c>
      <c r="B871" s="3">
        <v>1145</v>
      </c>
      <c r="D871" t="s">
        <v>86</v>
      </c>
      <c r="E871">
        <f>50/30</f>
        <v>1.66666666666667</v>
      </c>
      <c r="F871">
        <v>0</v>
      </c>
    </row>
    <row r="872" hidden="1" spans="1:6">
      <c r="A872" s="2" t="s">
        <v>1013</v>
      </c>
      <c r="B872" s="3">
        <v>1145</v>
      </c>
      <c r="D872" t="s">
        <v>50</v>
      </c>
      <c r="E872">
        <f>80/30</f>
        <v>2.66666666666667</v>
      </c>
      <c r="F872">
        <v>0</v>
      </c>
    </row>
    <row r="873" hidden="1" spans="1:6">
      <c r="A873" s="2" t="s">
        <v>1014</v>
      </c>
      <c r="B873" s="3">
        <v>1145</v>
      </c>
      <c r="D873" t="s">
        <v>90</v>
      </c>
      <c r="E873">
        <f>200/30</f>
        <v>6.66666666666667</v>
      </c>
      <c r="F873">
        <v>0</v>
      </c>
    </row>
    <row r="874" hidden="1" spans="1:6">
      <c r="A874" s="2" t="s">
        <v>1015</v>
      </c>
      <c r="B874" s="3">
        <v>1146</v>
      </c>
      <c r="D874" t="s">
        <v>44</v>
      </c>
      <c r="E874">
        <f>50/30</f>
        <v>1.66666666666667</v>
      </c>
      <c r="F874">
        <v>0</v>
      </c>
    </row>
    <row r="875" hidden="1" spans="1:6">
      <c r="A875" s="2" t="s">
        <v>1016</v>
      </c>
      <c r="B875" s="3">
        <v>1146</v>
      </c>
      <c r="D875" t="s">
        <v>46</v>
      </c>
      <c r="E875">
        <f>55/30</f>
        <v>1.83333333333333</v>
      </c>
      <c r="F875">
        <v>0</v>
      </c>
    </row>
    <row r="876" hidden="1" spans="1:6">
      <c r="A876" s="2" t="s">
        <v>1017</v>
      </c>
      <c r="B876" s="3">
        <v>1147</v>
      </c>
      <c r="D876" t="s">
        <v>36</v>
      </c>
      <c r="E876">
        <f>60/30</f>
        <v>2</v>
      </c>
      <c r="F876">
        <v>0</v>
      </c>
    </row>
    <row r="877" hidden="1" spans="1:6">
      <c r="A877" s="2" t="s">
        <v>1018</v>
      </c>
      <c r="B877" s="3">
        <v>1148</v>
      </c>
      <c r="D877" t="s">
        <v>36</v>
      </c>
      <c r="E877">
        <f>90/30</f>
        <v>3</v>
      </c>
      <c r="F877">
        <v>0</v>
      </c>
    </row>
    <row r="878" hidden="1" spans="1:6">
      <c r="A878" s="2" t="s">
        <v>1019</v>
      </c>
      <c r="B878" s="3">
        <v>1149</v>
      </c>
      <c r="D878" t="s">
        <v>36</v>
      </c>
      <c r="E878">
        <f>50/30</f>
        <v>1.66666666666667</v>
      </c>
      <c r="F878">
        <v>0</v>
      </c>
    </row>
    <row r="879" hidden="1" spans="1:6">
      <c r="A879" s="2" t="s">
        <v>1020</v>
      </c>
      <c r="B879" s="3">
        <v>1149</v>
      </c>
      <c r="D879" t="s">
        <v>38</v>
      </c>
      <c r="E879">
        <f>75/30</f>
        <v>2.5</v>
      </c>
      <c r="F879">
        <v>0</v>
      </c>
    </row>
    <row r="880" hidden="1" spans="1:6">
      <c r="A880" s="2" t="s">
        <v>1021</v>
      </c>
      <c r="B880" s="3">
        <v>1150</v>
      </c>
      <c r="D880" t="s">
        <v>36</v>
      </c>
      <c r="E880">
        <f>60/30</f>
        <v>2</v>
      </c>
      <c r="F880">
        <v>0</v>
      </c>
    </row>
    <row r="881" hidden="1" spans="1:6">
      <c r="A881" s="2" t="s">
        <v>1022</v>
      </c>
      <c r="B881" s="3">
        <v>1151</v>
      </c>
      <c r="D881" t="s">
        <v>36</v>
      </c>
      <c r="E881">
        <f>55/30</f>
        <v>1.83333333333333</v>
      </c>
      <c r="F881">
        <v>0</v>
      </c>
    </row>
    <row r="882" hidden="1" spans="1:6">
      <c r="A882" s="2" t="s">
        <v>1023</v>
      </c>
      <c r="B882" s="3">
        <v>1152</v>
      </c>
      <c r="D882" t="s">
        <v>36</v>
      </c>
      <c r="E882">
        <f>60/30</f>
        <v>2</v>
      </c>
      <c r="F882">
        <v>0</v>
      </c>
    </row>
    <row r="883" hidden="1" spans="1:6">
      <c r="A883" s="2" t="s">
        <v>1024</v>
      </c>
      <c r="B883" s="3">
        <v>1153</v>
      </c>
      <c r="D883" t="s">
        <v>36</v>
      </c>
      <c r="E883">
        <f>65/30</f>
        <v>2.16666666666667</v>
      </c>
      <c r="F883">
        <v>0</v>
      </c>
    </row>
    <row r="884" hidden="1" spans="1:6">
      <c r="A884" s="2" t="s">
        <v>1025</v>
      </c>
      <c r="B884" s="3">
        <v>1154</v>
      </c>
      <c r="D884" t="s">
        <v>36</v>
      </c>
      <c r="E884">
        <f>74/30</f>
        <v>2.46666666666667</v>
      </c>
      <c r="F884">
        <v>0</v>
      </c>
    </row>
    <row r="885" hidden="1" spans="1:6">
      <c r="A885" s="2" t="s">
        <v>1026</v>
      </c>
      <c r="B885" s="3">
        <v>1155</v>
      </c>
      <c r="D885" t="s">
        <v>36</v>
      </c>
      <c r="E885">
        <f>64/30</f>
        <v>2.13333333333333</v>
      </c>
      <c r="F885">
        <v>0</v>
      </c>
    </row>
    <row r="886" hidden="1" spans="1:6">
      <c r="A886" s="2" t="s">
        <v>1027</v>
      </c>
      <c r="B886" s="3">
        <v>1156</v>
      </c>
      <c r="D886" t="s">
        <v>36</v>
      </c>
      <c r="E886">
        <f>110/30</f>
        <v>3.66666666666667</v>
      </c>
      <c r="F886">
        <v>0</v>
      </c>
    </row>
    <row r="887" hidden="1" spans="1:6">
      <c r="A887" s="63" t="s">
        <v>1028</v>
      </c>
      <c r="B887" s="3">
        <v>1157</v>
      </c>
      <c r="D887" t="s">
        <v>36</v>
      </c>
      <c r="E887">
        <f>60/30</f>
        <v>2</v>
      </c>
      <c r="F887">
        <v>0</v>
      </c>
    </row>
    <row r="888" hidden="1" spans="1:6">
      <c r="A888" s="63" t="s">
        <v>1029</v>
      </c>
      <c r="B888" s="3">
        <v>1158</v>
      </c>
      <c r="D888" t="s">
        <v>36</v>
      </c>
      <c r="E888">
        <f>55/30</f>
        <v>1.83333333333333</v>
      </c>
      <c r="F888">
        <v>0</v>
      </c>
    </row>
    <row r="889" hidden="1" spans="1:6">
      <c r="A889" s="2" t="s">
        <v>1030</v>
      </c>
      <c r="B889" s="3">
        <v>1159</v>
      </c>
      <c r="D889" t="s">
        <v>36</v>
      </c>
      <c r="E889">
        <f>60/30</f>
        <v>2</v>
      </c>
      <c r="F889">
        <v>0</v>
      </c>
    </row>
    <row r="890" hidden="1" spans="1:6">
      <c r="A890" s="2" t="s">
        <v>1031</v>
      </c>
      <c r="B890" s="3">
        <v>1160</v>
      </c>
      <c r="D890" t="s">
        <v>36</v>
      </c>
      <c r="E890">
        <f>55/30</f>
        <v>1.83333333333333</v>
      </c>
      <c r="F890">
        <v>0</v>
      </c>
    </row>
    <row r="891" hidden="1" spans="1:6">
      <c r="A891" s="2" t="s">
        <v>1032</v>
      </c>
      <c r="B891" s="3">
        <v>62</v>
      </c>
      <c r="D891" t="s">
        <v>36</v>
      </c>
      <c r="E891">
        <v>2.16666666666667</v>
      </c>
      <c r="F891">
        <v>0</v>
      </c>
    </row>
    <row r="892" hidden="1" spans="1:6">
      <c r="A892" s="2" t="s">
        <v>1033</v>
      </c>
      <c r="B892" s="3">
        <v>62</v>
      </c>
      <c r="D892" t="s">
        <v>38</v>
      </c>
      <c r="E892">
        <v>1.83333333333333</v>
      </c>
      <c r="F892">
        <v>0</v>
      </c>
    </row>
    <row r="893" hidden="1" spans="1:6">
      <c r="A893" s="2" t="s">
        <v>1034</v>
      </c>
      <c r="B893" s="3">
        <v>62</v>
      </c>
      <c r="D893" t="s">
        <v>40</v>
      </c>
      <c r="E893">
        <v>2.83333333333333</v>
      </c>
      <c r="F893">
        <v>0</v>
      </c>
    </row>
    <row r="894" hidden="1" spans="1:6">
      <c r="A894" s="2" t="s">
        <v>1035</v>
      </c>
      <c r="B894" s="3">
        <v>62</v>
      </c>
      <c r="D894" t="s">
        <v>42</v>
      </c>
      <c r="E894">
        <v>2.66666666666667</v>
      </c>
      <c r="F894">
        <v>0</v>
      </c>
    </row>
    <row r="895" hidden="1" spans="1:6">
      <c r="A895" s="2" t="s">
        <v>1036</v>
      </c>
      <c r="B895" s="3">
        <v>62</v>
      </c>
      <c r="D895" t="s">
        <v>44</v>
      </c>
      <c r="E895">
        <v>3.5</v>
      </c>
      <c r="F895">
        <v>0</v>
      </c>
    </row>
    <row r="896" hidden="1" spans="1:12">
      <c r="A896" s="2" t="s">
        <v>1037</v>
      </c>
      <c r="B896" s="3">
        <v>62</v>
      </c>
      <c r="D896" t="s">
        <v>46</v>
      </c>
      <c r="E896">
        <v>8.33333333333333</v>
      </c>
      <c r="F896">
        <v>0</v>
      </c>
      <c r="G896">
        <v>0</v>
      </c>
      <c r="L896" s="4" t="s">
        <v>1038</v>
      </c>
    </row>
    <row r="897" hidden="1" spans="1:6">
      <c r="A897" s="2" t="s">
        <v>1039</v>
      </c>
      <c r="B897" s="3">
        <v>62</v>
      </c>
      <c r="D897" t="s">
        <v>86</v>
      </c>
      <c r="E897">
        <v>16.8666666666667</v>
      </c>
      <c r="F897">
        <v>0</v>
      </c>
    </row>
    <row r="898" hidden="1" spans="1:6">
      <c r="A898" s="2" t="s">
        <v>1040</v>
      </c>
      <c r="B898" s="3">
        <v>62</v>
      </c>
      <c r="D898" t="s">
        <v>50</v>
      </c>
      <c r="E898">
        <v>3</v>
      </c>
      <c r="F898">
        <v>0</v>
      </c>
    </row>
    <row r="899" hidden="1" spans="1:6">
      <c r="A899" s="2" t="s">
        <v>1041</v>
      </c>
      <c r="B899" s="3">
        <v>62</v>
      </c>
      <c r="D899" t="s">
        <v>247</v>
      </c>
      <c r="E899">
        <v>3.66666666666667</v>
      </c>
      <c r="F899">
        <v>0</v>
      </c>
    </row>
    <row r="900" hidden="1" spans="1:6">
      <c r="A900" s="2" t="s">
        <v>1042</v>
      </c>
      <c r="B900" s="3">
        <v>62</v>
      </c>
      <c r="D900" t="s">
        <v>48</v>
      </c>
      <c r="E900">
        <v>9</v>
      </c>
      <c r="F900">
        <v>0</v>
      </c>
    </row>
    <row r="901" hidden="1" spans="1:6">
      <c r="A901" s="2" t="s">
        <v>1043</v>
      </c>
      <c r="B901" s="3">
        <v>30007</v>
      </c>
      <c r="D901" t="s">
        <v>86</v>
      </c>
      <c r="E901">
        <v>8.5</v>
      </c>
      <c r="F901">
        <v>0</v>
      </c>
    </row>
    <row r="902" hidden="1" spans="1:11">
      <c r="A902" s="2" t="s">
        <v>1044</v>
      </c>
      <c r="B902" s="3">
        <v>30007</v>
      </c>
      <c r="D902" t="s">
        <v>50</v>
      </c>
      <c r="E902">
        <v>3</v>
      </c>
      <c r="F902">
        <v>0</v>
      </c>
      <c r="G902">
        <v>0</v>
      </c>
      <c r="H902">
        <v>2</v>
      </c>
      <c r="I902" s="58">
        <v>1324</v>
      </c>
      <c r="J902" t="s">
        <v>58</v>
      </c>
      <c r="K902">
        <v>0</v>
      </c>
    </row>
    <row r="903" hidden="1" spans="1:11">
      <c r="A903" s="2" t="s">
        <v>1045</v>
      </c>
      <c r="B903" s="3">
        <v>30007</v>
      </c>
      <c r="D903" t="s">
        <v>247</v>
      </c>
      <c r="E903">
        <v>3.66666666666667</v>
      </c>
      <c r="F903">
        <v>0</v>
      </c>
      <c r="G903">
        <v>0</v>
      </c>
      <c r="H903">
        <v>2</v>
      </c>
      <c r="I903" s="56">
        <v>1329</v>
      </c>
      <c r="J903" t="s">
        <v>58</v>
      </c>
      <c r="K903">
        <v>0</v>
      </c>
    </row>
    <row r="904" hidden="1" spans="1:11">
      <c r="A904" s="2" t="s">
        <v>1046</v>
      </c>
      <c r="B904" s="3">
        <v>30007</v>
      </c>
      <c r="D904" t="s">
        <v>1047</v>
      </c>
      <c r="E904">
        <v>1</v>
      </c>
      <c r="F904">
        <v>0</v>
      </c>
      <c r="G904">
        <v>0</v>
      </c>
      <c r="H904">
        <v>2</v>
      </c>
      <c r="I904" s="56">
        <v>1443</v>
      </c>
      <c r="J904" t="s">
        <v>58</v>
      </c>
      <c r="K904">
        <v>0</v>
      </c>
    </row>
    <row r="905" hidden="1" spans="1:6">
      <c r="A905" s="2" t="s">
        <v>1048</v>
      </c>
      <c r="B905" s="3">
        <v>30008</v>
      </c>
      <c r="D905" t="s">
        <v>36</v>
      </c>
      <c r="E905">
        <v>2.16666666666667</v>
      </c>
      <c r="F905">
        <v>0</v>
      </c>
    </row>
    <row r="906" hidden="1" spans="1:6">
      <c r="A906" s="2" t="s">
        <v>1049</v>
      </c>
      <c r="B906" s="3">
        <v>30008</v>
      </c>
      <c r="D906" t="s">
        <v>38</v>
      </c>
      <c r="E906">
        <v>1.83333333333333</v>
      </c>
      <c r="F906">
        <v>0</v>
      </c>
    </row>
    <row r="907" hidden="1" spans="1:6">
      <c r="A907" s="2" t="s">
        <v>1050</v>
      </c>
      <c r="B907" s="3">
        <v>30008</v>
      </c>
      <c r="D907" t="s">
        <v>40</v>
      </c>
      <c r="E907">
        <v>2.83333333333333</v>
      </c>
      <c r="F907">
        <v>0</v>
      </c>
    </row>
    <row r="908" hidden="1" spans="1:6">
      <c r="A908" s="2" t="s">
        <v>1051</v>
      </c>
      <c r="B908" s="3">
        <v>30008</v>
      </c>
      <c r="D908" t="s">
        <v>42</v>
      </c>
      <c r="E908">
        <v>2.66666666666667</v>
      </c>
      <c r="F908">
        <v>0</v>
      </c>
    </row>
    <row r="909" hidden="1" spans="1:6">
      <c r="A909" s="2" t="s">
        <v>1052</v>
      </c>
      <c r="B909" s="3">
        <v>30008</v>
      </c>
      <c r="D909" t="s">
        <v>44</v>
      </c>
      <c r="E909">
        <v>3.5</v>
      </c>
      <c r="F909">
        <v>0</v>
      </c>
    </row>
    <row r="910" hidden="1" spans="1:6">
      <c r="A910" s="2" t="s">
        <v>1053</v>
      </c>
      <c r="B910" s="3">
        <v>30008</v>
      </c>
      <c r="D910" t="s">
        <v>46</v>
      </c>
      <c r="E910">
        <v>8.33333333333333</v>
      </c>
      <c r="F910">
        <v>0</v>
      </c>
    </row>
    <row r="911" hidden="1" spans="1:11">
      <c r="A911" s="2" t="s">
        <v>1054</v>
      </c>
      <c r="B911" s="3">
        <v>30008</v>
      </c>
      <c r="D911" t="s">
        <v>1047</v>
      </c>
      <c r="E911">
        <v>1.66666666666667</v>
      </c>
      <c r="F911">
        <v>0</v>
      </c>
      <c r="G911">
        <v>0</v>
      </c>
      <c r="H911">
        <v>2</v>
      </c>
      <c r="I911" s="56">
        <v>1444</v>
      </c>
      <c r="J911" t="s">
        <v>58</v>
      </c>
      <c r="K911">
        <v>0</v>
      </c>
    </row>
    <row r="912" hidden="1" spans="1:6">
      <c r="A912" s="63" t="s">
        <v>1055</v>
      </c>
      <c r="B912" s="3">
        <v>63</v>
      </c>
      <c r="D912" t="s">
        <v>36</v>
      </c>
      <c r="E912">
        <f>106/30</f>
        <v>3.53333333333333</v>
      </c>
      <c r="F912">
        <v>0</v>
      </c>
    </row>
    <row r="913" hidden="1" spans="1:6">
      <c r="A913" s="63" t="s">
        <v>1056</v>
      </c>
      <c r="B913" s="3">
        <v>63</v>
      </c>
      <c r="D913" t="s">
        <v>38</v>
      </c>
      <c r="E913">
        <f>286/30</f>
        <v>9.53333333333333</v>
      </c>
      <c r="F913">
        <v>0</v>
      </c>
    </row>
    <row r="914" hidden="1" spans="1:6">
      <c r="A914" s="63" t="s">
        <v>1057</v>
      </c>
      <c r="B914" s="3">
        <v>63</v>
      </c>
      <c r="D914" t="s">
        <v>40</v>
      </c>
      <c r="E914">
        <f>103/30</f>
        <v>3.43333333333333</v>
      </c>
      <c r="F914">
        <v>0</v>
      </c>
    </row>
    <row r="915" hidden="1" spans="1:6">
      <c r="A915" s="63" t="s">
        <v>1058</v>
      </c>
      <c r="B915" s="3">
        <v>63</v>
      </c>
      <c r="D915" t="s">
        <v>42</v>
      </c>
      <c r="E915">
        <f>62/30</f>
        <v>2.06666666666667</v>
      </c>
      <c r="F915">
        <v>0</v>
      </c>
    </row>
    <row r="916" hidden="1" spans="1:12">
      <c r="A916" s="79">
        <v>6308</v>
      </c>
      <c r="B916" s="3">
        <v>63</v>
      </c>
      <c r="D916" t="s">
        <v>50</v>
      </c>
      <c r="E916">
        <f>240/30</f>
        <v>8</v>
      </c>
      <c r="F916">
        <v>0</v>
      </c>
      <c r="G916">
        <v>0</v>
      </c>
      <c r="L916" s="4" t="s">
        <v>1059</v>
      </c>
    </row>
    <row r="917" hidden="1" spans="1:6">
      <c r="A917" s="79">
        <v>3000905</v>
      </c>
      <c r="B917" s="3">
        <v>30009</v>
      </c>
      <c r="D917" t="s">
        <v>44</v>
      </c>
      <c r="E917">
        <f>290/30</f>
        <v>9.66666666666667</v>
      </c>
      <c r="F917">
        <v>0</v>
      </c>
    </row>
    <row r="918" hidden="1" spans="1:6">
      <c r="A918" s="79">
        <v>3000906</v>
      </c>
      <c r="B918" s="3">
        <v>30009</v>
      </c>
      <c r="D918" t="s">
        <v>46</v>
      </c>
      <c r="E918">
        <f>90/30</f>
        <v>3</v>
      </c>
      <c r="F918">
        <v>0</v>
      </c>
    </row>
    <row r="919" hidden="1" spans="1:6">
      <c r="A919" s="79">
        <v>3000907</v>
      </c>
      <c r="B919" s="3">
        <v>30009</v>
      </c>
      <c r="D919" t="s">
        <v>86</v>
      </c>
      <c r="E919">
        <f>90/30</f>
        <v>3</v>
      </c>
      <c r="F919">
        <v>0</v>
      </c>
    </row>
    <row r="920" hidden="1" spans="1:6">
      <c r="A920" s="79">
        <v>3000909</v>
      </c>
      <c r="B920" s="3">
        <v>30009</v>
      </c>
      <c r="D920" t="s">
        <v>90</v>
      </c>
      <c r="E920">
        <v>11</v>
      </c>
      <c r="F920">
        <v>0</v>
      </c>
    </row>
    <row r="921" hidden="1" spans="1:6">
      <c r="A921" s="79">
        <v>3000910</v>
      </c>
      <c r="B921" s="3">
        <v>30009</v>
      </c>
      <c r="D921" t="s">
        <v>48</v>
      </c>
      <c r="E921">
        <v>2.66666666666667</v>
      </c>
      <c r="F921">
        <v>0</v>
      </c>
    </row>
    <row r="922" hidden="1" spans="1:11">
      <c r="A922" s="79">
        <v>6320</v>
      </c>
      <c r="B922" s="3">
        <v>63</v>
      </c>
      <c r="D922" t="s">
        <v>167</v>
      </c>
      <c r="E922">
        <v>3.33333333333333</v>
      </c>
      <c r="F922">
        <v>0</v>
      </c>
      <c r="G922">
        <v>0</v>
      </c>
      <c r="H922">
        <v>2</v>
      </c>
      <c r="I922">
        <v>1448</v>
      </c>
      <c r="J922" t="s">
        <v>58</v>
      </c>
      <c r="K922">
        <v>1</v>
      </c>
    </row>
    <row r="923" hidden="1" spans="1:11">
      <c r="A923" s="79">
        <v>6321</v>
      </c>
      <c r="B923" s="3">
        <v>63</v>
      </c>
      <c r="D923" t="s">
        <v>77</v>
      </c>
      <c r="E923">
        <v>2.66666666666667</v>
      </c>
      <c r="F923">
        <v>0</v>
      </c>
      <c r="G923" t="s">
        <v>298</v>
      </c>
      <c r="H923" t="s">
        <v>381</v>
      </c>
      <c r="I923" t="s">
        <v>1060</v>
      </c>
      <c r="J923" t="s">
        <v>383</v>
      </c>
      <c r="K923" t="s">
        <v>95</v>
      </c>
    </row>
    <row r="924" hidden="1" spans="1:6">
      <c r="A924" s="79">
        <v>6322</v>
      </c>
      <c r="B924" s="3">
        <v>63</v>
      </c>
      <c r="D924" t="s">
        <v>1061</v>
      </c>
      <c r="E924">
        <v>3.33333333333333</v>
      </c>
      <c r="F924">
        <v>0</v>
      </c>
    </row>
    <row r="925" hidden="1" spans="1:6">
      <c r="A925" s="63" t="s">
        <v>1062</v>
      </c>
      <c r="B925" s="3">
        <v>1161</v>
      </c>
      <c r="D925" t="s">
        <v>36</v>
      </c>
      <c r="E925">
        <v>1.76666666666667</v>
      </c>
      <c r="F925">
        <v>0</v>
      </c>
    </row>
    <row r="926" hidden="1" spans="1:6">
      <c r="A926" s="63" t="s">
        <v>1063</v>
      </c>
      <c r="B926" s="3">
        <f t="shared" ref="B926:B927" si="0">B925</f>
        <v>1161</v>
      </c>
      <c r="D926" t="s">
        <v>38</v>
      </c>
      <c r="E926">
        <v>2.26666666666667</v>
      </c>
      <c r="F926">
        <v>0</v>
      </c>
    </row>
    <row r="927" hidden="1" spans="1:6">
      <c r="A927" s="63" t="s">
        <v>1064</v>
      </c>
      <c r="B927" s="3">
        <f t="shared" si="0"/>
        <v>1161</v>
      </c>
      <c r="D927" t="s">
        <v>40</v>
      </c>
      <c r="E927">
        <v>2.16666666666667</v>
      </c>
      <c r="F927">
        <v>0</v>
      </c>
    </row>
    <row r="928" hidden="1" spans="1:6">
      <c r="A928" s="63" t="s">
        <v>1065</v>
      </c>
      <c r="B928" s="3">
        <v>1162</v>
      </c>
      <c r="D928" t="s">
        <v>36</v>
      </c>
      <c r="E928">
        <v>2.56666666666667</v>
      </c>
      <c r="F928">
        <v>0</v>
      </c>
    </row>
    <row r="929" hidden="1" spans="1:6">
      <c r="A929" s="63" t="s">
        <v>1066</v>
      </c>
      <c r="B929" s="3">
        <f t="shared" ref="B929:B931" si="1">B928</f>
        <v>1162</v>
      </c>
      <c r="D929" t="s">
        <v>38</v>
      </c>
      <c r="E929">
        <v>2.1</v>
      </c>
      <c r="F929">
        <v>0</v>
      </c>
    </row>
    <row r="930" hidden="1" spans="1:6">
      <c r="A930" s="63" t="s">
        <v>1067</v>
      </c>
      <c r="B930" s="3">
        <f t="shared" si="1"/>
        <v>1162</v>
      </c>
      <c r="D930" t="s">
        <v>40</v>
      </c>
      <c r="E930">
        <v>2.76666666666667</v>
      </c>
      <c r="F930">
        <v>0</v>
      </c>
    </row>
    <row r="931" hidden="1" spans="1:6">
      <c r="A931" s="63" t="s">
        <v>1068</v>
      </c>
      <c r="B931" s="3">
        <f t="shared" si="1"/>
        <v>1162</v>
      </c>
      <c r="D931" t="s">
        <v>42</v>
      </c>
      <c r="E931">
        <v>2.76666666666667</v>
      </c>
      <c r="F931">
        <v>0</v>
      </c>
    </row>
    <row r="932" hidden="1" spans="1:6">
      <c r="A932" s="63" t="s">
        <v>1069</v>
      </c>
      <c r="B932" s="3">
        <v>1163</v>
      </c>
      <c r="D932" t="s">
        <v>36</v>
      </c>
      <c r="E932">
        <v>2.4</v>
      </c>
      <c r="F932">
        <v>0</v>
      </c>
    </row>
    <row r="933" hidden="1" spans="1:6">
      <c r="A933" s="63" t="s">
        <v>1070</v>
      </c>
      <c r="B933" s="3">
        <f t="shared" ref="B933:B938" si="2">B932</f>
        <v>1163</v>
      </c>
      <c r="D933" t="s">
        <v>38</v>
      </c>
      <c r="E933">
        <v>2.4</v>
      </c>
      <c r="F933">
        <v>0</v>
      </c>
    </row>
    <row r="934" hidden="1" spans="1:6">
      <c r="A934" s="63" t="s">
        <v>1071</v>
      </c>
      <c r="B934" s="3">
        <f t="shared" si="2"/>
        <v>1163</v>
      </c>
      <c r="D934" t="s">
        <v>40</v>
      </c>
      <c r="E934">
        <v>1.56666666666667</v>
      </c>
      <c r="F934">
        <v>0</v>
      </c>
    </row>
    <row r="935" hidden="1" spans="1:6">
      <c r="A935" s="63" t="s">
        <v>1072</v>
      </c>
      <c r="B935" s="3">
        <f t="shared" si="2"/>
        <v>1163</v>
      </c>
      <c r="D935" t="s">
        <v>42</v>
      </c>
      <c r="E935">
        <v>5.56666666666667</v>
      </c>
      <c r="F935">
        <v>0</v>
      </c>
    </row>
    <row r="936" hidden="1" spans="1:6">
      <c r="A936" s="63" t="s">
        <v>1073</v>
      </c>
      <c r="B936" s="3">
        <f t="shared" si="2"/>
        <v>1163</v>
      </c>
      <c r="D936" t="s">
        <v>44</v>
      </c>
      <c r="E936">
        <v>2.06666666666667</v>
      </c>
      <c r="F936">
        <v>0</v>
      </c>
    </row>
    <row r="937" hidden="1" spans="1:6">
      <c r="A937" s="63" t="s">
        <v>1074</v>
      </c>
      <c r="B937" s="3">
        <f t="shared" si="2"/>
        <v>1163</v>
      </c>
      <c r="D937" t="s">
        <v>46</v>
      </c>
      <c r="E937">
        <v>2.7</v>
      </c>
      <c r="F937">
        <v>0</v>
      </c>
    </row>
    <row r="938" hidden="1" spans="1:6">
      <c r="A938" s="63" t="s">
        <v>1075</v>
      </c>
      <c r="B938" s="3">
        <f t="shared" si="2"/>
        <v>1163</v>
      </c>
      <c r="D938" t="s">
        <v>86</v>
      </c>
      <c r="E938">
        <v>2.6</v>
      </c>
      <c r="F938">
        <v>0</v>
      </c>
    </row>
    <row r="939" hidden="1" spans="1:6">
      <c r="A939" s="63" t="s">
        <v>1076</v>
      </c>
      <c r="B939" s="3">
        <v>1163</v>
      </c>
      <c r="D939" t="s">
        <v>1077</v>
      </c>
      <c r="F939">
        <v>1</v>
      </c>
    </row>
    <row r="940" hidden="1" spans="1:6">
      <c r="A940" s="63" t="s">
        <v>1078</v>
      </c>
      <c r="B940" s="3">
        <v>1164</v>
      </c>
      <c r="D940" t="s">
        <v>36</v>
      </c>
      <c r="E940">
        <v>1.4</v>
      </c>
      <c r="F940">
        <v>0</v>
      </c>
    </row>
    <row r="941" hidden="1" spans="1:6">
      <c r="A941" s="63" t="s">
        <v>1079</v>
      </c>
      <c r="B941" s="3">
        <f t="shared" ref="B941:B942" si="3">B940</f>
        <v>1164</v>
      </c>
      <c r="D941" t="s">
        <v>38</v>
      </c>
      <c r="E941">
        <v>2.16666666666667</v>
      </c>
      <c r="F941">
        <v>0</v>
      </c>
    </row>
    <row r="942" hidden="1" spans="1:6">
      <c r="A942" s="63" t="s">
        <v>1080</v>
      </c>
      <c r="B942" s="3">
        <f t="shared" si="3"/>
        <v>1164</v>
      </c>
      <c r="D942" t="s">
        <v>40</v>
      </c>
      <c r="E942">
        <v>1.66666666666667</v>
      </c>
      <c r="F942">
        <v>0</v>
      </c>
    </row>
    <row r="943" hidden="1" spans="1:6">
      <c r="A943" s="63" t="s">
        <v>1081</v>
      </c>
      <c r="B943" s="3">
        <v>1165</v>
      </c>
      <c r="D943" t="s">
        <v>36</v>
      </c>
      <c r="E943">
        <v>1.83333333333333</v>
      </c>
      <c r="F943">
        <v>0</v>
      </c>
    </row>
    <row r="944" hidden="1" spans="1:6">
      <c r="A944" s="63" t="s">
        <v>1082</v>
      </c>
      <c r="B944" s="3">
        <f t="shared" ref="B944:B945" si="4">B943</f>
        <v>1165</v>
      </c>
      <c r="D944" t="s">
        <v>38</v>
      </c>
      <c r="E944">
        <v>3.76666666666667</v>
      </c>
      <c r="F944">
        <v>0</v>
      </c>
    </row>
    <row r="945" hidden="1" spans="1:6">
      <c r="A945" s="63" t="s">
        <v>1083</v>
      </c>
      <c r="B945" s="3">
        <f t="shared" si="4"/>
        <v>1165</v>
      </c>
      <c r="D945" t="s">
        <v>40</v>
      </c>
      <c r="E945">
        <v>2.53333333333333</v>
      </c>
      <c r="F945">
        <v>0</v>
      </c>
    </row>
    <row r="946" hidden="1" spans="1:6">
      <c r="A946" s="63" t="s">
        <v>1084</v>
      </c>
      <c r="B946" s="3">
        <v>1166</v>
      </c>
      <c r="D946" t="s">
        <v>36</v>
      </c>
      <c r="E946">
        <v>2.06666666666667</v>
      </c>
      <c r="F946">
        <v>0</v>
      </c>
    </row>
    <row r="947" hidden="1" spans="1:6">
      <c r="A947" s="63" t="s">
        <v>1085</v>
      </c>
      <c r="B947" s="3">
        <f t="shared" ref="B947:B948" si="5">B946</f>
        <v>1166</v>
      </c>
      <c r="D947" t="s">
        <v>38</v>
      </c>
      <c r="E947">
        <v>1.9</v>
      </c>
      <c r="F947">
        <v>0</v>
      </c>
    </row>
    <row r="948" hidden="1" spans="1:6">
      <c r="A948" s="63" t="s">
        <v>1086</v>
      </c>
      <c r="B948" s="3">
        <f t="shared" si="5"/>
        <v>1166</v>
      </c>
      <c r="D948" t="s">
        <v>40</v>
      </c>
      <c r="E948">
        <v>2.66666666666667</v>
      </c>
      <c r="F948">
        <v>0</v>
      </c>
    </row>
    <row r="949" hidden="1" spans="1:6">
      <c r="A949" s="63" t="s">
        <v>1087</v>
      </c>
      <c r="B949" s="3">
        <v>1167</v>
      </c>
      <c r="D949" t="s">
        <v>36</v>
      </c>
      <c r="E949">
        <f>105/30</f>
        <v>3.5</v>
      </c>
      <c r="F949">
        <v>0</v>
      </c>
    </row>
    <row r="950" hidden="1" spans="1:6">
      <c r="A950" s="63" t="s">
        <v>1088</v>
      </c>
      <c r="B950" s="3">
        <f t="shared" ref="B950:B953" si="6">B949</f>
        <v>1167</v>
      </c>
      <c r="D950" t="s">
        <v>38</v>
      </c>
      <c r="E950">
        <v>1.9</v>
      </c>
      <c r="F950">
        <v>0</v>
      </c>
    </row>
    <row r="951" hidden="1" spans="1:6">
      <c r="A951" s="63" t="s">
        <v>1089</v>
      </c>
      <c r="B951" s="3">
        <f t="shared" si="6"/>
        <v>1167</v>
      </c>
      <c r="D951" t="s">
        <v>40</v>
      </c>
      <c r="E951">
        <v>3.23333333333333</v>
      </c>
      <c r="F951">
        <v>0</v>
      </c>
    </row>
    <row r="952" hidden="1" spans="1:6">
      <c r="A952" s="63" t="s">
        <v>1090</v>
      </c>
      <c r="B952" s="3">
        <f t="shared" si="6"/>
        <v>1167</v>
      </c>
      <c r="D952" t="s">
        <v>42</v>
      </c>
      <c r="E952">
        <v>1.53333333333333</v>
      </c>
      <c r="F952">
        <v>0</v>
      </c>
    </row>
    <row r="953" hidden="1" spans="1:6">
      <c r="A953" s="63" t="s">
        <v>1091</v>
      </c>
      <c r="B953" s="3">
        <f t="shared" si="6"/>
        <v>1167</v>
      </c>
      <c r="D953" t="s">
        <v>44</v>
      </c>
      <c r="E953">
        <v>3.06666666666667</v>
      </c>
      <c r="F953">
        <v>0</v>
      </c>
    </row>
    <row r="954" hidden="1" spans="1:7">
      <c r="A954" s="71" t="s">
        <v>1092</v>
      </c>
      <c r="B954" s="10">
        <v>400901</v>
      </c>
      <c r="C954" s="10">
        <v>2</v>
      </c>
      <c r="D954" s="10" t="s">
        <v>36</v>
      </c>
      <c r="E954" s="10">
        <v>1.36666666666667</v>
      </c>
      <c r="F954" s="10">
        <v>0</v>
      </c>
      <c r="G954" s="10"/>
    </row>
    <row r="955" hidden="1" spans="1:13">
      <c r="A955" s="71" t="s">
        <v>1093</v>
      </c>
      <c r="B955" s="10">
        <v>400901</v>
      </c>
      <c r="C955" s="10">
        <v>2</v>
      </c>
      <c r="D955" s="10" t="s">
        <v>38</v>
      </c>
      <c r="E955" s="10">
        <v>1.13333333333333</v>
      </c>
      <c r="F955" s="10">
        <v>0</v>
      </c>
      <c r="G955" s="10"/>
      <c r="H955" s="10"/>
      <c r="I955" s="48"/>
      <c r="J955" s="10"/>
      <c r="K955" s="10"/>
      <c r="L955" s="10"/>
      <c r="M955" s="10"/>
    </row>
    <row r="956" hidden="1" spans="1:13">
      <c r="A956" s="71" t="s">
        <v>1094</v>
      </c>
      <c r="B956" s="10">
        <v>400901</v>
      </c>
      <c r="C956" s="10">
        <v>2</v>
      </c>
      <c r="D956" s="10" t="s">
        <v>40</v>
      </c>
      <c r="E956" s="10">
        <v>1.8</v>
      </c>
      <c r="F956" s="10">
        <v>0</v>
      </c>
      <c r="G956" s="10"/>
      <c r="H956" s="10"/>
      <c r="I956" s="48"/>
      <c r="J956" s="10"/>
      <c r="K956" s="10"/>
      <c r="L956" s="10"/>
      <c r="M956" s="10"/>
    </row>
    <row r="957" hidden="1" spans="1:13">
      <c r="A957" s="71" t="s">
        <v>1095</v>
      </c>
      <c r="B957" s="10">
        <v>400901</v>
      </c>
      <c r="C957" s="10">
        <v>2</v>
      </c>
      <c r="D957" s="10" t="s">
        <v>42</v>
      </c>
      <c r="E957" s="10">
        <v>2.5</v>
      </c>
      <c r="F957" s="10">
        <v>0</v>
      </c>
      <c r="G957" s="10"/>
      <c r="H957" s="10"/>
      <c r="I957" s="48"/>
      <c r="J957" s="10"/>
      <c r="K957" s="10"/>
      <c r="L957" s="10"/>
      <c r="M957" s="10"/>
    </row>
    <row r="958" hidden="1" spans="1:13">
      <c r="A958" s="71" t="s">
        <v>1096</v>
      </c>
      <c r="B958" s="10">
        <v>400901</v>
      </c>
      <c r="C958" s="10">
        <v>2</v>
      </c>
      <c r="D958" s="10" t="s">
        <v>44</v>
      </c>
      <c r="E958" s="10">
        <v>4</v>
      </c>
      <c r="F958" s="10">
        <v>0</v>
      </c>
      <c r="G958" s="10"/>
      <c r="H958" s="10"/>
      <c r="I958" s="48"/>
      <c r="J958" s="10"/>
      <c r="K958" s="10"/>
      <c r="L958" s="10"/>
      <c r="M958" s="10"/>
    </row>
    <row r="959" hidden="1" spans="1:13">
      <c r="A959" s="71" t="s">
        <v>1097</v>
      </c>
      <c r="B959" s="10">
        <v>400901</v>
      </c>
      <c r="C959" s="10">
        <v>2</v>
      </c>
      <c r="D959" s="10" t="s">
        <v>46</v>
      </c>
      <c r="E959" s="10">
        <v>1.16666666666667</v>
      </c>
      <c r="F959" s="10">
        <v>0</v>
      </c>
      <c r="G959" s="10"/>
      <c r="H959" s="10"/>
      <c r="I959" s="48"/>
      <c r="J959" s="10"/>
      <c r="K959" s="10"/>
      <c r="L959" s="10"/>
      <c r="M959" s="10"/>
    </row>
    <row r="960" hidden="1" spans="1:13">
      <c r="A960" s="71" t="s">
        <v>1098</v>
      </c>
      <c r="B960" s="10">
        <v>400901</v>
      </c>
      <c r="C960" s="10">
        <v>2</v>
      </c>
      <c r="D960" s="10" t="s">
        <v>86</v>
      </c>
      <c r="E960" s="10">
        <v>1.6</v>
      </c>
      <c r="F960" s="10">
        <v>0</v>
      </c>
      <c r="G960" s="10"/>
      <c r="H960" s="10"/>
      <c r="I960" s="48"/>
      <c r="J960" s="10"/>
      <c r="K960" s="10"/>
      <c r="L960" s="10"/>
      <c r="M960" s="10"/>
    </row>
    <row r="961" hidden="1" spans="1:13">
      <c r="A961" s="71" t="s">
        <v>1099</v>
      </c>
      <c r="B961" s="10">
        <v>400901</v>
      </c>
      <c r="C961" s="10">
        <v>2</v>
      </c>
      <c r="D961" s="10" t="s">
        <v>50</v>
      </c>
      <c r="E961" s="10">
        <v>4.66666666666667</v>
      </c>
      <c r="F961" s="10">
        <v>0</v>
      </c>
      <c r="G961" s="10"/>
      <c r="H961" s="10"/>
      <c r="I961" s="48"/>
      <c r="J961" s="10"/>
      <c r="K961" s="10"/>
      <c r="L961" s="10"/>
      <c r="M961" s="10"/>
    </row>
    <row r="962" hidden="1" spans="1:13">
      <c r="A962" s="71" t="s">
        <v>1100</v>
      </c>
      <c r="B962" s="10">
        <v>400901</v>
      </c>
      <c r="C962" s="10">
        <v>2</v>
      </c>
      <c r="D962" s="10" t="s">
        <v>54</v>
      </c>
      <c r="E962" s="10">
        <v>4.03333333333333</v>
      </c>
      <c r="F962" s="10">
        <v>0</v>
      </c>
      <c r="G962" s="10">
        <v>0</v>
      </c>
      <c r="H962" s="10">
        <v>2</v>
      </c>
      <c r="I962" s="48">
        <v>889</v>
      </c>
      <c r="J962" s="10" t="s">
        <v>58</v>
      </c>
      <c r="K962" s="10">
        <v>1</v>
      </c>
      <c r="L962" s="10"/>
      <c r="M962" s="10"/>
    </row>
    <row r="963" hidden="1" spans="1:13">
      <c r="A963" s="71" t="s">
        <v>1101</v>
      </c>
      <c r="B963" s="10">
        <v>400901</v>
      </c>
      <c r="C963" s="10">
        <v>2</v>
      </c>
      <c r="D963" s="10" t="s">
        <v>57</v>
      </c>
      <c r="E963" s="10">
        <v>2.66666666666667</v>
      </c>
      <c r="F963" s="10">
        <v>0</v>
      </c>
      <c r="G963" s="10"/>
      <c r="H963" s="10"/>
      <c r="I963" s="48"/>
      <c r="J963" s="10"/>
      <c r="K963" s="10"/>
      <c r="L963" s="10"/>
      <c r="M963" s="10"/>
    </row>
    <row r="964" hidden="1" spans="1:6">
      <c r="A964" s="71" t="s">
        <v>1102</v>
      </c>
      <c r="B964" s="3">
        <v>404501</v>
      </c>
      <c r="C964">
        <v>3</v>
      </c>
      <c r="D964" t="s">
        <v>36</v>
      </c>
      <c r="E964">
        <v>2.83333333333333</v>
      </c>
      <c r="F964">
        <v>0</v>
      </c>
    </row>
    <row r="965" hidden="1" spans="1:6">
      <c r="A965" s="71" t="s">
        <v>1103</v>
      </c>
      <c r="B965" s="3">
        <v>404501</v>
      </c>
      <c r="C965">
        <v>3</v>
      </c>
      <c r="D965" t="s">
        <v>38</v>
      </c>
      <c r="E965">
        <v>3</v>
      </c>
      <c r="F965">
        <v>0</v>
      </c>
    </row>
    <row r="966" hidden="1" spans="1:6">
      <c r="A966" s="71" t="s">
        <v>1104</v>
      </c>
      <c r="B966" s="3">
        <v>404501</v>
      </c>
      <c r="C966">
        <v>3</v>
      </c>
      <c r="D966" t="s">
        <v>40</v>
      </c>
      <c r="E966">
        <f>250/30</f>
        <v>8.33333333333333</v>
      </c>
      <c r="F966">
        <v>0</v>
      </c>
    </row>
    <row r="967" hidden="1" spans="1:6">
      <c r="A967" s="71" t="s">
        <v>1105</v>
      </c>
      <c r="B967" s="3">
        <v>404501</v>
      </c>
      <c r="C967">
        <v>3</v>
      </c>
      <c r="D967" t="s">
        <v>42</v>
      </c>
      <c r="E967">
        <v>7.66666666666667</v>
      </c>
      <c r="F967">
        <v>0</v>
      </c>
    </row>
    <row r="968" hidden="1" spans="1:6">
      <c r="A968" s="2" t="s">
        <v>1106</v>
      </c>
      <c r="B968" s="3">
        <v>1168</v>
      </c>
      <c r="C968">
        <v>3</v>
      </c>
      <c r="D968" t="s">
        <v>36</v>
      </c>
      <c r="E968">
        <f>50/30</f>
        <v>1.66666666666667</v>
      </c>
      <c r="F968">
        <v>0</v>
      </c>
    </row>
    <row r="969" hidden="1" spans="1:6">
      <c r="A969" s="2" t="s">
        <v>1107</v>
      </c>
      <c r="B969" s="3">
        <v>1168</v>
      </c>
      <c r="C969">
        <v>3</v>
      </c>
      <c r="D969" t="s">
        <v>38</v>
      </c>
      <c r="E969">
        <f>56/30</f>
        <v>1.86666666666667</v>
      </c>
      <c r="F969">
        <v>0</v>
      </c>
    </row>
    <row r="970" hidden="1" spans="1:6">
      <c r="A970" s="2" t="s">
        <v>1108</v>
      </c>
      <c r="B970" s="3">
        <v>1168</v>
      </c>
      <c r="C970">
        <v>3</v>
      </c>
      <c r="D970" t="s">
        <v>40</v>
      </c>
      <c r="E970">
        <f>60/30</f>
        <v>2</v>
      </c>
      <c r="F970">
        <v>0</v>
      </c>
    </row>
    <row r="971" hidden="1" spans="1:6">
      <c r="A971" s="2" t="s">
        <v>1109</v>
      </c>
      <c r="B971" s="3">
        <v>1169</v>
      </c>
      <c r="C971">
        <v>3</v>
      </c>
      <c r="D971" t="s">
        <v>36</v>
      </c>
      <c r="E971">
        <f>80/30</f>
        <v>2.66666666666667</v>
      </c>
      <c r="F971">
        <v>0</v>
      </c>
    </row>
    <row r="972" hidden="1" spans="1:6">
      <c r="A972" s="2" t="s">
        <v>1110</v>
      </c>
      <c r="B972" s="3">
        <v>1169</v>
      </c>
      <c r="C972">
        <v>3</v>
      </c>
      <c r="D972" t="s">
        <v>38</v>
      </c>
      <c r="E972">
        <f>61/30</f>
        <v>2.03333333333333</v>
      </c>
      <c r="F972">
        <v>0</v>
      </c>
    </row>
    <row r="973" hidden="1" spans="1:6">
      <c r="A973" s="2" t="s">
        <v>1111</v>
      </c>
      <c r="B973" s="3">
        <v>1169</v>
      </c>
      <c r="C973">
        <v>3</v>
      </c>
      <c r="D973" t="s">
        <v>40</v>
      </c>
      <c r="E973">
        <f>85/30</f>
        <v>2.83333333333333</v>
      </c>
      <c r="F973">
        <v>0</v>
      </c>
    </row>
    <row r="974" hidden="1" spans="1:6">
      <c r="A974" s="2" t="s">
        <v>1112</v>
      </c>
      <c r="B974" s="3">
        <v>1170</v>
      </c>
      <c r="C974">
        <v>3</v>
      </c>
      <c r="D974" t="s">
        <v>36</v>
      </c>
      <c r="E974">
        <f>42/30</f>
        <v>1.4</v>
      </c>
      <c r="F974">
        <v>0</v>
      </c>
    </row>
    <row r="975" hidden="1" spans="1:6">
      <c r="A975" s="2" t="s">
        <v>1113</v>
      </c>
      <c r="B975" s="3">
        <v>1170</v>
      </c>
      <c r="C975">
        <v>3</v>
      </c>
      <c r="D975" t="s">
        <v>38</v>
      </c>
      <c r="E975">
        <f>71/30</f>
        <v>2.36666666666667</v>
      </c>
      <c r="F975">
        <v>0</v>
      </c>
    </row>
    <row r="976" hidden="1" spans="1:6">
      <c r="A976" s="2" t="s">
        <v>1114</v>
      </c>
      <c r="B976" s="3">
        <v>1171</v>
      </c>
      <c r="C976">
        <v>3</v>
      </c>
      <c r="D976" t="s">
        <v>36</v>
      </c>
      <c r="E976">
        <f>60/30</f>
        <v>2</v>
      </c>
      <c r="F976">
        <v>0</v>
      </c>
    </row>
    <row r="977" hidden="1" spans="1:6">
      <c r="A977" s="2" t="s">
        <v>1115</v>
      </c>
      <c r="B977" s="3">
        <v>1171</v>
      </c>
      <c r="C977">
        <v>3</v>
      </c>
      <c r="D977" t="s">
        <v>38</v>
      </c>
      <c r="E977">
        <f>52/30</f>
        <v>1.73333333333333</v>
      </c>
      <c r="F977">
        <v>0</v>
      </c>
    </row>
    <row r="978" hidden="1" spans="1:6">
      <c r="A978" s="2" t="s">
        <v>1116</v>
      </c>
      <c r="B978" s="3">
        <v>1171</v>
      </c>
      <c r="C978">
        <v>3</v>
      </c>
      <c r="D978" t="s">
        <v>40</v>
      </c>
      <c r="E978">
        <f>63/30</f>
        <v>2.1</v>
      </c>
      <c r="F978">
        <v>0</v>
      </c>
    </row>
    <row r="979" hidden="1" spans="1:6">
      <c r="A979" s="2" t="s">
        <v>1117</v>
      </c>
      <c r="B979" s="3">
        <v>1171</v>
      </c>
      <c r="C979">
        <v>3</v>
      </c>
      <c r="D979" t="s">
        <v>42</v>
      </c>
      <c r="E979">
        <f>100/30</f>
        <v>3.33333333333333</v>
      </c>
      <c r="F979">
        <v>0</v>
      </c>
    </row>
    <row r="980" hidden="1" spans="1:6">
      <c r="A980" s="2" t="s">
        <v>1118</v>
      </c>
      <c r="B980" s="3">
        <v>1172</v>
      </c>
      <c r="C980">
        <v>3</v>
      </c>
      <c r="D980" t="s">
        <v>36</v>
      </c>
      <c r="E980">
        <f>64/30</f>
        <v>2.13333333333333</v>
      </c>
      <c r="F980">
        <v>0</v>
      </c>
    </row>
    <row r="981" hidden="1" spans="1:6">
      <c r="A981" s="2" t="s">
        <v>1119</v>
      </c>
      <c r="B981" s="3">
        <v>1173</v>
      </c>
      <c r="C981">
        <v>3</v>
      </c>
      <c r="D981" t="s">
        <v>36</v>
      </c>
      <c r="E981">
        <f>56/30</f>
        <v>1.86666666666667</v>
      </c>
      <c r="F981">
        <v>0</v>
      </c>
    </row>
    <row r="982" hidden="1" spans="1:6">
      <c r="A982" s="2" t="s">
        <v>1120</v>
      </c>
      <c r="B982" s="3">
        <v>1173</v>
      </c>
      <c r="C982">
        <v>3</v>
      </c>
      <c r="D982" t="s">
        <v>38</v>
      </c>
      <c r="E982">
        <f>55/30</f>
        <v>1.83333333333333</v>
      </c>
      <c r="F982">
        <v>0</v>
      </c>
    </row>
    <row r="983" hidden="1" spans="1:6">
      <c r="A983" s="2" t="s">
        <v>1121</v>
      </c>
      <c r="B983" s="3">
        <v>1173</v>
      </c>
      <c r="C983">
        <v>3</v>
      </c>
      <c r="D983" t="s">
        <v>40</v>
      </c>
      <c r="E983">
        <f>75/30</f>
        <v>2.5</v>
      </c>
      <c r="F983">
        <v>0</v>
      </c>
    </row>
    <row r="984" hidden="1" spans="1:6">
      <c r="A984" s="2" t="s">
        <v>1122</v>
      </c>
      <c r="B984" s="3">
        <v>1174</v>
      </c>
      <c r="C984">
        <v>3</v>
      </c>
      <c r="D984" t="s">
        <v>36</v>
      </c>
      <c r="E984">
        <f>60/30</f>
        <v>2</v>
      </c>
      <c r="F984">
        <v>0</v>
      </c>
    </row>
    <row r="985" hidden="1" spans="1:6">
      <c r="A985" s="2" t="s">
        <v>1123</v>
      </c>
      <c r="B985" s="3">
        <v>1174</v>
      </c>
      <c r="C985">
        <v>3</v>
      </c>
      <c r="D985" t="s">
        <v>38</v>
      </c>
      <c r="E985">
        <f>40/30</f>
        <v>1.33333333333333</v>
      </c>
      <c r="F985">
        <v>0</v>
      </c>
    </row>
    <row r="986" hidden="1" spans="1:6">
      <c r="A986" s="2" t="s">
        <v>1124</v>
      </c>
      <c r="B986" s="3">
        <v>1174</v>
      </c>
      <c r="C986">
        <v>3</v>
      </c>
      <c r="D986" t="s">
        <v>40</v>
      </c>
      <c r="E986">
        <f>80/30</f>
        <v>2.66666666666667</v>
      </c>
      <c r="F986">
        <v>0</v>
      </c>
    </row>
    <row r="987" hidden="1" spans="1:6">
      <c r="A987" s="2" t="s">
        <v>1125</v>
      </c>
      <c r="B987" s="3">
        <v>64</v>
      </c>
      <c r="C987">
        <v>3</v>
      </c>
      <c r="D987" t="s">
        <v>36</v>
      </c>
      <c r="E987">
        <f>90/30</f>
        <v>3</v>
      </c>
      <c r="F987">
        <v>0</v>
      </c>
    </row>
    <row r="988" hidden="1" spans="1:6">
      <c r="A988" s="2" t="s">
        <v>1126</v>
      </c>
      <c r="B988" s="3">
        <v>64</v>
      </c>
      <c r="C988">
        <v>3</v>
      </c>
      <c r="D988" t="s">
        <v>38</v>
      </c>
      <c r="E988">
        <f>70/30</f>
        <v>2.33333333333333</v>
      </c>
      <c r="F988">
        <v>0</v>
      </c>
    </row>
    <row r="989" hidden="1" spans="1:6">
      <c r="A989" s="2" t="s">
        <v>1127</v>
      </c>
      <c r="B989" s="3">
        <v>64</v>
      </c>
      <c r="C989">
        <v>3</v>
      </c>
      <c r="D989" t="s">
        <v>40</v>
      </c>
      <c r="E989">
        <f>58/30</f>
        <v>1.93333333333333</v>
      </c>
      <c r="F989">
        <v>0</v>
      </c>
    </row>
    <row r="990" hidden="1" spans="1:6">
      <c r="A990" s="2" t="s">
        <v>1128</v>
      </c>
      <c r="B990" s="3">
        <v>64</v>
      </c>
      <c r="C990">
        <v>3</v>
      </c>
      <c r="D990" t="s">
        <v>42</v>
      </c>
      <c r="E990">
        <f>60/30</f>
        <v>2</v>
      </c>
      <c r="F990">
        <v>0</v>
      </c>
    </row>
    <row r="991" hidden="1" spans="1:6">
      <c r="A991" s="2" t="s">
        <v>1129</v>
      </c>
      <c r="B991" s="3">
        <v>64</v>
      </c>
      <c r="C991">
        <v>3</v>
      </c>
      <c r="D991" t="s">
        <v>44</v>
      </c>
      <c r="E991">
        <f>90/30</f>
        <v>3</v>
      </c>
      <c r="F991">
        <v>0</v>
      </c>
    </row>
    <row r="992" hidden="1" spans="1:6">
      <c r="A992" s="2" t="s">
        <v>1130</v>
      </c>
      <c r="B992" s="3">
        <v>64</v>
      </c>
      <c r="C992">
        <v>3</v>
      </c>
      <c r="D992" t="s">
        <v>46</v>
      </c>
      <c r="E992">
        <f>240/30</f>
        <v>8</v>
      </c>
      <c r="F992">
        <v>0</v>
      </c>
    </row>
    <row r="993" hidden="1" spans="1:6">
      <c r="A993" s="2" t="s">
        <v>1131</v>
      </c>
      <c r="B993" s="3">
        <v>64</v>
      </c>
      <c r="C993">
        <v>3</v>
      </c>
      <c r="D993" t="s">
        <v>86</v>
      </c>
      <c r="E993">
        <f>420/30</f>
        <v>14</v>
      </c>
      <c r="F993">
        <v>0</v>
      </c>
    </row>
    <row r="994" hidden="1" spans="1:6">
      <c r="A994" s="2" t="s">
        <v>1132</v>
      </c>
      <c r="B994" s="3">
        <v>64</v>
      </c>
      <c r="C994">
        <v>3</v>
      </c>
      <c r="D994" t="s">
        <v>50</v>
      </c>
      <c r="E994">
        <f>300/30</f>
        <v>10</v>
      </c>
      <c r="F994">
        <v>0</v>
      </c>
    </row>
    <row r="995" hidden="1" spans="1:12">
      <c r="A995" s="71" t="s">
        <v>1133</v>
      </c>
      <c r="B995" s="10">
        <v>400502</v>
      </c>
      <c r="C995" s="10">
        <v>3</v>
      </c>
      <c r="D995" s="10" t="s">
        <v>36</v>
      </c>
      <c r="E995" s="10">
        <v>2.83333333333333</v>
      </c>
      <c r="F995" s="10">
        <v>0</v>
      </c>
      <c r="G995" s="10"/>
      <c r="H995" s="10"/>
      <c r="I995" s="10"/>
      <c r="J995" s="10"/>
      <c r="K995" s="10"/>
      <c r="L995" s="10"/>
    </row>
    <row r="996" hidden="1" spans="1:12">
      <c r="A996" s="71" t="s">
        <v>1134</v>
      </c>
      <c r="B996" s="10">
        <v>400502</v>
      </c>
      <c r="C996" s="10">
        <v>3</v>
      </c>
      <c r="D996" s="10" t="s">
        <v>38</v>
      </c>
      <c r="E996" s="10">
        <v>5.66666666666667</v>
      </c>
      <c r="F996" s="10">
        <v>0</v>
      </c>
      <c r="G996" s="10"/>
      <c r="H996" s="10"/>
      <c r="I996" s="10"/>
      <c r="J996" s="10"/>
      <c r="K996" s="10"/>
      <c r="L996" s="10"/>
    </row>
    <row r="997" hidden="1" spans="1:12">
      <c r="A997" s="71" t="s">
        <v>1135</v>
      </c>
      <c r="B997" s="10">
        <v>400502</v>
      </c>
      <c r="C997" s="10">
        <v>3</v>
      </c>
      <c r="D997" s="10" t="s">
        <v>40</v>
      </c>
      <c r="E997" s="10">
        <v>2.66666666666667</v>
      </c>
      <c r="F997" s="10">
        <v>0</v>
      </c>
      <c r="G997" s="10"/>
      <c r="H997" s="10"/>
      <c r="I997" s="10"/>
      <c r="J997" s="10"/>
      <c r="K997" s="10"/>
      <c r="L997" s="10"/>
    </row>
    <row r="998" hidden="1" spans="1:12">
      <c r="A998" s="71" t="s">
        <v>1136</v>
      </c>
      <c r="B998" s="10">
        <v>400502</v>
      </c>
      <c r="C998" s="10">
        <v>3</v>
      </c>
      <c r="D998" s="10" t="s">
        <v>42</v>
      </c>
      <c r="E998" s="10">
        <v>2.66666666666667</v>
      </c>
      <c r="F998" s="10">
        <v>0</v>
      </c>
      <c r="G998" s="10"/>
      <c r="H998" s="10"/>
      <c r="I998" s="10"/>
      <c r="J998" s="10"/>
      <c r="K998" s="10"/>
      <c r="L998" s="10"/>
    </row>
    <row r="999" hidden="1" spans="1:12">
      <c r="A999" s="71" t="s">
        <v>1137</v>
      </c>
      <c r="B999" s="10">
        <v>400502</v>
      </c>
      <c r="C999" s="10">
        <v>3</v>
      </c>
      <c r="D999" s="10" t="s">
        <v>44</v>
      </c>
      <c r="E999" s="10">
        <v>7.53333333333333</v>
      </c>
      <c r="F999" s="10">
        <v>0</v>
      </c>
      <c r="G999" s="10"/>
      <c r="H999" s="10"/>
      <c r="I999" s="10"/>
      <c r="J999" s="10"/>
      <c r="K999" s="10"/>
      <c r="L999" s="10"/>
    </row>
    <row r="1000" hidden="1" spans="1:12">
      <c r="A1000" s="71" t="s">
        <v>1138</v>
      </c>
      <c r="B1000" s="10">
        <v>400502</v>
      </c>
      <c r="C1000" s="10">
        <v>3</v>
      </c>
      <c r="D1000" s="10" t="s">
        <v>71</v>
      </c>
      <c r="E1000" s="10">
        <v>2.66666666666667</v>
      </c>
      <c r="F1000" s="10">
        <v>0</v>
      </c>
      <c r="G1000" s="10"/>
      <c r="H1000" s="10"/>
      <c r="I1000" s="10"/>
      <c r="J1000" s="10"/>
      <c r="K1000" s="10"/>
      <c r="L1000" s="10"/>
    </row>
    <row r="1001" hidden="1" spans="1:12">
      <c r="A1001" s="71" t="s">
        <v>1139</v>
      </c>
      <c r="B1001" s="10">
        <v>400502</v>
      </c>
      <c r="C1001" s="10">
        <v>3</v>
      </c>
      <c r="D1001" s="10" t="s">
        <v>86</v>
      </c>
      <c r="E1001" s="10">
        <v>2.66666666666667</v>
      </c>
      <c r="F1001" s="10">
        <v>0</v>
      </c>
      <c r="G1001" s="10"/>
      <c r="H1001" s="10"/>
      <c r="I1001" s="10"/>
      <c r="J1001" s="10"/>
      <c r="K1001" s="10"/>
      <c r="L1001" s="10"/>
    </row>
    <row r="1002" hidden="1" spans="1:12">
      <c r="A1002" s="71" t="s">
        <v>1140</v>
      </c>
      <c r="B1002" s="10">
        <v>400502</v>
      </c>
      <c r="C1002" s="10">
        <v>3</v>
      </c>
      <c r="D1002" s="10" t="s">
        <v>50</v>
      </c>
      <c r="E1002" s="10">
        <v>6.66666666666667</v>
      </c>
      <c r="F1002" s="10">
        <v>0</v>
      </c>
      <c r="G1002" s="10"/>
      <c r="H1002" s="10"/>
      <c r="I1002" s="10"/>
      <c r="J1002" s="10"/>
      <c r="K1002" s="10"/>
      <c r="L1002" s="10"/>
    </row>
    <row r="1003" hidden="1" spans="1:12">
      <c r="A1003" s="71" t="s">
        <v>1141</v>
      </c>
      <c r="B1003" s="10">
        <v>400502</v>
      </c>
      <c r="C1003" s="10">
        <v>3</v>
      </c>
      <c r="D1003" s="10" t="s">
        <v>90</v>
      </c>
      <c r="E1003" s="10">
        <v>3.5</v>
      </c>
      <c r="F1003" s="10">
        <v>0</v>
      </c>
      <c r="G1003" s="10"/>
      <c r="H1003" s="10"/>
      <c r="I1003" s="10"/>
      <c r="J1003" s="10"/>
      <c r="K1003" s="10"/>
      <c r="L1003" s="10"/>
    </row>
    <row r="1004" hidden="1" spans="1:12">
      <c r="A1004" s="71" t="s">
        <v>1142</v>
      </c>
      <c r="B1004" s="10">
        <v>400502</v>
      </c>
      <c r="C1004" s="10">
        <v>3</v>
      </c>
      <c r="D1004" s="10" t="s">
        <v>48</v>
      </c>
      <c r="E1004" s="10">
        <v>2.33333333333333</v>
      </c>
      <c r="F1004" s="10">
        <v>0</v>
      </c>
      <c r="G1004" s="10"/>
      <c r="H1004" s="10"/>
      <c r="I1004" s="10"/>
      <c r="J1004" s="10"/>
      <c r="K1004" s="10"/>
      <c r="L1004" s="10"/>
    </row>
    <row r="1005" hidden="1" spans="1:12">
      <c r="A1005" s="71" t="s">
        <v>1143</v>
      </c>
      <c r="B1005" s="10">
        <v>400502</v>
      </c>
      <c r="C1005" s="10">
        <v>3</v>
      </c>
      <c r="D1005" s="10" t="s">
        <v>92</v>
      </c>
      <c r="E1005" s="10">
        <v>2.26666666666667</v>
      </c>
      <c r="F1005" s="10">
        <v>0</v>
      </c>
      <c r="G1005" s="10">
        <v>0</v>
      </c>
      <c r="H1005" s="10">
        <v>2</v>
      </c>
      <c r="I1005" s="10">
        <v>888</v>
      </c>
      <c r="J1005" s="11" t="s">
        <v>58</v>
      </c>
      <c r="K1005" s="10">
        <v>0</v>
      </c>
      <c r="L1005" s="10"/>
    </row>
    <row r="1006" hidden="1" spans="1:9">
      <c r="A1006" s="42" t="s">
        <v>1144</v>
      </c>
      <c r="B1006" s="3">
        <v>401701</v>
      </c>
      <c r="C1006" s="10">
        <v>2</v>
      </c>
      <c r="D1006" t="s">
        <v>36</v>
      </c>
      <c r="E1006" s="11">
        <v>3.2</v>
      </c>
      <c r="F1006" s="11">
        <v>0</v>
      </c>
      <c r="G1006" s="11"/>
      <c r="I1006" s="11"/>
    </row>
    <row r="1007" hidden="1" spans="1:7">
      <c r="A1007" s="43" t="s">
        <v>1145</v>
      </c>
      <c r="B1007" s="3">
        <v>401701</v>
      </c>
      <c r="C1007" s="10">
        <v>2</v>
      </c>
      <c r="D1007" t="s">
        <v>38</v>
      </c>
      <c r="E1007" s="11">
        <v>1.33333333333333</v>
      </c>
      <c r="F1007" s="11">
        <v>0</v>
      </c>
      <c r="G1007" s="11"/>
    </row>
    <row r="1008" hidden="1" spans="1:7">
      <c r="A1008" s="42" t="s">
        <v>1146</v>
      </c>
      <c r="B1008" s="3">
        <v>401701</v>
      </c>
      <c r="C1008" s="10">
        <v>2</v>
      </c>
      <c r="D1008" t="s">
        <v>40</v>
      </c>
      <c r="E1008" s="11">
        <v>2.83333333333333</v>
      </c>
      <c r="F1008" s="11">
        <v>0</v>
      </c>
      <c r="G1008" s="11"/>
    </row>
    <row r="1009" hidden="1" spans="1:7">
      <c r="A1009" s="43" t="s">
        <v>1147</v>
      </c>
      <c r="B1009" s="3">
        <v>401701</v>
      </c>
      <c r="C1009" s="10">
        <v>2</v>
      </c>
      <c r="D1009" t="s">
        <v>42</v>
      </c>
      <c r="E1009" s="11">
        <v>3.93333333333333</v>
      </c>
      <c r="F1009" s="11">
        <v>0</v>
      </c>
      <c r="G1009" s="11"/>
    </row>
    <row r="1010" hidden="1" spans="1:7">
      <c r="A1010" s="42" t="s">
        <v>1148</v>
      </c>
      <c r="B1010" s="3">
        <v>401701</v>
      </c>
      <c r="C1010" s="10">
        <v>2</v>
      </c>
      <c r="D1010" t="s">
        <v>247</v>
      </c>
      <c r="E1010" s="11">
        <v>2.06666666666667</v>
      </c>
      <c r="F1010" s="11">
        <v>0</v>
      </c>
      <c r="G1010" s="11"/>
    </row>
    <row r="1011" hidden="1" spans="1:7">
      <c r="A1011" s="43" t="s">
        <v>1149</v>
      </c>
      <c r="B1011" s="38">
        <v>3058</v>
      </c>
      <c r="C1011" s="10">
        <v>2</v>
      </c>
      <c r="D1011" t="s">
        <v>44</v>
      </c>
      <c r="E1011" s="11">
        <v>10.6666666666667</v>
      </c>
      <c r="F1011" s="11">
        <v>0</v>
      </c>
      <c r="G1011" s="11"/>
    </row>
    <row r="1012" hidden="1" spans="1:7">
      <c r="A1012" s="42" t="s">
        <v>1150</v>
      </c>
      <c r="B1012" s="38">
        <v>3058</v>
      </c>
      <c r="C1012" s="10">
        <v>2</v>
      </c>
      <c r="D1012" t="s">
        <v>46</v>
      </c>
      <c r="E1012" s="11">
        <v>3.66666666666667</v>
      </c>
      <c r="F1012" s="11">
        <v>0</v>
      </c>
      <c r="G1012" s="11"/>
    </row>
    <row r="1013" hidden="1" spans="1:7">
      <c r="A1013" s="43" t="s">
        <v>1151</v>
      </c>
      <c r="B1013" s="38">
        <v>3058</v>
      </c>
      <c r="C1013" s="10">
        <v>2</v>
      </c>
      <c r="D1013" t="s">
        <v>86</v>
      </c>
      <c r="E1013" s="11">
        <v>1.33333333333333</v>
      </c>
      <c r="F1013" s="11">
        <v>0</v>
      </c>
      <c r="G1013" s="11"/>
    </row>
    <row r="1014" hidden="1" spans="1:7">
      <c r="A1014" s="43" t="s">
        <v>1152</v>
      </c>
      <c r="B1014" s="38">
        <v>3058</v>
      </c>
      <c r="C1014" s="10">
        <v>2</v>
      </c>
      <c r="D1014" t="s">
        <v>252</v>
      </c>
      <c r="E1014" s="11">
        <v>2.73333333333333</v>
      </c>
      <c r="F1014" s="11">
        <v>0</v>
      </c>
      <c r="G1014" s="11"/>
    </row>
    <row r="1015" hidden="1" spans="1:6">
      <c r="A1015" s="57" t="s">
        <v>1153</v>
      </c>
      <c r="B1015" s="3">
        <v>404701</v>
      </c>
      <c r="C1015">
        <v>3</v>
      </c>
      <c r="D1015" t="s">
        <v>36</v>
      </c>
      <c r="E1015">
        <v>2.6</v>
      </c>
      <c r="F1015">
        <v>0</v>
      </c>
    </row>
    <row r="1016" hidden="1" spans="1:6">
      <c r="A1016" s="57" t="s">
        <v>1154</v>
      </c>
      <c r="B1016" s="3">
        <v>404701</v>
      </c>
      <c r="C1016">
        <v>3</v>
      </c>
      <c r="D1016" t="s">
        <v>38</v>
      </c>
      <c r="E1016">
        <v>2.33333333333333</v>
      </c>
      <c r="F1016">
        <v>0</v>
      </c>
    </row>
    <row r="1017" hidden="1" spans="1:6">
      <c r="A1017" s="57" t="s">
        <v>1155</v>
      </c>
      <c r="B1017" s="3">
        <v>404701</v>
      </c>
      <c r="C1017">
        <v>3</v>
      </c>
      <c r="D1017" t="s">
        <v>40</v>
      </c>
      <c r="E1017">
        <v>5</v>
      </c>
      <c r="F1017">
        <v>0</v>
      </c>
    </row>
    <row r="1018" hidden="1" spans="1:6">
      <c r="A1018" s="57" t="s">
        <v>1156</v>
      </c>
      <c r="B1018" s="3">
        <v>404701</v>
      </c>
      <c r="C1018">
        <v>3</v>
      </c>
      <c r="D1018" t="s">
        <v>42</v>
      </c>
      <c r="E1018">
        <v>5.76666666666667</v>
      </c>
      <c r="F1018">
        <v>0</v>
      </c>
    </row>
    <row r="1019" hidden="1" spans="1:6">
      <c r="A1019" s="57" t="s">
        <v>1157</v>
      </c>
      <c r="B1019" s="3">
        <v>404701</v>
      </c>
      <c r="C1019">
        <v>3</v>
      </c>
      <c r="D1019" t="s">
        <v>44</v>
      </c>
      <c r="E1019">
        <v>3.76666666666667</v>
      </c>
      <c r="F1019">
        <v>0</v>
      </c>
    </row>
    <row r="1020" hidden="1" spans="1:6">
      <c r="A1020" s="57" t="s">
        <v>1158</v>
      </c>
      <c r="B1020" s="3">
        <v>404701</v>
      </c>
      <c r="C1020">
        <v>3</v>
      </c>
      <c r="D1020" t="s">
        <v>46</v>
      </c>
      <c r="E1020">
        <v>2.16666666666667</v>
      </c>
      <c r="F1020">
        <v>0</v>
      </c>
    </row>
    <row r="1021" hidden="1" spans="1:6">
      <c r="A1021" s="57" t="s">
        <v>1159</v>
      </c>
      <c r="B1021" s="3">
        <v>404701</v>
      </c>
      <c r="C1021">
        <v>3</v>
      </c>
      <c r="D1021" t="s">
        <v>86</v>
      </c>
      <c r="E1021">
        <v>4.66666666666667</v>
      </c>
      <c r="F1021">
        <v>0</v>
      </c>
    </row>
    <row r="1022" hidden="1" spans="1:6">
      <c r="A1022" s="57" t="s">
        <v>1160</v>
      </c>
      <c r="B1022" s="3">
        <v>404701</v>
      </c>
      <c r="C1022">
        <v>3</v>
      </c>
      <c r="D1022" t="s">
        <v>50</v>
      </c>
      <c r="E1022">
        <v>7.33333333333333</v>
      </c>
      <c r="F1022">
        <v>0</v>
      </c>
    </row>
    <row r="1023" hidden="1" spans="1:11">
      <c r="A1023" s="2" t="s">
        <v>1161</v>
      </c>
      <c r="B1023" s="3">
        <v>404701</v>
      </c>
      <c r="C1023">
        <v>3</v>
      </c>
      <c r="D1023" t="s">
        <v>385</v>
      </c>
      <c r="E1023">
        <v>9</v>
      </c>
      <c r="F1023">
        <v>0</v>
      </c>
      <c r="G1023" t="s">
        <v>61</v>
      </c>
      <c r="H1023" t="s">
        <v>95</v>
      </c>
      <c r="I1023" t="s">
        <v>555</v>
      </c>
      <c r="J1023" t="s">
        <v>556</v>
      </c>
      <c r="K1023" t="s">
        <v>95</v>
      </c>
    </row>
    <row r="1024" hidden="1" spans="1:11">
      <c r="A1024" s="2" t="s">
        <v>1162</v>
      </c>
      <c r="B1024" s="3">
        <v>404701</v>
      </c>
      <c r="C1024">
        <v>3</v>
      </c>
      <c r="D1024" t="s">
        <v>558</v>
      </c>
      <c r="E1024">
        <v>13.6666666666667</v>
      </c>
      <c r="F1024">
        <v>0</v>
      </c>
      <c r="G1024">
        <v>0</v>
      </c>
      <c r="H1024">
        <v>1</v>
      </c>
      <c r="I1024">
        <v>904</v>
      </c>
      <c r="J1024" t="s">
        <v>58</v>
      </c>
      <c r="K1024">
        <v>1</v>
      </c>
    </row>
    <row r="1025" hidden="1" spans="1:11">
      <c r="A1025" s="2" t="s">
        <v>1163</v>
      </c>
      <c r="B1025" s="3">
        <v>404701</v>
      </c>
      <c r="C1025">
        <v>3</v>
      </c>
      <c r="D1025" t="s">
        <v>272</v>
      </c>
      <c r="E1025">
        <v>2</v>
      </c>
      <c r="F1025">
        <v>0</v>
      </c>
      <c r="G1025">
        <v>0</v>
      </c>
      <c r="H1025">
        <v>2</v>
      </c>
      <c r="I1025">
        <v>987</v>
      </c>
      <c r="J1025" t="s">
        <v>58</v>
      </c>
      <c r="K1025">
        <v>1</v>
      </c>
    </row>
    <row r="1026" hidden="1" spans="1:11">
      <c r="A1026" s="2" t="s">
        <v>1164</v>
      </c>
      <c r="B1026" s="3">
        <v>404701</v>
      </c>
      <c r="C1026">
        <v>3</v>
      </c>
      <c r="D1026" t="s">
        <v>60</v>
      </c>
      <c r="E1026">
        <v>2.5</v>
      </c>
      <c r="F1026">
        <v>0</v>
      </c>
      <c r="G1026">
        <v>0</v>
      </c>
      <c r="H1026">
        <v>2</v>
      </c>
      <c r="I1026">
        <v>956</v>
      </c>
      <c r="J1026" t="s">
        <v>58</v>
      </c>
      <c r="K1026">
        <v>0</v>
      </c>
    </row>
    <row r="1027" hidden="1" spans="1:11">
      <c r="A1027" s="2" t="s">
        <v>1165</v>
      </c>
      <c r="B1027" s="3">
        <v>30010</v>
      </c>
      <c r="C1027">
        <v>3</v>
      </c>
      <c r="D1027" t="s">
        <v>218</v>
      </c>
      <c r="E1027">
        <v>1.66666666666667</v>
      </c>
      <c r="F1027">
        <v>0</v>
      </c>
      <c r="G1027" t="s">
        <v>1166</v>
      </c>
      <c r="H1027" t="s">
        <v>1167</v>
      </c>
      <c r="I1027" t="s">
        <v>1168</v>
      </c>
      <c r="J1027" t="s">
        <v>1169</v>
      </c>
      <c r="K1027" t="s">
        <v>942</v>
      </c>
    </row>
    <row r="1028" hidden="1" spans="1:6">
      <c r="A1028" s="2" t="s">
        <v>1170</v>
      </c>
      <c r="B1028" s="3">
        <v>1175</v>
      </c>
      <c r="C1028">
        <v>3</v>
      </c>
      <c r="D1028" t="s">
        <v>36</v>
      </c>
      <c r="E1028">
        <f>63/30</f>
        <v>2.1</v>
      </c>
      <c r="F1028">
        <v>0</v>
      </c>
    </row>
    <row r="1029" hidden="1" spans="1:6">
      <c r="A1029" s="2" t="s">
        <v>1171</v>
      </c>
      <c r="B1029" s="3">
        <v>1175</v>
      </c>
      <c r="C1029">
        <v>3</v>
      </c>
      <c r="D1029" t="s">
        <v>38</v>
      </c>
      <c r="E1029">
        <f>85/30</f>
        <v>2.83333333333333</v>
      </c>
      <c r="F1029">
        <v>0</v>
      </c>
    </row>
    <row r="1030" hidden="1" spans="1:6">
      <c r="A1030" s="2" t="s">
        <v>1172</v>
      </c>
      <c r="B1030" s="3">
        <v>1175</v>
      </c>
      <c r="C1030">
        <v>3</v>
      </c>
      <c r="D1030" t="s">
        <v>40</v>
      </c>
      <c r="E1030">
        <f>81/30</f>
        <v>2.7</v>
      </c>
      <c r="F1030">
        <v>0</v>
      </c>
    </row>
    <row r="1031" hidden="1" spans="1:6">
      <c r="A1031" s="2" t="s">
        <v>1173</v>
      </c>
      <c r="B1031" s="3">
        <v>1176</v>
      </c>
      <c r="C1031">
        <v>3</v>
      </c>
      <c r="D1031" t="s">
        <v>36</v>
      </c>
      <c r="E1031">
        <f>54/30</f>
        <v>1.8</v>
      </c>
      <c r="F1031">
        <v>0</v>
      </c>
    </row>
    <row r="1032" hidden="1" spans="1:6">
      <c r="A1032" s="2" t="s">
        <v>1174</v>
      </c>
      <c r="B1032" s="3">
        <v>1176</v>
      </c>
      <c r="C1032">
        <v>3</v>
      </c>
      <c r="D1032" t="s">
        <v>38</v>
      </c>
      <c r="E1032">
        <f>50/30</f>
        <v>1.66666666666667</v>
      </c>
      <c r="F1032">
        <v>0</v>
      </c>
    </row>
    <row r="1033" hidden="1" spans="1:6">
      <c r="A1033" s="2" t="s">
        <v>1175</v>
      </c>
      <c r="B1033" s="3">
        <v>1176</v>
      </c>
      <c r="C1033">
        <v>3</v>
      </c>
      <c r="D1033" t="s">
        <v>40</v>
      </c>
      <c r="E1033">
        <f>55/30</f>
        <v>1.83333333333333</v>
      </c>
      <c r="F1033">
        <v>0</v>
      </c>
    </row>
    <row r="1034" hidden="1" spans="1:6">
      <c r="A1034" s="2" t="s">
        <v>1176</v>
      </c>
      <c r="B1034" s="3">
        <v>1176</v>
      </c>
      <c r="C1034">
        <v>3</v>
      </c>
      <c r="D1034" t="s">
        <v>42</v>
      </c>
      <c r="E1034">
        <f>53/30</f>
        <v>1.76666666666667</v>
      </c>
      <c r="F1034">
        <v>0</v>
      </c>
    </row>
    <row r="1035" hidden="1" spans="1:6">
      <c r="A1035" s="2" t="s">
        <v>1177</v>
      </c>
      <c r="B1035" s="3">
        <v>1176</v>
      </c>
      <c r="C1035">
        <v>3</v>
      </c>
      <c r="D1035" t="s">
        <v>44</v>
      </c>
      <c r="E1035">
        <f>75/30</f>
        <v>2.5</v>
      </c>
      <c r="F1035">
        <v>0</v>
      </c>
    </row>
    <row r="1036" hidden="1" spans="1:6">
      <c r="A1036" s="2" t="s">
        <v>1178</v>
      </c>
      <c r="B1036" s="3">
        <v>1177</v>
      </c>
      <c r="C1036">
        <v>3</v>
      </c>
      <c r="D1036" t="s">
        <v>36</v>
      </c>
      <c r="E1036">
        <f>75/30</f>
        <v>2.5</v>
      </c>
      <c r="F1036">
        <v>0</v>
      </c>
    </row>
    <row r="1037" hidden="1" spans="1:6">
      <c r="A1037" s="2" t="s">
        <v>1179</v>
      </c>
      <c r="B1037" s="3">
        <v>1177</v>
      </c>
      <c r="C1037">
        <v>3</v>
      </c>
      <c r="D1037" t="s">
        <v>38</v>
      </c>
      <c r="E1037">
        <f>60/30</f>
        <v>2</v>
      </c>
      <c r="F1037">
        <v>0</v>
      </c>
    </row>
    <row r="1038" hidden="1" spans="1:6">
      <c r="A1038" s="2" t="s">
        <v>1180</v>
      </c>
      <c r="B1038" s="3">
        <v>1177</v>
      </c>
      <c r="C1038">
        <v>3</v>
      </c>
      <c r="D1038" t="s">
        <v>40</v>
      </c>
      <c r="E1038">
        <f>89/30</f>
        <v>2.96666666666667</v>
      </c>
      <c r="F1038">
        <v>0</v>
      </c>
    </row>
    <row r="1039" hidden="1" spans="1:6">
      <c r="A1039" s="2" t="s">
        <v>1181</v>
      </c>
      <c r="B1039" s="3">
        <v>1177</v>
      </c>
      <c r="C1039">
        <v>3</v>
      </c>
      <c r="D1039" t="s">
        <v>42</v>
      </c>
      <c r="E1039">
        <f>63/30</f>
        <v>2.1</v>
      </c>
      <c r="F1039">
        <v>0</v>
      </c>
    </row>
    <row r="1040" hidden="1" spans="1:6">
      <c r="A1040" s="2" t="s">
        <v>1182</v>
      </c>
      <c r="B1040" s="3">
        <v>1178</v>
      </c>
      <c r="C1040">
        <v>3</v>
      </c>
      <c r="D1040" t="s">
        <v>36</v>
      </c>
      <c r="E1040">
        <f>85/30</f>
        <v>2.83333333333333</v>
      </c>
      <c r="F1040">
        <v>0</v>
      </c>
    </row>
    <row r="1041" hidden="1" spans="1:6">
      <c r="A1041" s="2" t="s">
        <v>1183</v>
      </c>
      <c r="B1041" s="3">
        <v>1178</v>
      </c>
      <c r="C1041">
        <v>3</v>
      </c>
      <c r="D1041" t="s">
        <v>38</v>
      </c>
      <c r="E1041">
        <f>90/30</f>
        <v>3</v>
      </c>
      <c r="F1041">
        <v>0</v>
      </c>
    </row>
    <row r="1042" hidden="1" spans="1:6">
      <c r="A1042" s="2" t="s">
        <v>1184</v>
      </c>
      <c r="B1042" s="3">
        <v>1178</v>
      </c>
      <c r="C1042">
        <v>3</v>
      </c>
      <c r="D1042" t="s">
        <v>40</v>
      </c>
      <c r="E1042">
        <f>85/30</f>
        <v>2.83333333333333</v>
      </c>
      <c r="F1042">
        <v>0</v>
      </c>
    </row>
    <row r="1043" hidden="1" spans="1:6">
      <c r="A1043" s="2" t="s">
        <v>1185</v>
      </c>
      <c r="B1043" s="3">
        <v>1178</v>
      </c>
      <c r="C1043">
        <v>3</v>
      </c>
      <c r="D1043" t="s">
        <v>42</v>
      </c>
      <c r="E1043">
        <f>85/30</f>
        <v>2.83333333333333</v>
      </c>
      <c r="F1043">
        <v>0</v>
      </c>
    </row>
    <row r="1044" hidden="1" spans="1:6">
      <c r="A1044" s="2" t="s">
        <v>1186</v>
      </c>
      <c r="B1044" s="3">
        <v>1178</v>
      </c>
      <c r="C1044">
        <v>3</v>
      </c>
      <c r="D1044" t="s">
        <v>44</v>
      </c>
      <c r="E1044">
        <f>70/30</f>
        <v>2.33333333333333</v>
      </c>
      <c r="F1044">
        <v>0</v>
      </c>
    </row>
    <row r="1045" hidden="1" spans="1:6">
      <c r="A1045" s="2" t="s">
        <v>1187</v>
      </c>
      <c r="B1045" s="3">
        <v>1178</v>
      </c>
      <c r="C1045">
        <v>3</v>
      </c>
      <c r="D1045" t="s">
        <v>46</v>
      </c>
      <c r="E1045">
        <f>100/30</f>
        <v>3.33333333333333</v>
      </c>
      <c r="F1045">
        <v>0</v>
      </c>
    </row>
    <row r="1046" hidden="1" spans="1:6">
      <c r="A1046" s="2" t="s">
        <v>1188</v>
      </c>
      <c r="B1046" s="3">
        <v>1179</v>
      </c>
      <c r="C1046">
        <v>3</v>
      </c>
      <c r="D1046" t="s">
        <v>36</v>
      </c>
      <c r="E1046">
        <f>60/30</f>
        <v>2</v>
      </c>
      <c r="F1046">
        <v>0</v>
      </c>
    </row>
    <row r="1047" hidden="1" spans="1:6">
      <c r="A1047" s="2" t="s">
        <v>1189</v>
      </c>
      <c r="B1047" s="3">
        <v>1179</v>
      </c>
      <c r="C1047">
        <v>3</v>
      </c>
      <c r="D1047" t="s">
        <v>38</v>
      </c>
      <c r="E1047">
        <f>75/30</f>
        <v>2.5</v>
      </c>
      <c r="F1047">
        <v>0</v>
      </c>
    </row>
    <row r="1048" hidden="1" spans="1:6">
      <c r="A1048" s="2" t="s">
        <v>1190</v>
      </c>
      <c r="B1048" s="3">
        <v>1179</v>
      </c>
      <c r="C1048">
        <v>3</v>
      </c>
      <c r="D1048" t="s">
        <v>40</v>
      </c>
      <c r="E1048">
        <f>105/30</f>
        <v>3.5</v>
      </c>
      <c r="F1048">
        <v>0</v>
      </c>
    </row>
    <row r="1049" hidden="1" spans="1:6">
      <c r="A1049" s="2" t="s">
        <v>1191</v>
      </c>
      <c r="B1049" s="3">
        <v>1179</v>
      </c>
      <c r="C1049">
        <v>3</v>
      </c>
      <c r="D1049" t="s">
        <v>42</v>
      </c>
      <c r="E1049">
        <f>105/30</f>
        <v>3.5</v>
      </c>
      <c r="F1049">
        <v>0</v>
      </c>
    </row>
    <row r="1050" hidden="1" spans="1:6">
      <c r="A1050" s="2" t="s">
        <v>1192</v>
      </c>
      <c r="B1050" s="3">
        <v>1179</v>
      </c>
      <c r="C1050">
        <v>3</v>
      </c>
      <c r="D1050" t="s">
        <v>44</v>
      </c>
      <c r="E1050">
        <f>65/30</f>
        <v>2.16666666666667</v>
      </c>
      <c r="F1050">
        <v>0</v>
      </c>
    </row>
    <row r="1051" hidden="1" spans="1:6">
      <c r="A1051" s="5" t="s">
        <v>1193</v>
      </c>
      <c r="B1051" s="54">
        <v>1021</v>
      </c>
      <c r="C1051">
        <v>3</v>
      </c>
      <c r="D1051" t="s">
        <v>38</v>
      </c>
      <c r="E1051">
        <f>90/30</f>
        <v>3</v>
      </c>
      <c r="F1051">
        <v>0</v>
      </c>
    </row>
    <row r="1052" hidden="1" spans="1:6">
      <c r="A1052" s="5" t="s">
        <v>1194</v>
      </c>
      <c r="B1052" s="54">
        <v>1023</v>
      </c>
      <c r="C1052">
        <v>3</v>
      </c>
      <c r="D1052" t="s">
        <v>38</v>
      </c>
      <c r="E1052">
        <f>90/30</f>
        <v>3</v>
      </c>
      <c r="F1052">
        <v>0</v>
      </c>
    </row>
    <row r="1053" hidden="1" spans="1:6">
      <c r="A1053" s="5" t="s">
        <v>1195</v>
      </c>
      <c r="B1053" s="54">
        <v>1026</v>
      </c>
      <c r="C1053">
        <v>3</v>
      </c>
      <c r="D1053" t="s">
        <v>38</v>
      </c>
      <c r="E1053">
        <f>110/30</f>
        <v>3.66666666666667</v>
      </c>
      <c r="F1053">
        <v>0</v>
      </c>
    </row>
    <row r="1054" hidden="1" spans="1:6">
      <c r="A1054" s="5" t="s">
        <v>1196</v>
      </c>
      <c r="B1054" s="54">
        <v>1091</v>
      </c>
      <c r="C1054">
        <v>3</v>
      </c>
      <c r="D1054" t="s">
        <v>38</v>
      </c>
      <c r="E1054">
        <f>80/30</f>
        <v>2.66666666666667</v>
      </c>
      <c r="F1054">
        <v>0</v>
      </c>
    </row>
    <row r="1055" hidden="1" spans="1:6">
      <c r="A1055" s="5" t="s">
        <v>1197</v>
      </c>
      <c r="B1055" s="54">
        <v>1103</v>
      </c>
      <c r="C1055">
        <v>3</v>
      </c>
      <c r="D1055" t="s">
        <v>38</v>
      </c>
      <c r="E1055">
        <f>60/30</f>
        <v>2</v>
      </c>
      <c r="F1055">
        <v>0</v>
      </c>
    </row>
    <row r="1056" hidden="1" spans="1:6">
      <c r="A1056" s="2" t="s">
        <v>1198</v>
      </c>
      <c r="B1056" s="3">
        <v>65</v>
      </c>
      <c r="C1056">
        <v>3</v>
      </c>
      <c r="D1056" t="s">
        <v>36</v>
      </c>
      <c r="E1056">
        <f>125/30</f>
        <v>4.16666666666667</v>
      </c>
      <c r="F1056">
        <v>0</v>
      </c>
    </row>
    <row r="1057" hidden="1" spans="1:6">
      <c r="A1057" s="2" t="s">
        <v>1199</v>
      </c>
      <c r="B1057" s="3">
        <v>65</v>
      </c>
      <c r="C1057">
        <v>3</v>
      </c>
      <c r="D1057" t="s">
        <v>38</v>
      </c>
      <c r="E1057">
        <f>85/30</f>
        <v>2.83333333333333</v>
      </c>
      <c r="F1057">
        <v>0</v>
      </c>
    </row>
    <row r="1058" hidden="1" spans="1:6">
      <c r="A1058" s="2" t="s">
        <v>1200</v>
      </c>
      <c r="B1058" s="3">
        <v>65</v>
      </c>
      <c r="C1058">
        <v>3</v>
      </c>
      <c r="D1058" t="s">
        <v>40</v>
      </c>
      <c r="E1058">
        <f>155/30</f>
        <v>5.16666666666667</v>
      </c>
      <c r="F1058">
        <v>0</v>
      </c>
    </row>
    <row r="1059" hidden="1" spans="1:6">
      <c r="A1059" s="2" t="s">
        <v>1201</v>
      </c>
      <c r="B1059" s="3">
        <v>65</v>
      </c>
      <c r="C1059">
        <v>3</v>
      </c>
      <c r="D1059" t="s">
        <v>42</v>
      </c>
      <c r="E1059">
        <f>130/30</f>
        <v>4.33333333333333</v>
      </c>
      <c r="F1059">
        <v>0</v>
      </c>
    </row>
    <row r="1060" hidden="1" spans="1:6">
      <c r="A1060" s="2" t="s">
        <v>1202</v>
      </c>
      <c r="B1060" s="3">
        <v>65</v>
      </c>
      <c r="C1060">
        <v>3</v>
      </c>
      <c r="D1060" t="s">
        <v>44</v>
      </c>
      <c r="E1060">
        <f>170/30</f>
        <v>5.66666666666667</v>
      </c>
      <c r="F1060">
        <v>0</v>
      </c>
    </row>
    <row r="1061" hidden="1" spans="1:6">
      <c r="A1061" s="2" t="s">
        <v>1203</v>
      </c>
      <c r="B1061" s="3">
        <v>65</v>
      </c>
      <c r="C1061">
        <v>3</v>
      </c>
      <c r="D1061" t="s">
        <v>46</v>
      </c>
      <c r="E1061">
        <f>256/30</f>
        <v>8.53333333333333</v>
      </c>
      <c r="F1061">
        <v>0</v>
      </c>
    </row>
    <row r="1062" hidden="1" spans="1:12">
      <c r="A1062" s="2" t="s">
        <v>1204</v>
      </c>
      <c r="B1062" s="3">
        <v>65</v>
      </c>
      <c r="C1062">
        <v>3</v>
      </c>
      <c r="D1062" t="s">
        <v>86</v>
      </c>
      <c r="E1062">
        <f>390/30</f>
        <v>13</v>
      </c>
      <c r="F1062">
        <v>0</v>
      </c>
      <c r="L1062" s="80" t="s">
        <v>1205</v>
      </c>
    </row>
    <row r="1063" hidden="1" spans="1:6">
      <c r="A1063" s="2" t="s">
        <v>1206</v>
      </c>
      <c r="B1063" s="3">
        <v>65</v>
      </c>
      <c r="C1063">
        <v>3</v>
      </c>
      <c r="D1063" t="s">
        <v>50</v>
      </c>
      <c r="E1063">
        <f>515/30</f>
        <v>17.1666666666667</v>
      </c>
      <c r="F1063">
        <v>0</v>
      </c>
    </row>
    <row r="1064" hidden="1" spans="1:6">
      <c r="A1064" s="2" t="s">
        <v>1207</v>
      </c>
      <c r="B1064" s="3">
        <v>66</v>
      </c>
      <c r="C1064">
        <v>3</v>
      </c>
      <c r="D1064" t="s">
        <v>36</v>
      </c>
      <c r="E1064">
        <f>95/30</f>
        <v>3.16666666666667</v>
      </c>
      <c r="F1064">
        <v>0</v>
      </c>
    </row>
    <row r="1065" hidden="1" spans="1:6">
      <c r="A1065" s="2" t="s">
        <v>1208</v>
      </c>
      <c r="B1065" s="3">
        <v>66</v>
      </c>
      <c r="C1065">
        <v>3</v>
      </c>
      <c r="D1065" t="s">
        <v>38</v>
      </c>
      <c r="E1065">
        <f>90/30</f>
        <v>3</v>
      </c>
      <c r="F1065">
        <v>0</v>
      </c>
    </row>
    <row r="1066" hidden="1" spans="1:6">
      <c r="A1066" s="2" t="s">
        <v>1209</v>
      </c>
      <c r="B1066" s="3">
        <v>66</v>
      </c>
      <c r="C1066">
        <v>3</v>
      </c>
      <c r="D1066" t="s">
        <v>40</v>
      </c>
      <c r="E1066">
        <f>81/30</f>
        <v>2.7</v>
      </c>
      <c r="F1066">
        <v>0</v>
      </c>
    </row>
    <row r="1067" hidden="1" spans="1:6">
      <c r="A1067" s="2" t="s">
        <v>1210</v>
      </c>
      <c r="B1067" s="3">
        <v>66</v>
      </c>
      <c r="C1067">
        <v>3</v>
      </c>
      <c r="D1067" t="s">
        <v>42</v>
      </c>
      <c r="E1067">
        <f>80/30</f>
        <v>2.66666666666667</v>
      </c>
      <c r="F1067">
        <v>0</v>
      </c>
    </row>
    <row r="1068" hidden="1" spans="1:6">
      <c r="A1068" s="2" t="s">
        <v>1211</v>
      </c>
      <c r="B1068" s="3">
        <v>66</v>
      </c>
      <c r="C1068">
        <v>3</v>
      </c>
      <c r="D1068" t="s">
        <v>44</v>
      </c>
      <c r="E1068">
        <f>65/30</f>
        <v>2.16666666666667</v>
      </c>
      <c r="F1068">
        <v>0</v>
      </c>
    </row>
    <row r="1069" hidden="1" spans="1:6">
      <c r="A1069" s="2" t="s">
        <v>1212</v>
      </c>
      <c r="B1069" s="3">
        <v>66</v>
      </c>
      <c r="C1069">
        <v>3</v>
      </c>
      <c r="D1069" t="s">
        <v>46</v>
      </c>
      <c r="E1069">
        <f>275/30</f>
        <v>9.16666666666667</v>
      </c>
      <c r="F1069">
        <v>0</v>
      </c>
    </row>
    <row r="1070" hidden="1" spans="1:6">
      <c r="A1070" s="2" t="s">
        <v>1213</v>
      </c>
      <c r="B1070" s="3">
        <v>66</v>
      </c>
      <c r="C1070">
        <v>3</v>
      </c>
      <c r="D1070" t="s">
        <v>86</v>
      </c>
      <c r="E1070">
        <f>200/30</f>
        <v>6.66666666666667</v>
      </c>
      <c r="F1070">
        <v>0</v>
      </c>
    </row>
    <row r="1071" hidden="1" spans="1:6">
      <c r="A1071" s="2" t="s">
        <v>1214</v>
      </c>
      <c r="B1071" s="3">
        <v>66</v>
      </c>
      <c r="C1071">
        <v>3</v>
      </c>
      <c r="D1071" t="s">
        <v>50</v>
      </c>
      <c r="E1071">
        <v>14</v>
      </c>
      <c r="F1071">
        <v>0</v>
      </c>
    </row>
    <row r="1072" hidden="1" spans="1:6">
      <c r="A1072" s="2" t="s">
        <v>1215</v>
      </c>
      <c r="B1072" s="3">
        <v>30012</v>
      </c>
      <c r="C1072">
        <v>3</v>
      </c>
      <c r="D1072" t="s">
        <v>90</v>
      </c>
      <c r="E1072">
        <f>95/30</f>
        <v>3.16666666666667</v>
      </c>
      <c r="F1072">
        <v>0</v>
      </c>
    </row>
    <row r="1073" hidden="1" spans="1:6">
      <c r="A1073" s="2" t="s">
        <v>1216</v>
      </c>
      <c r="B1073" s="3">
        <v>30012</v>
      </c>
      <c r="C1073">
        <v>3</v>
      </c>
      <c r="D1073" t="s">
        <v>48</v>
      </c>
      <c r="E1073">
        <f>75/30</f>
        <v>2.5</v>
      </c>
      <c r="F1073">
        <v>0</v>
      </c>
    </row>
    <row r="1074" hidden="1" spans="1:6">
      <c r="A1074" s="2" t="s">
        <v>1217</v>
      </c>
      <c r="B1074" s="3">
        <v>30012</v>
      </c>
      <c r="C1074">
        <v>3</v>
      </c>
      <c r="D1074" t="s">
        <v>52</v>
      </c>
      <c r="E1074">
        <f>68/30</f>
        <v>2.26666666666667</v>
      </c>
      <c r="F1074">
        <v>0</v>
      </c>
    </row>
    <row r="1075" hidden="1" spans="1:6">
      <c r="A1075" s="2" t="s">
        <v>1218</v>
      </c>
      <c r="B1075" s="3">
        <v>30012</v>
      </c>
      <c r="C1075">
        <v>3</v>
      </c>
      <c r="D1075" t="s">
        <v>140</v>
      </c>
      <c r="E1075">
        <f>75/30</f>
        <v>2.5</v>
      </c>
      <c r="F1075">
        <v>0</v>
      </c>
    </row>
    <row r="1076" hidden="1" spans="1:6">
      <c r="A1076" s="2" t="s">
        <v>1219</v>
      </c>
      <c r="B1076" s="3">
        <v>30012</v>
      </c>
      <c r="C1076">
        <v>3</v>
      </c>
      <c r="D1076" t="s">
        <v>133</v>
      </c>
      <c r="E1076">
        <f>75/30</f>
        <v>2.5</v>
      </c>
      <c r="F1076">
        <v>0</v>
      </c>
    </row>
    <row r="1077" hidden="1" spans="1:6">
      <c r="A1077" s="2" t="s">
        <v>1220</v>
      </c>
      <c r="B1077" s="3">
        <v>30013</v>
      </c>
      <c r="C1077">
        <v>3</v>
      </c>
      <c r="D1077" t="s">
        <v>36</v>
      </c>
      <c r="E1077">
        <f>435/30</f>
        <v>14.5</v>
      </c>
      <c r="F1077">
        <v>0</v>
      </c>
    </row>
    <row r="1078" hidden="1" spans="1:13">
      <c r="A1078" s="71" t="s">
        <v>1221</v>
      </c>
      <c r="B1078" s="10">
        <v>400503</v>
      </c>
      <c r="C1078" s="10">
        <v>3</v>
      </c>
      <c r="D1078" s="10" t="s">
        <v>36</v>
      </c>
      <c r="E1078" s="10">
        <v>2.83333333333333</v>
      </c>
      <c r="F1078" s="10">
        <v>0</v>
      </c>
      <c r="G1078" s="10"/>
      <c r="H1078" s="10"/>
      <c r="I1078" s="10"/>
      <c r="J1078" s="10"/>
      <c r="K1078" s="10"/>
      <c r="L1078" s="10"/>
      <c r="M1078" s="10"/>
    </row>
    <row r="1079" hidden="1" spans="1:13">
      <c r="A1079" s="71" t="s">
        <v>1222</v>
      </c>
      <c r="B1079" s="10">
        <v>400503</v>
      </c>
      <c r="C1079" s="10">
        <v>3</v>
      </c>
      <c r="D1079" s="10" t="s">
        <v>38</v>
      </c>
      <c r="E1079" s="10">
        <v>5.66666666666667</v>
      </c>
      <c r="F1079" s="10">
        <v>0</v>
      </c>
      <c r="G1079" s="10"/>
      <c r="H1079" s="10"/>
      <c r="I1079" s="10"/>
      <c r="J1079" s="10"/>
      <c r="K1079" s="10"/>
      <c r="L1079" s="10"/>
      <c r="M1079" s="10"/>
    </row>
    <row r="1080" hidden="1" spans="1:13">
      <c r="A1080" s="71" t="s">
        <v>1223</v>
      </c>
      <c r="B1080" s="10">
        <v>400503</v>
      </c>
      <c r="C1080" s="10">
        <v>3</v>
      </c>
      <c r="D1080" s="10" t="s">
        <v>40</v>
      </c>
      <c r="E1080" s="10">
        <v>2.66666666666667</v>
      </c>
      <c r="F1080" s="10">
        <v>0</v>
      </c>
      <c r="G1080" s="10"/>
      <c r="H1080" s="10"/>
      <c r="I1080" s="10"/>
      <c r="J1080" s="10"/>
      <c r="K1080" s="10"/>
      <c r="L1080" s="10"/>
      <c r="M1080" s="10"/>
    </row>
    <row r="1081" hidden="1" spans="1:13">
      <c r="A1081" s="71" t="s">
        <v>1224</v>
      </c>
      <c r="B1081" s="10">
        <v>400503</v>
      </c>
      <c r="C1081" s="10">
        <v>3</v>
      </c>
      <c r="D1081" s="10" t="s">
        <v>42</v>
      </c>
      <c r="E1081" s="10">
        <v>2.66666666666667</v>
      </c>
      <c r="F1081" s="10">
        <v>0</v>
      </c>
      <c r="G1081" s="10"/>
      <c r="H1081" s="10"/>
      <c r="I1081" s="10"/>
      <c r="J1081" s="10"/>
      <c r="K1081" s="10"/>
      <c r="L1081" s="10"/>
      <c r="M1081" s="10"/>
    </row>
    <row r="1082" hidden="1" spans="1:13">
      <c r="A1082" s="71" t="s">
        <v>1225</v>
      </c>
      <c r="B1082" s="10">
        <v>400503</v>
      </c>
      <c r="C1082" s="10">
        <v>3</v>
      </c>
      <c r="D1082" s="10" t="s">
        <v>44</v>
      </c>
      <c r="E1082" s="10">
        <v>7.53333333333333</v>
      </c>
      <c r="F1082" s="10">
        <v>0</v>
      </c>
      <c r="G1082" s="10"/>
      <c r="H1082" s="10"/>
      <c r="I1082" s="10"/>
      <c r="J1082" s="10"/>
      <c r="K1082" s="10"/>
      <c r="L1082" s="10"/>
      <c r="M1082" s="10"/>
    </row>
    <row r="1083" hidden="1" spans="1:13">
      <c r="A1083" s="71" t="s">
        <v>1226</v>
      </c>
      <c r="B1083" s="10">
        <v>400503</v>
      </c>
      <c r="C1083" s="10">
        <v>3</v>
      </c>
      <c r="D1083" s="10" t="s">
        <v>71</v>
      </c>
      <c r="E1083" s="10">
        <v>2.66666666666667</v>
      </c>
      <c r="F1083" s="10">
        <v>0</v>
      </c>
      <c r="G1083" s="10"/>
      <c r="H1083" s="10"/>
      <c r="I1083" s="10"/>
      <c r="J1083" s="10"/>
      <c r="K1083" s="10"/>
      <c r="L1083" s="10"/>
      <c r="M1083" s="10"/>
    </row>
    <row r="1084" hidden="1" spans="1:13">
      <c r="A1084" s="71" t="s">
        <v>1227</v>
      </c>
      <c r="B1084" s="10">
        <v>400503</v>
      </c>
      <c r="C1084" s="10">
        <v>3</v>
      </c>
      <c r="D1084" s="10" t="s">
        <v>86</v>
      </c>
      <c r="E1084" s="10">
        <v>2.66666666666667</v>
      </c>
      <c r="F1084" s="10">
        <v>0</v>
      </c>
      <c r="G1084" s="10"/>
      <c r="H1084" s="10"/>
      <c r="I1084" s="10"/>
      <c r="J1084" s="10"/>
      <c r="K1084" s="10"/>
      <c r="L1084" s="10"/>
      <c r="M1084" s="10"/>
    </row>
    <row r="1085" hidden="1" spans="1:13">
      <c r="A1085" s="71" t="s">
        <v>1228</v>
      </c>
      <c r="B1085" s="10">
        <v>400503</v>
      </c>
      <c r="C1085" s="10">
        <v>3</v>
      </c>
      <c r="D1085" s="10" t="s">
        <v>50</v>
      </c>
      <c r="E1085" s="10">
        <v>6.66666666666667</v>
      </c>
      <c r="F1085" s="10">
        <v>0</v>
      </c>
      <c r="G1085" s="10"/>
      <c r="H1085" s="10"/>
      <c r="I1085" s="10"/>
      <c r="J1085" s="10"/>
      <c r="K1085" s="10"/>
      <c r="L1085" s="10"/>
      <c r="M1085" s="10"/>
    </row>
    <row r="1086" hidden="1" spans="1:13">
      <c r="A1086" s="71" t="s">
        <v>1229</v>
      </c>
      <c r="B1086" s="10">
        <v>400503</v>
      </c>
      <c r="C1086" s="10">
        <v>3</v>
      </c>
      <c r="D1086" s="10" t="s">
        <v>90</v>
      </c>
      <c r="E1086" s="10">
        <v>3.5</v>
      </c>
      <c r="F1086" s="10">
        <v>0</v>
      </c>
      <c r="G1086" s="10"/>
      <c r="H1086" s="10"/>
      <c r="I1086" s="10"/>
      <c r="J1086" s="10"/>
      <c r="K1086" s="10"/>
      <c r="L1086" s="10"/>
      <c r="M1086" s="10"/>
    </row>
    <row r="1087" hidden="1" spans="1:13">
      <c r="A1087" s="71" t="s">
        <v>1230</v>
      </c>
      <c r="B1087" s="10">
        <v>400503</v>
      </c>
      <c r="C1087" s="10">
        <v>3</v>
      </c>
      <c r="D1087" s="10" t="s">
        <v>48</v>
      </c>
      <c r="E1087" s="10">
        <v>2.33333333333333</v>
      </c>
      <c r="F1087" s="10">
        <v>0</v>
      </c>
      <c r="G1087" s="10"/>
      <c r="H1087" s="10"/>
      <c r="I1087" s="10"/>
      <c r="J1087" s="10"/>
      <c r="K1087" s="10"/>
      <c r="L1087" s="10"/>
      <c r="M1087" s="10"/>
    </row>
    <row r="1088" hidden="1" spans="1:13">
      <c r="A1088" s="71" t="s">
        <v>1231</v>
      </c>
      <c r="B1088" s="10">
        <v>400503</v>
      </c>
      <c r="C1088" s="10">
        <v>3</v>
      </c>
      <c r="D1088" s="10" t="s">
        <v>92</v>
      </c>
      <c r="E1088" s="10">
        <v>2.26666666666667</v>
      </c>
      <c r="F1088" s="10">
        <v>0</v>
      </c>
      <c r="G1088" s="10">
        <v>0</v>
      </c>
      <c r="H1088" s="10">
        <v>2</v>
      </c>
      <c r="I1088" s="10">
        <v>888</v>
      </c>
      <c r="J1088" s="11" t="s">
        <v>58</v>
      </c>
      <c r="K1088" s="10">
        <v>0</v>
      </c>
      <c r="L1088" s="10"/>
      <c r="M1088" s="10"/>
    </row>
    <row r="1089" hidden="1" spans="1:6">
      <c r="A1089" s="57" t="s">
        <v>1232</v>
      </c>
      <c r="B1089" s="3">
        <v>404702</v>
      </c>
      <c r="C1089">
        <v>3</v>
      </c>
      <c r="D1089" t="s">
        <v>36</v>
      </c>
      <c r="E1089">
        <v>2.6</v>
      </c>
      <c r="F1089">
        <v>0</v>
      </c>
    </row>
    <row r="1090" hidden="1" spans="1:6">
      <c r="A1090" s="57" t="s">
        <v>1233</v>
      </c>
      <c r="B1090" s="3">
        <v>404702</v>
      </c>
      <c r="C1090">
        <v>3</v>
      </c>
      <c r="D1090" t="s">
        <v>38</v>
      </c>
      <c r="E1090">
        <v>2.33333333333333</v>
      </c>
      <c r="F1090">
        <v>0</v>
      </c>
    </row>
    <row r="1091" hidden="1" spans="1:6">
      <c r="A1091" s="57" t="s">
        <v>1234</v>
      </c>
      <c r="B1091" s="3">
        <v>404702</v>
      </c>
      <c r="C1091">
        <v>3</v>
      </c>
      <c r="D1091" t="s">
        <v>40</v>
      </c>
      <c r="E1091">
        <v>5</v>
      </c>
      <c r="F1091">
        <v>0</v>
      </c>
    </row>
    <row r="1092" hidden="1" spans="1:6">
      <c r="A1092" s="57" t="s">
        <v>1235</v>
      </c>
      <c r="B1092" s="3">
        <v>404702</v>
      </c>
      <c r="C1092">
        <v>3</v>
      </c>
      <c r="D1092" t="s">
        <v>42</v>
      </c>
      <c r="E1092">
        <v>5.76666666666667</v>
      </c>
      <c r="F1092">
        <v>0</v>
      </c>
    </row>
    <row r="1093" hidden="1" spans="1:6">
      <c r="A1093" s="57" t="s">
        <v>1236</v>
      </c>
      <c r="B1093" s="3">
        <v>404702</v>
      </c>
      <c r="C1093">
        <v>3</v>
      </c>
      <c r="D1093" t="s">
        <v>44</v>
      </c>
      <c r="E1093">
        <v>3.76666666666667</v>
      </c>
      <c r="F1093">
        <v>0</v>
      </c>
    </row>
    <row r="1094" hidden="1" spans="1:6">
      <c r="A1094" s="57" t="s">
        <v>1237</v>
      </c>
      <c r="B1094" s="3">
        <v>404702</v>
      </c>
      <c r="C1094">
        <v>3</v>
      </c>
      <c r="D1094" t="s">
        <v>46</v>
      </c>
      <c r="E1094">
        <v>2.16666666666667</v>
      </c>
      <c r="F1094">
        <v>0</v>
      </c>
    </row>
    <row r="1095" hidden="1" spans="1:6">
      <c r="A1095" s="57" t="s">
        <v>1238</v>
      </c>
      <c r="B1095" s="3">
        <v>404702</v>
      </c>
      <c r="C1095">
        <v>3</v>
      </c>
      <c r="D1095" t="s">
        <v>86</v>
      </c>
      <c r="E1095">
        <v>4.66666666666667</v>
      </c>
      <c r="F1095">
        <v>0</v>
      </c>
    </row>
    <row r="1096" hidden="1" spans="1:6">
      <c r="A1096" s="57" t="s">
        <v>1239</v>
      </c>
      <c r="B1096" s="3">
        <v>404702</v>
      </c>
      <c r="C1096">
        <v>3</v>
      </c>
      <c r="D1096" t="s">
        <v>50</v>
      </c>
      <c r="E1096">
        <v>7.33333333333333</v>
      </c>
      <c r="F1096">
        <v>0</v>
      </c>
    </row>
    <row r="1097" hidden="1" spans="1:11">
      <c r="A1097" s="2" t="s">
        <v>1240</v>
      </c>
      <c r="B1097" s="3">
        <v>404702</v>
      </c>
      <c r="C1097">
        <v>3</v>
      </c>
      <c r="D1097" t="s">
        <v>385</v>
      </c>
      <c r="E1097">
        <v>9</v>
      </c>
      <c r="F1097">
        <v>0</v>
      </c>
      <c r="G1097" t="s">
        <v>61</v>
      </c>
      <c r="H1097" t="s">
        <v>95</v>
      </c>
      <c r="I1097" t="s">
        <v>555</v>
      </c>
      <c r="J1097" t="s">
        <v>556</v>
      </c>
      <c r="K1097" t="s">
        <v>95</v>
      </c>
    </row>
    <row r="1098" hidden="1" spans="1:11">
      <c r="A1098" s="2" t="s">
        <v>1241</v>
      </c>
      <c r="B1098" s="3">
        <v>404702</v>
      </c>
      <c r="C1098">
        <v>3</v>
      </c>
      <c r="D1098" t="s">
        <v>558</v>
      </c>
      <c r="E1098">
        <v>13.6666666666667</v>
      </c>
      <c r="F1098">
        <v>0</v>
      </c>
      <c r="G1098">
        <v>0</v>
      </c>
      <c r="H1098">
        <v>1</v>
      </c>
      <c r="I1098">
        <v>904</v>
      </c>
      <c r="J1098" t="s">
        <v>58</v>
      </c>
      <c r="K1098">
        <v>1</v>
      </c>
    </row>
    <row r="1099" hidden="1" spans="1:11">
      <c r="A1099" s="2" t="s">
        <v>1242</v>
      </c>
      <c r="B1099" s="3">
        <v>404702</v>
      </c>
      <c r="C1099">
        <v>3</v>
      </c>
      <c r="D1099" t="s">
        <v>272</v>
      </c>
      <c r="E1099">
        <v>2</v>
      </c>
      <c r="F1099">
        <v>0</v>
      </c>
      <c r="G1099">
        <v>0</v>
      </c>
      <c r="H1099">
        <v>2</v>
      </c>
      <c r="I1099">
        <v>987</v>
      </c>
      <c r="J1099" t="s">
        <v>58</v>
      </c>
      <c r="K1099">
        <v>1</v>
      </c>
    </row>
    <row r="1100" hidden="1" spans="1:11">
      <c r="A1100" s="2" t="s">
        <v>1243</v>
      </c>
      <c r="B1100" s="3">
        <v>404702</v>
      </c>
      <c r="C1100">
        <v>3</v>
      </c>
      <c r="D1100" t="s">
        <v>60</v>
      </c>
      <c r="E1100">
        <v>2.5</v>
      </c>
      <c r="F1100">
        <v>0</v>
      </c>
      <c r="G1100">
        <v>0</v>
      </c>
      <c r="H1100">
        <v>2</v>
      </c>
      <c r="I1100">
        <v>956</v>
      </c>
      <c r="J1100" t="s">
        <v>58</v>
      </c>
      <c r="K1100">
        <v>0</v>
      </c>
    </row>
    <row r="1101" hidden="1" spans="1:6">
      <c r="A1101" s="2" t="s">
        <v>1244</v>
      </c>
      <c r="B1101" s="3">
        <v>1164</v>
      </c>
      <c r="C1101">
        <v>3</v>
      </c>
      <c r="D1101" t="s">
        <v>42</v>
      </c>
      <c r="E1101">
        <f>90/30</f>
        <v>3</v>
      </c>
      <c r="F1101">
        <v>0</v>
      </c>
    </row>
    <row r="1102" hidden="1" spans="1:6">
      <c r="A1102" s="2" t="s">
        <v>1245</v>
      </c>
      <c r="B1102" s="3">
        <v>1164</v>
      </c>
      <c r="C1102">
        <v>3</v>
      </c>
      <c r="D1102" t="s">
        <v>44</v>
      </c>
      <c r="E1102">
        <f>190/30</f>
        <v>6.33333333333333</v>
      </c>
      <c r="F1102">
        <v>0</v>
      </c>
    </row>
    <row r="1103" hidden="1" spans="1:6">
      <c r="A1103" s="2" t="s">
        <v>1246</v>
      </c>
      <c r="B1103" s="3">
        <v>1166</v>
      </c>
      <c r="C1103">
        <v>3</v>
      </c>
      <c r="D1103" t="s">
        <v>42</v>
      </c>
      <c r="E1103">
        <f>218/30</f>
        <v>7.26666666666667</v>
      </c>
      <c r="F1103">
        <v>0</v>
      </c>
    </row>
    <row r="1104" hidden="1" spans="1:6">
      <c r="A1104" s="2" t="s">
        <v>1247</v>
      </c>
      <c r="B1104" s="3">
        <v>1166</v>
      </c>
      <c r="C1104">
        <v>3</v>
      </c>
      <c r="D1104" t="s">
        <v>44</v>
      </c>
      <c r="E1104">
        <f>85/30</f>
        <v>2.83333333333333</v>
      </c>
      <c r="F1104">
        <v>0</v>
      </c>
    </row>
    <row r="1105" hidden="1" spans="1:6">
      <c r="A1105" s="2" t="s">
        <v>1248</v>
      </c>
      <c r="B1105" s="3">
        <v>1166</v>
      </c>
      <c r="C1105">
        <v>3</v>
      </c>
      <c r="D1105" t="s">
        <v>46</v>
      </c>
      <c r="E1105">
        <f>104/30</f>
        <v>3.46666666666667</v>
      </c>
      <c r="F1105">
        <v>0</v>
      </c>
    </row>
    <row r="1106" hidden="1" spans="1:6">
      <c r="A1106" s="2" t="s">
        <v>1249</v>
      </c>
      <c r="B1106" s="3">
        <v>1180</v>
      </c>
      <c r="C1106">
        <v>3</v>
      </c>
      <c r="D1106" t="s">
        <v>36</v>
      </c>
      <c r="E1106">
        <f>85/30</f>
        <v>2.83333333333333</v>
      </c>
      <c r="F1106">
        <v>0</v>
      </c>
    </row>
    <row r="1107" hidden="1" spans="1:6">
      <c r="A1107" s="2" t="s">
        <v>1250</v>
      </c>
      <c r="B1107" s="3">
        <v>1181</v>
      </c>
      <c r="C1107">
        <v>3</v>
      </c>
      <c r="D1107" t="s">
        <v>36</v>
      </c>
      <c r="E1107">
        <f>86/30</f>
        <v>2.86666666666667</v>
      </c>
      <c r="F1107">
        <v>0</v>
      </c>
    </row>
    <row r="1108" hidden="1" spans="1:6">
      <c r="A1108" s="2" t="s">
        <v>1251</v>
      </c>
      <c r="B1108" s="3">
        <v>1182</v>
      </c>
      <c r="C1108">
        <v>3</v>
      </c>
      <c r="D1108" t="s">
        <v>36</v>
      </c>
      <c r="E1108">
        <f>61/30</f>
        <v>2.03333333333333</v>
      </c>
      <c r="F1108">
        <v>0</v>
      </c>
    </row>
    <row r="1109" hidden="1" spans="1:6">
      <c r="A1109" s="2" t="s">
        <v>1252</v>
      </c>
      <c r="B1109" s="3">
        <v>1182</v>
      </c>
      <c r="C1109">
        <v>3</v>
      </c>
      <c r="D1109" t="s">
        <v>38</v>
      </c>
      <c r="E1109">
        <f>59/30</f>
        <v>1.96666666666667</v>
      </c>
      <c r="F1109">
        <v>0</v>
      </c>
    </row>
    <row r="1110" hidden="1" spans="1:6">
      <c r="A1110" s="2" t="s">
        <v>1253</v>
      </c>
      <c r="B1110" s="3">
        <v>1182</v>
      </c>
      <c r="C1110">
        <v>3</v>
      </c>
      <c r="D1110" t="s">
        <v>40</v>
      </c>
      <c r="E1110">
        <f>240/30</f>
        <v>8</v>
      </c>
      <c r="F1110">
        <v>0</v>
      </c>
    </row>
    <row r="1111" hidden="1" spans="1:6">
      <c r="A1111" s="2" t="s">
        <v>1254</v>
      </c>
      <c r="B1111" s="3">
        <v>1182</v>
      </c>
      <c r="C1111">
        <v>3</v>
      </c>
      <c r="D1111" t="s">
        <v>42</v>
      </c>
      <c r="E1111">
        <f>190/30</f>
        <v>6.33333333333333</v>
      </c>
      <c r="F1111">
        <v>0</v>
      </c>
    </row>
    <row r="1112" hidden="1" spans="1:6">
      <c r="A1112" s="2" t="s">
        <v>1255</v>
      </c>
      <c r="B1112" s="3">
        <v>1182</v>
      </c>
      <c r="C1112">
        <v>3</v>
      </c>
      <c r="D1112" t="s">
        <v>44</v>
      </c>
      <c r="E1112">
        <f>90/30</f>
        <v>3</v>
      </c>
      <c r="F1112">
        <v>0</v>
      </c>
    </row>
    <row r="1113" hidden="1" spans="1:6">
      <c r="A1113" s="2" t="s">
        <v>1256</v>
      </c>
      <c r="B1113" s="3">
        <v>1182</v>
      </c>
      <c r="C1113">
        <v>3</v>
      </c>
      <c r="D1113" t="s">
        <v>46</v>
      </c>
      <c r="E1113">
        <f>189/30</f>
        <v>6.3</v>
      </c>
      <c r="F1113">
        <v>0</v>
      </c>
    </row>
    <row r="1114" hidden="1" spans="1:6">
      <c r="A1114" s="2" t="s">
        <v>1257</v>
      </c>
      <c r="B1114" s="3">
        <v>1182</v>
      </c>
      <c r="C1114">
        <v>3</v>
      </c>
      <c r="D1114" t="s">
        <v>86</v>
      </c>
      <c r="E1114">
        <f>330/30</f>
        <v>11</v>
      </c>
      <c r="F1114">
        <v>0</v>
      </c>
    </row>
    <row r="1115" hidden="1" spans="1:6">
      <c r="A1115" s="2" t="s">
        <v>1258</v>
      </c>
      <c r="B1115" s="3">
        <v>1171</v>
      </c>
      <c r="C1115">
        <v>3</v>
      </c>
      <c r="D1115" t="s">
        <v>44</v>
      </c>
      <c r="E1115">
        <f>60/30</f>
        <v>2</v>
      </c>
      <c r="F1115">
        <v>0</v>
      </c>
    </row>
    <row r="1116" hidden="1" spans="1:6">
      <c r="A1116" s="2" t="s">
        <v>1259</v>
      </c>
      <c r="B1116" s="3">
        <v>1171</v>
      </c>
      <c r="C1116">
        <v>3</v>
      </c>
      <c r="D1116" t="s">
        <v>46</v>
      </c>
      <c r="E1116">
        <f>160/30</f>
        <v>5.33333333333333</v>
      </c>
      <c r="F1116">
        <v>0</v>
      </c>
    </row>
    <row r="1117" hidden="1" spans="1:6">
      <c r="A1117" s="2" t="s">
        <v>1260</v>
      </c>
      <c r="B1117" s="3">
        <v>1173</v>
      </c>
      <c r="C1117">
        <v>3</v>
      </c>
      <c r="D1117" t="s">
        <v>42</v>
      </c>
      <c r="E1117">
        <f>105/30</f>
        <v>3.5</v>
      </c>
      <c r="F1117">
        <v>0</v>
      </c>
    </row>
    <row r="1118" hidden="1" spans="1:6">
      <c r="A1118" s="2" t="s">
        <v>1261</v>
      </c>
      <c r="B1118" s="3">
        <v>1174</v>
      </c>
      <c r="C1118">
        <v>3</v>
      </c>
      <c r="D1118" t="s">
        <v>42</v>
      </c>
      <c r="E1118">
        <f>120/30</f>
        <v>4</v>
      </c>
      <c r="F1118">
        <v>0</v>
      </c>
    </row>
    <row r="1119" hidden="1" spans="1:6">
      <c r="A1119" s="2" t="s">
        <v>1262</v>
      </c>
      <c r="B1119" s="3">
        <v>1169</v>
      </c>
      <c r="C1119">
        <v>3</v>
      </c>
      <c r="D1119" t="s">
        <v>42</v>
      </c>
      <c r="E1119">
        <f>45/30</f>
        <v>1.5</v>
      </c>
      <c r="F1119">
        <v>0</v>
      </c>
    </row>
    <row r="1120" hidden="1" spans="1:13">
      <c r="A1120" s="69" t="s">
        <v>1263</v>
      </c>
      <c r="B1120" s="10">
        <v>400102</v>
      </c>
      <c r="C1120" s="10">
        <v>3</v>
      </c>
      <c r="D1120" s="10" t="s">
        <v>36</v>
      </c>
      <c r="E1120" s="10">
        <v>3.4</v>
      </c>
      <c r="F1120" s="10">
        <v>0</v>
      </c>
      <c r="G1120" s="10"/>
      <c r="H1120" s="10"/>
      <c r="I1120" s="10"/>
      <c r="J1120" s="10"/>
      <c r="K1120" s="10"/>
      <c r="L1120" s="10"/>
      <c r="M1120" s="10"/>
    </row>
    <row r="1121" hidden="1" spans="1:13">
      <c r="A1121" s="69" t="s">
        <v>1264</v>
      </c>
      <c r="B1121" s="10">
        <v>400102</v>
      </c>
      <c r="C1121" s="10">
        <v>3</v>
      </c>
      <c r="D1121" s="10" t="s">
        <v>38</v>
      </c>
      <c r="E1121" s="10">
        <v>3.16666666666667</v>
      </c>
      <c r="F1121" s="10">
        <v>0</v>
      </c>
      <c r="G1121" s="10"/>
      <c r="H1121" s="10"/>
      <c r="I1121" s="10"/>
      <c r="J1121" s="10"/>
      <c r="K1121" s="10"/>
      <c r="L1121" s="10"/>
      <c r="M1121" s="10"/>
    </row>
    <row r="1122" hidden="1" spans="1:13">
      <c r="A1122" s="69" t="s">
        <v>1265</v>
      </c>
      <c r="B1122" s="10">
        <v>400102</v>
      </c>
      <c r="C1122" s="10">
        <v>3</v>
      </c>
      <c r="D1122" s="10" t="s">
        <v>40</v>
      </c>
      <c r="E1122" s="10">
        <v>4.33333333333333</v>
      </c>
      <c r="F1122" s="10">
        <v>0</v>
      </c>
      <c r="G1122" s="10"/>
      <c r="H1122" s="10"/>
      <c r="I1122" s="10"/>
      <c r="J1122" s="10"/>
      <c r="K1122" s="10"/>
      <c r="L1122" s="10"/>
      <c r="M1122" s="10"/>
    </row>
    <row r="1123" hidden="1" spans="1:13">
      <c r="A1123" s="69" t="s">
        <v>1266</v>
      </c>
      <c r="B1123" s="10">
        <v>400102</v>
      </c>
      <c r="C1123" s="10">
        <v>3</v>
      </c>
      <c r="D1123" s="10" t="s">
        <v>42</v>
      </c>
      <c r="E1123" s="10">
        <v>5.66666666666667</v>
      </c>
      <c r="F1123" s="10">
        <v>0</v>
      </c>
      <c r="G1123" s="10"/>
      <c r="H1123" s="10"/>
      <c r="I1123" s="10"/>
      <c r="J1123" s="10"/>
      <c r="K1123" s="10"/>
      <c r="L1123" s="10"/>
      <c r="M1123" s="10"/>
    </row>
    <row r="1124" hidden="1" spans="1:13">
      <c r="A1124" s="69" t="s">
        <v>1267</v>
      </c>
      <c r="B1124" s="10">
        <v>400102</v>
      </c>
      <c r="C1124" s="10">
        <v>3</v>
      </c>
      <c r="D1124" s="10" t="s">
        <v>44</v>
      </c>
      <c r="E1124" s="10">
        <v>11.3333333333333</v>
      </c>
      <c r="F1124" s="10">
        <v>0</v>
      </c>
      <c r="G1124" s="10"/>
      <c r="H1124" s="10"/>
      <c r="I1124" s="10"/>
      <c r="J1124" s="10"/>
      <c r="K1124" s="10"/>
      <c r="L1124" s="10"/>
      <c r="M1124" s="10"/>
    </row>
    <row r="1125" hidden="1" spans="1:13">
      <c r="A1125" s="69" t="s">
        <v>1268</v>
      </c>
      <c r="B1125" s="10">
        <v>400102</v>
      </c>
      <c r="C1125" s="10">
        <v>3</v>
      </c>
      <c r="D1125" s="10" t="s">
        <v>46</v>
      </c>
      <c r="E1125" s="10">
        <v>2.33333333333333</v>
      </c>
      <c r="F1125" s="10">
        <v>0</v>
      </c>
      <c r="G1125" s="10"/>
      <c r="H1125" s="10"/>
      <c r="I1125" s="10"/>
      <c r="J1125" s="10"/>
      <c r="K1125" s="10"/>
      <c r="L1125" s="10"/>
      <c r="M1125" s="10"/>
    </row>
    <row r="1126" hidden="1" spans="1:13">
      <c r="A1126" s="69" t="s">
        <v>1269</v>
      </c>
      <c r="B1126" s="10">
        <v>400102</v>
      </c>
      <c r="C1126" s="10">
        <v>3</v>
      </c>
      <c r="D1126" s="10" t="s">
        <v>48</v>
      </c>
      <c r="E1126" s="10">
        <v>7</v>
      </c>
      <c r="F1126" s="10">
        <v>0</v>
      </c>
      <c r="G1126" s="10"/>
      <c r="H1126" s="10"/>
      <c r="I1126" s="10"/>
      <c r="J1126" s="10"/>
      <c r="K1126" s="10"/>
      <c r="L1126" s="10"/>
      <c r="M1126" s="10"/>
    </row>
    <row r="1127" hidden="1" spans="1:13">
      <c r="A1127" s="69" t="s">
        <v>1270</v>
      </c>
      <c r="B1127" s="10">
        <v>400102</v>
      </c>
      <c r="C1127" s="10">
        <v>3</v>
      </c>
      <c r="D1127" s="10" t="s">
        <v>50</v>
      </c>
      <c r="E1127" s="10">
        <v>2.33333333333333</v>
      </c>
      <c r="F1127" s="10">
        <v>0</v>
      </c>
      <c r="G1127" s="10"/>
      <c r="H1127" s="10"/>
      <c r="I1127" s="10"/>
      <c r="J1127" s="10"/>
      <c r="K1127" s="10"/>
      <c r="L1127" s="10"/>
      <c r="M1127" s="10"/>
    </row>
    <row r="1128" hidden="1" spans="1:13">
      <c r="A1128" s="70" t="s">
        <v>1271</v>
      </c>
      <c r="B1128" s="10">
        <v>400102</v>
      </c>
      <c r="C1128" s="10">
        <v>3</v>
      </c>
      <c r="D1128" s="10" t="s">
        <v>52</v>
      </c>
      <c r="E1128" s="10">
        <v>6</v>
      </c>
      <c r="F1128" s="10">
        <v>0</v>
      </c>
      <c r="G1128" s="10"/>
      <c r="H1128" s="10"/>
      <c r="I1128" s="10"/>
      <c r="J1128" s="10"/>
      <c r="K1128" s="10"/>
      <c r="L1128" s="10"/>
      <c r="M1128" s="10"/>
    </row>
    <row r="1129" hidden="1" spans="1:13">
      <c r="A1129" s="69" t="s">
        <v>1272</v>
      </c>
      <c r="B1129" s="10">
        <v>400102</v>
      </c>
      <c r="C1129" s="10">
        <v>3</v>
      </c>
      <c r="D1129" s="10" t="s">
        <v>54</v>
      </c>
      <c r="E1129" s="10">
        <f>250/30</f>
        <v>8.33333333333333</v>
      </c>
      <c r="F1129" s="10">
        <v>0</v>
      </c>
      <c r="G1129" s="10">
        <v>0</v>
      </c>
      <c r="H1129" s="10">
        <v>2</v>
      </c>
      <c r="I1129" s="10">
        <v>848</v>
      </c>
      <c r="J1129" s="10" t="s">
        <v>55</v>
      </c>
      <c r="K1129" s="10">
        <v>1</v>
      </c>
      <c r="L1129" s="10"/>
      <c r="M1129" s="11"/>
    </row>
    <row r="1130" hidden="1" spans="1:13">
      <c r="A1130" s="69" t="s">
        <v>1273</v>
      </c>
      <c r="B1130" s="10">
        <v>400102</v>
      </c>
      <c r="C1130" s="10">
        <v>3</v>
      </c>
      <c r="D1130" s="10" t="s">
        <v>57</v>
      </c>
      <c r="E1130" s="10">
        <v>1.83333333333333</v>
      </c>
      <c r="F1130" s="10">
        <v>0</v>
      </c>
      <c r="G1130" s="10">
        <v>0</v>
      </c>
      <c r="H1130" s="10">
        <v>2</v>
      </c>
      <c r="I1130" s="10">
        <v>896</v>
      </c>
      <c r="J1130" s="11" t="s">
        <v>58</v>
      </c>
      <c r="K1130" s="10">
        <v>1</v>
      </c>
      <c r="L1130" s="10"/>
      <c r="M1130" s="11"/>
    </row>
    <row r="1131" hidden="1" spans="1:13">
      <c r="A1131" s="69" t="s">
        <v>1274</v>
      </c>
      <c r="B1131" s="10">
        <v>400102</v>
      </c>
      <c r="C1131" s="10">
        <v>3</v>
      </c>
      <c r="D1131" s="10" t="s">
        <v>60</v>
      </c>
      <c r="E1131" s="10">
        <v>5</v>
      </c>
      <c r="F1131" s="10">
        <v>0</v>
      </c>
      <c r="G1131" s="10" t="s">
        <v>61</v>
      </c>
      <c r="H1131" s="10" t="s">
        <v>62</v>
      </c>
      <c r="I1131" s="10" t="s">
        <v>63</v>
      </c>
      <c r="J1131" s="11" t="s">
        <v>64</v>
      </c>
      <c r="K1131" s="10" t="s">
        <v>61</v>
      </c>
      <c r="L1131" s="10"/>
      <c r="M1131" s="11"/>
    </row>
    <row r="1132" hidden="1" spans="1:7">
      <c r="A1132" s="69" t="s">
        <v>1275</v>
      </c>
      <c r="B1132" s="10">
        <v>400102</v>
      </c>
      <c r="C1132" s="10">
        <v>1</v>
      </c>
      <c r="D1132" s="52" t="s">
        <v>300</v>
      </c>
      <c r="F1132" s="11">
        <v>1</v>
      </c>
      <c r="G1132" s="11"/>
    </row>
    <row r="1133" hidden="1" spans="1:11">
      <c r="A1133" s="2" t="s">
        <v>1276</v>
      </c>
      <c r="B1133" s="3">
        <v>3060</v>
      </c>
      <c r="C1133" s="10">
        <v>2</v>
      </c>
      <c r="D1133" t="s">
        <v>295</v>
      </c>
      <c r="E1133">
        <v>1.66667</v>
      </c>
      <c r="F1133" s="11">
        <v>0</v>
      </c>
      <c r="G1133" s="11" t="s">
        <v>61</v>
      </c>
      <c r="H1133" t="s">
        <v>95</v>
      </c>
      <c r="I1133" t="s">
        <v>296</v>
      </c>
      <c r="J1133" t="s">
        <v>297</v>
      </c>
      <c r="K1133" t="s">
        <v>298</v>
      </c>
    </row>
    <row r="1134" hidden="1" spans="1:13">
      <c r="A1134" s="2" t="s">
        <v>1277</v>
      </c>
      <c r="B1134" s="3">
        <v>66</v>
      </c>
      <c r="C1134">
        <v>3</v>
      </c>
      <c r="D1134" t="s">
        <v>669</v>
      </c>
      <c r="E1134">
        <f>20/30</f>
        <v>0.666666666666667</v>
      </c>
      <c r="F1134">
        <v>1</v>
      </c>
      <c r="G1134">
        <v>0</v>
      </c>
      <c r="H1134">
        <v>2</v>
      </c>
      <c r="I1134">
        <v>1576</v>
      </c>
      <c r="J1134" t="s">
        <v>58</v>
      </c>
      <c r="K1134">
        <v>0</v>
      </c>
      <c r="L1134" s="4" t="s">
        <v>1278</v>
      </c>
      <c r="M1134" t="s">
        <v>1279</v>
      </c>
    </row>
    <row r="1135" hidden="1" spans="1:6">
      <c r="A1135" s="2" t="s">
        <v>1280</v>
      </c>
      <c r="B1135" s="3">
        <v>67</v>
      </c>
      <c r="C1135">
        <v>3</v>
      </c>
      <c r="D1135" t="s">
        <v>36</v>
      </c>
      <c r="E1135">
        <f>102/30</f>
        <v>3.4</v>
      </c>
      <c r="F1135">
        <v>0</v>
      </c>
    </row>
    <row r="1136" hidden="1" spans="1:6">
      <c r="A1136" s="2" t="s">
        <v>1281</v>
      </c>
      <c r="B1136" s="3">
        <v>67</v>
      </c>
      <c r="C1136">
        <v>3</v>
      </c>
      <c r="D1136" t="s">
        <v>38</v>
      </c>
      <c r="E1136">
        <f>80/30</f>
        <v>2.66666666666667</v>
      </c>
      <c r="F1136">
        <v>0</v>
      </c>
    </row>
    <row r="1137" hidden="1" spans="1:6">
      <c r="A1137" s="2" t="s">
        <v>1282</v>
      </c>
      <c r="B1137" s="3">
        <v>67</v>
      </c>
      <c r="C1137">
        <v>3</v>
      </c>
      <c r="D1137" t="s">
        <v>40</v>
      </c>
      <c r="E1137">
        <f>88/30</f>
        <v>2.93333333333333</v>
      </c>
      <c r="F1137">
        <v>0</v>
      </c>
    </row>
    <row r="1138" hidden="1" spans="1:6">
      <c r="A1138" s="2" t="s">
        <v>1283</v>
      </c>
      <c r="B1138" s="3">
        <v>67</v>
      </c>
      <c r="C1138">
        <v>3</v>
      </c>
      <c r="D1138" t="s">
        <v>42</v>
      </c>
      <c r="E1138">
        <f>73/30</f>
        <v>2.43333333333333</v>
      </c>
      <c r="F1138">
        <v>0</v>
      </c>
    </row>
    <row r="1139" hidden="1" spans="1:6">
      <c r="A1139" s="2" t="s">
        <v>1284</v>
      </c>
      <c r="B1139" s="3">
        <v>67</v>
      </c>
      <c r="C1139">
        <v>3</v>
      </c>
      <c r="D1139" t="s">
        <v>44</v>
      </c>
      <c r="E1139">
        <f>80/30</f>
        <v>2.66666666666667</v>
      </c>
      <c r="F1139">
        <v>0</v>
      </c>
    </row>
    <row r="1140" hidden="1" spans="1:6">
      <c r="A1140" s="2" t="s">
        <v>1285</v>
      </c>
      <c r="B1140" s="3">
        <v>67</v>
      </c>
      <c r="C1140">
        <v>3</v>
      </c>
      <c r="D1140" t="s">
        <v>46</v>
      </c>
      <c r="E1140">
        <f>250/30</f>
        <v>8.33333333333333</v>
      </c>
      <c r="F1140">
        <v>0</v>
      </c>
    </row>
    <row r="1141" hidden="1" spans="1:6">
      <c r="A1141" s="2" t="s">
        <v>1286</v>
      </c>
      <c r="B1141" s="3">
        <v>67</v>
      </c>
      <c r="C1141">
        <v>3</v>
      </c>
      <c r="D1141" t="s">
        <v>86</v>
      </c>
      <c r="E1141">
        <f>238/30</f>
        <v>7.93333333333333</v>
      </c>
      <c r="F1141">
        <v>0</v>
      </c>
    </row>
    <row r="1142" hidden="1" spans="1:6">
      <c r="A1142" s="2" t="s">
        <v>1287</v>
      </c>
      <c r="B1142" s="3">
        <v>67</v>
      </c>
      <c r="C1142">
        <v>3</v>
      </c>
      <c r="D1142" t="s">
        <v>50</v>
      </c>
      <c r="E1142">
        <f>290/30</f>
        <v>9.66666666666667</v>
      </c>
      <c r="F1142">
        <v>0</v>
      </c>
    </row>
    <row r="1143" hidden="1" spans="1:11">
      <c r="A1143" s="2" t="s">
        <v>1288</v>
      </c>
      <c r="B1143" s="3">
        <v>67</v>
      </c>
      <c r="C1143">
        <v>3</v>
      </c>
      <c r="D1143" t="s">
        <v>109</v>
      </c>
      <c r="E1143">
        <v>3</v>
      </c>
      <c r="F1143">
        <v>0</v>
      </c>
      <c r="G1143">
        <v>0</v>
      </c>
      <c r="H1143">
        <v>2</v>
      </c>
      <c r="I1143">
        <v>1608</v>
      </c>
      <c r="J1143" t="s">
        <v>1289</v>
      </c>
      <c r="K1143">
        <v>1</v>
      </c>
    </row>
    <row r="1144" hidden="1" spans="1:11">
      <c r="A1144" s="2" t="s">
        <v>1290</v>
      </c>
      <c r="B1144" s="3">
        <v>67</v>
      </c>
      <c r="C1144">
        <v>3</v>
      </c>
      <c r="D1144" t="s">
        <v>97</v>
      </c>
      <c r="E1144">
        <v>3</v>
      </c>
      <c r="F1144">
        <v>0</v>
      </c>
      <c r="G1144">
        <v>0</v>
      </c>
      <c r="H1144">
        <v>2</v>
      </c>
      <c r="I1144">
        <v>1608</v>
      </c>
      <c r="J1144" t="s">
        <v>1289</v>
      </c>
      <c r="K1144">
        <v>1</v>
      </c>
    </row>
    <row r="1145" hidden="1" spans="1:6">
      <c r="A1145" s="2" t="s">
        <v>1291</v>
      </c>
      <c r="B1145" s="3">
        <v>1183</v>
      </c>
      <c r="C1145">
        <v>3</v>
      </c>
      <c r="D1145" t="s">
        <v>36</v>
      </c>
      <c r="E1145">
        <f>70/30</f>
        <v>2.33333333333333</v>
      </c>
      <c r="F1145">
        <v>0</v>
      </c>
    </row>
    <row r="1146" hidden="1" spans="1:6">
      <c r="A1146" s="2" t="s">
        <v>1292</v>
      </c>
      <c r="B1146" s="3">
        <v>1183</v>
      </c>
      <c r="C1146">
        <v>3</v>
      </c>
      <c r="D1146" t="s">
        <v>38</v>
      </c>
      <c r="E1146">
        <f>120/30</f>
        <v>4</v>
      </c>
      <c r="F1146">
        <v>0</v>
      </c>
    </row>
    <row r="1147" hidden="1" spans="1:6">
      <c r="A1147" s="2" t="s">
        <v>1293</v>
      </c>
      <c r="B1147" s="3">
        <v>1183</v>
      </c>
      <c r="C1147">
        <v>3</v>
      </c>
      <c r="D1147" t="s">
        <v>40</v>
      </c>
      <c r="E1147">
        <f>82/30</f>
        <v>2.73333333333333</v>
      </c>
      <c r="F1147">
        <v>0</v>
      </c>
    </row>
    <row r="1148" hidden="1" spans="1:6">
      <c r="A1148" s="2" t="s">
        <v>1294</v>
      </c>
      <c r="B1148" s="3">
        <v>1183</v>
      </c>
      <c r="C1148">
        <v>3</v>
      </c>
      <c r="D1148" t="s">
        <v>42</v>
      </c>
      <c r="E1148">
        <f>56/30</f>
        <v>1.86666666666667</v>
      </c>
      <c r="F1148">
        <v>0</v>
      </c>
    </row>
    <row r="1149" hidden="1" spans="1:6">
      <c r="A1149" s="2" t="s">
        <v>1295</v>
      </c>
      <c r="B1149" s="3">
        <v>1183</v>
      </c>
      <c r="C1149">
        <v>3</v>
      </c>
      <c r="D1149" t="s">
        <v>44</v>
      </c>
      <c r="E1149">
        <f>140/30</f>
        <v>4.66666666666667</v>
      </c>
      <c r="F1149">
        <v>0</v>
      </c>
    </row>
    <row r="1150" hidden="1" spans="1:6">
      <c r="A1150" s="2" t="s">
        <v>1296</v>
      </c>
      <c r="B1150" s="3">
        <v>1184</v>
      </c>
      <c r="C1150">
        <v>3</v>
      </c>
      <c r="D1150" t="s">
        <v>36</v>
      </c>
      <c r="E1150">
        <f>98/30</f>
        <v>3.26666666666667</v>
      </c>
      <c r="F1150">
        <v>0</v>
      </c>
    </row>
    <row r="1151" hidden="1" spans="1:6">
      <c r="A1151" s="2" t="s">
        <v>1297</v>
      </c>
      <c r="B1151" s="3">
        <v>1184</v>
      </c>
      <c r="C1151">
        <v>3</v>
      </c>
      <c r="D1151" t="s">
        <v>38</v>
      </c>
      <c r="E1151">
        <f>90/30</f>
        <v>3</v>
      </c>
      <c r="F1151">
        <v>0</v>
      </c>
    </row>
    <row r="1152" hidden="1" spans="1:6">
      <c r="A1152" s="2" t="s">
        <v>1298</v>
      </c>
      <c r="B1152" s="3">
        <v>1184</v>
      </c>
      <c r="C1152">
        <v>3</v>
      </c>
      <c r="D1152" t="s">
        <v>40</v>
      </c>
      <c r="E1152">
        <f>91/30</f>
        <v>3.03333333333333</v>
      </c>
      <c r="F1152">
        <v>0</v>
      </c>
    </row>
    <row r="1153" hidden="1" spans="1:6">
      <c r="A1153" s="2" t="s">
        <v>1299</v>
      </c>
      <c r="B1153" s="3">
        <v>1184</v>
      </c>
      <c r="C1153">
        <v>3</v>
      </c>
      <c r="D1153" t="s">
        <v>42</v>
      </c>
      <c r="E1153">
        <f>118/30</f>
        <v>3.93333333333333</v>
      </c>
      <c r="F1153">
        <v>0</v>
      </c>
    </row>
    <row r="1154" hidden="1" spans="1:6">
      <c r="A1154" s="2" t="s">
        <v>1300</v>
      </c>
      <c r="B1154" s="3">
        <v>1184</v>
      </c>
      <c r="C1154">
        <v>3</v>
      </c>
      <c r="D1154" t="s">
        <v>44</v>
      </c>
      <c r="E1154">
        <f>63/30</f>
        <v>2.1</v>
      </c>
      <c r="F1154">
        <v>0</v>
      </c>
    </row>
    <row r="1155" hidden="1" spans="1:6">
      <c r="A1155" s="2" t="s">
        <v>1301</v>
      </c>
      <c r="B1155" s="3">
        <v>1184</v>
      </c>
      <c r="C1155">
        <v>3</v>
      </c>
      <c r="D1155" t="s">
        <v>46</v>
      </c>
      <c r="E1155">
        <f>74/30</f>
        <v>2.46666666666667</v>
      </c>
      <c r="F1155">
        <v>0</v>
      </c>
    </row>
    <row r="1156" hidden="1" spans="1:6">
      <c r="A1156" s="2" t="s">
        <v>1302</v>
      </c>
      <c r="B1156" s="3">
        <v>1184</v>
      </c>
      <c r="C1156">
        <v>3</v>
      </c>
      <c r="D1156" t="s">
        <v>86</v>
      </c>
      <c r="E1156">
        <f>120/30</f>
        <v>4</v>
      </c>
      <c r="F1156">
        <v>0</v>
      </c>
    </row>
    <row r="1157" hidden="1" spans="1:6">
      <c r="A1157" s="2" t="s">
        <v>1303</v>
      </c>
      <c r="B1157" s="3">
        <v>1185</v>
      </c>
      <c r="C1157">
        <v>3</v>
      </c>
      <c r="D1157" t="s">
        <v>36</v>
      </c>
      <c r="E1157">
        <f>65/30</f>
        <v>2.16666666666667</v>
      </c>
      <c r="F1157">
        <v>0</v>
      </c>
    </row>
    <row r="1158" hidden="1" spans="1:6">
      <c r="A1158" s="2" t="s">
        <v>1304</v>
      </c>
      <c r="B1158" s="3">
        <v>1185</v>
      </c>
      <c r="C1158">
        <v>3</v>
      </c>
      <c r="D1158" t="s">
        <v>38</v>
      </c>
      <c r="E1158">
        <f>58/30</f>
        <v>1.93333333333333</v>
      </c>
      <c r="F1158">
        <v>0</v>
      </c>
    </row>
    <row r="1159" hidden="1" spans="1:6">
      <c r="A1159" s="2" t="s">
        <v>1305</v>
      </c>
      <c r="B1159" s="3">
        <v>1185</v>
      </c>
      <c r="C1159">
        <v>3</v>
      </c>
      <c r="D1159" t="s">
        <v>40</v>
      </c>
      <c r="E1159">
        <f>55/30</f>
        <v>1.83333333333333</v>
      </c>
      <c r="F1159">
        <v>0</v>
      </c>
    </row>
    <row r="1160" hidden="1" spans="1:6">
      <c r="A1160" s="2" t="s">
        <v>1306</v>
      </c>
      <c r="B1160" s="3">
        <v>1185</v>
      </c>
      <c r="C1160">
        <v>3</v>
      </c>
      <c r="D1160" t="s">
        <v>42</v>
      </c>
      <c r="E1160">
        <f>122/30</f>
        <v>4.06666666666667</v>
      </c>
      <c r="F1160">
        <v>0</v>
      </c>
    </row>
    <row r="1161" hidden="1" spans="1:6">
      <c r="A1161" s="2" t="s">
        <v>1307</v>
      </c>
      <c r="B1161" s="3">
        <v>1185</v>
      </c>
      <c r="C1161">
        <v>3</v>
      </c>
      <c r="D1161" t="s">
        <v>44</v>
      </c>
      <c r="E1161">
        <f>98/30</f>
        <v>3.26666666666667</v>
      </c>
      <c r="F1161">
        <v>0</v>
      </c>
    </row>
    <row r="1162" hidden="1" spans="1:6">
      <c r="A1162" s="2" t="s">
        <v>1308</v>
      </c>
      <c r="B1162" s="3">
        <v>1185</v>
      </c>
      <c r="C1162">
        <v>3</v>
      </c>
      <c r="D1162" t="s">
        <v>46</v>
      </c>
      <c r="E1162">
        <f>150/30</f>
        <v>5</v>
      </c>
      <c r="F1162">
        <v>0</v>
      </c>
    </row>
    <row r="1163" hidden="1" spans="1:6">
      <c r="A1163" s="2" t="s">
        <v>1309</v>
      </c>
      <c r="B1163" s="3">
        <v>1185</v>
      </c>
      <c r="C1163">
        <v>3</v>
      </c>
      <c r="D1163" t="s">
        <v>86</v>
      </c>
      <c r="E1163">
        <f>155/30</f>
        <v>5.16666666666667</v>
      </c>
      <c r="F1163">
        <v>0</v>
      </c>
    </row>
    <row r="1164" hidden="1" spans="1:6">
      <c r="A1164" s="2" t="s">
        <v>1310</v>
      </c>
      <c r="B1164" s="3">
        <v>1185</v>
      </c>
      <c r="C1164">
        <v>3</v>
      </c>
      <c r="D1164" t="s">
        <v>50</v>
      </c>
      <c r="E1164">
        <f>119/30</f>
        <v>3.96666666666667</v>
      </c>
      <c r="F1164">
        <v>0</v>
      </c>
    </row>
    <row r="1165" hidden="1" spans="1:6">
      <c r="A1165" s="2" t="s">
        <v>1311</v>
      </c>
      <c r="B1165" s="3">
        <v>68</v>
      </c>
      <c r="C1165">
        <v>3</v>
      </c>
      <c r="D1165" t="s">
        <v>36</v>
      </c>
      <c r="E1165">
        <v>3.33333333333333</v>
      </c>
      <c r="F1165">
        <v>0</v>
      </c>
    </row>
    <row r="1166" hidden="1" spans="1:6">
      <c r="A1166" s="2" t="s">
        <v>1312</v>
      </c>
      <c r="B1166" s="3">
        <v>68</v>
      </c>
      <c r="C1166">
        <v>3</v>
      </c>
      <c r="D1166" t="s">
        <v>38</v>
      </c>
      <c r="E1166">
        <v>2.83333333333333</v>
      </c>
      <c r="F1166">
        <v>0</v>
      </c>
    </row>
    <row r="1167" hidden="1" spans="1:6">
      <c r="A1167" s="2" t="s">
        <v>1313</v>
      </c>
      <c r="B1167" s="3">
        <v>68</v>
      </c>
      <c r="C1167">
        <v>3</v>
      </c>
      <c r="D1167" t="s">
        <v>40</v>
      </c>
      <c r="E1167">
        <v>4</v>
      </c>
      <c r="F1167">
        <v>0</v>
      </c>
    </row>
    <row r="1168" hidden="1" spans="1:6">
      <c r="A1168" s="2" t="s">
        <v>1314</v>
      </c>
      <c r="B1168" s="3">
        <v>68</v>
      </c>
      <c r="C1168">
        <v>3</v>
      </c>
      <c r="D1168" t="s">
        <v>42</v>
      </c>
      <c r="E1168">
        <v>2.63333333333333</v>
      </c>
      <c r="F1168">
        <v>0</v>
      </c>
    </row>
    <row r="1169" hidden="1" spans="1:6">
      <c r="A1169" s="2" t="s">
        <v>1315</v>
      </c>
      <c r="B1169" s="3">
        <v>68</v>
      </c>
      <c r="C1169">
        <v>3</v>
      </c>
      <c r="D1169" t="s">
        <v>44</v>
      </c>
      <c r="E1169">
        <v>3.33333333333333</v>
      </c>
      <c r="F1169">
        <v>0</v>
      </c>
    </row>
    <row r="1170" hidden="1" spans="1:6">
      <c r="A1170" s="2" t="s">
        <v>1316</v>
      </c>
      <c r="B1170" s="3">
        <v>68</v>
      </c>
      <c r="C1170">
        <v>3</v>
      </c>
      <c r="D1170" t="s">
        <v>46</v>
      </c>
      <c r="E1170">
        <v>9</v>
      </c>
      <c r="F1170">
        <v>0</v>
      </c>
    </row>
    <row r="1171" hidden="1" spans="1:6">
      <c r="A1171" s="2" t="s">
        <v>1317</v>
      </c>
      <c r="B1171" s="3">
        <v>68</v>
      </c>
      <c r="C1171">
        <v>3</v>
      </c>
      <c r="D1171" t="s">
        <v>86</v>
      </c>
      <c r="E1171">
        <f>275/30</f>
        <v>9.16666666666667</v>
      </c>
      <c r="F1171">
        <v>0</v>
      </c>
    </row>
    <row r="1172" hidden="1" spans="1:6">
      <c r="A1172" s="2" t="s">
        <v>1318</v>
      </c>
      <c r="B1172" s="3">
        <v>68</v>
      </c>
      <c r="C1172">
        <v>3</v>
      </c>
      <c r="D1172" t="s">
        <v>50</v>
      </c>
      <c r="E1172">
        <f>327/30</f>
        <v>10.9</v>
      </c>
      <c r="F1172">
        <v>0</v>
      </c>
    </row>
    <row r="1173" hidden="1" spans="1:6">
      <c r="A1173" s="2" t="s">
        <v>1319</v>
      </c>
      <c r="B1173" s="3">
        <v>68</v>
      </c>
      <c r="C1173">
        <v>3</v>
      </c>
      <c r="D1173" t="s">
        <v>90</v>
      </c>
      <c r="E1173">
        <f>330/30</f>
        <v>11</v>
      </c>
      <c r="F1173">
        <v>0</v>
      </c>
    </row>
    <row r="1174" hidden="1" spans="1:6">
      <c r="A1174" s="2" t="s">
        <v>1320</v>
      </c>
      <c r="B1174" s="3">
        <v>68</v>
      </c>
      <c r="C1174">
        <v>3</v>
      </c>
      <c r="D1174" t="s">
        <v>48</v>
      </c>
      <c r="E1174">
        <f>268/30</f>
        <v>8.93333333333333</v>
      </c>
      <c r="F1174">
        <v>0</v>
      </c>
    </row>
    <row r="1175" hidden="1" spans="1:6">
      <c r="A1175" s="2" t="s">
        <v>1321</v>
      </c>
      <c r="B1175" s="3">
        <v>68</v>
      </c>
      <c r="C1175">
        <v>3</v>
      </c>
      <c r="D1175" t="s">
        <v>52</v>
      </c>
      <c r="E1175">
        <f>268/30</f>
        <v>8.93333333333333</v>
      </c>
      <c r="F1175">
        <v>0</v>
      </c>
    </row>
    <row r="1176" hidden="1" spans="1:6">
      <c r="A1176" s="2" t="s">
        <v>1322</v>
      </c>
      <c r="B1176" s="3">
        <v>1186</v>
      </c>
      <c r="C1176">
        <v>3</v>
      </c>
      <c r="D1176" t="s">
        <v>36</v>
      </c>
      <c r="E1176">
        <f>98/30</f>
        <v>3.26666666666667</v>
      </c>
      <c r="F1176">
        <v>0</v>
      </c>
    </row>
    <row r="1177" hidden="1" spans="1:6">
      <c r="A1177" s="2" t="s">
        <v>1323</v>
      </c>
      <c r="B1177" s="3">
        <v>1186</v>
      </c>
      <c r="C1177">
        <v>3</v>
      </c>
      <c r="D1177" t="s">
        <v>38</v>
      </c>
      <c r="E1177">
        <f>90/30</f>
        <v>3</v>
      </c>
      <c r="F1177">
        <v>0</v>
      </c>
    </row>
    <row r="1178" hidden="1" spans="1:6">
      <c r="A1178" s="2" t="s">
        <v>1324</v>
      </c>
      <c r="B1178" s="3">
        <v>1186</v>
      </c>
      <c r="C1178">
        <v>3</v>
      </c>
      <c r="D1178" t="s">
        <v>40</v>
      </c>
      <c r="E1178">
        <f>91/30</f>
        <v>3.03333333333333</v>
      </c>
      <c r="F1178">
        <v>0</v>
      </c>
    </row>
    <row r="1179" hidden="1" spans="1:6">
      <c r="A1179" s="2" t="s">
        <v>1325</v>
      </c>
      <c r="B1179" s="3">
        <v>1186</v>
      </c>
      <c r="C1179">
        <v>3</v>
      </c>
      <c r="D1179" t="s">
        <v>42</v>
      </c>
      <c r="E1179">
        <f>118/30</f>
        <v>3.93333333333333</v>
      </c>
      <c r="F1179">
        <v>0</v>
      </c>
    </row>
    <row r="1180" hidden="1" spans="1:6">
      <c r="A1180" s="2" t="s">
        <v>1326</v>
      </c>
      <c r="B1180" s="3">
        <v>69</v>
      </c>
      <c r="C1180">
        <v>3</v>
      </c>
      <c r="D1180" t="s">
        <v>36</v>
      </c>
      <c r="E1180">
        <f>110/30</f>
        <v>3.66666666666667</v>
      </c>
      <c r="F1180">
        <v>0</v>
      </c>
    </row>
    <row r="1181" hidden="1" spans="1:6">
      <c r="A1181" s="2" t="s">
        <v>1327</v>
      </c>
      <c r="B1181" s="3">
        <v>69</v>
      </c>
      <c r="C1181">
        <v>3</v>
      </c>
      <c r="D1181" t="s">
        <v>38</v>
      </c>
      <c r="E1181">
        <f>86/30</f>
        <v>2.86666666666667</v>
      </c>
      <c r="F1181">
        <v>0</v>
      </c>
    </row>
    <row r="1182" hidden="1" spans="1:6">
      <c r="A1182" s="2" t="s">
        <v>1328</v>
      </c>
      <c r="B1182" s="3">
        <v>69</v>
      </c>
      <c r="C1182">
        <v>3</v>
      </c>
      <c r="D1182" t="s">
        <v>40</v>
      </c>
      <c r="E1182">
        <f>93/30</f>
        <v>3.1</v>
      </c>
      <c r="F1182">
        <v>0</v>
      </c>
    </row>
    <row r="1183" hidden="1" spans="1:6">
      <c r="A1183" s="2" t="s">
        <v>1329</v>
      </c>
      <c r="B1183" s="3">
        <v>69</v>
      </c>
      <c r="C1183">
        <v>3</v>
      </c>
      <c r="D1183" t="s">
        <v>42</v>
      </c>
      <c r="E1183">
        <f>90/30</f>
        <v>3</v>
      </c>
      <c r="F1183">
        <v>0</v>
      </c>
    </row>
    <row r="1184" hidden="1" spans="1:6">
      <c r="A1184" s="2" t="s">
        <v>1330</v>
      </c>
      <c r="B1184" s="3">
        <v>69</v>
      </c>
      <c r="C1184">
        <v>3</v>
      </c>
      <c r="D1184" t="s">
        <v>44</v>
      </c>
      <c r="E1184">
        <f>70/30</f>
        <v>2.33333333333333</v>
      </c>
      <c r="F1184">
        <v>0</v>
      </c>
    </row>
    <row r="1185" hidden="1" spans="1:6">
      <c r="A1185" s="2" t="s">
        <v>1331</v>
      </c>
      <c r="B1185" s="3">
        <v>69</v>
      </c>
      <c r="C1185">
        <v>3</v>
      </c>
      <c r="D1185" t="s">
        <v>46</v>
      </c>
      <c r="E1185">
        <f>426/30</f>
        <v>14.2</v>
      </c>
      <c r="F1185">
        <v>0</v>
      </c>
    </row>
    <row r="1186" hidden="1" spans="1:6">
      <c r="A1186" s="2" t="s">
        <v>1332</v>
      </c>
      <c r="B1186" s="3">
        <v>69</v>
      </c>
      <c r="C1186">
        <v>3</v>
      </c>
      <c r="D1186" t="s">
        <v>86</v>
      </c>
      <c r="E1186">
        <f>235/30</f>
        <v>7.83333333333333</v>
      </c>
      <c r="F1186">
        <v>0</v>
      </c>
    </row>
    <row r="1187" hidden="1" spans="1:6">
      <c r="A1187" s="2" t="s">
        <v>1333</v>
      </c>
      <c r="B1187" s="3">
        <v>69</v>
      </c>
      <c r="C1187">
        <v>3</v>
      </c>
      <c r="D1187" t="s">
        <v>50</v>
      </c>
      <c r="E1187">
        <f>342/30</f>
        <v>11.4</v>
      </c>
      <c r="F1187">
        <v>0</v>
      </c>
    </row>
    <row r="1188" hidden="1" spans="1:11">
      <c r="A1188" s="2" t="s">
        <v>1334</v>
      </c>
      <c r="B1188" s="3">
        <v>69</v>
      </c>
      <c r="C1188">
        <v>3</v>
      </c>
      <c r="D1188" t="s">
        <v>57</v>
      </c>
      <c r="E1188">
        <v>9</v>
      </c>
      <c r="F1188">
        <v>0</v>
      </c>
      <c r="G1188">
        <v>0</v>
      </c>
      <c r="H1188">
        <v>2</v>
      </c>
      <c r="I1188">
        <v>1751</v>
      </c>
      <c r="J1188" t="s">
        <v>58</v>
      </c>
      <c r="K1188">
        <v>1</v>
      </c>
    </row>
    <row r="1189" hidden="1" spans="1:11">
      <c r="A1189" s="2" t="s">
        <v>1335</v>
      </c>
      <c r="B1189" s="3">
        <v>68</v>
      </c>
      <c r="C1189">
        <v>3</v>
      </c>
      <c r="D1189" t="s">
        <v>92</v>
      </c>
      <c r="E1189">
        <f>170/30</f>
        <v>5.66666666666667</v>
      </c>
      <c r="F1189">
        <v>0</v>
      </c>
      <c r="G1189" t="s">
        <v>61</v>
      </c>
      <c r="H1189" t="s">
        <v>62</v>
      </c>
      <c r="I1189" t="s">
        <v>1336</v>
      </c>
      <c r="J1189" t="s">
        <v>1337</v>
      </c>
      <c r="K1189" t="s">
        <v>95</v>
      </c>
    </row>
    <row r="1190" hidden="1" spans="1:11">
      <c r="A1190" s="2" t="s">
        <v>1338</v>
      </c>
      <c r="B1190" s="3">
        <v>68</v>
      </c>
      <c r="C1190">
        <v>3</v>
      </c>
      <c r="D1190" t="s">
        <v>57</v>
      </c>
      <c r="E1190">
        <f>75/30</f>
        <v>2.5</v>
      </c>
      <c r="F1190">
        <v>0</v>
      </c>
      <c r="G1190">
        <v>0</v>
      </c>
      <c r="H1190">
        <v>2</v>
      </c>
      <c r="I1190">
        <v>1705</v>
      </c>
      <c r="J1190" t="s">
        <v>58</v>
      </c>
      <c r="K1190">
        <v>1</v>
      </c>
    </row>
    <row r="1191" hidden="1" spans="1:11">
      <c r="A1191" s="2" t="s">
        <v>1339</v>
      </c>
      <c r="B1191" s="3">
        <v>2179</v>
      </c>
      <c r="C1191">
        <v>3</v>
      </c>
      <c r="D1191" t="s">
        <v>1340</v>
      </c>
      <c r="F1191">
        <v>1</v>
      </c>
      <c r="G1191">
        <v>0</v>
      </c>
      <c r="H1191">
        <v>2</v>
      </c>
      <c r="I1191">
        <v>1684</v>
      </c>
      <c r="J1191" t="s">
        <v>58</v>
      </c>
      <c r="K1191">
        <v>1</v>
      </c>
    </row>
    <row r="1192" hidden="1" spans="1:6">
      <c r="A1192" s="2" t="s">
        <v>1341</v>
      </c>
      <c r="B1192" s="3">
        <v>70</v>
      </c>
      <c r="C1192">
        <v>3</v>
      </c>
      <c r="D1192" t="s">
        <v>36</v>
      </c>
      <c r="E1192">
        <f>60/30</f>
        <v>2</v>
      </c>
      <c r="F1192">
        <v>0</v>
      </c>
    </row>
    <row r="1193" hidden="1" spans="1:6">
      <c r="A1193" s="2" t="s">
        <v>1342</v>
      </c>
      <c r="B1193" s="3">
        <v>70</v>
      </c>
      <c r="C1193">
        <v>3</v>
      </c>
      <c r="D1193" t="s">
        <v>38</v>
      </c>
      <c r="E1193">
        <f>110/30</f>
        <v>3.66666666666667</v>
      </c>
      <c r="F1193">
        <v>0</v>
      </c>
    </row>
    <row r="1194" hidden="1" spans="1:6">
      <c r="A1194" s="2" t="s">
        <v>1343</v>
      </c>
      <c r="B1194" s="3">
        <v>70</v>
      </c>
      <c r="C1194">
        <v>3</v>
      </c>
      <c r="D1194" t="s">
        <v>40</v>
      </c>
      <c r="E1194">
        <f>105/30</f>
        <v>3.5</v>
      </c>
      <c r="F1194">
        <v>0</v>
      </c>
    </row>
    <row r="1195" hidden="1" spans="1:6">
      <c r="A1195" s="2" t="s">
        <v>1344</v>
      </c>
      <c r="B1195" s="3">
        <v>70</v>
      </c>
      <c r="C1195">
        <v>3</v>
      </c>
      <c r="D1195" t="s">
        <v>42</v>
      </c>
      <c r="E1195">
        <f>95/30</f>
        <v>3.16666666666667</v>
      </c>
      <c r="F1195">
        <v>0</v>
      </c>
    </row>
    <row r="1196" hidden="1" spans="1:6">
      <c r="A1196" s="2" t="s">
        <v>1345</v>
      </c>
      <c r="B1196" s="3">
        <v>70</v>
      </c>
      <c r="C1196">
        <v>3</v>
      </c>
      <c r="D1196" t="s">
        <v>44</v>
      </c>
      <c r="E1196">
        <f>110/30</f>
        <v>3.66666666666667</v>
      </c>
      <c r="F1196">
        <v>0</v>
      </c>
    </row>
    <row r="1197" hidden="1" spans="1:6">
      <c r="A1197" s="2" t="s">
        <v>1346</v>
      </c>
      <c r="B1197" s="3">
        <v>70</v>
      </c>
      <c r="C1197">
        <v>3</v>
      </c>
      <c r="D1197" t="s">
        <v>46</v>
      </c>
      <c r="E1197">
        <f>400/30</f>
        <v>13.3333333333333</v>
      </c>
      <c r="F1197">
        <v>0</v>
      </c>
    </row>
    <row r="1198" hidden="1" spans="1:12">
      <c r="A1198" s="2" t="s">
        <v>1347</v>
      </c>
      <c r="B1198" s="3">
        <v>70</v>
      </c>
      <c r="C1198">
        <v>3</v>
      </c>
      <c r="D1198" t="s">
        <v>86</v>
      </c>
      <c r="E1198">
        <f>245/30</f>
        <v>8.16666666666667</v>
      </c>
      <c r="F1198">
        <v>0</v>
      </c>
      <c r="G1198">
        <v>0</v>
      </c>
      <c r="L1198" s="4" t="s">
        <v>1348</v>
      </c>
    </row>
    <row r="1199" hidden="1" spans="1:6">
      <c r="A1199" s="2" t="s">
        <v>1349</v>
      </c>
      <c r="B1199" s="3">
        <v>70</v>
      </c>
      <c r="C1199">
        <v>3</v>
      </c>
      <c r="D1199" t="s">
        <v>50</v>
      </c>
      <c r="E1199">
        <f>340/30</f>
        <v>11.3333333333333</v>
      </c>
      <c r="F1199">
        <v>0</v>
      </c>
    </row>
    <row r="1200" hidden="1" spans="1:13">
      <c r="A1200" s="2" t="s">
        <v>1350</v>
      </c>
      <c r="B1200" s="3">
        <v>70</v>
      </c>
      <c r="C1200">
        <v>3</v>
      </c>
      <c r="D1200" t="s">
        <v>57</v>
      </c>
      <c r="E1200">
        <f>68/30</f>
        <v>2.26666666666667</v>
      </c>
      <c r="F1200">
        <v>0</v>
      </c>
      <c r="G1200">
        <v>0</v>
      </c>
      <c r="H1200">
        <v>2</v>
      </c>
      <c r="I1200">
        <v>1707</v>
      </c>
      <c r="J1200" t="s">
        <v>58</v>
      </c>
      <c r="K1200">
        <v>0</v>
      </c>
      <c r="L1200" s="4" t="s">
        <v>1351</v>
      </c>
      <c r="M1200" t="s">
        <v>1352</v>
      </c>
    </row>
    <row r="1201" hidden="1" spans="1:6">
      <c r="A1201" s="2" t="s">
        <v>1353</v>
      </c>
      <c r="B1201" s="3">
        <v>30015</v>
      </c>
      <c r="C1201">
        <v>3</v>
      </c>
      <c r="D1201" t="s">
        <v>36</v>
      </c>
      <c r="E1201">
        <f>60/30</f>
        <v>2</v>
      </c>
      <c r="F1201">
        <v>0</v>
      </c>
    </row>
    <row r="1202" hidden="1" spans="1:6">
      <c r="A1202" s="2" t="s">
        <v>1354</v>
      </c>
      <c r="B1202" s="3">
        <v>30015</v>
      </c>
      <c r="C1202">
        <v>3</v>
      </c>
      <c r="D1202" t="s">
        <v>38</v>
      </c>
      <c r="E1202">
        <f>110/30</f>
        <v>3.66666666666667</v>
      </c>
      <c r="F1202">
        <v>0</v>
      </c>
    </row>
    <row r="1203" hidden="1" spans="1:6">
      <c r="A1203" s="2" t="s">
        <v>1355</v>
      </c>
      <c r="B1203" s="3">
        <v>30015</v>
      </c>
      <c r="C1203">
        <v>3</v>
      </c>
      <c r="D1203" t="s">
        <v>40</v>
      </c>
      <c r="E1203">
        <f>105/30</f>
        <v>3.5</v>
      </c>
      <c r="F1203">
        <v>0</v>
      </c>
    </row>
    <row r="1204" hidden="1" spans="1:6">
      <c r="A1204" s="2" t="s">
        <v>1356</v>
      </c>
      <c r="B1204" s="3">
        <v>30015</v>
      </c>
      <c r="C1204">
        <v>3</v>
      </c>
      <c r="D1204" t="s">
        <v>42</v>
      </c>
      <c r="E1204">
        <f>95/30</f>
        <v>3.16666666666667</v>
      </c>
      <c r="F1204">
        <v>0</v>
      </c>
    </row>
    <row r="1205" hidden="1" spans="1:6">
      <c r="A1205" s="2" t="s">
        <v>1357</v>
      </c>
      <c r="B1205" s="3">
        <v>30015</v>
      </c>
      <c r="C1205">
        <v>3</v>
      </c>
      <c r="D1205" t="s">
        <v>44</v>
      </c>
      <c r="E1205">
        <f>110/30</f>
        <v>3.66666666666667</v>
      </c>
      <c r="F1205">
        <v>0</v>
      </c>
    </row>
    <row r="1206" hidden="1" spans="1:6">
      <c r="A1206" s="2" t="s">
        <v>1358</v>
      </c>
      <c r="B1206" s="3">
        <v>30015</v>
      </c>
      <c r="C1206">
        <v>3</v>
      </c>
      <c r="D1206" t="s">
        <v>46</v>
      </c>
      <c r="E1206">
        <f>400/30</f>
        <v>13.3333333333333</v>
      </c>
      <c r="F1206">
        <v>0</v>
      </c>
    </row>
    <row r="1207" hidden="1" spans="1:13">
      <c r="A1207" s="2" t="s">
        <v>1359</v>
      </c>
      <c r="B1207" s="3">
        <v>30015</v>
      </c>
      <c r="C1207">
        <v>3</v>
      </c>
      <c r="D1207" t="s">
        <v>86</v>
      </c>
      <c r="E1207">
        <f>245/30</f>
        <v>8.16666666666667</v>
      </c>
      <c r="F1207">
        <v>0</v>
      </c>
      <c r="G1207">
        <v>0</v>
      </c>
      <c r="M1207" s="4" t="s">
        <v>1360</v>
      </c>
    </row>
    <row r="1208" hidden="1" spans="1:6">
      <c r="A1208" s="2" t="s">
        <v>1361</v>
      </c>
      <c r="B1208" s="3">
        <v>30015</v>
      </c>
      <c r="C1208">
        <v>3</v>
      </c>
      <c r="D1208" t="s">
        <v>50</v>
      </c>
      <c r="E1208">
        <f>340/30</f>
        <v>11.3333333333333</v>
      </c>
      <c r="F1208">
        <v>0</v>
      </c>
    </row>
    <row r="1209" hidden="1" spans="1:11">
      <c r="A1209" s="2" t="s">
        <v>1362</v>
      </c>
      <c r="B1209" s="3">
        <v>1146</v>
      </c>
      <c r="C1209">
        <v>3</v>
      </c>
      <c r="D1209" t="s">
        <v>1340</v>
      </c>
      <c r="F1209">
        <v>1</v>
      </c>
      <c r="G1209" t="s">
        <v>61</v>
      </c>
      <c r="H1209" t="s">
        <v>62</v>
      </c>
      <c r="I1209" t="s">
        <v>1363</v>
      </c>
      <c r="J1209" t="s">
        <v>1364</v>
      </c>
      <c r="K1209" t="s">
        <v>61</v>
      </c>
    </row>
    <row r="1210" hidden="1" spans="1:11">
      <c r="A1210" s="2" t="s">
        <v>1365</v>
      </c>
      <c r="B1210" s="3">
        <v>1146</v>
      </c>
      <c r="C1210">
        <v>3</v>
      </c>
      <c r="D1210" t="s">
        <v>1366</v>
      </c>
      <c r="F1210">
        <v>1</v>
      </c>
      <c r="G1210" t="s">
        <v>61</v>
      </c>
      <c r="H1210" t="s">
        <v>62</v>
      </c>
      <c r="I1210" t="s">
        <v>1363</v>
      </c>
      <c r="J1210" t="s">
        <v>1367</v>
      </c>
      <c r="K1210" t="s">
        <v>61</v>
      </c>
    </row>
    <row r="1211" hidden="1" spans="1:6">
      <c r="A1211" s="2" t="s">
        <v>1368</v>
      </c>
      <c r="B1211" s="3">
        <v>1187</v>
      </c>
      <c r="C1211">
        <v>3</v>
      </c>
      <c r="D1211" t="s">
        <v>36</v>
      </c>
      <c r="E1211">
        <v>1</v>
      </c>
      <c r="F1211">
        <v>0</v>
      </c>
    </row>
    <row r="1212" hidden="1" spans="1:6">
      <c r="A1212" s="2" t="s">
        <v>1369</v>
      </c>
      <c r="B1212" s="3">
        <v>1187</v>
      </c>
      <c r="C1212">
        <v>3</v>
      </c>
      <c r="D1212" t="s">
        <v>38</v>
      </c>
      <c r="E1212">
        <f>62/30</f>
        <v>2.06666666666667</v>
      </c>
      <c r="F1212">
        <v>0</v>
      </c>
    </row>
    <row r="1213" hidden="1" spans="1:6">
      <c r="A1213" s="2" t="s">
        <v>1370</v>
      </c>
      <c r="B1213" s="3">
        <v>1187</v>
      </c>
      <c r="C1213">
        <v>3</v>
      </c>
      <c r="D1213" t="s">
        <v>40</v>
      </c>
      <c r="E1213">
        <v>5</v>
      </c>
      <c r="F1213">
        <v>0</v>
      </c>
    </row>
    <row r="1214" hidden="1" spans="1:6">
      <c r="A1214" s="2" t="s">
        <v>1371</v>
      </c>
      <c r="B1214" s="3">
        <v>1188</v>
      </c>
      <c r="C1214">
        <v>3</v>
      </c>
      <c r="D1214" t="s">
        <v>36</v>
      </c>
      <c r="E1214">
        <v>2</v>
      </c>
      <c r="F1214">
        <v>0</v>
      </c>
    </row>
    <row r="1215" hidden="1" spans="1:6">
      <c r="A1215" s="2" t="s">
        <v>1372</v>
      </c>
      <c r="B1215" s="3">
        <v>1188</v>
      </c>
      <c r="C1215">
        <v>3</v>
      </c>
      <c r="D1215" t="s">
        <v>38</v>
      </c>
      <c r="E1215">
        <v>2</v>
      </c>
      <c r="F1215">
        <v>0</v>
      </c>
    </row>
    <row r="1216" hidden="1" spans="1:6">
      <c r="A1216" s="2" t="s">
        <v>1373</v>
      </c>
      <c r="B1216" s="3">
        <v>1188</v>
      </c>
      <c r="C1216">
        <v>3</v>
      </c>
      <c r="D1216" t="s">
        <v>40</v>
      </c>
      <c r="E1216">
        <f>192/30</f>
        <v>6.4</v>
      </c>
      <c r="F1216">
        <v>0</v>
      </c>
    </row>
    <row r="1217" hidden="1" spans="1:6">
      <c r="A1217" s="2" t="s">
        <v>1374</v>
      </c>
      <c r="B1217" s="3">
        <v>1189</v>
      </c>
      <c r="C1217">
        <v>3</v>
      </c>
      <c r="D1217" t="s">
        <v>36</v>
      </c>
      <c r="E1217">
        <v>2</v>
      </c>
      <c r="F1217">
        <v>0</v>
      </c>
    </row>
    <row r="1218" hidden="1" spans="1:6">
      <c r="A1218" s="2" t="s">
        <v>1375</v>
      </c>
      <c r="B1218" s="3">
        <v>1189</v>
      </c>
      <c r="C1218">
        <v>3</v>
      </c>
      <c r="D1218" t="s">
        <v>38</v>
      </c>
      <c r="E1218">
        <f>100/30</f>
        <v>3.33333333333333</v>
      </c>
      <c r="F1218">
        <v>0</v>
      </c>
    </row>
    <row r="1219" hidden="1" spans="1:6">
      <c r="A1219" s="2" t="s">
        <v>1376</v>
      </c>
      <c r="B1219" s="3">
        <v>1189</v>
      </c>
      <c r="C1219">
        <v>3</v>
      </c>
      <c r="D1219" t="s">
        <v>40</v>
      </c>
      <c r="E1219">
        <f>125/30</f>
        <v>4.16666666666667</v>
      </c>
      <c r="F1219">
        <v>0</v>
      </c>
    </row>
    <row r="1220" hidden="1" spans="1:6">
      <c r="A1220" s="2" t="s">
        <v>1377</v>
      </c>
      <c r="B1220" s="3">
        <v>400202</v>
      </c>
      <c r="C1220">
        <v>3</v>
      </c>
      <c r="D1220" t="s">
        <v>36</v>
      </c>
      <c r="E1220">
        <f>60/30</f>
        <v>2</v>
      </c>
      <c r="F1220">
        <v>0</v>
      </c>
    </row>
    <row r="1221" hidden="1" spans="1:6">
      <c r="A1221" s="2" t="s">
        <v>1378</v>
      </c>
      <c r="B1221" s="3">
        <v>400202</v>
      </c>
      <c r="C1221">
        <v>3</v>
      </c>
      <c r="D1221" t="s">
        <v>38</v>
      </c>
      <c r="E1221">
        <f>110/30</f>
        <v>3.66666666666667</v>
      </c>
      <c r="F1221">
        <v>0</v>
      </c>
    </row>
    <row r="1222" hidden="1" spans="1:6">
      <c r="A1222" s="2" t="s">
        <v>1379</v>
      </c>
      <c r="B1222" s="3">
        <v>400202</v>
      </c>
      <c r="C1222">
        <v>3</v>
      </c>
      <c r="D1222" t="s">
        <v>40</v>
      </c>
      <c r="E1222">
        <f>105/30</f>
        <v>3.5</v>
      </c>
      <c r="F1222">
        <v>0</v>
      </c>
    </row>
    <row r="1223" hidden="1" spans="1:6">
      <c r="A1223" s="2" t="s">
        <v>1380</v>
      </c>
      <c r="B1223" s="3">
        <v>400202</v>
      </c>
      <c r="C1223">
        <v>3</v>
      </c>
      <c r="D1223" t="s">
        <v>42</v>
      </c>
      <c r="E1223">
        <f>95/30</f>
        <v>3.16666666666667</v>
      </c>
      <c r="F1223">
        <v>0</v>
      </c>
    </row>
    <row r="1224" hidden="1" spans="1:6">
      <c r="A1224" s="2" t="s">
        <v>1381</v>
      </c>
      <c r="B1224" s="3">
        <v>400202</v>
      </c>
      <c r="C1224">
        <v>3</v>
      </c>
      <c r="D1224" t="s">
        <v>44</v>
      </c>
      <c r="E1224">
        <f>110/30</f>
        <v>3.66666666666667</v>
      </c>
      <c r="F1224">
        <v>0</v>
      </c>
    </row>
    <row r="1225" hidden="1" spans="1:6">
      <c r="A1225" s="2" t="s">
        <v>1382</v>
      </c>
      <c r="B1225" s="3">
        <v>400202</v>
      </c>
      <c r="C1225">
        <v>3</v>
      </c>
      <c r="D1225" t="s">
        <v>46</v>
      </c>
      <c r="E1225">
        <f>400/30</f>
        <v>13.3333333333333</v>
      </c>
      <c r="F1225">
        <v>0</v>
      </c>
    </row>
    <row r="1226" hidden="1" spans="1:12">
      <c r="A1226" s="2" t="s">
        <v>1383</v>
      </c>
      <c r="B1226" s="3">
        <v>400202</v>
      </c>
      <c r="C1226">
        <v>3</v>
      </c>
      <c r="D1226" t="s">
        <v>86</v>
      </c>
      <c r="E1226">
        <f>245/30</f>
        <v>8.16666666666667</v>
      </c>
      <c r="F1226">
        <v>0</v>
      </c>
      <c r="G1226">
        <v>0</v>
      </c>
      <c r="L1226" s="4" t="s">
        <v>1384</v>
      </c>
    </row>
    <row r="1227" hidden="1" spans="1:6">
      <c r="A1227" s="2" t="s">
        <v>1385</v>
      </c>
      <c r="B1227" s="3">
        <v>400202</v>
      </c>
      <c r="C1227">
        <v>3</v>
      </c>
      <c r="D1227" t="s">
        <v>50</v>
      </c>
      <c r="E1227">
        <f>340/30</f>
        <v>11.3333333333333</v>
      </c>
      <c r="F1227">
        <v>0</v>
      </c>
    </row>
    <row r="1228" hidden="1" spans="1:13">
      <c r="A1228" s="2" t="s">
        <v>1386</v>
      </c>
      <c r="B1228" s="3">
        <v>400202</v>
      </c>
      <c r="C1228">
        <v>3</v>
      </c>
      <c r="D1228" t="s">
        <v>57</v>
      </c>
      <c r="E1228">
        <f>68/30</f>
        <v>2.26666666666667</v>
      </c>
      <c r="F1228">
        <v>0</v>
      </c>
      <c r="G1228">
        <v>0</v>
      </c>
      <c r="H1228">
        <v>2</v>
      </c>
      <c r="I1228">
        <v>1707</v>
      </c>
      <c r="J1228" t="s">
        <v>58</v>
      </c>
      <c r="K1228">
        <v>0</v>
      </c>
      <c r="L1228" s="4" t="s">
        <v>1351</v>
      </c>
      <c r="M1228" t="s">
        <v>1352</v>
      </c>
    </row>
    <row r="1229" hidden="1" spans="1:6">
      <c r="A1229" s="2" t="s">
        <v>1387</v>
      </c>
      <c r="B1229" s="3">
        <v>400203</v>
      </c>
      <c r="C1229">
        <v>3</v>
      </c>
      <c r="D1229" t="s">
        <v>36</v>
      </c>
      <c r="E1229">
        <f>60/30</f>
        <v>2</v>
      </c>
      <c r="F1229">
        <v>0</v>
      </c>
    </row>
    <row r="1230" hidden="1" spans="1:6">
      <c r="A1230" s="2" t="s">
        <v>1388</v>
      </c>
      <c r="B1230" s="3">
        <v>400203</v>
      </c>
      <c r="C1230">
        <v>3</v>
      </c>
      <c r="D1230" t="s">
        <v>38</v>
      </c>
      <c r="E1230">
        <f>110/30</f>
        <v>3.66666666666667</v>
      </c>
      <c r="F1230">
        <v>0</v>
      </c>
    </row>
    <row r="1231" hidden="1" spans="1:6">
      <c r="A1231" s="2" t="s">
        <v>1389</v>
      </c>
      <c r="B1231" s="3">
        <v>400203</v>
      </c>
      <c r="C1231">
        <v>3</v>
      </c>
      <c r="D1231" t="s">
        <v>40</v>
      </c>
      <c r="E1231">
        <f>105/30</f>
        <v>3.5</v>
      </c>
      <c r="F1231">
        <v>0</v>
      </c>
    </row>
    <row r="1232" hidden="1" spans="1:6">
      <c r="A1232" s="2" t="s">
        <v>1390</v>
      </c>
      <c r="B1232" s="3">
        <v>400203</v>
      </c>
      <c r="C1232">
        <v>3</v>
      </c>
      <c r="D1232" t="s">
        <v>42</v>
      </c>
      <c r="E1232">
        <f>95/30</f>
        <v>3.16666666666667</v>
      </c>
      <c r="F1232">
        <v>0</v>
      </c>
    </row>
    <row r="1233" hidden="1" spans="1:6">
      <c r="A1233" s="2" t="s">
        <v>1391</v>
      </c>
      <c r="B1233" s="3">
        <v>400203</v>
      </c>
      <c r="C1233">
        <v>3</v>
      </c>
      <c r="D1233" t="s">
        <v>44</v>
      </c>
      <c r="E1233">
        <f>110/30</f>
        <v>3.66666666666667</v>
      </c>
      <c r="F1233">
        <v>0</v>
      </c>
    </row>
    <row r="1234" hidden="1" spans="1:6">
      <c r="A1234" s="2" t="s">
        <v>1392</v>
      </c>
      <c r="B1234" s="3">
        <v>400203</v>
      </c>
      <c r="C1234">
        <v>3</v>
      </c>
      <c r="D1234" t="s">
        <v>46</v>
      </c>
      <c r="E1234">
        <f>400/30</f>
        <v>13.3333333333333</v>
      </c>
      <c r="F1234">
        <v>0</v>
      </c>
    </row>
    <row r="1235" hidden="1" spans="1:12">
      <c r="A1235" s="2" t="s">
        <v>1393</v>
      </c>
      <c r="B1235" s="3">
        <v>400203</v>
      </c>
      <c r="C1235">
        <v>3</v>
      </c>
      <c r="D1235" t="s">
        <v>86</v>
      </c>
      <c r="E1235">
        <f>245/30</f>
        <v>8.16666666666667</v>
      </c>
      <c r="F1235">
        <v>0</v>
      </c>
      <c r="G1235">
        <v>0</v>
      </c>
      <c r="L1235" s="4" t="s">
        <v>1360</v>
      </c>
    </row>
    <row r="1236" hidden="1" spans="1:6">
      <c r="A1236" s="2" t="s">
        <v>1394</v>
      </c>
      <c r="B1236" s="3">
        <v>400203</v>
      </c>
      <c r="C1236">
        <v>3</v>
      </c>
      <c r="D1236" t="s">
        <v>50</v>
      </c>
      <c r="E1236">
        <f>340/30</f>
        <v>11.3333333333333</v>
      </c>
      <c r="F1236">
        <v>0</v>
      </c>
    </row>
    <row r="1237" hidden="1" spans="1:13">
      <c r="A1237" s="2" t="s">
        <v>1395</v>
      </c>
      <c r="B1237" s="3">
        <v>400203</v>
      </c>
      <c r="C1237">
        <v>3</v>
      </c>
      <c r="D1237" t="s">
        <v>57</v>
      </c>
      <c r="E1237">
        <f>68/30</f>
        <v>2.26666666666667</v>
      </c>
      <c r="F1237">
        <v>0</v>
      </c>
      <c r="G1237">
        <v>0</v>
      </c>
      <c r="H1237">
        <v>2</v>
      </c>
      <c r="I1237">
        <v>1707</v>
      </c>
      <c r="J1237" t="s">
        <v>58</v>
      </c>
      <c r="K1237">
        <v>0</v>
      </c>
      <c r="L1237" s="4" t="s">
        <v>1351</v>
      </c>
      <c r="M1237" t="s">
        <v>1352</v>
      </c>
    </row>
    <row r="1238" hidden="1" spans="1:6">
      <c r="A1238" s="2" t="s">
        <v>1396</v>
      </c>
      <c r="B1238" s="3">
        <v>78</v>
      </c>
      <c r="C1238">
        <v>3</v>
      </c>
      <c r="D1238" t="s">
        <v>36</v>
      </c>
      <c r="E1238">
        <f>85/30</f>
        <v>2.83333333333333</v>
      </c>
      <c r="F1238">
        <v>0</v>
      </c>
    </row>
    <row r="1239" hidden="1" spans="1:6">
      <c r="A1239" s="2" t="s">
        <v>1397</v>
      </c>
      <c r="B1239" s="3">
        <v>78</v>
      </c>
      <c r="C1239">
        <v>3</v>
      </c>
      <c r="D1239" t="s">
        <v>38</v>
      </c>
      <c r="E1239">
        <f>170/30</f>
        <v>5.66666666666667</v>
      </c>
      <c r="F1239">
        <v>0</v>
      </c>
    </row>
    <row r="1240" hidden="1" spans="1:6">
      <c r="A1240" s="2" t="s">
        <v>1398</v>
      </c>
      <c r="B1240" s="3">
        <v>78</v>
      </c>
      <c r="C1240">
        <v>3</v>
      </c>
      <c r="D1240" t="s">
        <v>40</v>
      </c>
      <c r="E1240">
        <f>145/30</f>
        <v>4.83333333333333</v>
      </c>
      <c r="F1240">
        <v>0</v>
      </c>
    </row>
    <row r="1241" hidden="1" spans="1:6">
      <c r="A1241" s="2" t="s">
        <v>1399</v>
      </c>
      <c r="B1241" s="3">
        <v>78</v>
      </c>
      <c r="C1241">
        <v>3</v>
      </c>
      <c r="D1241" t="s">
        <v>42</v>
      </c>
      <c r="E1241">
        <f>100/30</f>
        <v>3.33333333333333</v>
      </c>
      <c r="F1241">
        <v>0</v>
      </c>
    </row>
    <row r="1242" hidden="1" spans="1:6">
      <c r="A1242" s="2" t="s">
        <v>1400</v>
      </c>
      <c r="B1242" s="3">
        <v>78</v>
      </c>
      <c r="C1242">
        <v>3</v>
      </c>
      <c r="D1242" t="s">
        <v>44</v>
      </c>
      <c r="E1242">
        <f>84/30</f>
        <v>2.8</v>
      </c>
      <c r="F1242">
        <v>0</v>
      </c>
    </row>
    <row r="1243" hidden="1" spans="1:6">
      <c r="A1243" s="2" t="s">
        <v>1401</v>
      </c>
      <c r="B1243" s="3">
        <v>78</v>
      </c>
      <c r="C1243">
        <v>3</v>
      </c>
      <c r="D1243" t="s">
        <v>46</v>
      </c>
      <c r="E1243">
        <f>185/30</f>
        <v>6.16666666666667</v>
      </c>
      <c r="F1243">
        <v>0</v>
      </c>
    </row>
    <row r="1244" hidden="1" spans="1:6">
      <c r="A1244" s="2" t="s">
        <v>1402</v>
      </c>
      <c r="B1244" s="3">
        <v>78</v>
      </c>
      <c r="C1244">
        <v>3</v>
      </c>
      <c r="D1244" t="s">
        <v>86</v>
      </c>
      <c r="E1244">
        <f>220/30</f>
        <v>7.33333333333333</v>
      </c>
      <c r="F1244">
        <v>0</v>
      </c>
    </row>
    <row r="1245" hidden="1" spans="1:6">
      <c r="A1245" s="2" t="s">
        <v>1403</v>
      </c>
      <c r="B1245" s="3">
        <v>78</v>
      </c>
      <c r="C1245">
        <v>3</v>
      </c>
      <c r="D1245" t="s">
        <v>50</v>
      </c>
      <c r="E1245">
        <f>420/30</f>
        <v>14</v>
      </c>
      <c r="F1245">
        <v>0</v>
      </c>
    </row>
    <row r="1246" hidden="1" spans="1:6">
      <c r="A1246" s="2" t="s">
        <v>1404</v>
      </c>
      <c r="B1246" s="3">
        <v>78</v>
      </c>
      <c r="C1246">
        <v>3</v>
      </c>
      <c r="D1246" t="s">
        <v>90</v>
      </c>
      <c r="E1246">
        <f>185/30</f>
        <v>6.16666666666667</v>
      </c>
      <c r="F1246">
        <v>0</v>
      </c>
    </row>
    <row r="1247" hidden="1" spans="1:6">
      <c r="A1247" s="2" t="s">
        <v>1405</v>
      </c>
      <c r="B1247" s="3">
        <v>78</v>
      </c>
      <c r="C1247">
        <v>3</v>
      </c>
      <c r="D1247" t="s">
        <v>1406</v>
      </c>
      <c r="E1247">
        <f>140/30</f>
        <v>4.66666666666667</v>
      </c>
      <c r="F1247">
        <v>0</v>
      </c>
    </row>
    <row r="1248" hidden="1" spans="1:11">
      <c r="A1248" s="2" t="s">
        <v>1407</v>
      </c>
      <c r="B1248" s="3">
        <v>78</v>
      </c>
      <c r="C1248">
        <v>3</v>
      </c>
      <c r="D1248" t="s">
        <v>1408</v>
      </c>
      <c r="E1248">
        <v>1</v>
      </c>
      <c r="F1248">
        <v>0</v>
      </c>
      <c r="G1248">
        <v>0</v>
      </c>
      <c r="H1248">
        <v>2</v>
      </c>
      <c r="I1248">
        <v>1776</v>
      </c>
      <c r="J1248" t="s">
        <v>58</v>
      </c>
      <c r="K1248">
        <v>1</v>
      </c>
    </row>
    <row r="1249" hidden="1" spans="1:11">
      <c r="A1249" s="2" t="s">
        <v>1409</v>
      </c>
      <c r="B1249" s="3">
        <v>78</v>
      </c>
      <c r="C1249">
        <v>3</v>
      </c>
      <c r="D1249" t="s">
        <v>92</v>
      </c>
      <c r="E1249">
        <v>3</v>
      </c>
      <c r="F1249">
        <v>0</v>
      </c>
      <c r="G1249">
        <v>0</v>
      </c>
      <c r="H1249">
        <v>2</v>
      </c>
      <c r="I1249">
        <v>1839</v>
      </c>
      <c r="J1249" t="s">
        <v>403</v>
      </c>
      <c r="K1249">
        <v>1</v>
      </c>
    </row>
    <row r="1250" hidden="1" spans="1:6">
      <c r="A1250" s="2" t="s">
        <v>1410</v>
      </c>
      <c r="B1250" s="3">
        <v>400402</v>
      </c>
      <c r="C1250">
        <v>3</v>
      </c>
      <c r="D1250" t="s">
        <v>36</v>
      </c>
      <c r="E1250">
        <f>110/30</f>
        <v>3.66666666666667</v>
      </c>
      <c r="F1250">
        <v>0</v>
      </c>
    </row>
    <row r="1251" hidden="1" spans="1:6">
      <c r="A1251" s="2" t="s">
        <v>1411</v>
      </c>
      <c r="B1251" s="3">
        <v>400402</v>
      </c>
      <c r="C1251">
        <v>3</v>
      </c>
      <c r="D1251" t="s">
        <v>38</v>
      </c>
      <c r="E1251">
        <f>86/30</f>
        <v>2.86666666666667</v>
      </c>
      <c r="F1251">
        <v>0</v>
      </c>
    </row>
    <row r="1252" hidden="1" spans="1:6">
      <c r="A1252" s="2" t="s">
        <v>1412</v>
      </c>
      <c r="B1252" s="3">
        <v>400402</v>
      </c>
      <c r="C1252">
        <v>3</v>
      </c>
      <c r="D1252" t="s">
        <v>40</v>
      </c>
      <c r="E1252">
        <f>93/30</f>
        <v>3.1</v>
      </c>
      <c r="F1252">
        <v>0</v>
      </c>
    </row>
    <row r="1253" hidden="1" spans="1:6">
      <c r="A1253" s="2" t="s">
        <v>1413</v>
      </c>
      <c r="B1253" s="3">
        <v>400402</v>
      </c>
      <c r="C1253">
        <v>3</v>
      </c>
      <c r="D1253" t="s">
        <v>42</v>
      </c>
      <c r="E1253">
        <f>90/30</f>
        <v>3</v>
      </c>
      <c r="F1253">
        <v>0</v>
      </c>
    </row>
    <row r="1254" hidden="1" spans="1:6">
      <c r="A1254" s="2" t="s">
        <v>1414</v>
      </c>
      <c r="B1254" s="3">
        <v>400402</v>
      </c>
      <c r="C1254">
        <v>3</v>
      </c>
      <c r="D1254" t="s">
        <v>44</v>
      </c>
      <c r="E1254">
        <f>70/30</f>
        <v>2.33333333333333</v>
      </c>
      <c r="F1254">
        <v>0</v>
      </c>
    </row>
    <row r="1255" hidden="1" spans="1:6">
      <c r="A1255" s="2" t="s">
        <v>1415</v>
      </c>
      <c r="B1255" s="3">
        <v>400402</v>
      </c>
      <c r="C1255">
        <v>3</v>
      </c>
      <c r="D1255" t="s">
        <v>46</v>
      </c>
      <c r="E1255">
        <f>426/30</f>
        <v>14.2</v>
      </c>
      <c r="F1255">
        <v>0</v>
      </c>
    </row>
    <row r="1256" hidden="1" spans="1:6">
      <c r="A1256" s="2" t="s">
        <v>1416</v>
      </c>
      <c r="B1256" s="3">
        <v>400402</v>
      </c>
      <c r="C1256">
        <v>3</v>
      </c>
      <c r="D1256" t="s">
        <v>86</v>
      </c>
      <c r="E1256">
        <f>235/30</f>
        <v>7.83333333333333</v>
      </c>
      <c r="F1256">
        <v>0</v>
      </c>
    </row>
    <row r="1257" hidden="1" spans="1:6">
      <c r="A1257" s="2" t="s">
        <v>1417</v>
      </c>
      <c r="B1257" s="3">
        <v>400402</v>
      </c>
      <c r="C1257">
        <v>3</v>
      </c>
      <c r="D1257" t="s">
        <v>50</v>
      </c>
      <c r="E1257">
        <f>342/30</f>
        <v>11.4</v>
      </c>
      <c r="F1257">
        <v>0</v>
      </c>
    </row>
    <row r="1258" hidden="1" spans="1:11">
      <c r="A1258" s="2" t="s">
        <v>1418</v>
      </c>
      <c r="B1258" s="3">
        <v>400402</v>
      </c>
      <c r="C1258">
        <v>3</v>
      </c>
      <c r="D1258" t="s">
        <v>57</v>
      </c>
      <c r="E1258">
        <v>9</v>
      </c>
      <c r="F1258">
        <v>0</v>
      </c>
      <c r="G1258">
        <v>0</v>
      </c>
      <c r="H1258">
        <v>2</v>
      </c>
      <c r="I1258">
        <v>1751</v>
      </c>
      <c r="J1258" t="s">
        <v>58</v>
      </c>
      <c r="K1258">
        <v>1</v>
      </c>
    </row>
    <row r="1259" hidden="1" spans="1:6">
      <c r="A1259" s="2" t="s">
        <v>1419</v>
      </c>
      <c r="B1259" s="3">
        <v>72</v>
      </c>
      <c r="C1259">
        <v>3</v>
      </c>
      <c r="D1259" t="s">
        <v>36</v>
      </c>
      <c r="E1259">
        <f>70/30</f>
        <v>2.33333333333333</v>
      </c>
      <c r="F1259">
        <v>0</v>
      </c>
    </row>
    <row r="1260" hidden="1" spans="1:6">
      <c r="A1260" s="2" t="s">
        <v>1420</v>
      </c>
      <c r="B1260" s="3">
        <v>72</v>
      </c>
      <c r="C1260">
        <v>3</v>
      </c>
      <c r="D1260" t="s">
        <v>38</v>
      </c>
      <c r="E1260">
        <f>87/30</f>
        <v>2.9</v>
      </c>
      <c r="F1260">
        <v>0</v>
      </c>
    </row>
    <row r="1261" hidden="1" spans="1:6">
      <c r="A1261" s="2" t="s">
        <v>1421</v>
      </c>
      <c r="B1261" s="3">
        <v>72</v>
      </c>
      <c r="C1261">
        <v>3</v>
      </c>
      <c r="D1261" t="s">
        <v>40</v>
      </c>
      <c r="E1261">
        <f>120/30</f>
        <v>4</v>
      </c>
      <c r="F1261">
        <v>0</v>
      </c>
    </row>
    <row r="1262" hidden="1" spans="1:6">
      <c r="A1262" s="2" t="s">
        <v>1422</v>
      </c>
      <c r="B1262" s="3">
        <v>72</v>
      </c>
      <c r="C1262">
        <v>3</v>
      </c>
      <c r="D1262" t="s">
        <v>42</v>
      </c>
      <c r="E1262">
        <f>62/30</f>
        <v>2.06666666666667</v>
      </c>
      <c r="F1262">
        <v>0</v>
      </c>
    </row>
    <row r="1263" hidden="1" spans="1:6">
      <c r="A1263" s="2" t="s">
        <v>1423</v>
      </c>
      <c r="B1263" s="3">
        <v>72</v>
      </c>
      <c r="C1263">
        <v>3</v>
      </c>
      <c r="D1263" t="s">
        <v>44</v>
      </c>
      <c r="E1263">
        <f>105/30</f>
        <v>3.5</v>
      </c>
      <c r="F1263">
        <v>0</v>
      </c>
    </row>
    <row r="1264" hidden="1" spans="1:6">
      <c r="A1264" s="2" t="s">
        <v>1424</v>
      </c>
      <c r="B1264" s="3">
        <v>72</v>
      </c>
      <c r="C1264">
        <v>3</v>
      </c>
      <c r="D1264" t="s">
        <v>46</v>
      </c>
      <c r="E1264">
        <f>180/30</f>
        <v>6</v>
      </c>
      <c r="F1264">
        <v>0</v>
      </c>
    </row>
    <row r="1265" hidden="1" spans="1:6">
      <c r="A1265" s="2" t="s">
        <v>1425</v>
      </c>
      <c r="B1265" s="3">
        <v>72</v>
      </c>
      <c r="C1265">
        <v>3</v>
      </c>
      <c r="D1265" t="s">
        <v>86</v>
      </c>
      <c r="E1265">
        <f>280/30</f>
        <v>9.33333333333333</v>
      </c>
      <c r="F1265">
        <v>0</v>
      </c>
    </row>
    <row r="1266" hidden="1" spans="1:6">
      <c r="A1266" s="2" t="s">
        <v>1426</v>
      </c>
      <c r="B1266" s="3">
        <v>72</v>
      </c>
      <c r="C1266">
        <v>3</v>
      </c>
      <c r="D1266" t="s">
        <v>50</v>
      </c>
      <c r="E1266">
        <f>240/30</f>
        <v>8</v>
      </c>
      <c r="F1266">
        <v>0</v>
      </c>
    </row>
    <row r="1267" hidden="1" spans="1:11">
      <c r="A1267" s="2" t="s">
        <v>1427</v>
      </c>
      <c r="B1267" s="3">
        <v>72</v>
      </c>
      <c r="C1267">
        <v>3</v>
      </c>
      <c r="D1267" t="s">
        <v>109</v>
      </c>
      <c r="E1267">
        <f>170/30</f>
        <v>5.66666666666667</v>
      </c>
      <c r="F1267">
        <v>0</v>
      </c>
      <c r="G1267">
        <v>0</v>
      </c>
      <c r="H1267">
        <v>2</v>
      </c>
      <c r="I1267">
        <v>1843</v>
      </c>
      <c r="J1267" t="s">
        <v>58</v>
      </c>
      <c r="K1267">
        <v>1</v>
      </c>
    </row>
    <row r="1268" hidden="1" spans="1:6">
      <c r="A1268" s="2" t="s">
        <v>1428</v>
      </c>
      <c r="B1268" s="3">
        <v>1190</v>
      </c>
      <c r="C1268">
        <v>3</v>
      </c>
      <c r="D1268" t="s">
        <v>36</v>
      </c>
      <c r="E1268">
        <f>60/30</f>
        <v>2</v>
      </c>
      <c r="F1268">
        <v>0</v>
      </c>
    </row>
    <row r="1269" hidden="1" spans="1:6">
      <c r="A1269" s="2" t="s">
        <v>1429</v>
      </c>
      <c r="B1269" s="3">
        <v>1190</v>
      </c>
      <c r="C1269">
        <v>3</v>
      </c>
      <c r="D1269" t="s">
        <v>38</v>
      </c>
      <c r="E1269">
        <f>85/30</f>
        <v>2.83333333333333</v>
      </c>
      <c r="F1269">
        <v>0</v>
      </c>
    </row>
    <row r="1270" hidden="1" spans="1:6">
      <c r="A1270" s="2" t="s">
        <v>1430</v>
      </c>
      <c r="B1270" s="3">
        <v>1190</v>
      </c>
      <c r="C1270">
        <v>3</v>
      </c>
      <c r="D1270" t="s">
        <v>40</v>
      </c>
      <c r="E1270">
        <f>120/30</f>
        <v>4</v>
      </c>
      <c r="F1270">
        <v>0</v>
      </c>
    </row>
    <row r="1271" hidden="1" spans="1:6">
      <c r="A1271" s="2" t="s">
        <v>1431</v>
      </c>
      <c r="B1271" s="3">
        <v>1190</v>
      </c>
      <c r="C1271">
        <v>3</v>
      </c>
      <c r="D1271" t="s">
        <v>42</v>
      </c>
      <c r="E1271">
        <f>80/30</f>
        <v>2.66666666666667</v>
      </c>
      <c r="F1271">
        <v>0</v>
      </c>
    </row>
    <row r="1272" hidden="1" spans="1:6">
      <c r="A1272" s="2" t="s">
        <v>1432</v>
      </c>
      <c r="B1272" s="3">
        <v>1190</v>
      </c>
      <c r="C1272">
        <v>3</v>
      </c>
      <c r="D1272" t="s">
        <v>44</v>
      </c>
      <c r="E1272">
        <f>150/30</f>
        <v>5</v>
      </c>
      <c r="F1272">
        <v>0</v>
      </c>
    </row>
    <row r="1273" hidden="1" spans="1:6">
      <c r="A1273" s="2" t="s">
        <v>1433</v>
      </c>
      <c r="B1273" s="3">
        <v>75</v>
      </c>
      <c r="C1273">
        <v>3</v>
      </c>
      <c r="D1273" t="s">
        <v>36</v>
      </c>
      <c r="E1273">
        <f>90/30</f>
        <v>3</v>
      </c>
      <c r="F1273">
        <v>0</v>
      </c>
    </row>
    <row r="1274" hidden="1" spans="1:6">
      <c r="A1274" s="2" t="s">
        <v>1434</v>
      </c>
      <c r="B1274" s="3">
        <v>75</v>
      </c>
      <c r="C1274">
        <v>3</v>
      </c>
      <c r="D1274" t="s">
        <v>38</v>
      </c>
      <c r="E1274">
        <f>70/30</f>
        <v>2.33333333333333</v>
      </c>
      <c r="F1274">
        <v>0</v>
      </c>
    </row>
    <row r="1275" hidden="1" spans="1:6">
      <c r="A1275" s="2" t="s">
        <v>1435</v>
      </c>
      <c r="B1275" s="3">
        <v>75</v>
      </c>
      <c r="C1275">
        <v>3</v>
      </c>
      <c r="D1275" t="s">
        <v>40</v>
      </c>
      <c r="E1275">
        <f>45/30</f>
        <v>1.5</v>
      </c>
      <c r="F1275">
        <v>0</v>
      </c>
    </row>
    <row r="1276" hidden="1" spans="1:6">
      <c r="A1276" s="2" t="s">
        <v>1436</v>
      </c>
      <c r="B1276" s="3">
        <v>75</v>
      </c>
      <c r="C1276">
        <v>3</v>
      </c>
      <c r="D1276" t="s">
        <v>42</v>
      </c>
      <c r="E1276">
        <f>36/30</f>
        <v>1.2</v>
      </c>
      <c r="F1276">
        <v>0</v>
      </c>
    </row>
    <row r="1277" hidden="1" spans="1:6">
      <c r="A1277" s="2" t="s">
        <v>1437</v>
      </c>
      <c r="B1277" s="3">
        <v>75</v>
      </c>
      <c r="C1277">
        <v>3</v>
      </c>
      <c r="D1277" t="s">
        <v>44</v>
      </c>
      <c r="E1277">
        <f>95/30</f>
        <v>3.16666666666667</v>
      </c>
      <c r="F1277">
        <v>0</v>
      </c>
    </row>
    <row r="1278" hidden="1" spans="1:6">
      <c r="A1278" s="2" t="s">
        <v>1438</v>
      </c>
      <c r="B1278" s="3">
        <v>75</v>
      </c>
      <c r="C1278">
        <v>3</v>
      </c>
      <c r="D1278" t="s">
        <v>46</v>
      </c>
      <c r="E1278">
        <f>300/30</f>
        <v>10</v>
      </c>
      <c r="F1278">
        <v>0</v>
      </c>
    </row>
    <row r="1279" hidden="1" spans="1:6">
      <c r="A1279" s="2" t="s">
        <v>1439</v>
      </c>
      <c r="B1279" s="3">
        <v>75</v>
      </c>
      <c r="C1279">
        <v>3</v>
      </c>
      <c r="D1279" t="s">
        <v>86</v>
      </c>
      <c r="E1279">
        <f>360/30</f>
        <v>12</v>
      </c>
      <c r="F1279">
        <v>0</v>
      </c>
    </row>
    <row r="1280" hidden="1" spans="1:6">
      <c r="A1280" s="2" t="s">
        <v>1440</v>
      </c>
      <c r="B1280" s="3">
        <v>75</v>
      </c>
      <c r="C1280">
        <v>3</v>
      </c>
      <c r="D1280" t="s">
        <v>50</v>
      </c>
      <c r="E1280">
        <f>290/30</f>
        <v>9.66666666666667</v>
      </c>
      <c r="F1280">
        <v>0</v>
      </c>
    </row>
    <row r="1281" hidden="1" spans="1:11">
      <c r="A1281" s="2" t="s">
        <v>1441</v>
      </c>
      <c r="B1281" s="3">
        <v>75</v>
      </c>
      <c r="C1281">
        <v>3</v>
      </c>
      <c r="D1281" t="s">
        <v>97</v>
      </c>
      <c r="E1281">
        <f>100/30</f>
        <v>3.33333333333333</v>
      </c>
      <c r="F1281">
        <v>0</v>
      </c>
      <c r="G1281">
        <v>0</v>
      </c>
      <c r="H1281">
        <v>2</v>
      </c>
      <c r="I1281">
        <v>1965</v>
      </c>
      <c r="J1281" t="s">
        <v>58</v>
      </c>
      <c r="K1281">
        <v>1</v>
      </c>
    </row>
    <row r="1282" hidden="1" spans="1:6">
      <c r="A1282" s="2" t="s">
        <v>1442</v>
      </c>
      <c r="B1282" s="3">
        <v>2174</v>
      </c>
      <c r="C1282">
        <v>3</v>
      </c>
      <c r="D1282" t="s">
        <v>36</v>
      </c>
      <c r="E1282">
        <f>75/30</f>
        <v>2.5</v>
      </c>
      <c r="F1282">
        <v>0</v>
      </c>
    </row>
    <row r="1283" hidden="1" spans="1:6">
      <c r="A1283" s="2" t="s">
        <v>1443</v>
      </c>
      <c r="B1283" s="3">
        <v>2174</v>
      </c>
      <c r="C1283">
        <v>3</v>
      </c>
      <c r="D1283" t="s">
        <v>38</v>
      </c>
      <c r="E1283">
        <f>82/30</f>
        <v>2.73333333333333</v>
      </c>
      <c r="F1283">
        <v>0</v>
      </c>
    </row>
    <row r="1284" hidden="1" spans="1:6">
      <c r="A1284" s="2" t="s">
        <v>1444</v>
      </c>
      <c r="B1284" s="3">
        <v>2174</v>
      </c>
      <c r="C1284">
        <v>3</v>
      </c>
      <c r="D1284" t="s">
        <v>40</v>
      </c>
      <c r="E1284">
        <f>55/30</f>
        <v>1.83333333333333</v>
      </c>
      <c r="F1284">
        <v>0</v>
      </c>
    </row>
    <row r="1285" hidden="1" spans="1:6">
      <c r="A1285" s="2" t="s">
        <v>1445</v>
      </c>
      <c r="B1285" s="3">
        <v>2174</v>
      </c>
      <c r="C1285">
        <v>3</v>
      </c>
      <c r="D1285" t="s">
        <v>42</v>
      </c>
      <c r="E1285">
        <f>85/30</f>
        <v>2.83333333333333</v>
      </c>
      <c r="F1285">
        <v>0</v>
      </c>
    </row>
    <row r="1286" hidden="1" spans="1:6">
      <c r="A1286" s="2" t="s">
        <v>1446</v>
      </c>
      <c r="B1286" s="3">
        <v>2174</v>
      </c>
      <c r="C1286">
        <v>3</v>
      </c>
      <c r="D1286" t="s">
        <v>44</v>
      </c>
      <c r="E1286">
        <f>95/30</f>
        <v>3.16666666666667</v>
      </c>
      <c r="F1286">
        <v>0</v>
      </c>
    </row>
    <row r="1287" hidden="1" spans="1:6">
      <c r="A1287" s="2" t="s">
        <v>1447</v>
      </c>
      <c r="B1287" s="3">
        <v>2174</v>
      </c>
      <c r="C1287">
        <v>3</v>
      </c>
      <c r="D1287" t="s">
        <v>46</v>
      </c>
      <c r="E1287">
        <f>300/30</f>
        <v>10</v>
      </c>
      <c r="F1287">
        <v>0</v>
      </c>
    </row>
    <row r="1288" hidden="1" spans="1:6">
      <c r="A1288" s="2" t="s">
        <v>1448</v>
      </c>
      <c r="B1288" s="3">
        <v>2174</v>
      </c>
      <c r="C1288">
        <v>3</v>
      </c>
      <c r="D1288" t="s">
        <v>86</v>
      </c>
      <c r="E1288">
        <f>270/30</f>
        <v>9</v>
      </c>
      <c r="F1288">
        <v>0</v>
      </c>
    </row>
    <row r="1289" hidden="1" spans="1:6">
      <c r="A1289" s="2" t="s">
        <v>1449</v>
      </c>
      <c r="B1289" s="3">
        <v>2174</v>
      </c>
      <c r="C1289">
        <v>3</v>
      </c>
      <c r="D1289" t="s">
        <v>50</v>
      </c>
      <c r="E1289">
        <f>230/30</f>
        <v>7.66666666666667</v>
      </c>
      <c r="F1289">
        <v>0</v>
      </c>
    </row>
    <row r="1290" hidden="1" spans="1:6">
      <c r="A1290" s="2" t="s">
        <v>1450</v>
      </c>
      <c r="B1290" s="3">
        <v>2174</v>
      </c>
      <c r="C1290">
        <v>3</v>
      </c>
      <c r="D1290" t="s">
        <v>90</v>
      </c>
      <c r="E1290">
        <f>110/30</f>
        <v>3.66666666666667</v>
      </c>
      <c r="F1290">
        <v>0</v>
      </c>
    </row>
    <row r="1291" hidden="1" spans="1:6">
      <c r="A1291" s="2" t="s">
        <v>1451</v>
      </c>
      <c r="B1291" s="3">
        <v>2174</v>
      </c>
      <c r="C1291">
        <v>3</v>
      </c>
      <c r="D1291" t="s">
        <v>48</v>
      </c>
      <c r="E1291">
        <v>3.7</v>
      </c>
      <c r="F1291">
        <v>0</v>
      </c>
    </row>
    <row r="1292" hidden="1" spans="1:6">
      <c r="A1292" s="2" t="s">
        <v>1452</v>
      </c>
      <c r="B1292" s="3">
        <v>2174</v>
      </c>
      <c r="C1292">
        <v>3</v>
      </c>
      <c r="D1292" t="s">
        <v>52</v>
      </c>
      <c r="E1292">
        <f>400/30</f>
        <v>13.3333333333333</v>
      </c>
      <c r="F1292">
        <v>0</v>
      </c>
    </row>
    <row r="1293" hidden="1" spans="1:11">
      <c r="A1293" s="2" t="s">
        <v>1453</v>
      </c>
      <c r="B1293" s="3">
        <v>2174</v>
      </c>
      <c r="C1293">
        <v>3</v>
      </c>
      <c r="D1293" t="s">
        <v>54</v>
      </c>
      <c r="E1293">
        <v>6</v>
      </c>
      <c r="F1293">
        <v>0</v>
      </c>
      <c r="G1293">
        <v>0</v>
      </c>
      <c r="H1293">
        <v>2</v>
      </c>
      <c r="I1293">
        <v>1930</v>
      </c>
      <c r="J1293" t="s">
        <v>58</v>
      </c>
      <c r="K1293">
        <v>1</v>
      </c>
    </row>
    <row r="1294" hidden="1" spans="1:11">
      <c r="A1294" s="2" t="s">
        <v>1454</v>
      </c>
      <c r="B1294" s="3">
        <v>2174</v>
      </c>
      <c r="C1294">
        <v>3</v>
      </c>
      <c r="D1294" t="s">
        <v>669</v>
      </c>
      <c r="E1294">
        <v>2</v>
      </c>
      <c r="F1294">
        <v>0</v>
      </c>
      <c r="G1294">
        <v>0</v>
      </c>
      <c r="H1294">
        <v>2</v>
      </c>
      <c r="I1294">
        <v>1959</v>
      </c>
      <c r="J1294" t="s">
        <v>58</v>
      </c>
      <c r="K1294">
        <v>1</v>
      </c>
    </row>
    <row r="1295" hidden="1" spans="1:6">
      <c r="A1295" s="2" t="s">
        <v>1455</v>
      </c>
      <c r="B1295" s="3">
        <v>400204</v>
      </c>
      <c r="C1295">
        <v>3</v>
      </c>
      <c r="D1295" t="s">
        <v>36</v>
      </c>
      <c r="E1295">
        <f>60/30</f>
        <v>2</v>
      </c>
      <c r="F1295">
        <v>0</v>
      </c>
    </row>
    <row r="1296" hidden="1" spans="1:6">
      <c r="A1296" s="2" t="s">
        <v>1456</v>
      </c>
      <c r="B1296" s="3">
        <v>400204</v>
      </c>
      <c r="C1296">
        <v>3</v>
      </c>
      <c r="D1296" t="s">
        <v>38</v>
      </c>
      <c r="E1296">
        <f>110/30</f>
        <v>3.66666666666667</v>
      </c>
      <c r="F1296">
        <v>0</v>
      </c>
    </row>
    <row r="1297" hidden="1" spans="1:6">
      <c r="A1297" s="2" t="s">
        <v>1457</v>
      </c>
      <c r="B1297" s="3">
        <v>400204</v>
      </c>
      <c r="C1297">
        <v>3</v>
      </c>
      <c r="D1297" t="s">
        <v>40</v>
      </c>
      <c r="E1297">
        <f>105/30</f>
        <v>3.5</v>
      </c>
      <c r="F1297">
        <v>0</v>
      </c>
    </row>
    <row r="1298" hidden="1" spans="1:6">
      <c r="A1298" s="2" t="s">
        <v>1458</v>
      </c>
      <c r="B1298" s="3">
        <v>400204</v>
      </c>
      <c r="C1298">
        <v>3</v>
      </c>
      <c r="D1298" t="s">
        <v>42</v>
      </c>
      <c r="E1298">
        <f>95/30</f>
        <v>3.16666666666667</v>
      </c>
      <c r="F1298">
        <v>0</v>
      </c>
    </row>
    <row r="1299" hidden="1" spans="1:6">
      <c r="A1299" s="2" t="s">
        <v>1459</v>
      </c>
      <c r="B1299" s="3">
        <v>400204</v>
      </c>
      <c r="C1299">
        <v>3</v>
      </c>
      <c r="D1299" t="s">
        <v>44</v>
      </c>
      <c r="E1299">
        <f>110/30</f>
        <v>3.66666666666667</v>
      </c>
      <c r="F1299">
        <v>0</v>
      </c>
    </row>
    <row r="1300" hidden="1" spans="1:6">
      <c r="A1300" s="2" t="s">
        <v>1460</v>
      </c>
      <c r="B1300" s="3">
        <v>400204</v>
      </c>
      <c r="C1300">
        <v>3</v>
      </c>
      <c r="D1300" t="s">
        <v>46</v>
      </c>
      <c r="E1300">
        <f>400/30</f>
        <v>13.3333333333333</v>
      </c>
      <c r="F1300">
        <v>0</v>
      </c>
    </row>
    <row r="1301" hidden="1" spans="1:12">
      <c r="A1301" s="2" t="s">
        <v>1461</v>
      </c>
      <c r="B1301" s="3">
        <v>400204</v>
      </c>
      <c r="C1301">
        <v>3</v>
      </c>
      <c r="D1301" t="s">
        <v>86</v>
      </c>
      <c r="E1301">
        <f>245/30</f>
        <v>8.16666666666667</v>
      </c>
      <c r="F1301">
        <v>0</v>
      </c>
      <c r="G1301">
        <v>0</v>
      </c>
      <c r="L1301" s="4" t="s">
        <v>1348</v>
      </c>
    </row>
    <row r="1302" hidden="1" spans="1:6">
      <c r="A1302" s="2" t="s">
        <v>1462</v>
      </c>
      <c r="B1302" s="3">
        <v>400204</v>
      </c>
      <c r="C1302">
        <v>3</v>
      </c>
      <c r="D1302" t="s">
        <v>50</v>
      </c>
      <c r="E1302">
        <f>340/30</f>
        <v>11.3333333333333</v>
      </c>
      <c r="F1302">
        <v>0</v>
      </c>
    </row>
    <row r="1303" hidden="1" spans="1:13">
      <c r="A1303" s="2" t="s">
        <v>1463</v>
      </c>
      <c r="B1303" s="3">
        <v>400204</v>
      </c>
      <c r="C1303">
        <v>3</v>
      </c>
      <c r="D1303" t="s">
        <v>57</v>
      </c>
      <c r="E1303">
        <f>68/30</f>
        <v>2.26666666666667</v>
      </c>
      <c r="F1303">
        <v>0</v>
      </c>
      <c r="G1303">
        <v>0</v>
      </c>
      <c r="H1303">
        <v>2</v>
      </c>
      <c r="I1303">
        <v>1707</v>
      </c>
      <c r="J1303" t="s">
        <v>58</v>
      </c>
      <c r="K1303">
        <v>0</v>
      </c>
      <c r="L1303" s="4" t="s">
        <v>1351</v>
      </c>
      <c r="M1303" t="s">
        <v>1352</v>
      </c>
    </row>
    <row r="1304" hidden="1" spans="1:6">
      <c r="A1304" s="2" t="s">
        <v>1464</v>
      </c>
      <c r="B1304" s="3">
        <v>400504</v>
      </c>
      <c r="C1304">
        <v>3</v>
      </c>
      <c r="D1304" t="s">
        <v>36</v>
      </c>
      <c r="E1304">
        <f>70/30</f>
        <v>2.33333333333333</v>
      </c>
      <c r="F1304">
        <v>0</v>
      </c>
    </row>
    <row r="1305" hidden="1" spans="1:6">
      <c r="A1305" s="2" t="s">
        <v>1465</v>
      </c>
      <c r="B1305" s="3">
        <v>400504</v>
      </c>
      <c r="C1305">
        <v>3</v>
      </c>
      <c r="D1305" t="s">
        <v>38</v>
      </c>
      <c r="E1305">
        <f>87/30</f>
        <v>2.9</v>
      </c>
      <c r="F1305">
        <v>0</v>
      </c>
    </row>
    <row r="1306" hidden="1" spans="1:6">
      <c r="A1306" s="2" t="s">
        <v>1466</v>
      </c>
      <c r="B1306" s="3">
        <v>400504</v>
      </c>
      <c r="C1306">
        <v>3</v>
      </c>
      <c r="D1306" t="s">
        <v>40</v>
      </c>
      <c r="E1306">
        <f>120/30</f>
        <v>4</v>
      </c>
      <c r="F1306">
        <v>0</v>
      </c>
    </row>
    <row r="1307" hidden="1" spans="1:6">
      <c r="A1307" s="2" t="s">
        <v>1467</v>
      </c>
      <c r="B1307" s="3">
        <v>400504</v>
      </c>
      <c r="C1307">
        <v>3</v>
      </c>
      <c r="D1307" t="s">
        <v>42</v>
      </c>
      <c r="E1307">
        <f>62/30</f>
        <v>2.06666666666667</v>
      </c>
      <c r="F1307">
        <v>0</v>
      </c>
    </row>
    <row r="1308" hidden="1" spans="1:6">
      <c r="A1308" s="2" t="s">
        <v>1468</v>
      </c>
      <c r="B1308" s="3">
        <v>400504</v>
      </c>
      <c r="C1308">
        <v>3</v>
      </c>
      <c r="D1308" t="s">
        <v>44</v>
      </c>
      <c r="E1308">
        <f>105/30</f>
        <v>3.5</v>
      </c>
      <c r="F1308">
        <v>0</v>
      </c>
    </row>
    <row r="1309" hidden="1" spans="1:6">
      <c r="A1309" s="2" t="s">
        <v>1469</v>
      </c>
      <c r="B1309" s="3">
        <v>400504</v>
      </c>
      <c r="C1309">
        <v>3</v>
      </c>
      <c r="D1309" t="s">
        <v>46</v>
      </c>
      <c r="E1309">
        <f>180/30</f>
        <v>6</v>
      </c>
      <c r="F1309">
        <v>0</v>
      </c>
    </row>
    <row r="1310" hidden="1" spans="1:6">
      <c r="A1310" s="2" t="s">
        <v>1470</v>
      </c>
      <c r="B1310" s="3">
        <v>400504</v>
      </c>
      <c r="C1310">
        <v>3</v>
      </c>
      <c r="D1310" t="s">
        <v>86</v>
      </c>
      <c r="E1310">
        <f>280/30</f>
        <v>9.33333333333333</v>
      </c>
      <c r="F1310">
        <v>0</v>
      </c>
    </row>
    <row r="1311" hidden="1" spans="1:6">
      <c r="A1311" s="2" t="s">
        <v>1471</v>
      </c>
      <c r="B1311" s="3">
        <v>400504</v>
      </c>
      <c r="C1311">
        <v>3</v>
      </c>
      <c r="D1311" t="s">
        <v>50</v>
      </c>
      <c r="E1311">
        <f>240/30</f>
        <v>8</v>
      </c>
      <c r="F1311">
        <v>0</v>
      </c>
    </row>
    <row r="1312" hidden="1" spans="1:11">
      <c r="A1312" s="2" t="s">
        <v>1472</v>
      </c>
      <c r="B1312" s="3">
        <v>400504</v>
      </c>
      <c r="C1312">
        <v>3</v>
      </c>
      <c r="D1312" t="s">
        <v>109</v>
      </c>
      <c r="E1312">
        <f>170/30</f>
        <v>5.66666666666667</v>
      </c>
      <c r="F1312">
        <v>0</v>
      </c>
      <c r="G1312">
        <v>0</v>
      </c>
      <c r="H1312">
        <v>2</v>
      </c>
      <c r="I1312">
        <v>1843</v>
      </c>
      <c r="J1312" t="s">
        <v>58</v>
      </c>
      <c r="K1312">
        <v>1</v>
      </c>
    </row>
    <row r="1313" hidden="1" spans="1:6">
      <c r="A1313" s="2" t="s">
        <v>1473</v>
      </c>
      <c r="B1313" s="3">
        <v>2225</v>
      </c>
      <c r="C1313">
        <v>3</v>
      </c>
      <c r="D1313" t="s">
        <v>36</v>
      </c>
      <c r="E1313">
        <f>79/30</f>
        <v>2.63333333333333</v>
      </c>
      <c r="F1313">
        <v>0</v>
      </c>
    </row>
    <row r="1314" hidden="1" spans="1:6">
      <c r="A1314" s="2" t="s">
        <v>1474</v>
      </c>
      <c r="B1314" s="3">
        <v>2226</v>
      </c>
      <c r="C1314">
        <v>3</v>
      </c>
      <c r="D1314" t="s">
        <v>36</v>
      </c>
      <c r="E1314">
        <f>72/30</f>
        <v>2.4</v>
      </c>
      <c r="F1314">
        <v>0</v>
      </c>
    </row>
    <row r="1315" hidden="1" spans="1:6">
      <c r="A1315" s="2" t="s">
        <v>1475</v>
      </c>
      <c r="B1315" s="3">
        <v>1191</v>
      </c>
      <c r="C1315">
        <v>3</v>
      </c>
      <c r="D1315" t="s">
        <v>36</v>
      </c>
      <c r="E1315">
        <f>96/30</f>
        <v>3.2</v>
      </c>
      <c r="F1315">
        <v>0</v>
      </c>
    </row>
    <row r="1316" hidden="1" spans="1:6">
      <c r="A1316" s="2" t="s">
        <v>1476</v>
      </c>
      <c r="B1316" s="3">
        <v>1192</v>
      </c>
      <c r="C1316">
        <v>3</v>
      </c>
      <c r="D1316" t="s">
        <v>36</v>
      </c>
      <c r="E1316">
        <f>73/30</f>
        <v>2.43333333333333</v>
      </c>
      <c r="F1316">
        <v>0</v>
      </c>
    </row>
    <row r="1317" hidden="1" spans="1:6">
      <c r="A1317" s="2" t="s">
        <v>1477</v>
      </c>
      <c r="B1317" s="3">
        <v>1193</v>
      </c>
      <c r="C1317">
        <v>3</v>
      </c>
      <c r="D1317" t="s">
        <v>36</v>
      </c>
      <c r="E1317">
        <f>102/30</f>
        <v>3.4</v>
      </c>
      <c r="F1317">
        <v>0</v>
      </c>
    </row>
    <row r="1318" hidden="1" spans="1:6">
      <c r="A1318" s="2" t="s">
        <v>1478</v>
      </c>
      <c r="B1318" s="3">
        <v>1193</v>
      </c>
      <c r="C1318">
        <v>3</v>
      </c>
      <c r="D1318" t="s">
        <v>38</v>
      </c>
      <c r="E1318">
        <f>67/30</f>
        <v>2.23333333333333</v>
      </c>
      <c r="F1318">
        <v>0</v>
      </c>
    </row>
    <row r="1319" hidden="1" spans="1:6">
      <c r="A1319" s="2" t="s">
        <v>1479</v>
      </c>
      <c r="B1319" s="3">
        <v>1193</v>
      </c>
      <c r="C1319">
        <v>3</v>
      </c>
      <c r="D1319" t="s">
        <v>40</v>
      </c>
      <c r="E1319">
        <f>79/30</f>
        <v>2.63333333333333</v>
      </c>
      <c r="F1319">
        <v>0</v>
      </c>
    </row>
    <row r="1320" hidden="1" spans="1:6">
      <c r="A1320" s="2" t="s">
        <v>1480</v>
      </c>
      <c r="B1320" s="3">
        <v>1193</v>
      </c>
      <c r="C1320">
        <v>3</v>
      </c>
      <c r="D1320" t="s">
        <v>42</v>
      </c>
      <c r="E1320">
        <f>88/30</f>
        <v>2.93333333333333</v>
      </c>
      <c r="F1320">
        <v>0</v>
      </c>
    </row>
    <row r="1321" hidden="1" spans="1:6">
      <c r="A1321" s="2" t="s">
        <v>1481</v>
      </c>
      <c r="B1321" s="3">
        <v>1193</v>
      </c>
      <c r="C1321">
        <v>3</v>
      </c>
      <c r="D1321" t="s">
        <v>44</v>
      </c>
      <c r="E1321">
        <f>145/30</f>
        <v>4.83333333333333</v>
      </c>
      <c r="F1321">
        <v>0</v>
      </c>
    </row>
    <row r="1322" hidden="1" spans="1:6">
      <c r="A1322" s="2" t="s">
        <v>1482</v>
      </c>
      <c r="B1322" s="3">
        <v>1193</v>
      </c>
      <c r="C1322">
        <v>3</v>
      </c>
      <c r="D1322" t="s">
        <v>46</v>
      </c>
      <c r="E1322">
        <f>229/30</f>
        <v>7.63333333333333</v>
      </c>
      <c r="F1322">
        <v>0</v>
      </c>
    </row>
    <row r="1323" hidden="1" spans="1:6">
      <c r="A1323" s="2" t="s">
        <v>1483</v>
      </c>
      <c r="B1323" s="3">
        <v>1193</v>
      </c>
      <c r="C1323">
        <v>3</v>
      </c>
      <c r="D1323" t="s">
        <v>86</v>
      </c>
      <c r="E1323">
        <f>221/30</f>
        <v>7.36666666666667</v>
      </c>
      <c r="F1323">
        <v>0</v>
      </c>
    </row>
    <row r="1324" hidden="1" spans="1:6">
      <c r="A1324" s="2" t="s">
        <v>1484</v>
      </c>
      <c r="B1324" s="3">
        <v>1194</v>
      </c>
      <c r="C1324">
        <v>3</v>
      </c>
      <c r="D1324" t="s">
        <v>36</v>
      </c>
      <c r="E1324">
        <f>48/30</f>
        <v>1.6</v>
      </c>
      <c r="F1324">
        <v>0</v>
      </c>
    </row>
    <row r="1325" hidden="1" spans="1:6">
      <c r="A1325" s="2" t="s">
        <v>1485</v>
      </c>
      <c r="B1325" s="3">
        <v>1194</v>
      </c>
      <c r="C1325">
        <v>3</v>
      </c>
      <c r="D1325" t="s">
        <v>38</v>
      </c>
      <c r="E1325">
        <f>59/30</f>
        <v>1.96666666666667</v>
      </c>
      <c r="F1325">
        <v>0</v>
      </c>
    </row>
    <row r="1326" hidden="1" spans="1:6">
      <c r="A1326" s="2" t="s">
        <v>1486</v>
      </c>
      <c r="B1326" s="3">
        <v>1194</v>
      </c>
      <c r="C1326">
        <v>3</v>
      </c>
      <c r="D1326" t="s">
        <v>40</v>
      </c>
      <c r="E1326">
        <f>60/30</f>
        <v>2</v>
      </c>
      <c r="F1326">
        <v>0</v>
      </c>
    </row>
    <row r="1327" hidden="1" spans="1:6">
      <c r="A1327" s="2" t="s">
        <v>1487</v>
      </c>
      <c r="B1327" s="3">
        <v>1194</v>
      </c>
      <c r="C1327">
        <v>3</v>
      </c>
      <c r="D1327" t="s">
        <v>42</v>
      </c>
      <c r="E1327">
        <f>400/30</f>
        <v>13.3333333333333</v>
      </c>
      <c r="F1327">
        <v>0</v>
      </c>
    </row>
    <row r="1328" hidden="1" spans="1:6">
      <c r="A1328" s="2" t="s">
        <v>1488</v>
      </c>
      <c r="B1328" s="3">
        <v>1194</v>
      </c>
      <c r="C1328">
        <v>3</v>
      </c>
      <c r="D1328" t="s">
        <v>44</v>
      </c>
      <c r="E1328">
        <f>308/30</f>
        <v>10.2666666666667</v>
      </c>
      <c r="F1328">
        <v>0</v>
      </c>
    </row>
    <row r="1329" hidden="1" spans="1:6">
      <c r="A1329" s="2" t="s">
        <v>1489</v>
      </c>
      <c r="B1329" s="3">
        <v>1195</v>
      </c>
      <c r="C1329">
        <v>3</v>
      </c>
      <c r="D1329" t="s">
        <v>36</v>
      </c>
      <c r="E1329">
        <f>110/30</f>
        <v>3.66666666666667</v>
      </c>
      <c r="F1329">
        <v>0</v>
      </c>
    </row>
    <row r="1330" hidden="1" spans="1:6">
      <c r="A1330" s="2" t="s">
        <v>1490</v>
      </c>
      <c r="B1330" s="3">
        <v>1195</v>
      </c>
      <c r="C1330">
        <v>3</v>
      </c>
      <c r="D1330" t="s">
        <v>38</v>
      </c>
      <c r="E1330">
        <f>95/30</f>
        <v>3.16666666666667</v>
      </c>
      <c r="F1330">
        <v>0</v>
      </c>
    </row>
    <row r="1331" hidden="1" spans="1:6">
      <c r="A1331" s="2" t="s">
        <v>1491</v>
      </c>
      <c r="B1331" s="3">
        <v>1195</v>
      </c>
      <c r="C1331">
        <v>3</v>
      </c>
      <c r="D1331" t="s">
        <v>40</v>
      </c>
      <c r="E1331">
        <f>146/30</f>
        <v>4.86666666666667</v>
      </c>
      <c r="F1331">
        <v>0</v>
      </c>
    </row>
    <row r="1332" hidden="1" spans="1:6">
      <c r="A1332" s="2" t="s">
        <v>1492</v>
      </c>
      <c r="B1332" s="3">
        <v>1195</v>
      </c>
      <c r="C1332">
        <v>3</v>
      </c>
      <c r="D1332" t="s">
        <v>42</v>
      </c>
      <c r="E1332">
        <f>96/30</f>
        <v>3.2</v>
      </c>
      <c r="F1332">
        <v>0</v>
      </c>
    </row>
    <row r="1333" hidden="1" spans="1:6">
      <c r="A1333" s="2" t="s">
        <v>1493</v>
      </c>
      <c r="B1333" s="3">
        <v>1195</v>
      </c>
      <c r="C1333">
        <v>3</v>
      </c>
      <c r="D1333" t="s">
        <v>44</v>
      </c>
      <c r="E1333">
        <f>255/30</f>
        <v>8.5</v>
      </c>
      <c r="F1333">
        <v>0</v>
      </c>
    </row>
    <row r="1334" hidden="1" spans="1:6">
      <c r="A1334" s="2" t="s">
        <v>1494</v>
      </c>
      <c r="B1334" s="3">
        <v>1196</v>
      </c>
      <c r="C1334">
        <v>3</v>
      </c>
      <c r="D1334" t="s">
        <v>36</v>
      </c>
      <c r="E1334">
        <f>119/30</f>
        <v>3.96666666666667</v>
      </c>
      <c r="F1334">
        <v>0</v>
      </c>
    </row>
    <row r="1335" hidden="1" spans="1:6">
      <c r="A1335" s="2" t="s">
        <v>1495</v>
      </c>
      <c r="B1335" s="3">
        <v>1196</v>
      </c>
      <c r="C1335">
        <v>3</v>
      </c>
      <c r="D1335" t="s">
        <v>38</v>
      </c>
      <c r="E1335">
        <f>100/30</f>
        <v>3.33333333333333</v>
      </c>
      <c r="F1335">
        <v>0</v>
      </c>
    </row>
    <row r="1336" hidden="1" spans="1:6">
      <c r="A1336" s="2" t="s">
        <v>1496</v>
      </c>
      <c r="B1336" s="3">
        <v>1196</v>
      </c>
      <c r="C1336">
        <v>3</v>
      </c>
      <c r="D1336" t="s">
        <v>40</v>
      </c>
      <c r="E1336">
        <f>145/30</f>
        <v>4.83333333333333</v>
      </c>
      <c r="F1336">
        <v>0</v>
      </c>
    </row>
    <row r="1337" hidden="1" spans="1:6">
      <c r="A1337" s="2" t="s">
        <v>1497</v>
      </c>
      <c r="B1337" s="3">
        <v>1196</v>
      </c>
      <c r="C1337">
        <v>3</v>
      </c>
      <c r="D1337" t="s">
        <v>42</v>
      </c>
      <c r="E1337">
        <f>108/30</f>
        <v>3.6</v>
      </c>
      <c r="F1337">
        <v>0</v>
      </c>
    </row>
    <row r="1338" hidden="1" spans="1:6">
      <c r="A1338" s="2" t="s">
        <v>1498</v>
      </c>
      <c r="B1338" s="3">
        <v>1197</v>
      </c>
      <c r="C1338">
        <v>3</v>
      </c>
      <c r="D1338" t="s">
        <v>36</v>
      </c>
      <c r="E1338">
        <f>76/30</f>
        <v>2.53333333333333</v>
      </c>
      <c r="F1338">
        <v>0</v>
      </c>
    </row>
    <row r="1339" hidden="1" spans="1:6">
      <c r="A1339" s="2" t="s">
        <v>1499</v>
      </c>
      <c r="B1339" s="3">
        <v>1197</v>
      </c>
      <c r="C1339">
        <v>3</v>
      </c>
      <c r="D1339" t="s">
        <v>38</v>
      </c>
      <c r="E1339">
        <f>94/30</f>
        <v>3.13333333333333</v>
      </c>
      <c r="F1339">
        <v>0</v>
      </c>
    </row>
    <row r="1340" hidden="1" spans="1:6">
      <c r="A1340" s="2" t="s">
        <v>1500</v>
      </c>
      <c r="B1340" s="3">
        <v>1197</v>
      </c>
      <c r="C1340">
        <v>3</v>
      </c>
      <c r="D1340" t="s">
        <v>40</v>
      </c>
      <c r="E1340">
        <f>131/30</f>
        <v>4.36666666666667</v>
      </c>
      <c r="F1340">
        <v>0</v>
      </c>
    </row>
    <row r="1341" hidden="1" spans="1:6">
      <c r="A1341" s="2" t="s">
        <v>1501</v>
      </c>
      <c r="B1341" s="3">
        <v>1197</v>
      </c>
      <c r="C1341">
        <v>3</v>
      </c>
      <c r="D1341" t="s">
        <v>42</v>
      </c>
      <c r="E1341">
        <f>171/30</f>
        <v>5.7</v>
      </c>
      <c r="F1341">
        <v>0</v>
      </c>
    </row>
    <row r="1342" hidden="1" spans="1:6">
      <c r="A1342" s="2" t="s">
        <v>1502</v>
      </c>
      <c r="B1342" s="3">
        <v>1198</v>
      </c>
      <c r="C1342">
        <v>3</v>
      </c>
      <c r="D1342" t="s">
        <v>36</v>
      </c>
      <c r="E1342">
        <f>89/30</f>
        <v>2.96666666666667</v>
      </c>
      <c r="F1342">
        <v>0</v>
      </c>
    </row>
    <row r="1343" hidden="1" spans="1:6">
      <c r="A1343" s="2" t="s">
        <v>1503</v>
      </c>
      <c r="B1343" s="3">
        <v>1198</v>
      </c>
      <c r="C1343">
        <v>3</v>
      </c>
      <c r="D1343" t="s">
        <v>38</v>
      </c>
      <c r="E1343">
        <f>68/30</f>
        <v>2.26666666666667</v>
      </c>
      <c r="F1343">
        <v>0</v>
      </c>
    </row>
    <row r="1344" hidden="1" spans="1:6">
      <c r="A1344" s="2" t="s">
        <v>1504</v>
      </c>
      <c r="B1344" s="3">
        <v>1198</v>
      </c>
      <c r="C1344">
        <v>3</v>
      </c>
      <c r="D1344" t="s">
        <v>40</v>
      </c>
      <c r="E1344">
        <f>115/30</f>
        <v>3.83333333333333</v>
      </c>
      <c r="F1344">
        <v>0</v>
      </c>
    </row>
    <row r="1345" hidden="1" spans="1:6">
      <c r="A1345" s="2" t="s">
        <v>1505</v>
      </c>
      <c r="B1345" s="3">
        <v>1198</v>
      </c>
      <c r="C1345">
        <v>3</v>
      </c>
      <c r="D1345" t="s">
        <v>42</v>
      </c>
      <c r="E1345">
        <f>220/30</f>
        <v>7.33333333333333</v>
      </c>
      <c r="F1345">
        <v>0</v>
      </c>
    </row>
    <row r="1346" hidden="1" spans="1:6">
      <c r="A1346" s="2" t="s">
        <v>1506</v>
      </c>
      <c r="B1346" s="3">
        <v>1199</v>
      </c>
      <c r="C1346">
        <v>3</v>
      </c>
      <c r="D1346" t="s">
        <v>36</v>
      </c>
      <c r="E1346">
        <f>93/30</f>
        <v>3.1</v>
      </c>
      <c r="F1346">
        <v>0</v>
      </c>
    </row>
    <row r="1347" hidden="1" spans="1:6">
      <c r="A1347" s="2" t="s">
        <v>1507</v>
      </c>
      <c r="B1347" s="3">
        <v>1199</v>
      </c>
      <c r="C1347">
        <v>3</v>
      </c>
      <c r="D1347" t="s">
        <v>38</v>
      </c>
      <c r="E1347">
        <f>120/30</f>
        <v>4</v>
      </c>
      <c r="F1347">
        <v>0</v>
      </c>
    </row>
    <row r="1348" hidden="1" spans="1:6">
      <c r="A1348" s="2" t="s">
        <v>1508</v>
      </c>
      <c r="B1348" s="3">
        <v>1199</v>
      </c>
      <c r="C1348">
        <v>3</v>
      </c>
      <c r="D1348" t="s">
        <v>40</v>
      </c>
      <c r="E1348">
        <f>107/30</f>
        <v>3.56666666666667</v>
      </c>
      <c r="F1348">
        <v>0</v>
      </c>
    </row>
    <row r="1349" hidden="1" spans="1:6">
      <c r="A1349" s="2" t="s">
        <v>1509</v>
      </c>
      <c r="B1349" s="3">
        <v>1199</v>
      </c>
      <c r="C1349">
        <v>3</v>
      </c>
      <c r="D1349" t="s">
        <v>42</v>
      </c>
      <c r="E1349">
        <f>360/30</f>
        <v>12</v>
      </c>
      <c r="F1349">
        <v>0</v>
      </c>
    </row>
    <row r="1350" hidden="1" spans="1:6">
      <c r="A1350" s="2" t="s">
        <v>1510</v>
      </c>
      <c r="B1350" s="3">
        <v>1199</v>
      </c>
      <c r="C1350">
        <v>3</v>
      </c>
      <c r="D1350" t="s">
        <v>44</v>
      </c>
      <c r="E1350">
        <f>32/30</f>
        <v>1.06666666666667</v>
      </c>
      <c r="F1350">
        <v>0</v>
      </c>
    </row>
    <row r="1351" s="14" customFormat="1" hidden="1" spans="1:12">
      <c r="A1351" s="81" t="s">
        <v>1511</v>
      </c>
      <c r="B1351" s="82">
        <v>1200</v>
      </c>
      <c r="C1351" s="14">
        <v>3</v>
      </c>
      <c r="D1351" s="14" t="s">
        <v>36</v>
      </c>
      <c r="E1351" s="14">
        <f>70/30</f>
        <v>2.33333333333333</v>
      </c>
      <c r="F1351" s="14">
        <v>0</v>
      </c>
      <c r="L1351" s="85"/>
    </row>
    <row r="1352" s="14" customFormat="1" hidden="1" spans="1:12">
      <c r="A1352" s="81" t="s">
        <v>1512</v>
      </c>
      <c r="B1352" s="82">
        <v>1200</v>
      </c>
      <c r="C1352" s="14">
        <v>3</v>
      </c>
      <c r="D1352" s="14" t="s">
        <v>38</v>
      </c>
      <c r="E1352" s="14">
        <f>108/30</f>
        <v>3.6</v>
      </c>
      <c r="F1352" s="14">
        <v>0</v>
      </c>
      <c r="L1352" s="85"/>
    </row>
    <row r="1353" s="14" customFormat="1" hidden="1" spans="1:12">
      <c r="A1353" s="81" t="s">
        <v>1513</v>
      </c>
      <c r="B1353" s="82">
        <v>1200</v>
      </c>
      <c r="C1353" s="14">
        <v>3</v>
      </c>
      <c r="D1353" s="14" t="s">
        <v>40</v>
      </c>
      <c r="E1353" s="14">
        <f>81/30</f>
        <v>2.7</v>
      </c>
      <c r="F1353" s="14">
        <v>0</v>
      </c>
      <c r="L1353" s="85"/>
    </row>
    <row r="1354" s="14" customFormat="1" hidden="1" spans="1:12">
      <c r="A1354" s="81" t="s">
        <v>1514</v>
      </c>
      <c r="B1354" s="82">
        <v>1200</v>
      </c>
      <c r="C1354" s="14">
        <v>3</v>
      </c>
      <c r="D1354" s="14" t="s">
        <v>42</v>
      </c>
      <c r="E1354" s="14">
        <f>280/30</f>
        <v>9.33333333333333</v>
      </c>
      <c r="F1354" s="14">
        <v>0</v>
      </c>
      <c r="L1354" s="85"/>
    </row>
    <row r="1355" s="14" customFormat="1" hidden="1" spans="1:12">
      <c r="A1355" s="81" t="s">
        <v>1515</v>
      </c>
      <c r="B1355" s="82">
        <v>1200</v>
      </c>
      <c r="C1355" s="14">
        <v>3</v>
      </c>
      <c r="D1355" s="14" t="s">
        <v>44</v>
      </c>
      <c r="E1355" s="14">
        <f>90/30</f>
        <v>3</v>
      </c>
      <c r="F1355" s="14">
        <v>0</v>
      </c>
      <c r="L1355" s="85"/>
    </row>
    <row r="1356" s="15" customFormat="1" hidden="1" spans="1:12">
      <c r="A1356" s="83" t="s">
        <v>1516</v>
      </c>
      <c r="B1356" s="84">
        <v>1201</v>
      </c>
      <c r="C1356" s="15">
        <v>3</v>
      </c>
      <c r="D1356" s="15" t="s">
        <v>44</v>
      </c>
      <c r="E1356" s="15">
        <f>156/30</f>
        <v>5.2</v>
      </c>
      <c r="F1356" s="15">
        <v>0</v>
      </c>
      <c r="L1356" s="86"/>
    </row>
    <row r="1357" s="15" customFormat="1" hidden="1" spans="1:12">
      <c r="A1357" s="83" t="s">
        <v>1517</v>
      </c>
      <c r="B1357" s="84">
        <v>1201</v>
      </c>
      <c r="C1357" s="15">
        <v>3</v>
      </c>
      <c r="D1357" s="15" t="s">
        <v>46</v>
      </c>
      <c r="E1357" s="15">
        <f>105/30</f>
        <v>3.5</v>
      </c>
      <c r="F1357" s="15">
        <v>0</v>
      </c>
      <c r="L1357" s="86"/>
    </row>
    <row r="1358" s="15" customFormat="1" hidden="1" spans="1:12">
      <c r="A1358" s="83" t="s">
        <v>1518</v>
      </c>
      <c r="B1358" s="84">
        <v>1201</v>
      </c>
      <c r="C1358" s="15">
        <v>3</v>
      </c>
      <c r="D1358" s="15" t="s">
        <v>86</v>
      </c>
      <c r="E1358" s="15">
        <f>138/30</f>
        <v>4.6</v>
      </c>
      <c r="F1358" s="15">
        <v>0</v>
      </c>
      <c r="L1358" s="86"/>
    </row>
    <row r="1359" s="15" customFormat="1" hidden="1" spans="1:12">
      <c r="A1359" s="83" t="s">
        <v>1519</v>
      </c>
      <c r="B1359" s="84">
        <v>1201</v>
      </c>
      <c r="C1359" s="15">
        <v>3</v>
      </c>
      <c r="D1359" s="15" t="s">
        <v>50</v>
      </c>
      <c r="E1359" s="15">
        <f>300/30</f>
        <v>10</v>
      </c>
      <c r="F1359" s="15">
        <v>0</v>
      </c>
      <c r="L1359" s="86"/>
    </row>
    <row r="1360" hidden="1" spans="1:6">
      <c r="A1360" s="2" t="s">
        <v>1520</v>
      </c>
      <c r="B1360" s="3">
        <v>1202</v>
      </c>
      <c r="C1360">
        <v>3</v>
      </c>
      <c r="D1360" t="s">
        <v>36</v>
      </c>
      <c r="E1360">
        <f>65/30</f>
        <v>2.16666666666667</v>
      </c>
      <c r="F1360">
        <v>0</v>
      </c>
    </row>
    <row r="1361" hidden="1" spans="1:6">
      <c r="A1361" s="2" t="s">
        <v>1521</v>
      </c>
      <c r="B1361" s="3">
        <v>1202</v>
      </c>
      <c r="C1361">
        <v>3</v>
      </c>
      <c r="D1361" t="s">
        <v>38</v>
      </c>
      <c r="E1361">
        <f>72/30</f>
        <v>2.4</v>
      </c>
      <c r="F1361">
        <v>0</v>
      </c>
    </row>
    <row r="1362" hidden="1" spans="1:6">
      <c r="A1362" s="2" t="s">
        <v>1522</v>
      </c>
      <c r="B1362" s="3">
        <v>1202</v>
      </c>
      <c r="C1362">
        <v>3</v>
      </c>
      <c r="D1362" t="s">
        <v>40</v>
      </c>
      <c r="E1362">
        <f>90/30</f>
        <v>3</v>
      </c>
      <c r="F1362">
        <v>0</v>
      </c>
    </row>
    <row r="1363" hidden="1" spans="1:6">
      <c r="A1363" s="2" t="s">
        <v>1523</v>
      </c>
      <c r="B1363" s="3">
        <v>1203</v>
      </c>
      <c r="C1363">
        <v>3</v>
      </c>
      <c r="D1363" t="s">
        <v>36</v>
      </c>
      <c r="E1363">
        <f>70/30</f>
        <v>2.33333333333333</v>
      </c>
      <c r="F1363">
        <v>0</v>
      </c>
    </row>
    <row r="1364" hidden="1" spans="1:6">
      <c r="A1364" s="2" t="s">
        <v>1524</v>
      </c>
      <c r="B1364" s="3">
        <v>1203</v>
      </c>
      <c r="C1364">
        <v>3</v>
      </c>
      <c r="D1364" t="s">
        <v>38</v>
      </c>
      <c r="E1364">
        <f>80/30</f>
        <v>2.66666666666667</v>
      </c>
      <c r="F1364">
        <v>0</v>
      </c>
    </row>
    <row r="1365" hidden="1" spans="1:6">
      <c r="A1365" s="2" t="s">
        <v>1525</v>
      </c>
      <c r="B1365" s="3">
        <v>1203</v>
      </c>
      <c r="C1365">
        <v>3</v>
      </c>
      <c r="D1365" t="s">
        <v>40</v>
      </c>
      <c r="E1365">
        <f>105/30</f>
        <v>3.5</v>
      </c>
      <c r="F1365">
        <v>0</v>
      </c>
    </row>
    <row r="1366" hidden="1" spans="1:6">
      <c r="A1366" s="2" t="s">
        <v>1526</v>
      </c>
      <c r="B1366" s="3">
        <v>1204</v>
      </c>
      <c r="C1366">
        <v>3</v>
      </c>
      <c r="D1366" t="s">
        <v>36</v>
      </c>
      <c r="E1366">
        <f>70/30</f>
        <v>2.33333333333333</v>
      </c>
      <c r="F1366">
        <v>0</v>
      </c>
    </row>
    <row r="1367" hidden="1" spans="1:6">
      <c r="A1367" s="2" t="s">
        <v>1527</v>
      </c>
      <c r="B1367" s="3">
        <v>1204</v>
      </c>
      <c r="C1367">
        <v>3</v>
      </c>
      <c r="D1367" t="s">
        <v>38</v>
      </c>
      <c r="E1367">
        <f>110/30</f>
        <v>3.66666666666667</v>
      </c>
      <c r="F1367">
        <v>0</v>
      </c>
    </row>
    <row r="1368" hidden="1" spans="1:6">
      <c r="A1368" s="2" t="s">
        <v>1528</v>
      </c>
      <c r="B1368" s="3">
        <v>1204</v>
      </c>
      <c r="C1368">
        <v>3</v>
      </c>
      <c r="D1368" t="s">
        <v>40</v>
      </c>
      <c r="E1368">
        <f>170/30</f>
        <v>5.66666666666667</v>
      </c>
      <c r="F1368">
        <v>0</v>
      </c>
    </row>
    <row r="1369" hidden="1" spans="1:6">
      <c r="A1369" s="2" t="s">
        <v>1529</v>
      </c>
      <c r="B1369" s="3">
        <v>1205</v>
      </c>
      <c r="C1369">
        <v>3</v>
      </c>
      <c r="D1369" t="s">
        <v>36</v>
      </c>
      <c r="E1369">
        <f>80/30</f>
        <v>2.66666666666667</v>
      </c>
      <c r="F1369">
        <v>0</v>
      </c>
    </row>
    <row r="1370" hidden="1" spans="1:6">
      <c r="A1370" s="2" t="s">
        <v>1530</v>
      </c>
      <c r="B1370" s="3">
        <v>1205</v>
      </c>
      <c r="C1370">
        <v>3</v>
      </c>
      <c r="D1370" t="s">
        <v>38</v>
      </c>
      <c r="E1370">
        <f>140/30</f>
        <v>4.66666666666667</v>
      </c>
      <c r="F1370">
        <v>0</v>
      </c>
    </row>
    <row r="1371" hidden="1" spans="1:6">
      <c r="A1371" s="2" t="s">
        <v>1531</v>
      </c>
      <c r="B1371" s="3">
        <v>1205</v>
      </c>
      <c r="C1371">
        <v>3</v>
      </c>
      <c r="D1371" t="s">
        <v>40</v>
      </c>
      <c r="E1371">
        <f>140/30</f>
        <v>4.66666666666667</v>
      </c>
      <c r="F1371">
        <v>0</v>
      </c>
    </row>
    <row r="1372" hidden="1" spans="1:6">
      <c r="A1372" s="2" t="s">
        <v>1532</v>
      </c>
      <c r="B1372" s="3">
        <v>1206</v>
      </c>
      <c r="C1372">
        <v>3</v>
      </c>
      <c r="D1372" t="s">
        <v>36</v>
      </c>
      <c r="E1372">
        <f>97/30</f>
        <v>3.23333333333333</v>
      </c>
      <c r="F1372">
        <v>0</v>
      </c>
    </row>
    <row r="1373" hidden="1" spans="1:6">
      <c r="A1373" s="2" t="s">
        <v>1533</v>
      </c>
      <c r="B1373" s="3">
        <v>1207</v>
      </c>
      <c r="C1373">
        <v>3</v>
      </c>
      <c r="D1373" t="s">
        <v>36</v>
      </c>
      <c r="E1373">
        <f>72/30</f>
        <v>2.4</v>
      </c>
      <c r="F1373">
        <v>0</v>
      </c>
    </row>
    <row r="1374" hidden="1" spans="1:6">
      <c r="A1374" s="2" t="s">
        <v>1534</v>
      </c>
      <c r="B1374" s="3">
        <v>1208</v>
      </c>
      <c r="C1374">
        <v>3</v>
      </c>
      <c r="D1374" t="s">
        <v>36</v>
      </c>
      <c r="E1374">
        <f>80/30</f>
        <v>2.66666666666667</v>
      </c>
      <c r="F1374">
        <v>0</v>
      </c>
    </row>
    <row r="1375" hidden="1" spans="1:6">
      <c r="A1375" s="2" t="s">
        <v>1535</v>
      </c>
      <c r="B1375" s="3">
        <v>1209</v>
      </c>
      <c r="C1375">
        <v>3</v>
      </c>
      <c r="D1375" t="s">
        <v>36</v>
      </c>
      <c r="E1375">
        <f>66/30</f>
        <v>2.2</v>
      </c>
      <c r="F1375">
        <v>0</v>
      </c>
    </row>
    <row r="1376" hidden="1" spans="1:6">
      <c r="A1376" s="2" t="s">
        <v>1536</v>
      </c>
      <c r="B1376" s="3">
        <v>1210</v>
      </c>
      <c r="C1376">
        <v>3</v>
      </c>
      <c r="D1376" t="s">
        <v>36</v>
      </c>
      <c r="E1376">
        <f>90/30</f>
        <v>3</v>
      </c>
      <c r="F1376">
        <v>0</v>
      </c>
    </row>
    <row r="1377" hidden="1" spans="1:6">
      <c r="A1377" s="2" t="s">
        <v>1537</v>
      </c>
      <c r="B1377" s="3">
        <v>1211</v>
      </c>
      <c r="C1377">
        <v>3</v>
      </c>
      <c r="D1377" t="s">
        <v>36</v>
      </c>
      <c r="E1377">
        <f>70/30</f>
        <v>2.33333333333333</v>
      </c>
      <c r="F1377">
        <v>0</v>
      </c>
    </row>
    <row r="1378" hidden="1" spans="1:6">
      <c r="A1378" s="2" t="s">
        <v>1538</v>
      </c>
      <c r="B1378" s="3">
        <v>1212</v>
      </c>
      <c r="C1378">
        <v>3</v>
      </c>
      <c r="D1378" t="s">
        <v>36</v>
      </c>
      <c r="E1378">
        <f>75/30</f>
        <v>2.5</v>
      </c>
      <c r="F1378">
        <v>0</v>
      </c>
    </row>
    <row r="1379" hidden="1" spans="1:6">
      <c r="A1379" s="2" t="s">
        <v>1539</v>
      </c>
      <c r="B1379" s="3">
        <v>1213</v>
      </c>
      <c r="C1379">
        <v>3</v>
      </c>
      <c r="D1379" t="s">
        <v>36</v>
      </c>
      <c r="E1379">
        <f>60/30</f>
        <v>2</v>
      </c>
      <c r="F1379">
        <v>0</v>
      </c>
    </row>
    <row r="1380" hidden="1" spans="1:6">
      <c r="A1380" s="2" t="s">
        <v>1540</v>
      </c>
      <c r="B1380" s="3">
        <v>1213</v>
      </c>
      <c r="C1380">
        <v>3</v>
      </c>
      <c r="D1380" t="s">
        <v>38</v>
      </c>
      <c r="E1380">
        <f>78/30</f>
        <v>2.6</v>
      </c>
      <c r="F1380">
        <v>0</v>
      </c>
    </row>
    <row r="1381" hidden="1" spans="1:6">
      <c r="A1381" s="2" t="s">
        <v>1541</v>
      </c>
      <c r="B1381" s="3">
        <v>1213</v>
      </c>
      <c r="C1381">
        <v>3</v>
      </c>
      <c r="D1381" t="s">
        <v>40</v>
      </c>
      <c r="E1381">
        <f>170/30</f>
        <v>5.66666666666667</v>
      </c>
      <c r="F1381">
        <v>0</v>
      </c>
    </row>
    <row r="1382" hidden="1" spans="1:6">
      <c r="A1382" s="2" t="s">
        <v>1542</v>
      </c>
      <c r="B1382" s="3">
        <v>1214</v>
      </c>
      <c r="C1382">
        <v>3</v>
      </c>
      <c r="D1382" t="s">
        <v>36</v>
      </c>
      <c r="E1382">
        <f>68/30</f>
        <v>2.26666666666667</v>
      </c>
      <c r="F1382">
        <v>0</v>
      </c>
    </row>
    <row r="1383" hidden="1" spans="1:6">
      <c r="A1383" s="2" t="s">
        <v>1543</v>
      </c>
      <c r="B1383" s="3">
        <v>1214</v>
      </c>
      <c r="C1383">
        <v>3</v>
      </c>
      <c r="D1383" t="s">
        <v>38</v>
      </c>
      <c r="E1383">
        <f>90/30</f>
        <v>3</v>
      </c>
      <c r="F1383">
        <v>0</v>
      </c>
    </row>
    <row r="1384" hidden="1" spans="1:6">
      <c r="A1384" s="2" t="s">
        <v>1544</v>
      </c>
      <c r="B1384" s="3">
        <v>1214</v>
      </c>
      <c r="C1384">
        <v>3</v>
      </c>
      <c r="D1384" t="s">
        <v>40</v>
      </c>
      <c r="E1384">
        <f>170/30</f>
        <v>5.66666666666667</v>
      </c>
      <c r="F1384">
        <v>0</v>
      </c>
    </row>
    <row r="1385" hidden="1" spans="1:6">
      <c r="A1385" s="2" t="s">
        <v>1545</v>
      </c>
      <c r="B1385" s="3">
        <v>1215</v>
      </c>
      <c r="C1385">
        <v>3</v>
      </c>
      <c r="D1385" t="s">
        <v>36</v>
      </c>
      <c r="E1385">
        <f>45/30</f>
        <v>1.5</v>
      </c>
      <c r="F1385">
        <v>0</v>
      </c>
    </row>
    <row r="1386" hidden="1" spans="1:6">
      <c r="A1386" s="2" t="s">
        <v>1546</v>
      </c>
      <c r="B1386" s="3">
        <v>400403</v>
      </c>
      <c r="C1386">
        <v>3</v>
      </c>
      <c r="D1386" t="s">
        <v>36</v>
      </c>
      <c r="E1386">
        <f>110/30</f>
        <v>3.66666666666667</v>
      </c>
      <c r="F1386">
        <v>0</v>
      </c>
    </row>
    <row r="1387" hidden="1" spans="1:6">
      <c r="A1387" s="2" t="s">
        <v>1547</v>
      </c>
      <c r="B1387" s="3">
        <v>400403</v>
      </c>
      <c r="C1387">
        <v>3</v>
      </c>
      <c r="D1387" t="s">
        <v>38</v>
      </c>
      <c r="E1387">
        <f>86/30</f>
        <v>2.86666666666667</v>
      </c>
      <c r="F1387">
        <v>0</v>
      </c>
    </row>
    <row r="1388" hidden="1" spans="1:6">
      <c r="A1388" s="2" t="s">
        <v>1548</v>
      </c>
      <c r="B1388" s="3">
        <v>400403</v>
      </c>
      <c r="C1388">
        <v>3</v>
      </c>
      <c r="D1388" t="s">
        <v>40</v>
      </c>
      <c r="E1388">
        <f>93/30</f>
        <v>3.1</v>
      </c>
      <c r="F1388">
        <v>0</v>
      </c>
    </row>
    <row r="1389" hidden="1" spans="1:6">
      <c r="A1389" s="2" t="s">
        <v>1549</v>
      </c>
      <c r="B1389" s="3">
        <v>400403</v>
      </c>
      <c r="C1389">
        <v>3</v>
      </c>
      <c r="D1389" t="s">
        <v>42</v>
      </c>
      <c r="E1389">
        <f>90/30</f>
        <v>3</v>
      </c>
      <c r="F1389">
        <v>0</v>
      </c>
    </row>
    <row r="1390" hidden="1" spans="1:6">
      <c r="A1390" s="2" t="s">
        <v>1550</v>
      </c>
      <c r="B1390" s="3">
        <v>400403</v>
      </c>
      <c r="C1390">
        <v>3</v>
      </c>
      <c r="D1390" t="s">
        <v>44</v>
      </c>
      <c r="E1390">
        <f>70/30</f>
        <v>2.33333333333333</v>
      </c>
      <c r="F1390">
        <v>0</v>
      </c>
    </row>
    <row r="1391" hidden="1" spans="1:6">
      <c r="A1391" s="2" t="s">
        <v>1551</v>
      </c>
      <c r="B1391" s="3">
        <v>400403</v>
      </c>
      <c r="C1391">
        <v>3</v>
      </c>
      <c r="D1391" t="s">
        <v>46</v>
      </c>
      <c r="E1391">
        <f>426/30</f>
        <v>14.2</v>
      </c>
      <c r="F1391">
        <v>0</v>
      </c>
    </row>
    <row r="1392" hidden="1" spans="1:6">
      <c r="A1392" s="2" t="s">
        <v>1552</v>
      </c>
      <c r="B1392" s="3">
        <v>400403</v>
      </c>
      <c r="C1392">
        <v>3</v>
      </c>
      <c r="D1392" t="s">
        <v>86</v>
      </c>
      <c r="E1392">
        <f>235/30</f>
        <v>7.83333333333333</v>
      </c>
      <c r="F1392">
        <v>0</v>
      </c>
    </row>
    <row r="1393" hidden="1" spans="1:6">
      <c r="A1393" s="2" t="s">
        <v>1553</v>
      </c>
      <c r="B1393" s="3">
        <v>400403</v>
      </c>
      <c r="C1393">
        <v>3</v>
      </c>
      <c r="D1393" t="s">
        <v>50</v>
      </c>
      <c r="E1393">
        <f>342/30</f>
        <v>11.4</v>
      </c>
      <c r="F1393">
        <v>0</v>
      </c>
    </row>
    <row r="1394" hidden="1" spans="1:11">
      <c r="A1394" s="2" t="s">
        <v>1554</v>
      </c>
      <c r="B1394" s="3">
        <v>400403</v>
      </c>
      <c r="C1394">
        <v>3</v>
      </c>
      <c r="D1394" t="s">
        <v>57</v>
      </c>
      <c r="E1394">
        <v>9</v>
      </c>
      <c r="F1394">
        <v>0</v>
      </c>
      <c r="G1394">
        <v>0</v>
      </c>
      <c r="H1394">
        <v>2</v>
      </c>
      <c r="I1394">
        <v>1751</v>
      </c>
      <c r="J1394" t="s">
        <v>58</v>
      </c>
      <c r="K1394">
        <v>0</v>
      </c>
    </row>
    <row r="1395" hidden="1" spans="1:6">
      <c r="A1395" s="2" t="s">
        <v>1555</v>
      </c>
      <c r="B1395" s="3">
        <v>71</v>
      </c>
      <c r="C1395">
        <v>3</v>
      </c>
      <c r="D1395" t="s">
        <v>36</v>
      </c>
      <c r="E1395">
        <v>2.5</v>
      </c>
      <c r="F1395">
        <v>0</v>
      </c>
    </row>
    <row r="1396" hidden="1" spans="1:6">
      <c r="A1396" s="2" t="s">
        <v>1556</v>
      </c>
      <c r="B1396" s="3">
        <v>71</v>
      </c>
      <c r="C1396">
        <v>3</v>
      </c>
      <c r="D1396" t="s">
        <v>38</v>
      </c>
      <c r="E1396">
        <v>1.93333333333333</v>
      </c>
      <c r="F1396">
        <v>0</v>
      </c>
    </row>
    <row r="1397" hidden="1" spans="1:6">
      <c r="A1397" s="2" t="s">
        <v>1557</v>
      </c>
      <c r="B1397" s="3">
        <v>71</v>
      </c>
      <c r="C1397">
        <v>3</v>
      </c>
      <c r="D1397" t="s">
        <v>40</v>
      </c>
      <c r="E1397">
        <v>3</v>
      </c>
      <c r="F1397">
        <v>0</v>
      </c>
    </row>
    <row r="1398" hidden="1" spans="1:6">
      <c r="A1398" s="2" t="s">
        <v>1558</v>
      </c>
      <c r="B1398" s="3">
        <v>71</v>
      </c>
      <c r="C1398">
        <v>3</v>
      </c>
      <c r="D1398" t="s">
        <v>42</v>
      </c>
      <c r="E1398">
        <v>2.5</v>
      </c>
      <c r="F1398">
        <v>0</v>
      </c>
    </row>
    <row r="1399" hidden="1" spans="1:6">
      <c r="A1399" s="2" t="s">
        <v>1559</v>
      </c>
      <c r="B1399" s="3">
        <v>71</v>
      </c>
      <c r="C1399">
        <v>3</v>
      </c>
      <c r="D1399" t="s">
        <v>44</v>
      </c>
      <c r="E1399">
        <f>185/30</f>
        <v>6.16666666666667</v>
      </c>
      <c r="F1399">
        <v>0</v>
      </c>
    </row>
    <row r="1400" hidden="1" spans="1:6">
      <c r="A1400" s="2" t="s">
        <v>1560</v>
      </c>
      <c r="B1400" s="3">
        <v>71</v>
      </c>
      <c r="C1400">
        <v>3</v>
      </c>
      <c r="D1400" t="s">
        <v>46</v>
      </c>
      <c r="E1400">
        <v>1.36666666666667</v>
      </c>
      <c r="F1400">
        <v>0</v>
      </c>
    </row>
    <row r="1401" hidden="1" spans="1:13">
      <c r="A1401" s="2" t="s">
        <v>1561</v>
      </c>
      <c r="B1401" s="3">
        <v>71</v>
      </c>
      <c r="C1401">
        <v>3</v>
      </c>
      <c r="D1401" t="s">
        <v>669</v>
      </c>
      <c r="E1401">
        <v>1.66666666666667</v>
      </c>
      <c r="F1401">
        <v>1</v>
      </c>
      <c r="G1401">
        <v>0</v>
      </c>
      <c r="H1401">
        <v>2</v>
      </c>
      <c r="I1401">
        <v>2059</v>
      </c>
      <c r="J1401" t="s">
        <v>1562</v>
      </c>
      <c r="K1401">
        <v>0</v>
      </c>
      <c r="L1401" s="4" t="s">
        <v>1563</v>
      </c>
      <c r="M1401" t="s">
        <v>1564</v>
      </c>
    </row>
    <row r="1402" hidden="1" spans="1:11">
      <c r="A1402" s="2" t="s">
        <v>1565</v>
      </c>
      <c r="B1402" s="3">
        <v>71</v>
      </c>
      <c r="C1402">
        <v>3</v>
      </c>
      <c r="D1402" t="s">
        <v>57</v>
      </c>
      <c r="E1402">
        <f>100/30</f>
        <v>3.33333333333333</v>
      </c>
      <c r="F1402">
        <v>0</v>
      </c>
      <c r="G1402">
        <v>0</v>
      </c>
      <c r="H1402">
        <v>2</v>
      </c>
      <c r="I1402">
        <v>2036</v>
      </c>
      <c r="J1402" t="s">
        <v>58</v>
      </c>
      <c r="K1402">
        <v>1</v>
      </c>
    </row>
    <row r="1403" hidden="1" spans="1:6">
      <c r="A1403" s="2" t="s">
        <v>1566</v>
      </c>
      <c r="B1403" s="3">
        <v>30027</v>
      </c>
      <c r="C1403">
        <v>3</v>
      </c>
      <c r="D1403" t="s">
        <v>46</v>
      </c>
      <c r="E1403">
        <v>7</v>
      </c>
      <c r="F1403">
        <v>0</v>
      </c>
    </row>
    <row r="1404" hidden="1" spans="1:6">
      <c r="A1404" s="2" t="s">
        <v>1567</v>
      </c>
      <c r="B1404" s="3">
        <v>30027</v>
      </c>
      <c r="C1404">
        <v>3</v>
      </c>
      <c r="D1404" t="s">
        <v>86</v>
      </c>
      <c r="E1404">
        <f>82/30</f>
        <v>2.73333333333333</v>
      </c>
      <c r="F1404">
        <v>0</v>
      </c>
    </row>
    <row r="1405" hidden="1" spans="1:6">
      <c r="A1405" s="2" t="s">
        <v>1568</v>
      </c>
      <c r="B1405" s="3">
        <v>30027</v>
      </c>
      <c r="C1405">
        <v>3</v>
      </c>
      <c r="D1405" t="s">
        <v>50</v>
      </c>
      <c r="E1405">
        <v>1.86666666666667</v>
      </c>
      <c r="F1405">
        <v>0</v>
      </c>
    </row>
    <row r="1406" hidden="1" spans="1:6">
      <c r="A1406" s="2" t="s">
        <v>1569</v>
      </c>
      <c r="B1406" s="3">
        <v>30027</v>
      </c>
      <c r="C1406">
        <v>3</v>
      </c>
      <c r="D1406" t="s">
        <v>90</v>
      </c>
      <c r="E1406">
        <v>11</v>
      </c>
      <c r="F1406">
        <v>0</v>
      </c>
    </row>
    <row r="1407" hidden="1" spans="1:6">
      <c r="A1407" s="2" t="s">
        <v>1570</v>
      </c>
      <c r="B1407" s="3">
        <v>30027</v>
      </c>
      <c r="C1407">
        <v>3</v>
      </c>
      <c r="D1407" t="s">
        <v>52</v>
      </c>
      <c r="E1407">
        <f>64/30</f>
        <v>2.13333333333333</v>
      </c>
      <c r="F1407">
        <v>0</v>
      </c>
    </row>
    <row r="1408" hidden="1" spans="1:6">
      <c r="A1408" s="2" t="s">
        <v>1571</v>
      </c>
      <c r="B1408" s="3">
        <v>30027</v>
      </c>
      <c r="C1408">
        <v>3</v>
      </c>
      <c r="D1408" t="s">
        <v>140</v>
      </c>
      <c r="E1408">
        <f>520/30</f>
        <v>17.3333333333333</v>
      </c>
      <c r="F1408">
        <v>0</v>
      </c>
    </row>
    <row r="1409" hidden="1" spans="1:6">
      <c r="A1409" s="2" t="s">
        <v>1572</v>
      </c>
      <c r="B1409" s="3">
        <v>404703</v>
      </c>
      <c r="C1409">
        <v>3</v>
      </c>
      <c r="D1409" t="s">
        <v>36</v>
      </c>
      <c r="E1409">
        <f>90/30</f>
        <v>3</v>
      </c>
      <c r="F1409">
        <v>0</v>
      </c>
    </row>
    <row r="1410" hidden="1" spans="1:6">
      <c r="A1410" s="2" t="s">
        <v>1573</v>
      </c>
      <c r="B1410" s="3">
        <v>404703</v>
      </c>
      <c r="C1410">
        <v>3</v>
      </c>
      <c r="D1410" t="s">
        <v>38</v>
      </c>
      <c r="E1410">
        <f>70/30</f>
        <v>2.33333333333333</v>
      </c>
      <c r="F1410">
        <v>0</v>
      </c>
    </row>
    <row r="1411" hidden="1" spans="1:6">
      <c r="A1411" s="2" t="s">
        <v>1574</v>
      </c>
      <c r="B1411" s="3">
        <v>404703</v>
      </c>
      <c r="C1411">
        <v>3</v>
      </c>
      <c r="D1411" t="s">
        <v>40</v>
      </c>
      <c r="E1411">
        <f>45/30</f>
        <v>1.5</v>
      </c>
      <c r="F1411">
        <v>0</v>
      </c>
    </row>
    <row r="1412" hidden="1" spans="1:6">
      <c r="A1412" s="2" t="s">
        <v>1575</v>
      </c>
      <c r="B1412" s="3">
        <v>404703</v>
      </c>
      <c r="C1412">
        <v>3</v>
      </c>
      <c r="D1412" t="s">
        <v>42</v>
      </c>
      <c r="E1412">
        <f>36/30</f>
        <v>1.2</v>
      </c>
      <c r="F1412">
        <v>0</v>
      </c>
    </row>
    <row r="1413" hidden="1" spans="1:6">
      <c r="A1413" s="2" t="s">
        <v>1576</v>
      </c>
      <c r="B1413" s="3">
        <v>404703</v>
      </c>
      <c r="C1413">
        <v>3</v>
      </c>
      <c r="D1413" t="s">
        <v>44</v>
      </c>
      <c r="E1413">
        <f>95/30</f>
        <v>3.16666666666667</v>
      </c>
      <c r="F1413">
        <v>0</v>
      </c>
    </row>
    <row r="1414" hidden="1" spans="1:6">
      <c r="A1414" s="2" t="s">
        <v>1577</v>
      </c>
      <c r="B1414" s="3">
        <v>404703</v>
      </c>
      <c r="C1414">
        <v>3</v>
      </c>
      <c r="D1414" t="s">
        <v>46</v>
      </c>
      <c r="E1414">
        <f>300/30</f>
        <v>10</v>
      </c>
      <c r="F1414">
        <v>0</v>
      </c>
    </row>
    <row r="1415" hidden="1" spans="1:6">
      <c r="A1415" s="2" t="s">
        <v>1578</v>
      </c>
      <c r="B1415" s="3">
        <v>404703</v>
      </c>
      <c r="C1415">
        <v>3</v>
      </c>
      <c r="D1415" t="s">
        <v>86</v>
      </c>
      <c r="E1415">
        <f>360/30</f>
        <v>12</v>
      </c>
      <c r="F1415">
        <v>0</v>
      </c>
    </row>
    <row r="1416" hidden="1" spans="1:6">
      <c r="A1416" s="2" t="s">
        <v>1579</v>
      </c>
      <c r="B1416" s="3">
        <v>404703</v>
      </c>
      <c r="C1416">
        <v>3</v>
      </c>
      <c r="D1416" t="s">
        <v>50</v>
      </c>
      <c r="E1416">
        <f>290/30</f>
        <v>9.66666666666667</v>
      </c>
      <c r="F1416">
        <v>0</v>
      </c>
    </row>
    <row r="1417" hidden="1" spans="1:11">
      <c r="A1417" s="2" t="s">
        <v>1580</v>
      </c>
      <c r="B1417" s="3">
        <v>404703</v>
      </c>
      <c r="C1417">
        <v>3</v>
      </c>
      <c r="D1417" t="s">
        <v>97</v>
      </c>
      <c r="E1417">
        <f>100/30</f>
        <v>3.33333333333333</v>
      </c>
      <c r="F1417">
        <v>0</v>
      </c>
      <c r="G1417">
        <v>0</v>
      </c>
      <c r="H1417">
        <v>2</v>
      </c>
      <c r="I1417">
        <v>1965</v>
      </c>
      <c r="J1417" t="s">
        <v>58</v>
      </c>
      <c r="K1417">
        <v>1</v>
      </c>
    </row>
    <row r="1418" hidden="1" spans="1:11">
      <c r="A1418" s="2" t="s">
        <v>1581</v>
      </c>
      <c r="B1418" s="3">
        <v>2223</v>
      </c>
      <c r="C1418">
        <v>3</v>
      </c>
      <c r="D1418" t="s">
        <v>264</v>
      </c>
      <c r="F1418">
        <v>1</v>
      </c>
      <c r="G1418" t="s">
        <v>61</v>
      </c>
      <c r="H1418" t="s">
        <v>62</v>
      </c>
      <c r="I1418" t="s">
        <v>1582</v>
      </c>
      <c r="J1418" t="s">
        <v>1583</v>
      </c>
      <c r="K1418" t="s">
        <v>95</v>
      </c>
    </row>
    <row r="1419" hidden="1" spans="1:11">
      <c r="A1419" s="2" t="s">
        <v>1584</v>
      </c>
      <c r="B1419" s="3">
        <v>2221</v>
      </c>
      <c r="C1419">
        <v>3</v>
      </c>
      <c r="D1419" t="s">
        <v>1585</v>
      </c>
      <c r="F1419">
        <v>1</v>
      </c>
      <c r="G1419">
        <v>0</v>
      </c>
      <c r="H1419">
        <v>2</v>
      </c>
      <c r="I1419">
        <v>1997</v>
      </c>
      <c r="J1419" t="s">
        <v>1586</v>
      </c>
      <c r="K1419">
        <v>1</v>
      </c>
    </row>
    <row r="1420" hidden="1" spans="1:6">
      <c r="A1420" s="2" t="s">
        <v>1587</v>
      </c>
      <c r="B1420" s="3">
        <v>79</v>
      </c>
      <c r="C1420">
        <v>3</v>
      </c>
      <c r="D1420" t="s">
        <v>36</v>
      </c>
      <c r="E1420">
        <f>90/30</f>
        <v>3</v>
      </c>
      <c r="F1420">
        <v>0</v>
      </c>
    </row>
    <row r="1421" hidden="1" spans="1:6">
      <c r="A1421" s="2" t="s">
        <v>1588</v>
      </c>
      <c r="B1421" s="3">
        <v>79</v>
      </c>
      <c r="C1421">
        <v>3</v>
      </c>
      <c r="D1421" t="s">
        <v>38</v>
      </c>
      <c r="E1421">
        <f>97/30</f>
        <v>3.23333333333333</v>
      </c>
      <c r="F1421">
        <v>0</v>
      </c>
    </row>
    <row r="1422" hidden="1" spans="1:6">
      <c r="A1422" s="2" t="s">
        <v>1589</v>
      </c>
      <c r="B1422" s="3">
        <v>79</v>
      </c>
      <c r="C1422">
        <v>3</v>
      </c>
      <c r="D1422" t="s">
        <v>40</v>
      </c>
      <c r="E1422">
        <f>80/30</f>
        <v>2.66666666666667</v>
      </c>
      <c r="F1422">
        <v>0</v>
      </c>
    </row>
    <row r="1423" hidden="1" spans="1:6">
      <c r="A1423" s="2" t="s">
        <v>1590</v>
      </c>
      <c r="B1423" s="3">
        <v>79</v>
      </c>
      <c r="C1423">
        <v>3</v>
      </c>
      <c r="D1423" t="s">
        <v>42</v>
      </c>
      <c r="E1423">
        <f>74/30</f>
        <v>2.46666666666667</v>
      </c>
      <c r="F1423">
        <v>0</v>
      </c>
    </row>
    <row r="1424" hidden="1" spans="1:6">
      <c r="A1424" s="2" t="s">
        <v>1591</v>
      </c>
      <c r="B1424" s="3">
        <v>79</v>
      </c>
      <c r="C1424">
        <v>3</v>
      </c>
      <c r="D1424" t="s">
        <v>44</v>
      </c>
      <c r="E1424">
        <f>85/30</f>
        <v>2.83333333333333</v>
      </c>
      <c r="F1424">
        <v>0</v>
      </c>
    </row>
    <row r="1425" hidden="1" spans="1:6">
      <c r="A1425" s="2" t="s">
        <v>1592</v>
      </c>
      <c r="B1425" s="3">
        <v>79</v>
      </c>
      <c r="C1425">
        <v>3</v>
      </c>
      <c r="D1425" t="s">
        <v>46</v>
      </c>
      <c r="E1425">
        <f>169/30</f>
        <v>5.63333333333333</v>
      </c>
      <c r="F1425">
        <v>0</v>
      </c>
    </row>
    <row r="1426" hidden="1" spans="1:6">
      <c r="A1426" s="2" t="s">
        <v>1593</v>
      </c>
      <c r="B1426" s="3">
        <v>79</v>
      </c>
      <c r="C1426">
        <v>3</v>
      </c>
      <c r="D1426" t="s">
        <v>86</v>
      </c>
      <c r="E1426">
        <f>209/30</f>
        <v>6.96666666666667</v>
      </c>
      <c r="F1426">
        <v>0</v>
      </c>
    </row>
    <row r="1427" hidden="1" spans="1:6">
      <c r="A1427" s="2" t="s">
        <v>1594</v>
      </c>
      <c r="B1427" s="3">
        <v>79</v>
      </c>
      <c r="C1427">
        <v>3</v>
      </c>
      <c r="D1427" t="s">
        <v>50</v>
      </c>
      <c r="E1427">
        <f>230/30</f>
        <v>7.66666666666667</v>
      </c>
      <c r="F1427">
        <v>0</v>
      </c>
    </row>
    <row r="1428" hidden="1" spans="1:13">
      <c r="A1428" s="2" t="s">
        <v>1595</v>
      </c>
      <c r="B1428" s="3">
        <v>79</v>
      </c>
      <c r="C1428">
        <v>3</v>
      </c>
      <c r="D1428" t="s">
        <v>669</v>
      </c>
      <c r="E1428">
        <v>2</v>
      </c>
      <c r="F1428">
        <v>1</v>
      </c>
      <c r="G1428">
        <v>0</v>
      </c>
      <c r="H1428">
        <v>2</v>
      </c>
      <c r="I1428">
        <v>2102</v>
      </c>
      <c r="J1428" t="s">
        <v>58</v>
      </c>
      <c r="K1428">
        <v>0</v>
      </c>
      <c r="L1428" s="4" t="s">
        <v>1596</v>
      </c>
      <c r="M1428" t="s">
        <v>1597</v>
      </c>
    </row>
    <row r="1429" hidden="1" spans="1:6">
      <c r="A1429" s="2" t="s">
        <v>1598</v>
      </c>
      <c r="B1429" s="3">
        <v>80</v>
      </c>
      <c r="C1429">
        <v>3</v>
      </c>
      <c r="D1429" t="s">
        <v>36</v>
      </c>
      <c r="E1429">
        <v>2.8</v>
      </c>
      <c r="F1429">
        <v>0</v>
      </c>
    </row>
    <row r="1430" hidden="1" spans="1:6">
      <c r="A1430" s="2" t="s">
        <v>1599</v>
      </c>
      <c r="B1430" s="3">
        <v>80</v>
      </c>
      <c r="C1430">
        <v>3</v>
      </c>
      <c r="D1430" t="s">
        <v>38</v>
      </c>
      <c r="E1430">
        <v>3.1</v>
      </c>
      <c r="F1430">
        <v>0</v>
      </c>
    </row>
    <row r="1431" hidden="1" spans="1:6">
      <c r="A1431" s="2" t="s">
        <v>1600</v>
      </c>
      <c r="B1431" s="3">
        <v>80</v>
      </c>
      <c r="C1431">
        <v>3</v>
      </c>
      <c r="D1431" t="s">
        <v>40</v>
      </c>
      <c r="E1431">
        <v>3.76666666666667</v>
      </c>
      <c r="F1431">
        <v>0</v>
      </c>
    </row>
    <row r="1432" hidden="1" spans="1:6">
      <c r="A1432" s="2" t="s">
        <v>1601</v>
      </c>
      <c r="B1432" s="3">
        <v>80</v>
      </c>
      <c r="C1432">
        <v>3</v>
      </c>
      <c r="D1432" t="s">
        <v>42</v>
      </c>
      <c r="E1432">
        <v>5.2</v>
      </c>
      <c r="F1432">
        <v>0</v>
      </c>
    </row>
    <row r="1433" hidden="1" spans="1:6">
      <c r="A1433" s="2" t="s">
        <v>1602</v>
      </c>
      <c r="B1433" s="3">
        <v>80</v>
      </c>
      <c r="C1433">
        <v>3</v>
      </c>
      <c r="D1433" t="s">
        <v>44</v>
      </c>
      <c r="E1433">
        <v>4.3</v>
      </c>
      <c r="F1433">
        <v>0</v>
      </c>
    </row>
    <row r="1434" hidden="1" spans="1:6">
      <c r="A1434" s="2" t="s">
        <v>1603</v>
      </c>
      <c r="B1434" s="3">
        <v>80</v>
      </c>
      <c r="C1434">
        <v>3</v>
      </c>
      <c r="D1434" t="s">
        <v>46</v>
      </c>
      <c r="E1434">
        <v>6.43333333333333</v>
      </c>
      <c r="F1434">
        <v>0</v>
      </c>
    </row>
    <row r="1435" hidden="1" spans="1:6">
      <c r="A1435" s="2" t="s">
        <v>1604</v>
      </c>
      <c r="B1435" s="3">
        <v>80</v>
      </c>
      <c r="C1435">
        <v>3</v>
      </c>
      <c r="D1435" t="s">
        <v>86</v>
      </c>
      <c r="E1435">
        <v>9.53333333333333</v>
      </c>
      <c r="F1435">
        <v>0</v>
      </c>
    </row>
    <row r="1436" hidden="1" spans="1:6">
      <c r="A1436" s="2" t="s">
        <v>1605</v>
      </c>
      <c r="B1436" s="3">
        <v>80</v>
      </c>
      <c r="C1436">
        <v>3</v>
      </c>
      <c r="D1436" t="s">
        <v>50</v>
      </c>
      <c r="E1436">
        <v>8.66666666666667</v>
      </c>
      <c r="F1436">
        <v>0</v>
      </c>
    </row>
    <row r="1437" hidden="1" spans="1:6">
      <c r="A1437" s="2" t="s">
        <v>1606</v>
      </c>
      <c r="B1437" s="3">
        <v>81</v>
      </c>
      <c r="C1437">
        <v>3</v>
      </c>
      <c r="D1437" t="s">
        <v>36</v>
      </c>
      <c r="E1437">
        <f>114/30</f>
        <v>3.8</v>
      </c>
      <c r="F1437">
        <v>0</v>
      </c>
    </row>
    <row r="1438" hidden="1" spans="1:6">
      <c r="A1438" s="2" t="s">
        <v>1607</v>
      </c>
      <c r="B1438" s="3">
        <v>81</v>
      </c>
      <c r="C1438">
        <v>3</v>
      </c>
      <c r="D1438" t="s">
        <v>38</v>
      </c>
      <c r="E1438">
        <f>64/30</f>
        <v>2.13333333333333</v>
      </c>
      <c r="F1438">
        <v>0</v>
      </c>
    </row>
    <row r="1439" hidden="1" spans="1:6">
      <c r="A1439" s="2" t="s">
        <v>1608</v>
      </c>
      <c r="B1439" s="3">
        <v>81</v>
      </c>
      <c r="C1439">
        <v>3</v>
      </c>
      <c r="D1439" t="s">
        <v>40</v>
      </c>
      <c r="E1439">
        <f>81/30</f>
        <v>2.7</v>
      </c>
      <c r="F1439">
        <v>0</v>
      </c>
    </row>
    <row r="1440" hidden="1" spans="1:6">
      <c r="A1440" s="2" t="s">
        <v>1609</v>
      </c>
      <c r="B1440" s="3">
        <v>81</v>
      </c>
      <c r="C1440">
        <v>3</v>
      </c>
      <c r="D1440" t="s">
        <v>42</v>
      </c>
      <c r="E1440">
        <f>86/30</f>
        <v>2.86666666666667</v>
      </c>
      <c r="F1440">
        <v>0</v>
      </c>
    </row>
    <row r="1441" hidden="1" spans="1:6">
      <c r="A1441" s="2" t="s">
        <v>1610</v>
      </c>
      <c r="B1441" s="3">
        <v>81</v>
      </c>
      <c r="C1441">
        <v>3</v>
      </c>
      <c r="D1441" t="s">
        <v>44</v>
      </c>
      <c r="E1441">
        <f>90/30</f>
        <v>3</v>
      </c>
      <c r="F1441">
        <v>0</v>
      </c>
    </row>
    <row r="1442" hidden="1" spans="1:6">
      <c r="A1442" s="2" t="s">
        <v>1611</v>
      </c>
      <c r="B1442" s="3">
        <v>81</v>
      </c>
      <c r="C1442">
        <v>3</v>
      </c>
      <c r="D1442" t="s">
        <v>86</v>
      </c>
      <c r="E1442">
        <f>172/30</f>
        <v>5.73333333333333</v>
      </c>
      <c r="F1442">
        <v>0</v>
      </c>
    </row>
    <row r="1443" hidden="1" spans="1:6">
      <c r="A1443" s="2" t="s">
        <v>1612</v>
      </c>
      <c r="B1443" s="3">
        <v>81</v>
      </c>
      <c r="C1443">
        <v>3</v>
      </c>
      <c r="D1443" t="s">
        <v>50</v>
      </c>
      <c r="E1443">
        <f>260/30</f>
        <v>8.66666666666667</v>
      </c>
      <c r="F1443">
        <v>0</v>
      </c>
    </row>
    <row r="1444" hidden="1" spans="1:6">
      <c r="A1444" s="2" t="s">
        <v>1613</v>
      </c>
      <c r="B1444" s="3">
        <v>30028</v>
      </c>
      <c r="C1444">
        <v>3</v>
      </c>
      <c r="D1444" t="s">
        <v>46</v>
      </c>
      <c r="E1444">
        <f>215/30</f>
        <v>7.16666666666667</v>
      </c>
      <c r="F1444">
        <v>0</v>
      </c>
    </row>
    <row r="1445" hidden="1" spans="1:6">
      <c r="A1445" s="2" t="s">
        <v>1614</v>
      </c>
      <c r="B1445" s="3">
        <v>400103</v>
      </c>
      <c r="C1445">
        <v>3</v>
      </c>
      <c r="D1445" t="s">
        <v>36</v>
      </c>
      <c r="E1445">
        <v>2.5</v>
      </c>
      <c r="F1445">
        <v>0</v>
      </c>
    </row>
    <row r="1446" hidden="1" spans="1:6">
      <c r="A1446" s="2" t="s">
        <v>1615</v>
      </c>
      <c r="B1446" s="3">
        <v>400103</v>
      </c>
      <c r="C1446">
        <v>3</v>
      </c>
      <c r="D1446" t="s">
        <v>38</v>
      </c>
      <c r="E1446">
        <v>1.93333333333333</v>
      </c>
      <c r="F1446">
        <v>0</v>
      </c>
    </row>
    <row r="1447" hidden="1" spans="1:6">
      <c r="A1447" s="2" t="s">
        <v>1616</v>
      </c>
      <c r="B1447" s="3">
        <v>400103</v>
      </c>
      <c r="C1447">
        <v>3</v>
      </c>
      <c r="D1447" t="s">
        <v>40</v>
      </c>
      <c r="E1447">
        <v>3</v>
      </c>
      <c r="F1447">
        <v>0</v>
      </c>
    </row>
    <row r="1448" hidden="1" spans="1:6">
      <c r="A1448" s="2" t="s">
        <v>1617</v>
      </c>
      <c r="B1448" s="3">
        <v>400103</v>
      </c>
      <c r="C1448">
        <v>3</v>
      </c>
      <c r="D1448" t="s">
        <v>42</v>
      </c>
      <c r="E1448">
        <v>2.5</v>
      </c>
      <c r="F1448">
        <v>0</v>
      </c>
    </row>
    <row r="1449" hidden="1" spans="1:6">
      <c r="A1449" s="2" t="s">
        <v>1618</v>
      </c>
      <c r="B1449" s="3">
        <v>400103</v>
      </c>
      <c r="C1449">
        <v>3</v>
      </c>
      <c r="D1449" t="s">
        <v>44</v>
      </c>
      <c r="E1449">
        <v>6.16666666666667</v>
      </c>
      <c r="F1449">
        <v>0</v>
      </c>
    </row>
    <row r="1450" hidden="1" spans="1:6">
      <c r="A1450" s="2" t="s">
        <v>1619</v>
      </c>
      <c r="B1450" s="3">
        <v>400103</v>
      </c>
      <c r="C1450">
        <v>3</v>
      </c>
      <c r="D1450" t="s">
        <v>46</v>
      </c>
      <c r="E1450">
        <v>1.36666666666667</v>
      </c>
      <c r="F1450">
        <v>0</v>
      </c>
    </row>
    <row r="1451" hidden="1" spans="1:13">
      <c r="A1451" s="2" t="s">
        <v>1620</v>
      </c>
      <c r="B1451" s="3">
        <v>400103</v>
      </c>
      <c r="C1451">
        <v>3</v>
      </c>
      <c r="D1451" t="s">
        <v>669</v>
      </c>
      <c r="E1451">
        <v>1.66666666666667</v>
      </c>
      <c r="F1451">
        <v>1</v>
      </c>
      <c r="G1451">
        <v>0</v>
      </c>
      <c r="H1451">
        <v>2</v>
      </c>
      <c r="I1451">
        <v>2059</v>
      </c>
      <c r="J1451" t="s">
        <v>1562</v>
      </c>
      <c r="K1451">
        <v>0</v>
      </c>
      <c r="L1451" s="4" t="s">
        <v>1621</v>
      </c>
      <c r="M1451" t="s">
        <v>1622</v>
      </c>
    </row>
    <row r="1452" hidden="1" spans="1:11">
      <c r="A1452" s="2" t="s">
        <v>1623</v>
      </c>
      <c r="B1452" s="3">
        <v>400103</v>
      </c>
      <c r="C1452">
        <v>3</v>
      </c>
      <c r="D1452" t="s">
        <v>57</v>
      </c>
      <c r="E1452">
        <v>3.33333333333333</v>
      </c>
      <c r="F1452">
        <v>0</v>
      </c>
      <c r="G1452">
        <v>0</v>
      </c>
      <c r="H1452">
        <v>2</v>
      </c>
      <c r="I1452">
        <v>2036</v>
      </c>
      <c r="J1452" t="s">
        <v>58</v>
      </c>
      <c r="K1452">
        <v>1</v>
      </c>
    </row>
    <row r="1453" hidden="1" spans="1:6">
      <c r="A1453" s="2" t="s">
        <v>1624</v>
      </c>
      <c r="B1453" s="3">
        <v>30029</v>
      </c>
      <c r="C1453">
        <v>3</v>
      </c>
      <c r="D1453" t="s">
        <v>46</v>
      </c>
      <c r="E1453">
        <v>7</v>
      </c>
      <c r="F1453">
        <v>0</v>
      </c>
    </row>
    <row r="1454" hidden="1" spans="1:6">
      <c r="A1454" s="2" t="s">
        <v>1625</v>
      </c>
      <c r="B1454" s="3">
        <v>30029</v>
      </c>
      <c r="C1454">
        <v>3</v>
      </c>
      <c r="D1454" t="s">
        <v>86</v>
      </c>
      <c r="E1454">
        <f>82/30</f>
        <v>2.73333333333333</v>
      </c>
      <c r="F1454">
        <v>0</v>
      </c>
    </row>
    <row r="1455" hidden="1" spans="1:6">
      <c r="A1455" s="2" t="s">
        <v>1626</v>
      </c>
      <c r="B1455" s="3">
        <v>30029</v>
      </c>
      <c r="C1455">
        <v>3</v>
      </c>
      <c r="D1455" t="s">
        <v>50</v>
      </c>
      <c r="E1455">
        <v>1.86666666666667</v>
      </c>
      <c r="F1455">
        <v>0</v>
      </c>
    </row>
    <row r="1456" hidden="1" spans="1:6">
      <c r="A1456" s="2" t="s">
        <v>1627</v>
      </c>
      <c r="B1456" s="3">
        <v>30029</v>
      </c>
      <c r="C1456">
        <v>3</v>
      </c>
      <c r="D1456" t="s">
        <v>90</v>
      </c>
      <c r="E1456">
        <v>11</v>
      </c>
      <c r="F1456">
        <v>0</v>
      </c>
    </row>
    <row r="1457" hidden="1" spans="1:6">
      <c r="A1457" s="2" t="s">
        <v>1628</v>
      </c>
      <c r="B1457" s="3">
        <v>77</v>
      </c>
      <c r="C1457">
        <v>3</v>
      </c>
      <c r="D1457" t="s">
        <v>36</v>
      </c>
      <c r="E1457">
        <f>112/30</f>
        <v>3.73333333333333</v>
      </c>
      <c r="F1457">
        <v>0</v>
      </c>
    </row>
    <row r="1458" hidden="1" spans="1:6">
      <c r="A1458" s="2" t="s">
        <v>1629</v>
      </c>
      <c r="B1458" s="3">
        <v>77</v>
      </c>
      <c r="C1458">
        <v>3</v>
      </c>
      <c r="D1458" t="s">
        <v>38</v>
      </c>
      <c r="E1458">
        <f>80/30</f>
        <v>2.66666666666667</v>
      </c>
      <c r="F1458">
        <v>0</v>
      </c>
    </row>
    <row r="1459" hidden="1" spans="1:6">
      <c r="A1459" s="2" t="s">
        <v>1630</v>
      </c>
      <c r="B1459" s="3">
        <v>77</v>
      </c>
      <c r="C1459">
        <v>3</v>
      </c>
      <c r="D1459" t="s">
        <v>40</v>
      </c>
      <c r="E1459">
        <f>93/30</f>
        <v>3.1</v>
      </c>
      <c r="F1459">
        <v>0</v>
      </c>
    </row>
    <row r="1460" hidden="1" spans="1:6">
      <c r="A1460" s="2" t="s">
        <v>1631</v>
      </c>
      <c r="B1460" s="3">
        <v>77</v>
      </c>
      <c r="C1460">
        <v>3</v>
      </c>
      <c r="D1460" t="s">
        <v>42</v>
      </c>
      <c r="E1460">
        <f>94/30</f>
        <v>3.13333333333333</v>
      </c>
      <c r="F1460">
        <v>0</v>
      </c>
    </row>
    <row r="1461" hidden="1" spans="1:6">
      <c r="A1461" s="2" t="s">
        <v>1632</v>
      </c>
      <c r="B1461" s="3">
        <v>77</v>
      </c>
      <c r="C1461">
        <v>3</v>
      </c>
      <c r="D1461" t="s">
        <v>44</v>
      </c>
      <c r="E1461">
        <f>130/30</f>
        <v>4.33333333333333</v>
      </c>
      <c r="F1461">
        <v>0</v>
      </c>
    </row>
    <row r="1462" hidden="1" spans="1:6">
      <c r="A1462" s="2" t="s">
        <v>1633</v>
      </c>
      <c r="B1462" s="3">
        <v>77</v>
      </c>
      <c r="C1462">
        <v>3</v>
      </c>
      <c r="D1462" t="s">
        <v>46</v>
      </c>
      <c r="E1462">
        <f>155/30</f>
        <v>5.16666666666667</v>
      </c>
      <c r="F1462">
        <v>0</v>
      </c>
    </row>
    <row r="1463" hidden="1" spans="1:6">
      <c r="A1463" s="2" t="s">
        <v>1634</v>
      </c>
      <c r="B1463" s="3">
        <v>77</v>
      </c>
      <c r="C1463">
        <v>3</v>
      </c>
      <c r="D1463" t="s">
        <v>86</v>
      </c>
      <c r="E1463">
        <f>280/30</f>
        <v>9.33333333333333</v>
      </c>
      <c r="F1463">
        <v>0</v>
      </c>
    </row>
    <row r="1464" hidden="1" spans="1:6">
      <c r="A1464" s="2" t="s">
        <v>1635</v>
      </c>
      <c r="B1464" s="3">
        <v>77</v>
      </c>
      <c r="C1464">
        <v>3</v>
      </c>
      <c r="D1464" t="s">
        <v>50</v>
      </c>
      <c r="E1464">
        <f>200/30</f>
        <v>6.66666666666667</v>
      </c>
      <c r="F1464">
        <v>0</v>
      </c>
    </row>
    <row r="1465" hidden="1" spans="1:11">
      <c r="A1465" s="2" t="s">
        <v>1636</v>
      </c>
      <c r="B1465" s="3">
        <v>77</v>
      </c>
      <c r="C1465">
        <v>3</v>
      </c>
      <c r="D1465" t="s">
        <v>54</v>
      </c>
      <c r="E1465">
        <f>148/30</f>
        <v>4.93333333333333</v>
      </c>
      <c r="F1465">
        <v>0</v>
      </c>
      <c r="G1465">
        <v>0</v>
      </c>
      <c r="H1465">
        <v>2</v>
      </c>
      <c r="I1465">
        <v>2302</v>
      </c>
      <c r="J1465" t="s">
        <v>58</v>
      </c>
      <c r="K1465">
        <v>1</v>
      </c>
    </row>
    <row r="1466" hidden="1" spans="1:6">
      <c r="A1466" s="2" t="s">
        <v>1637</v>
      </c>
      <c r="B1466" s="3">
        <v>30031</v>
      </c>
      <c r="C1466">
        <v>3</v>
      </c>
      <c r="D1466" t="s">
        <v>86</v>
      </c>
      <c r="E1466">
        <f>286/30</f>
        <v>9.53333333333333</v>
      </c>
      <c r="F1466">
        <v>0</v>
      </c>
    </row>
    <row r="1467" hidden="1" spans="1:6">
      <c r="A1467" s="2" t="s">
        <v>1638</v>
      </c>
      <c r="B1467" s="3">
        <v>30031</v>
      </c>
      <c r="C1467">
        <v>3</v>
      </c>
      <c r="D1467" t="s">
        <v>50</v>
      </c>
      <c r="E1467">
        <f>97/30</f>
        <v>3.23333333333333</v>
      </c>
      <c r="F1467">
        <v>0</v>
      </c>
    </row>
    <row r="1468" hidden="1" spans="1:6">
      <c r="A1468" s="2" t="s">
        <v>1639</v>
      </c>
      <c r="B1468" s="3">
        <v>30031</v>
      </c>
      <c r="C1468">
        <v>3</v>
      </c>
      <c r="D1468" t="s">
        <v>90</v>
      </c>
      <c r="E1468">
        <f>75/30</f>
        <v>2.5</v>
      </c>
      <c r="F1468">
        <v>0</v>
      </c>
    </row>
    <row r="1469" hidden="1" spans="1:6">
      <c r="A1469" s="2" t="s">
        <v>1640</v>
      </c>
      <c r="B1469" s="3">
        <v>30031</v>
      </c>
      <c r="C1469">
        <v>3</v>
      </c>
      <c r="D1469" t="s">
        <v>48</v>
      </c>
      <c r="E1469">
        <f>300/30</f>
        <v>10</v>
      </c>
      <c r="F1469">
        <v>0</v>
      </c>
    </row>
    <row r="1470" hidden="1" spans="1:6">
      <c r="A1470" s="2" t="s">
        <v>1641</v>
      </c>
      <c r="B1470" s="3">
        <v>76</v>
      </c>
      <c r="C1470">
        <v>3</v>
      </c>
      <c r="D1470" t="s">
        <v>36</v>
      </c>
      <c r="E1470">
        <f>95/30</f>
        <v>3.16666666666667</v>
      </c>
      <c r="F1470">
        <v>0</v>
      </c>
    </row>
    <row r="1471" hidden="1" spans="1:6">
      <c r="A1471" s="2" t="s">
        <v>1642</v>
      </c>
      <c r="B1471" s="3">
        <v>76</v>
      </c>
      <c r="C1471">
        <v>3</v>
      </c>
      <c r="D1471" t="s">
        <v>38</v>
      </c>
      <c r="E1471">
        <f>145/30</f>
        <v>4.83333333333333</v>
      </c>
      <c r="F1471">
        <v>0</v>
      </c>
    </row>
    <row r="1472" hidden="1" spans="1:6">
      <c r="A1472" s="2" t="s">
        <v>1643</v>
      </c>
      <c r="B1472" s="3">
        <v>76</v>
      </c>
      <c r="C1472">
        <v>3</v>
      </c>
      <c r="D1472" t="s">
        <v>42</v>
      </c>
      <c r="E1472">
        <f>124/30</f>
        <v>4.13333333333333</v>
      </c>
      <c r="F1472">
        <v>0</v>
      </c>
    </row>
    <row r="1473" hidden="1" spans="1:6">
      <c r="A1473" s="2" t="s">
        <v>1644</v>
      </c>
      <c r="B1473" s="3">
        <v>76</v>
      </c>
      <c r="C1473">
        <v>3</v>
      </c>
      <c r="D1473" t="s">
        <v>46</v>
      </c>
      <c r="E1473">
        <f>280/30</f>
        <v>9.33333333333333</v>
      </c>
      <c r="F1473">
        <v>0</v>
      </c>
    </row>
    <row r="1474" hidden="1" spans="1:6">
      <c r="A1474" s="2" t="s">
        <v>1645</v>
      </c>
      <c r="B1474" s="3">
        <v>76</v>
      </c>
      <c r="C1474">
        <v>3</v>
      </c>
      <c r="D1474" t="s">
        <v>86</v>
      </c>
      <c r="E1474">
        <f>69/30</f>
        <v>2.3</v>
      </c>
      <c r="F1474">
        <v>0</v>
      </c>
    </row>
    <row r="1475" hidden="1" spans="1:6">
      <c r="A1475" s="2" t="s">
        <v>1646</v>
      </c>
      <c r="B1475" s="3">
        <v>76</v>
      </c>
      <c r="C1475">
        <v>3</v>
      </c>
      <c r="D1475" t="s">
        <v>48</v>
      </c>
      <c r="E1475">
        <f>75/30</f>
        <v>2.5</v>
      </c>
      <c r="F1475">
        <v>0</v>
      </c>
    </row>
    <row r="1476" hidden="1" spans="1:11">
      <c r="A1476" s="2" t="s">
        <v>1647</v>
      </c>
      <c r="B1476" s="3">
        <v>76</v>
      </c>
      <c r="C1476">
        <v>3</v>
      </c>
      <c r="D1476" t="s">
        <v>54</v>
      </c>
      <c r="E1476">
        <f>93/30</f>
        <v>3.1</v>
      </c>
      <c r="F1476">
        <v>0</v>
      </c>
      <c r="G1476">
        <v>0</v>
      </c>
      <c r="H1476">
        <v>2</v>
      </c>
      <c r="I1476">
        <v>2179</v>
      </c>
      <c r="J1476" t="s">
        <v>58</v>
      </c>
      <c r="K1476">
        <v>1</v>
      </c>
    </row>
    <row r="1477" hidden="1" spans="1:11">
      <c r="A1477" s="2" t="s">
        <v>1648</v>
      </c>
      <c r="B1477" s="3">
        <v>76</v>
      </c>
      <c r="C1477">
        <v>3</v>
      </c>
      <c r="D1477" t="s">
        <v>97</v>
      </c>
      <c r="E1477">
        <f>95/30</f>
        <v>3.16666666666667</v>
      </c>
      <c r="F1477">
        <v>0</v>
      </c>
      <c r="G1477">
        <v>0</v>
      </c>
      <c r="H1477">
        <v>2</v>
      </c>
      <c r="I1477">
        <v>2209</v>
      </c>
      <c r="J1477" t="s">
        <v>58</v>
      </c>
      <c r="K1477">
        <v>1</v>
      </c>
    </row>
    <row r="1478" hidden="1" spans="1:6">
      <c r="A1478" s="2" t="s">
        <v>1649</v>
      </c>
      <c r="B1478" s="3">
        <v>73</v>
      </c>
      <c r="C1478">
        <v>3</v>
      </c>
      <c r="D1478" t="s">
        <v>36</v>
      </c>
      <c r="E1478">
        <f>77/30</f>
        <v>2.56666666666667</v>
      </c>
      <c r="F1478">
        <v>0</v>
      </c>
    </row>
    <row r="1479" hidden="1" spans="1:6">
      <c r="A1479" s="2" t="s">
        <v>1650</v>
      </c>
      <c r="B1479" s="3">
        <v>73</v>
      </c>
      <c r="C1479">
        <v>3</v>
      </c>
      <c r="D1479" t="s">
        <v>38</v>
      </c>
      <c r="E1479">
        <f>82/30</f>
        <v>2.73333333333333</v>
      </c>
      <c r="F1479">
        <v>0</v>
      </c>
    </row>
    <row r="1480" hidden="1" spans="1:6">
      <c r="A1480" s="2" t="s">
        <v>1651</v>
      </c>
      <c r="B1480" s="3">
        <v>73</v>
      </c>
      <c r="C1480">
        <v>3</v>
      </c>
      <c r="D1480" t="s">
        <v>40</v>
      </c>
      <c r="E1480">
        <f>112/30</f>
        <v>3.73333333333333</v>
      </c>
      <c r="F1480">
        <v>0</v>
      </c>
    </row>
    <row r="1481" hidden="1" spans="1:6">
      <c r="A1481" s="2" t="s">
        <v>1652</v>
      </c>
      <c r="B1481" s="3">
        <v>73</v>
      </c>
      <c r="C1481">
        <v>3</v>
      </c>
      <c r="D1481" t="s">
        <v>42</v>
      </c>
      <c r="E1481">
        <f>85/30</f>
        <v>2.83333333333333</v>
      </c>
      <c r="F1481">
        <v>0</v>
      </c>
    </row>
    <row r="1482" hidden="1" spans="1:6">
      <c r="A1482" s="2" t="s">
        <v>1653</v>
      </c>
      <c r="B1482" s="3">
        <v>73</v>
      </c>
      <c r="C1482">
        <v>3</v>
      </c>
      <c r="D1482" t="s">
        <v>44</v>
      </c>
      <c r="E1482">
        <f>80/30</f>
        <v>2.66666666666667</v>
      </c>
      <c r="F1482">
        <v>0</v>
      </c>
    </row>
    <row r="1483" hidden="1" spans="1:6">
      <c r="A1483" s="2" t="s">
        <v>1654</v>
      </c>
      <c r="B1483" s="3">
        <v>73</v>
      </c>
      <c r="C1483">
        <v>3</v>
      </c>
      <c r="D1483" t="s">
        <v>46</v>
      </c>
      <c r="E1483">
        <f>210/30</f>
        <v>7</v>
      </c>
      <c r="F1483">
        <v>0</v>
      </c>
    </row>
    <row r="1484" hidden="1" spans="1:6">
      <c r="A1484" s="2" t="s">
        <v>1655</v>
      </c>
      <c r="B1484" s="3">
        <v>73</v>
      </c>
      <c r="C1484">
        <v>3</v>
      </c>
      <c r="D1484" t="s">
        <v>86</v>
      </c>
      <c r="E1484">
        <f>260/30</f>
        <v>8.66666666666667</v>
      </c>
      <c r="F1484">
        <v>0</v>
      </c>
    </row>
    <row r="1485" hidden="1" spans="1:6">
      <c r="A1485" s="2" t="s">
        <v>1656</v>
      </c>
      <c r="B1485" s="3">
        <v>73</v>
      </c>
      <c r="C1485">
        <v>3</v>
      </c>
      <c r="D1485" t="s">
        <v>50</v>
      </c>
      <c r="E1485">
        <f>205/30</f>
        <v>6.83333333333333</v>
      </c>
      <c r="F1485">
        <v>0</v>
      </c>
    </row>
    <row r="1486" hidden="1" spans="1:11">
      <c r="A1486" s="2" t="s">
        <v>1657</v>
      </c>
      <c r="B1486" s="3">
        <v>73</v>
      </c>
      <c r="C1486">
        <v>3</v>
      </c>
      <c r="D1486" t="s">
        <v>57</v>
      </c>
      <c r="E1486">
        <v>5</v>
      </c>
      <c r="F1486">
        <v>0</v>
      </c>
      <c r="G1486">
        <v>0</v>
      </c>
      <c r="H1486">
        <v>2</v>
      </c>
      <c r="I1486">
        <v>2128</v>
      </c>
      <c r="J1486" t="s">
        <v>58</v>
      </c>
      <c r="K1486">
        <v>1</v>
      </c>
    </row>
    <row r="1487" hidden="1" spans="1:11">
      <c r="A1487" s="2" t="s">
        <v>1658</v>
      </c>
      <c r="B1487" s="3">
        <v>73</v>
      </c>
      <c r="C1487">
        <v>3</v>
      </c>
      <c r="D1487" t="s">
        <v>92</v>
      </c>
      <c r="E1487">
        <f>100/30</f>
        <v>3.33333333333333</v>
      </c>
      <c r="F1487">
        <v>0</v>
      </c>
      <c r="G1487">
        <v>0</v>
      </c>
      <c r="H1487">
        <v>2</v>
      </c>
      <c r="I1487">
        <v>2137</v>
      </c>
      <c r="J1487" t="s">
        <v>473</v>
      </c>
      <c r="K1487">
        <v>1</v>
      </c>
    </row>
    <row r="1488" hidden="1" spans="1:6">
      <c r="A1488" s="2" t="s">
        <v>1659</v>
      </c>
      <c r="B1488" s="3">
        <v>74</v>
      </c>
      <c r="C1488">
        <v>3</v>
      </c>
      <c r="D1488" t="s">
        <v>36</v>
      </c>
      <c r="E1488">
        <f>53/30</f>
        <v>1.76666666666667</v>
      </c>
      <c r="F1488">
        <v>0</v>
      </c>
    </row>
    <row r="1489" hidden="1" spans="1:6">
      <c r="A1489" s="2" t="s">
        <v>1660</v>
      </c>
      <c r="B1489" s="3">
        <v>74</v>
      </c>
      <c r="C1489">
        <v>3</v>
      </c>
      <c r="D1489" t="s">
        <v>40</v>
      </c>
      <c r="E1489">
        <f>50/30</f>
        <v>1.66666666666667</v>
      </c>
      <c r="F1489">
        <v>0</v>
      </c>
    </row>
    <row r="1490" hidden="1" spans="1:6">
      <c r="A1490" s="2" t="s">
        <v>1661</v>
      </c>
      <c r="B1490" s="3">
        <v>74</v>
      </c>
      <c r="C1490">
        <v>3</v>
      </c>
      <c r="D1490" t="s">
        <v>42</v>
      </c>
      <c r="E1490">
        <f>290/30</f>
        <v>9.66666666666667</v>
      </c>
      <c r="F1490">
        <v>0</v>
      </c>
    </row>
    <row r="1491" hidden="1" spans="1:6">
      <c r="A1491" s="2" t="s">
        <v>1662</v>
      </c>
      <c r="B1491" s="3">
        <v>74</v>
      </c>
      <c r="C1491">
        <v>3</v>
      </c>
      <c r="D1491" t="s">
        <v>44</v>
      </c>
      <c r="E1491">
        <f>170/30</f>
        <v>5.66666666666667</v>
      </c>
      <c r="F1491">
        <v>0</v>
      </c>
    </row>
    <row r="1492" hidden="1" spans="1:6">
      <c r="A1492" s="2" t="s">
        <v>1663</v>
      </c>
      <c r="B1492" s="3">
        <v>74</v>
      </c>
      <c r="C1492">
        <v>3</v>
      </c>
      <c r="D1492" t="s">
        <v>46</v>
      </c>
      <c r="E1492">
        <f>62/30</f>
        <v>2.06666666666667</v>
      </c>
      <c r="F1492">
        <v>0</v>
      </c>
    </row>
    <row r="1493" hidden="1" spans="1:6">
      <c r="A1493" s="2" t="s">
        <v>1664</v>
      </c>
      <c r="B1493" s="3">
        <v>74</v>
      </c>
      <c r="C1493">
        <v>3</v>
      </c>
      <c r="D1493" t="s">
        <v>86</v>
      </c>
      <c r="E1493">
        <f>95/30</f>
        <v>3.16666666666667</v>
      </c>
      <c r="F1493">
        <v>0</v>
      </c>
    </row>
    <row r="1494" hidden="1" spans="1:6">
      <c r="A1494" s="2" t="s">
        <v>1665</v>
      </c>
      <c r="B1494" s="3">
        <v>74</v>
      </c>
      <c r="C1494">
        <v>3</v>
      </c>
      <c r="D1494" t="s">
        <v>50</v>
      </c>
      <c r="E1494">
        <f>230/30</f>
        <v>7.66666666666667</v>
      </c>
      <c r="F1494">
        <v>0</v>
      </c>
    </row>
    <row r="1495" hidden="1" spans="1:6">
      <c r="A1495" s="2" t="s">
        <v>1666</v>
      </c>
      <c r="B1495" s="3">
        <v>74</v>
      </c>
      <c r="C1495">
        <v>3</v>
      </c>
      <c r="D1495" t="s">
        <v>90</v>
      </c>
      <c r="E1495">
        <f>70/30</f>
        <v>2.33333333333333</v>
      </c>
      <c r="F1495">
        <v>0</v>
      </c>
    </row>
    <row r="1496" hidden="1" spans="1:6">
      <c r="A1496" s="2" t="s">
        <v>1667</v>
      </c>
      <c r="B1496" s="3">
        <v>74</v>
      </c>
      <c r="C1496">
        <v>3</v>
      </c>
      <c r="D1496" t="s">
        <v>1668</v>
      </c>
      <c r="E1496">
        <f>15/30</f>
        <v>0.5</v>
      </c>
      <c r="F1496">
        <v>0</v>
      </c>
    </row>
    <row r="1497" hidden="1" spans="1:13">
      <c r="A1497" s="2" t="s">
        <v>1669</v>
      </c>
      <c r="B1497" s="3">
        <v>74</v>
      </c>
      <c r="C1497">
        <v>3</v>
      </c>
      <c r="D1497" t="s">
        <v>57</v>
      </c>
      <c r="E1497">
        <v>5</v>
      </c>
      <c r="F1497">
        <v>0</v>
      </c>
      <c r="G1497">
        <v>0</v>
      </c>
      <c r="H1497">
        <v>2</v>
      </c>
      <c r="I1497">
        <v>2160</v>
      </c>
      <c r="J1497" t="s">
        <v>58</v>
      </c>
      <c r="K1497">
        <v>1</v>
      </c>
      <c r="L1497" s="4" t="s">
        <v>1670</v>
      </c>
      <c r="M1497" t="s">
        <v>1671</v>
      </c>
    </row>
    <row r="1498" hidden="1" spans="1:6">
      <c r="A1498" s="2" t="s">
        <v>1672</v>
      </c>
      <c r="B1498" s="3">
        <v>2230</v>
      </c>
      <c r="C1498">
        <v>3</v>
      </c>
      <c r="D1498" t="s">
        <v>36</v>
      </c>
      <c r="E1498">
        <f>75/30</f>
        <v>2.5</v>
      </c>
      <c r="F1498">
        <v>0</v>
      </c>
    </row>
    <row r="1499" hidden="1" spans="1:6">
      <c r="A1499" s="2" t="s">
        <v>1673</v>
      </c>
      <c r="B1499" s="3">
        <v>2230</v>
      </c>
      <c r="C1499">
        <v>3</v>
      </c>
      <c r="D1499" t="s">
        <v>38</v>
      </c>
      <c r="E1499">
        <f>107/30</f>
        <v>3.56666666666667</v>
      </c>
      <c r="F1499">
        <v>0</v>
      </c>
    </row>
    <row r="1500" hidden="1" spans="1:6">
      <c r="A1500" s="2" t="s">
        <v>1674</v>
      </c>
      <c r="B1500" s="3">
        <v>2230</v>
      </c>
      <c r="C1500">
        <v>3</v>
      </c>
      <c r="D1500" t="s">
        <v>44</v>
      </c>
      <c r="E1500">
        <f>220/30</f>
        <v>7.33333333333333</v>
      </c>
      <c r="F1500">
        <v>0</v>
      </c>
    </row>
    <row r="1501" hidden="1" spans="1:6">
      <c r="A1501" s="2" t="s">
        <v>1675</v>
      </c>
      <c r="B1501" s="3">
        <v>2230</v>
      </c>
      <c r="C1501">
        <v>3</v>
      </c>
      <c r="D1501" t="s">
        <v>46</v>
      </c>
      <c r="E1501">
        <f>62/30</f>
        <v>2.06666666666667</v>
      </c>
      <c r="F1501">
        <v>0</v>
      </c>
    </row>
    <row r="1502" hidden="1" spans="1:6">
      <c r="A1502" s="2" t="s">
        <v>1676</v>
      </c>
      <c r="B1502" s="3">
        <v>2238</v>
      </c>
      <c r="C1502">
        <v>3</v>
      </c>
      <c r="D1502" t="s">
        <v>90</v>
      </c>
      <c r="E1502">
        <f>220/30</f>
        <v>7.33333333333333</v>
      </c>
      <c r="F1502">
        <v>0</v>
      </c>
    </row>
    <row r="1503" hidden="1" spans="1:6">
      <c r="A1503" s="2" t="s">
        <v>1677</v>
      </c>
      <c r="B1503" s="3">
        <v>2239</v>
      </c>
      <c r="C1503">
        <v>3</v>
      </c>
      <c r="D1503" t="s">
        <v>40</v>
      </c>
      <c r="E1503">
        <f>70/30</f>
        <v>2.33333333333333</v>
      </c>
      <c r="F1503">
        <v>0</v>
      </c>
    </row>
    <row r="1504" hidden="1" spans="1:6">
      <c r="A1504" s="2" t="s">
        <v>1678</v>
      </c>
      <c r="B1504" s="3">
        <v>2239</v>
      </c>
      <c r="C1504">
        <v>3</v>
      </c>
      <c r="D1504" t="s">
        <v>86</v>
      </c>
      <c r="E1504">
        <f>95/30</f>
        <v>3.16666666666667</v>
      </c>
      <c r="F1504">
        <v>0</v>
      </c>
    </row>
    <row r="1505" hidden="1" spans="1:6">
      <c r="A1505" s="2" t="s">
        <v>1679</v>
      </c>
      <c r="B1505" s="3">
        <v>2239</v>
      </c>
      <c r="C1505">
        <v>3</v>
      </c>
      <c r="D1505" t="s">
        <v>50</v>
      </c>
      <c r="E1505">
        <f>230/30</f>
        <v>7.66666666666667</v>
      </c>
      <c r="F1505">
        <v>0</v>
      </c>
    </row>
    <row r="1506" hidden="1" spans="1:6">
      <c r="A1506" s="2" t="s">
        <v>1680</v>
      </c>
      <c r="B1506" s="3">
        <v>82</v>
      </c>
      <c r="C1506">
        <v>3</v>
      </c>
      <c r="D1506" t="s">
        <v>36</v>
      </c>
      <c r="E1506">
        <f>118/30</f>
        <v>3.93333333333333</v>
      </c>
      <c r="F1506">
        <v>0</v>
      </c>
    </row>
    <row r="1507" hidden="1" spans="1:6">
      <c r="A1507" s="2" t="s">
        <v>1681</v>
      </c>
      <c r="B1507" s="3">
        <v>82</v>
      </c>
      <c r="C1507">
        <v>3</v>
      </c>
      <c r="D1507" t="s">
        <v>38</v>
      </c>
      <c r="E1507">
        <f>168/30</f>
        <v>5.6</v>
      </c>
      <c r="F1507">
        <v>0</v>
      </c>
    </row>
    <row r="1508" hidden="1" spans="1:6">
      <c r="A1508" s="2" t="s">
        <v>1682</v>
      </c>
      <c r="B1508" s="3">
        <v>82</v>
      </c>
      <c r="C1508">
        <v>3</v>
      </c>
      <c r="D1508" t="s">
        <v>40</v>
      </c>
      <c r="E1508">
        <f>160/30</f>
        <v>5.33333333333333</v>
      </c>
      <c r="F1508">
        <v>0</v>
      </c>
    </row>
    <row r="1509" hidden="1" spans="1:6">
      <c r="A1509" s="2" t="s">
        <v>1683</v>
      </c>
      <c r="B1509" s="3">
        <v>82</v>
      </c>
      <c r="C1509">
        <v>3</v>
      </c>
      <c r="D1509" t="s">
        <v>42</v>
      </c>
      <c r="E1509">
        <f>115/30</f>
        <v>3.83333333333333</v>
      </c>
      <c r="F1509">
        <v>0</v>
      </c>
    </row>
    <row r="1510" hidden="1" spans="1:6">
      <c r="A1510" s="2" t="s">
        <v>1684</v>
      </c>
      <c r="B1510" s="3">
        <v>82</v>
      </c>
      <c r="C1510">
        <v>3</v>
      </c>
      <c r="D1510" t="s">
        <v>44</v>
      </c>
      <c r="E1510">
        <f>110/30</f>
        <v>3.66666666666667</v>
      </c>
      <c r="F1510">
        <v>0</v>
      </c>
    </row>
    <row r="1511" hidden="1" spans="1:6">
      <c r="A1511" s="2" t="s">
        <v>1685</v>
      </c>
      <c r="B1511" s="3">
        <v>82</v>
      </c>
      <c r="C1511">
        <v>3</v>
      </c>
      <c r="D1511" t="s">
        <v>46</v>
      </c>
      <c r="E1511">
        <f>245/30</f>
        <v>8.16666666666667</v>
      </c>
      <c r="F1511">
        <v>0</v>
      </c>
    </row>
    <row r="1512" hidden="1" spans="1:6">
      <c r="A1512" s="2" t="s">
        <v>1686</v>
      </c>
      <c r="B1512" s="3">
        <v>82</v>
      </c>
      <c r="C1512">
        <v>3</v>
      </c>
      <c r="D1512" t="s">
        <v>86</v>
      </c>
      <c r="E1512">
        <f>307/30</f>
        <v>10.2333333333333</v>
      </c>
      <c r="F1512">
        <v>0</v>
      </c>
    </row>
    <row r="1513" hidden="1" spans="1:6">
      <c r="A1513" s="2" t="s">
        <v>1687</v>
      </c>
      <c r="B1513" s="3">
        <v>82</v>
      </c>
      <c r="C1513">
        <v>3</v>
      </c>
      <c r="D1513" t="s">
        <v>50</v>
      </c>
      <c r="E1513">
        <f>260/30</f>
        <v>8.66666666666667</v>
      </c>
      <c r="F1513">
        <v>0</v>
      </c>
    </row>
    <row r="1514" hidden="1" spans="1:11">
      <c r="A1514" s="2" t="s">
        <v>1688</v>
      </c>
      <c r="B1514" s="3">
        <v>82</v>
      </c>
      <c r="C1514">
        <v>3</v>
      </c>
      <c r="D1514" t="s">
        <v>57</v>
      </c>
      <c r="E1514">
        <f>125/30</f>
        <v>4.16666666666667</v>
      </c>
      <c r="F1514">
        <v>0</v>
      </c>
      <c r="G1514" t="s">
        <v>61</v>
      </c>
      <c r="H1514" t="s">
        <v>62</v>
      </c>
      <c r="I1514" t="s">
        <v>1689</v>
      </c>
      <c r="J1514" t="s">
        <v>1690</v>
      </c>
      <c r="K1514" t="s">
        <v>95</v>
      </c>
    </row>
    <row r="1515" hidden="1" spans="1:11">
      <c r="A1515" s="2" t="s">
        <v>1691</v>
      </c>
      <c r="B1515" s="3">
        <v>82</v>
      </c>
      <c r="C1515">
        <v>3</v>
      </c>
      <c r="D1515" t="s">
        <v>1406</v>
      </c>
      <c r="E1515">
        <f>60/30</f>
        <v>2</v>
      </c>
      <c r="F1515">
        <v>0</v>
      </c>
      <c r="G1515">
        <v>0</v>
      </c>
      <c r="H1515">
        <v>1</v>
      </c>
      <c r="I1515">
        <v>2275</v>
      </c>
      <c r="J1515" t="s">
        <v>58</v>
      </c>
      <c r="K1515">
        <v>0</v>
      </c>
    </row>
    <row r="1516" hidden="1" spans="1:6">
      <c r="A1516" s="2" t="s">
        <v>1692</v>
      </c>
      <c r="B1516" s="3">
        <v>83</v>
      </c>
      <c r="C1516">
        <v>3</v>
      </c>
      <c r="D1516" t="s">
        <v>36</v>
      </c>
      <c r="E1516">
        <f>92/30</f>
        <v>3.06666666666667</v>
      </c>
      <c r="F1516">
        <v>0</v>
      </c>
    </row>
    <row r="1517" hidden="1" spans="1:6">
      <c r="A1517" s="2" t="s">
        <v>1693</v>
      </c>
      <c r="B1517" s="3">
        <v>83</v>
      </c>
      <c r="C1517">
        <v>3</v>
      </c>
      <c r="D1517" t="s">
        <v>38</v>
      </c>
      <c r="E1517">
        <f>110/30</f>
        <v>3.66666666666667</v>
      </c>
      <c r="F1517">
        <v>0</v>
      </c>
    </row>
    <row r="1518" hidden="1" spans="1:6">
      <c r="A1518" s="2" t="s">
        <v>1694</v>
      </c>
      <c r="B1518" s="3">
        <v>83</v>
      </c>
      <c r="C1518">
        <v>3</v>
      </c>
      <c r="D1518" t="s">
        <v>40</v>
      </c>
      <c r="E1518">
        <f>122/30</f>
        <v>4.06666666666667</v>
      </c>
      <c r="F1518">
        <v>0</v>
      </c>
    </row>
    <row r="1519" hidden="1" spans="1:6">
      <c r="A1519" s="2" t="s">
        <v>1695</v>
      </c>
      <c r="B1519" s="3">
        <v>83</v>
      </c>
      <c r="C1519">
        <v>3</v>
      </c>
      <c r="D1519" t="s">
        <v>42</v>
      </c>
      <c r="E1519">
        <f>117/30</f>
        <v>3.9</v>
      </c>
      <c r="F1519">
        <v>0</v>
      </c>
    </row>
    <row r="1520" hidden="1" spans="1:6">
      <c r="A1520" s="2" t="s">
        <v>1696</v>
      </c>
      <c r="B1520" s="3">
        <v>83</v>
      </c>
      <c r="C1520">
        <v>3</v>
      </c>
      <c r="D1520" t="s">
        <v>44</v>
      </c>
      <c r="E1520">
        <f>84/30</f>
        <v>2.8</v>
      </c>
      <c r="F1520">
        <v>0</v>
      </c>
    </row>
    <row r="1521" hidden="1" spans="1:6">
      <c r="A1521" s="2" t="s">
        <v>1697</v>
      </c>
      <c r="B1521" s="3">
        <v>83</v>
      </c>
      <c r="C1521">
        <v>3</v>
      </c>
      <c r="D1521" t="s">
        <v>46</v>
      </c>
      <c r="E1521">
        <f>255/30</f>
        <v>8.5</v>
      </c>
      <c r="F1521">
        <v>0</v>
      </c>
    </row>
    <row r="1522" hidden="1" spans="1:6">
      <c r="A1522" s="2" t="s">
        <v>1698</v>
      </c>
      <c r="B1522" s="3">
        <v>83</v>
      </c>
      <c r="C1522">
        <v>3</v>
      </c>
      <c r="D1522" t="s">
        <v>86</v>
      </c>
      <c r="E1522">
        <f>315/30</f>
        <v>10.5</v>
      </c>
      <c r="F1522">
        <v>0</v>
      </c>
    </row>
    <row r="1523" hidden="1" spans="1:6">
      <c r="A1523" s="2" t="s">
        <v>1699</v>
      </c>
      <c r="B1523" s="3">
        <v>83</v>
      </c>
      <c r="C1523">
        <v>3</v>
      </c>
      <c r="D1523" t="s">
        <v>50</v>
      </c>
      <c r="E1523">
        <f>303/30</f>
        <v>10.1</v>
      </c>
      <c r="F1523">
        <v>0</v>
      </c>
    </row>
    <row r="1524" s="16" customFormat="1" hidden="1" spans="1:12">
      <c r="A1524" s="87" t="s">
        <v>1700</v>
      </c>
      <c r="B1524" s="88">
        <v>83</v>
      </c>
      <c r="C1524" s="16">
        <v>3</v>
      </c>
      <c r="D1524" s="16" t="s">
        <v>90</v>
      </c>
      <c r="E1524" s="16">
        <f>450/30</f>
        <v>15</v>
      </c>
      <c r="F1524" s="16">
        <v>0</v>
      </c>
      <c r="L1524" s="89"/>
    </row>
    <row r="1525" s="16" customFormat="1" hidden="1" spans="1:12">
      <c r="A1525" s="87" t="s">
        <v>1701</v>
      </c>
      <c r="B1525" s="88">
        <v>83</v>
      </c>
      <c r="C1525" s="16">
        <v>3</v>
      </c>
      <c r="D1525" s="16" t="s">
        <v>48</v>
      </c>
      <c r="E1525" s="16">
        <f>122/30</f>
        <v>4.06666666666667</v>
      </c>
      <c r="F1525" s="16">
        <v>0</v>
      </c>
      <c r="L1525" s="89"/>
    </row>
    <row r="1526" hidden="1" spans="1:11">
      <c r="A1526" s="2" t="s">
        <v>1702</v>
      </c>
      <c r="B1526" s="3">
        <v>83</v>
      </c>
      <c r="C1526">
        <v>3</v>
      </c>
      <c r="D1526" t="s">
        <v>57</v>
      </c>
      <c r="E1526">
        <f>143/30</f>
        <v>4.76666666666667</v>
      </c>
      <c r="F1526">
        <v>0</v>
      </c>
      <c r="G1526">
        <v>0</v>
      </c>
      <c r="H1526">
        <v>2</v>
      </c>
      <c r="I1526">
        <v>2390</v>
      </c>
      <c r="J1526" t="s">
        <v>58</v>
      </c>
      <c r="K1526">
        <v>1</v>
      </c>
    </row>
    <row r="1527" hidden="1" spans="1:11">
      <c r="A1527" s="2" t="s">
        <v>1703</v>
      </c>
      <c r="B1527" s="3">
        <v>83</v>
      </c>
      <c r="C1527">
        <v>3</v>
      </c>
      <c r="D1527" t="s">
        <v>92</v>
      </c>
      <c r="E1527">
        <f>109/30</f>
        <v>3.63333333333333</v>
      </c>
      <c r="F1527">
        <v>0</v>
      </c>
      <c r="G1527">
        <v>0</v>
      </c>
      <c r="H1527">
        <v>2</v>
      </c>
      <c r="I1527">
        <v>2511</v>
      </c>
      <c r="J1527" t="s">
        <v>58</v>
      </c>
      <c r="K1527">
        <v>1</v>
      </c>
    </row>
    <row r="1528" hidden="1" spans="1:11">
      <c r="A1528" s="2" t="s">
        <v>1704</v>
      </c>
      <c r="B1528" s="3">
        <v>30032</v>
      </c>
      <c r="C1528">
        <v>3</v>
      </c>
      <c r="D1528" t="s">
        <v>36</v>
      </c>
      <c r="E1528">
        <f>92/30</f>
        <v>3.06666666666667</v>
      </c>
      <c r="F1528">
        <v>0</v>
      </c>
      <c r="G1528">
        <v>0</v>
      </c>
      <c r="H1528">
        <v>1</v>
      </c>
      <c r="I1528">
        <v>2502</v>
      </c>
      <c r="J1528" t="s">
        <v>58</v>
      </c>
      <c r="K1528">
        <v>0</v>
      </c>
    </row>
    <row r="1529" hidden="1" spans="1:11">
      <c r="A1529" s="2" t="s">
        <v>1705</v>
      </c>
      <c r="B1529" s="3">
        <v>30032</v>
      </c>
      <c r="C1529">
        <v>3</v>
      </c>
      <c r="D1529" t="s">
        <v>38</v>
      </c>
      <c r="E1529">
        <f>110/30</f>
        <v>3.66666666666667</v>
      </c>
      <c r="F1529">
        <v>0</v>
      </c>
      <c r="G1529">
        <v>0</v>
      </c>
      <c r="H1529">
        <v>1</v>
      </c>
      <c r="I1529">
        <v>2503</v>
      </c>
      <c r="J1529" t="s">
        <v>58</v>
      </c>
      <c r="K1529">
        <v>0</v>
      </c>
    </row>
    <row r="1530" hidden="1" spans="1:11">
      <c r="A1530" s="2" t="s">
        <v>1706</v>
      </c>
      <c r="B1530" s="3">
        <v>30032</v>
      </c>
      <c r="C1530">
        <v>3</v>
      </c>
      <c r="D1530" t="s">
        <v>40</v>
      </c>
      <c r="E1530">
        <f>122/30</f>
        <v>4.06666666666667</v>
      </c>
      <c r="F1530">
        <v>0</v>
      </c>
      <c r="G1530">
        <v>0</v>
      </c>
      <c r="H1530">
        <v>1</v>
      </c>
      <c r="I1530">
        <v>2505</v>
      </c>
      <c r="J1530" t="s">
        <v>58</v>
      </c>
      <c r="K1530">
        <v>0</v>
      </c>
    </row>
    <row r="1531" hidden="1" spans="1:11">
      <c r="A1531" s="2" t="s">
        <v>1707</v>
      </c>
      <c r="B1531" s="3">
        <v>30032</v>
      </c>
      <c r="C1531">
        <v>3</v>
      </c>
      <c r="D1531" t="s">
        <v>42</v>
      </c>
      <c r="E1531">
        <f>117/30</f>
        <v>3.9</v>
      </c>
      <c r="F1531">
        <v>0</v>
      </c>
      <c r="G1531">
        <v>0</v>
      </c>
      <c r="H1531">
        <v>1</v>
      </c>
      <c r="I1531">
        <v>2442</v>
      </c>
      <c r="J1531" t="s">
        <v>58</v>
      </c>
      <c r="K1531">
        <v>0</v>
      </c>
    </row>
    <row r="1532" hidden="1" spans="1:11">
      <c r="A1532" s="2" t="s">
        <v>1708</v>
      </c>
      <c r="B1532" s="3">
        <v>30032</v>
      </c>
      <c r="C1532">
        <v>3</v>
      </c>
      <c r="D1532" t="s">
        <v>44</v>
      </c>
      <c r="E1532">
        <f>84/30</f>
        <v>2.8</v>
      </c>
      <c r="F1532">
        <v>0</v>
      </c>
      <c r="G1532">
        <v>0</v>
      </c>
      <c r="H1532">
        <v>1</v>
      </c>
      <c r="I1532">
        <v>2504</v>
      </c>
      <c r="J1532" t="s">
        <v>58</v>
      </c>
      <c r="K1532">
        <v>0</v>
      </c>
    </row>
    <row r="1533" hidden="1" spans="1:6">
      <c r="A1533" s="2" t="s">
        <v>1709</v>
      </c>
      <c r="B1533" s="3">
        <v>400302</v>
      </c>
      <c r="C1533">
        <v>3</v>
      </c>
      <c r="D1533" t="s">
        <v>36</v>
      </c>
      <c r="E1533">
        <v>2.56666666666667</v>
      </c>
      <c r="F1533">
        <v>0</v>
      </c>
    </row>
    <row r="1534" hidden="1" spans="1:6">
      <c r="A1534" s="2" t="s">
        <v>1710</v>
      </c>
      <c r="B1534" s="3">
        <v>400302</v>
      </c>
      <c r="C1534">
        <v>3</v>
      </c>
      <c r="D1534" t="s">
        <v>38</v>
      </c>
      <c r="E1534">
        <v>2.73333333333333</v>
      </c>
      <c r="F1534">
        <v>0</v>
      </c>
    </row>
    <row r="1535" hidden="1" spans="1:6">
      <c r="A1535" s="2" t="s">
        <v>1711</v>
      </c>
      <c r="B1535" s="3">
        <v>400302</v>
      </c>
      <c r="C1535">
        <v>3</v>
      </c>
      <c r="D1535" t="s">
        <v>40</v>
      </c>
      <c r="E1535">
        <v>3.73333333333333</v>
      </c>
      <c r="F1535">
        <v>0</v>
      </c>
    </row>
    <row r="1536" hidden="1" spans="1:6">
      <c r="A1536" s="2" t="s">
        <v>1712</v>
      </c>
      <c r="B1536" s="3">
        <v>400302</v>
      </c>
      <c r="C1536">
        <v>3</v>
      </c>
      <c r="D1536" t="s">
        <v>42</v>
      </c>
      <c r="E1536">
        <v>2.83333333333333</v>
      </c>
      <c r="F1536">
        <v>0</v>
      </c>
    </row>
    <row r="1537" hidden="1" spans="1:6">
      <c r="A1537" s="2" t="s">
        <v>1713</v>
      </c>
      <c r="B1537" s="3">
        <v>400302</v>
      </c>
      <c r="C1537">
        <v>3</v>
      </c>
      <c r="D1537" t="s">
        <v>44</v>
      </c>
      <c r="E1537">
        <v>2.66666666666667</v>
      </c>
      <c r="F1537">
        <v>0</v>
      </c>
    </row>
    <row r="1538" hidden="1" spans="1:6">
      <c r="A1538" s="2" t="s">
        <v>1714</v>
      </c>
      <c r="B1538" s="3">
        <v>400302</v>
      </c>
      <c r="C1538">
        <v>3</v>
      </c>
      <c r="D1538" t="s">
        <v>46</v>
      </c>
      <c r="E1538">
        <v>7</v>
      </c>
      <c r="F1538">
        <v>0</v>
      </c>
    </row>
    <row r="1539" hidden="1" spans="1:6">
      <c r="A1539" s="2" t="s">
        <v>1715</v>
      </c>
      <c r="B1539" s="3">
        <v>400302</v>
      </c>
      <c r="C1539">
        <v>3</v>
      </c>
      <c r="D1539" t="s">
        <v>86</v>
      </c>
      <c r="E1539">
        <v>8.66666666666667</v>
      </c>
      <c r="F1539">
        <v>0</v>
      </c>
    </row>
    <row r="1540" hidden="1" spans="1:6">
      <c r="A1540" s="2" t="s">
        <v>1716</v>
      </c>
      <c r="B1540" s="3">
        <v>400302</v>
      </c>
      <c r="C1540">
        <v>3</v>
      </c>
      <c r="D1540" t="s">
        <v>50</v>
      </c>
      <c r="E1540">
        <v>6.83333333333333</v>
      </c>
      <c r="F1540">
        <v>0</v>
      </c>
    </row>
    <row r="1541" hidden="1" spans="1:11">
      <c r="A1541" s="2" t="s">
        <v>1717</v>
      </c>
      <c r="B1541" s="3">
        <v>400302</v>
      </c>
      <c r="C1541">
        <v>3</v>
      </c>
      <c r="D1541" t="s">
        <v>57</v>
      </c>
      <c r="E1541">
        <v>5</v>
      </c>
      <c r="F1541">
        <v>0</v>
      </c>
      <c r="G1541">
        <v>0</v>
      </c>
      <c r="H1541">
        <v>2</v>
      </c>
      <c r="I1541">
        <v>2128</v>
      </c>
      <c r="J1541" t="s">
        <v>58</v>
      </c>
      <c r="K1541">
        <v>1</v>
      </c>
    </row>
    <row r="1542" hidden="1" spans="1:11">
      <c r="A1542" s="2" t="s">
        <v>1718</v>
      </c>
      <c r="B1542" s="3">
        <v>400302</v>
      </c>
      <c r="C1542">
        <v>3</v>
      </c>
      <c r="D1542" t="s">
        <v>92</v>
      </c>
      <c r="E1542">
        <v>3.33333333333333</v>
      </c>
      <c r="F1542">
        <v>0</v>
      </c>
      <c r="G1542">
        <v>0</v>
      </c>
      <c r="H1542">
        <v>2</v>
      </c>
      <c r="I1542">
        <v>2137</v>
      </c>
      <c r="J1542" t="s">
        <v>473</v>
      </c>
      <c r="K1542">
        <v>1</v>
      </c>
    </row>
    <row r="1543" hidden="1" spans="1:6">
      <c r="A1543" s="2" t="s">
        <v>1719</v>
      </c>
      <c r="B1543" s="3">
        <v>407601</v>
      </c>
      <c r="C1543">
        <v>3</v>
      </c>
      <c r="D1543" t="s">
        <v>36</v>
      </c>
      <c r="E1543">
        <f>95/30</f>
        <v>3.16666666666667</v>
      </c>
      <c r="F1543">
        <v>0</v>
      </c>
    </row>
    <row r="1544" hidden="1" spans="1:6">
      <c r="A1544" s="2" t="s">
        <v>1720</v>
      </c>
      <c r="B1544" s="3">
        <v>407601</v>
      </c>
      <c r="C1544">
        <v>3</v>
      </c>
      <c r="D1544" t="s">
        <v>38</v>
      </c>
      <c r="E1544">
        <f>145/30</f>
        <v>4.83333333333333</v>
      </c>
      <c r="F1544">
        <v>0</v>
      </c>
    </row>
    <row r="1545" hidden="1" spans="1:6">
      <c r="A1545" s="2" t="s">
        <v>1721</v>
      </c>
      <c r="B1545" s="3">
        <v>407601</v>
      </c>
      <c r="C1545">
        <v>3</v>
      </c>
      <c r="D1545" t="s">
        <v>42</v>
      </c>
      <c r="E1545">
        <f>124/30</f>
        <v>4.13333333333333</v>
      </c>
      <c r="F1545">
        <v>0</v>
      </c>
    </row>
    <row r="1546" hidden="1" spans="1:6">
      <c r="A1546" s="2" t="s">
        <v>1722</v>
      </c>
      <c r="B1546" s="3">
        <v>407601</v>
      </c>
      <c r="C1546">
        <v>3</v>
      </c>
      <c r="D1546" t="s">
        <v>46</v>
      </c>
      <c r="E1546">
        <f>280/30</f>
        <v>9.33333333333333</v>
      </c>
      <c r="F1546">
        <v>0</v>
      </c>
    </row>
    <row r="1547" hidden="1" spans="1:6">
      <c r="A1547" s="2" t="s">
        <v>1723</v>
      </c>
      <c r="B1547" s="3">
        <v>407601</v>
      </c>
      <c r="C1547">
        <v>3</v>
      </c>
      <c r="D1547" t="s">
        <v>86</v>
      </c>
      <c r="E1547">
        <f>69/30</f>
        <v>2.3</v>
      </c>
      <c r="F1547">
        <v>0</v>
      </c>
    </row>
    <row r="1548" hidden="1" spans="1:6">
      <c r="A1548" s="2" t="s">
        <v>1724</v>
      </c>
      <c r="B1548" s="3">
        <v>407601</v>
      </c>
      <c r="C1548">
        <v>3</v>
      </c>
      <c r="D1548" t="s">
        <v>48</v>
      </c>
      <c r="E1548">
        <f>75/30</f>
        <v>2.5</v>
      </c>
      <c r="F1548">
        <v>0</v>
      </c>
    </row>
    <row r="1549" hidden="1" spans="1:11">
      <c r="A1549" s="2" t="s">
        <v>1725</v>
      </c>
      <c r="B1549" s="3">
        <v>407601</v>
      </c>
      <c r="C1549">
        <v>3</v>
      </c>
      <c r="D1549" t="s">
        <v>54</v>
      </c>
      <c r="E1549">
        <f>93/30</f>
        <v>3.1</v>
      </c>
      <c r="F1549">
        <v>0</v>
      </c>
      <c r="G1549">
        <v>0</v>
      </c>
      <c r="H1549">
        <v>2</v>
      </c>
      <c r="I1549">
        <v>2179</v>
      </c>
      <c r="J1549" t="s">
        <v>58</v>
      </c>
      <c r="K1549">
        <v>1</v>
      </c>
    </row>
    <row r="1550" hidden="1" spans="1:11">
      <c r="A1550" s="2" t="s">
        <v>1726</v>
      </c>
      <c r="B1550" s="3">
        <v>407601</v>
      </c>
      <c r="C1550">
        <v>3</v>
      </c>
      <c r="D1550" t="s">
        <v>97</v>
      </c>
      <c r="E1550">
        <f>95/30</f>
        <v>3.16666666666667</v>
      </c>
      <c r="F1550">
        <v>0</v>
      </c>
      <c r="G1550">
        <v>0</v>
      </c>
      <c r="H1550">
        <v>2</v>
      </c>
      <c r="I1550">
        <v>2209</v>
      </c>
      <c r="J1550" t="s">
        <v>58</v>
      </c>
      <c r="K1550">
        <v>1</v>
      </c>
    </row>
    <row r="1551" hidden="1" spans="1:6">
      <c r="A1551" s="2" t="s">
        <v>1727</v>
      </c>
      <c r="B1551" s="3">
        <v>400104</v>
      </c>
      <c r="C1551">
        <v>3</v>
      </c>
      <c r="D1551" t="s">
        <v>36</v>
      </c>
      <c r="E1551">
        <v>2.5</v>
      </c>
      <c r="F1551">
        <v>0</v>
      </c>
    </row>
    <row r="1552" hidden="1" spans="1:6">
      <c r="A1552" s="2" t="s">
        <v>1728</v>
      </c>
      <c r="B1552" s="3">
        <v>400104</v>
      </c>
      <c r="C1552">
        <v>3</v>
      </c>
      <c r="D1552" t="s">
        <v>38</v>
      </c>
      <c r="E1552">
        <v>1.93333333333333</v>
      </c>
      <c r="F1552">
        <v>0</v>
      </c>
    </row>
    <row r="1553" hidden="1" spans="1:6">
      <c r="A1553" s="2" t="s">
        <v>1729</v>
      </c>
      <c r="B1553" s="3">
        <v>400104</v>
      </c>
      <c r="C1553">
        <v>3</v>
      </c>
      <c r="D1553" t="s">
        <v>40</v>
      </c>
      <c r="E1553">
        <v>3</v>
      </c>
      <c r="F1553">
        <v>0</v>
      </c>
    </row>
    <row r="1554" hidden="1" spans="1:6">
      <c r="A1554" s="2" t="s">
        <v>1730</v>
      </c>
      <c r="B1554" s="3">
        <v>400104</v>
      </c>
      <c r="C1554">
        <v>3</v>
      </c>
      <c r="D1554" t="s">
        <v>42</v>
      </c>
      <c r="E1554">
        <v>2.5</v>
      </c>
      <c r="F1554">
        <v>0</v>
      </c>
    </row>
    <row r="1555" hidden="1" spans="1:6">
      <c r="A1555" s="2" t="s">
        <v>1731</v>
      </c>
      <c r="B1555" s="3">
        <v>400104</v>
      </c>
      <c r="C1555">
        <v>3</v>
      </c>
      <c r="D1555" t="s">
        <v>44</v>
      </c>
      <c r="E1555">
        <v>6.16666666666667</v>
      </c>
      <c r="F1555">
        <v>0</v>
      </c>
    </row>
    <row r="1556" hidden="1" spans="1:6">
      <c r="A1556" s="2" t="s">
        <v>1732</v>
      </c>
      <c r="B1556" s="3">
        <v>400104</v>
      </c>
      <c r="C1556">
        <v>3</v>
      </c>
      <c r="D1556" t="s">
        <v>46</v>
      </c>
      <c r="E1556">
        <v>1.36666666666667</v>
      </c>
      <c r="F1556">
        <v>0</v>
      </c>
    </row>
    <row r="1557" hidden="1" spans="1:13">
      <c r="A1557" s="2" t="s">
        <v>1733</v>
      </c>
      <c r="B1557" s="3">
        <v>400104</v>
      </c>
      <c r="C1557">
        <v>3</v>
      </c>
      <c r="D1557" t="s">
        <v>669</v>
      </c>
      <c r="E1557">
        <v>1.66666666666667</v>
      </c>
      <c r="F1557">
        <v>1</v>
      </c>
      <c r="G1557">
        <v>0</v>
      </c>
      <c r="H1557">
        <v>2</v>
      </c>
      <c r="I1557">
        <v>2059</v>
      </c>
      <c r="J1557" t="s">
        <v>1562</v>
      </c>
      <c r="K1557">
        <v>0</v>
      </c>
      <c r="L1557" s="4" t="s">
        <v>1621</v>
      </c>
      <c r="M1557" t="s">
        <v>1622</v>
      </c>
    </row>
    <row r="1558" hidden="1" spans="1:11">
      <c r="A1558" s="2" t="s">
        <v>1734</v>
      </c>
      <c r="B1558" s="3">
        <v>400104</v>
      </c>
      <c r="C1558">
        <v>3</v>
      </c>
      <c r="D1558" t="s">
        <v>57</v>
      </c>
      <c r="E1558">
        <v>3.33333333333333</v>
      </c>
      <c r="F1558">
        <v>0</v>
      </c>
      <c r="G1558">
        <v>0</v>
      </c>
      <c r="H1558">
        <v>2</v>
      </c>
      <c r="I1558">
        <v>2036</v>
      </c>
      <c r="J1558" t="s">
        <v>58</v>
      </c>
      <c r="K1558">
        <v>1</v>
      </c>
    </row>
    <row r="1559" hidden="1" spans="1:6">
      <c r="A1559" s="2" t="s">
        <v>1735</v>
      </c>
      <c r="B1559" s="3">
        <v>405701</v>
      </c>
      <c r="C1559">
        <v>3</v>
      </c>
      <c r="D1559" t="s">
        <v>36</v>
      </c>
      <c r="E1559">
        <v>2.4</v>
      </c>
      <c r="F1559">
        <v>0</v>
      </c>
    </row>
    <row r="1560" hidden="1" spans="1:6">
      <c r="A1560" s="2" t="s">
        <v>1736</v>
      </c>
      <c r="B1560" s="3">
        <v>405701</v>
      </c>
      <c r="C1560">
        <v>3</v>
      </c>
      <c r="D1560" t="s">
        <v>38</v>
      </c>
      <c r="E1560">
        <v>2.5</v>
      </c>
      <c r="F1560">
        <v>0</v>
      </c>
    </row>
    <row r="1561" hidden="1" spans="1:6">
      <c r="A1561" s="2" t="s">
        <v>1737</v>
      </c>
      <c r="B1561" s="3">
        <v>405701</v>
      </c>
      <c r="C1561">
        <v>3</v>
      </c>
      <c r="D1561" t="s">
        <v>40</v>
      </c>
      <c r="E1561">
        <v>3.16666666666667</v>
      </c>
      <c r="F1561">
        <v>0</v>
      </c>
    </row>
    <row r="1562" hidden="1" spans="1:6">
      <c r="A1562" s="2" t="s">
        <v>1738</v>
      </c>
      <c r="B1562" s="3">
        <v>405701</v>
      </c>
      <c r="C1562">
        <v>3</v>
      </c>
      <c r="D1562" t="s">
        <v>42</v>
      </c>
      <c r="E1562">
        <v>6.66666666666667</v>
      </c>
      <c r="F1562">
        <v>0</v>
      </c>
    </row>
    <row r="1563" hidden="1" spans="1:6">
      <c r="A1563" s="2" t="s">
        <v>1739</v>
      </c>
      <c r="B1563" s="3">
        <v>405701</v>
      </c>
      <c r="C1563">
        <v>3</v>
      </c>
      <c r="D1563" t="s">
        <v>44</v>
      </c>
      <c r="E1563">
        <v>5.33333333333333</v>
      </c>
      <c r="F1563">
        <v>0</v>
      </c>
    </row>
    <row r="1564" hidden="1" spans="1:6">
      <c r="A1564" s="2" t="s">
        <v>1740</v>
      </c>
      <c r="B1564" s="3">
        <v>405701</v>
      </c>
      <c r="C1564">
        <v>3</v>
      </c>
      <c r="D1564" t="s">
        <v>46</v>
      </c>
      <c r="E1564">
        <v>2.83333333333333</v>
      </c>
      <c r="F1564">
        <v>0</v>
      </c>
    </row>
    <row r="1565" hidden="1" spans="1:6">
      <c r="A1565" s="2" t="s">
        <v>1741</v>
      </c>
      <c r="B1565" s="3">
        <v>405701</v>
      </c>
      <c r="C1565">
        <v>3</v>
      </c>
      <c r="D1565" t="s">
        <v>86</v>
      </c>
      <c r="E1565">
        <v>11.4</v>
      </c>
      <c r="F1565">
        <v>0</v>
      </c>
    </row>
    <row r="1566" hidden="1" spans="1:6">
      <c r="A1566" s="2" t="s">
        <v>1742</v>
      </c>
      <c r="B1566" s="3">
        <v>405701</v>
      </c>
      <c r="C1566">
        <v>3</v>
      </c>
      <c r="D1566" t="s">
        <v>50</v>
      </c>
      <c r="E1566">
        <v>9</v>
      </c>
      <c r="F1566">
        <v>0</v>
      </c>
    </row>
    <row r="1567" hidden="1" spans="1:11">
      <c r="A1567" s="2" t="s">
        <v>1743</v>
      </c>
      <c r="B1567" s="3">
        <v>405701</v>
      </c>
      <c r="C1567">
        <v>3</v>
      </c>
      <c r="D1567" t="s">
        <v>77</v>
      </c>
      <c r="E1567">
        <v>4.66666666666667</v>
      </c>
      <c r="F1567">
        <v>0</v>
      </c>
      <c r="G1567">
        <v>0</v>
      </c>
      <c r="H1567">
        <v>2</v>
      </c>
      <c r="I1567">
        <v>1155</v>
      </c>
      <c r="J1567" t="s">
        <v>58</v>
      </c>
      <c r="K1567">
        <v>1</v>
      </c>
    </row>
    <row r="1568" hidden="1" spans="1:6">
      <c r="A1568" s="2" t="s">
        <v>1744</v>
      </c>
      <c r="B1568" s="3">
        <v>400510</v>
      </c>
      <c r="C1568">
        <v>3</v>
      </c>
      <c r="D1568" t="s">
        <v>36</v>
      </c>
      <c r="E1568">
        <v>2.33333333333333</v>
      </c>
      <c r="F1568">
        <v>0</v>
      </c>
    </row>
    <row r="1569" hidden="1" spans="1:6">
      <c r="A1569" s="2" t="s">
        <v>1745</v>
      </c>
      <c r="B1569" s="3">
        <v>400510</v>
      </c>
      <c r="C1569">
        <v>3</v>
      </c>
      <c r="D1569" t="s">
        <v>38</v>
      </c>
      <c r="E1569">
        <v>2.9</v>
      </c>
      <c r="F1569">
        <v>0</v>
      </c>
    </row>
    <row r="1570" hidden="1" spans="1:6">
      <c r="A1570" s="2" t="s">
        <v>1746</v>
      </c>
      <c r="B1570" s="3">
        <v>400510</v>
      </c>
      <c r="C1570">
        <v>3</v>
      </c>
      <c r="D1570" t="s">
        <v>40</v>
      </c>
      <c r="E1570">
        <v>4</v>
      </c>
      <c r="F1570">
        <v>0</v>
      </c>
    </row>
    <row r="1571" hidden="1" spans="1:6">
      <c r="A1571" s="2" t="s">
        <v>1747</v>
      </c>
      <c r="B1571" s="3">
        <v>400510</v>
      </c>
      <c r="C1571">
        <v>3</v>
      </c>
      <c r="D1571" t="s">
        <v>42</v>
      </c>
      <c r="E1571">
        <v>2.06666666666667</v>
      </c>
      <c r="F1571">
        <v>0</v>
      </c>
    </row>
    <row r="1572" hidden="1" spans="1:6">
      <c r="A1572" s="2" t="s">
        <v>1748</v>
      </c>
      <c r="B1572" s="3">
        <v>400510</v>
      </c>
      <c r="C1572">
        <v>3</v>
      </c>
      <c r="D1572" t="s">
        <v>44</v>
      </c>
      <c r="E1572">
        <v>3.5</v>
      </c>
      <c r="F1572">
        <v>0</v>
      </c>
    </row>
    <row r="1573" hidden="1" spans="1:6">
      <c r="A1573" s="2" t="s">
        <v>1749</v>
      </c>
      <c r="B1573" s="3">
        <v>400510</v>
      </c>
      <c r="C1573">
        <v>3</v>
      </c>
      <c r="D1573" t="s">
        <v>46</v>
      </c>
      <c r="E1573">
        <v>6</v>
      </c>
      <c r="F1573">
        <v>0</v>
      </c>
    </row>
    <row r="1574" hidden="1" spans="1:6">
      <c r="A1574" s="2" t="s">
        <v>1750</v>
      </c>
      <c r="B1574" s="3">
        <v>400510</v>
      </c>
      <c r="C1574">
        <v>3</v>
      </c>
      <c r="D1574" t="s">
        <v>86</v>
      </c>
      <c r="E1574">
        <v>9.33333333333333</v>
      </c>
      <c r="F1574">
        <v>0</v>
      </c>
    </row>
    <row r="1575" hidden="1" spans="1:6">
      <c r="A1575" s="2" t="s">
        <v>1751</v>
      </c>
      <c r="B1575" s="3">
        <v>400510</v>
      </c>
      <c r="C1575">
        <v>3</v>
      </c>
      <c r="D1575" t="s">
        <v>50</v>
      </c>
      <c r="E1575">
        <v>8</v>
      </c>
      <c r="F1575">
        <v>0</v>
      </c>
    </row>
    <row r="1576" hidden="1" spans="1:11">
      <c r="A1576" s="2" t="s">
        <v>1752</v>
      </c>
      <c r="B1576" s="3">
        <v>400510</v>
      </c>
      <c r="C1576">
        <v>3</v>
      </c>
      <c r="D1576" t="s">
        <v>109</v>
      </c>
      <c r="E1576">
        <v>5.66666666666667</v>
      </c>
      <c r="F1576">
        <v>0</v>
      </c>
      <c r="G1576">
        <v>0</v>
      </c>
      <c r="H1576">
        <v>2</v>
      </c>
      <c r="I1576">
        <v>1843</v>
      </c>
      <c r="J1576" t="s">
        <v>58</v>
      </c>
      <c r="K1576">
        <v>1</v>
      </c>
    </row>
    <row r="1577" hidden="1" spans="1:6">
      <c r="A1577" s="2">
        <v>40600101</v>
      </c>
      <c r="B1577" s="3">
        <v>406001</v>
      </c>
      <c r="C1577">
        <v>3</v>
      </c>
      <c r="D1577" t="s">
        <v>36</v>
      </c>
      <c r="E1577">
        <v>1.06666666666667</v>
      </c>
      <c r="F1577">
        <v>0</v>
      </c>
    </row>
    <row r="1578" hidden="1" spans="1:6">
      <c r="A1578" s="2">
        <v>40600102</v>
      </c>
      <c r="B1578" s="3">
        <v>406001</v>
      </c>
      <c r="C1578">
        <v>3</v>
      </c>
      <c r="D1578" t="s">
        <v>38</v>
      </c>
      <c r="E1578">
        <v>1.06666666666667</v>
      </c>
      <c r="F1578">
        <v>0</v>
      </c>
    </row>
    <row r="1579" hidden="1" spans="1:6">
      <c r="A1579" s="2">
        <v>40600103</v>
      </c>
      <c r="B1579" s="3">
        <v>406001</v>
      </c>
      <c r="C1579">
        <v>3</v>
      </c>
      <c r="D1579" t="s">
        <v>40</v>
      </c>
      <c r="E1579">
        <v>2.33333333333333</v>
      </c>
      <c r="F1579">
        <v>0</v>
      </c>
    </row>
    <row r="1580" hidden="1" spans="1:6">
      <c r="A1580" s="2">
        <v>40600104</v>
      </c>
      <c r="B1580" s="3">
        <v>406001</v>
      </c>
      <c r="C1580">
        <v>3</v>
      </c>
      <c r="D1580" t="s">
        <v>42</v>
      </c>
      <c r="E1580">
        <v>2.16666666666667</v>
      </c>
      <c r="F1580">
        <v>0</v>
      </c>
    </row>
    <row r="1581" hidden="1" spans="1:6">
      <c r="A1581" s="2">
        <v>40600105</v>
      </c>
      <c r="B1581" s="3">
        <v>406001</v>
      </c>
      <c r="C1581">
        <v>3</v>
      </c>
      <c r="D1581" t="s">
        <v>44</v>
      </c>
      <c r="E1581">
        <v>5.66666666666667</v>
      </c>
      <c r="F1581">
        <v>0</v>
      </c>
    </row>
    <row r="1582" hidden="1" spans="1:6">
      <c r="A1582" s="2">
        <v>40600106</v>
      </c>
      <c r="B1582" s="3">
        <v>406001</v>
      </c>
      <c r="C1582">
        <v>3</v>
      </c>
      <c r="D1582" t="s">
        <v>46</v>
      </c>
      <c r="E1582">
        <v>1.2</v>
      </c>
      <c r="F1582">
        <v>0</v>
      </c>
    </row>
    <row r="1583" hidden="1" spans="1:6">
      <c r="A1583" s="2">
        <v>40600107</v>
      </c>
      <c r="B1583" s="3">
        <v>406001</v>
      </c>
      <c r="C1583">
        <v>3</v>
      </c>
      <c r="D1583" t="s">
        <v>86</v>
      </c>
      <c r="E1583">
        <v>3.33333333333333</v>
      </c>
      <c r="F1583">
        <v>0</v>
      </c>
    </row>
    <row r="1584" hidden="1" spans="1:6">
      <c r="A1584" s="2">
        <v>40600108</v>
      </c>
      <c r="B1584" s="3">
        <v>406001</v>
      </c>
      <c r="C1584">
        <v>3</v>
      </c>
      <c r="D1584" t="s">
        <v>50</v>
      </c>
      <c r="E1584">
        <v>10.3333333333333</v>
      </c>
      <c r="F1584">
        <v>0</v>
      </c>
    </row>
    <row r="1585" hidden="1" spans="1:6">
      <c r="A1585" s="2" t="s">
        <v>1753</v>
      </c>
      <c r="B1585" s="3">
        <v>404502</v>
      </c>
      <c r="C1585">
        <v>3</v>
      </c>
      <c r="D1585" t="s">
        <v>36</v>
      </c>
      <c r="E1585">
        <v>2.83333333333333</v>
      </c>
      <c r="F1585">
        <v>0</v>
      </c>
    </row>
    <row r="1586" hidden="1" spans="1:6">
      <c r="A1586" s="2" t="s">
        <v>1754</v>
      </c>
      <c r="B1586" s="3">
        <v>404502</v>
      </c>
      <c r="C1586">
        <v>3</v>
      </c>
      <c r="D1586" t="s">
        <v>38</v>
      </c>
      <c r="E1586">
        <v>3</v>
      </c>
      <c r="F1586">
        <v>0</v>
      </c>
    </row>
    <row r="1587" hidden="1" spans="1:6">
      <c r="A1587" s="2" t="s">
        <v>1755</v>
      </c>
      <c r="B1587" s="3">
        <v>404502</v>
      </c>
      <c r="C1587">
        <v>3</v>
      </c>
      <c r="D1587" t="s">
        <v>40</v>
      </c>
      <c r="E1587">
        <v>8.33333333333333</v>
      </c>
      <c r="F1587">
        <v>0</v>
      </c>
    </row>
    <row r="1588" hidden="1" spans="1:6">
      <c r="A1588" s="2" t="s">
        <v>1756</v>
      </c>
      <c r="B1588" s="3">
        <v>404502</v>
      </c>
      <c r="C1588">
        <v>3</v>
      </c>
      <c r="D1588" t="s">
        <v>42</v>
      </c>
      <c r="E1588">
        <v>7.66666666666667</v>
      </c>
      <c r="F1588">
        <v>0</v>
      </c>
    </row>
    <row r="1589" hidden="1" spans="1:6">
      <c r="A1589" s="2" t="s">
        <v>1757</v>
      </c>
      <c r="B1589" s="3">
        <v>404704</v>
      </c>
      <c r="C1589">
        <v>3</v>
      </c>
      <c r="D1589" t="s">
        <v>36</v>
      </c>
      <c r="E1589">
        <v>3</v>
      </c>
      <c r="F1589">
        <v>0</v>
      </c>
    </row>
    <row r="1590" hidden="1" spans="1:6">
      <c r="A1590" s="2" t="s">
        <v>1758</v>
      </c>
      <c r="B1590" s="3">
        <v>404704</v>
      </c>
      <c r="C1590">
        <v>3</v>
      </c>
      <c r="D1590" t="s">
        <v>38</v>
      </c>
      <c r="E1590">
        <v>2.33333333333333</v>
      </c>
      <c r="F1590">
        <v>0</v>
      </c>
    </row>
    <row r="1591" hidden="1" spans="1:6">
      <c r="A1591" s="2" t="s">
        <v>1759</v>
      </c>
      <c r="B1591" s="3">
        <v>404704</v>
      </c>
      <c r="C1591">
        <v>3</v>
      </c>
      <c r="D1591" t="s">
        <v>40</v>
      </c>
      <c r="E1591">
        <v>1.5</v>
      </c>
      <c r="F1591">
        <v>0</v>
      </c>
    </row>
    <row r="1592" hidden="1" spans="1:6">
      <c r="A1592" s="2" t="s">
        <v>1760</v>
      </c>
      <c r="B1592" s="3">
        <v>404704</v>
      </c>
      <c r="C1592">
        <v>3</v>
      </c>
      <c r="D1592" t="s">
        <v>42</v>
      </c>
      <c r="E1592">
        <v>1.2</v>
      </c>
      <c r="F1592">
        <v>0</v>
      </c>
    </row>
    <row r="1593" hidden="1" spans="1:6">
      <c r="A1593" s="2" t="s">
        <v>1761</v>
      </c>
      <c r="B1593" s="3">
        <v>404704</v>
      </c>
      <c r="C1593">
        <v>3</v>
      </c>
      <c r="D1593" t="s">
        <v>44</v>
      </c>
      <c r="E1593">
        <v>3.16666666666667</v>
      </c>
      <c r="F1593">
        <v>0</v>
      </c>
    </row>
    <row r="1594" hidden="1" spans="1:6">
      <c r="A1594" s="2" t="s">
        <v>1762</v>
      </c>
      <c r="B1594" s="3">
        <v>404704</v>
      </c>
      <c r="C1594">
        <v>3</v>
      </c>
      <c r="D1594" t="s">
        <v>46</v>
      </c>
      <c r="E1594">
        <v>10</v>
      </c>
      <c r="F1594">
        <v>0</v>
      </c>
    </row>
    <row r="1595" hidden="1" spans="1:6">
      <c r="A1595" s="2" t="s">
        <v>1763</v>
      </c>
      <c r="B1595" s="3">
        <v>404704</v>
      </c>
      <c r="C1595">
        <v>3</v>
      </c>
      <c r="D1595" t="s">
        <v>86</v>
      </c>
      <c r="E1595">
        <v>12</v>
      </c>
      <c r="F1595">
        <v>0</v>
      </c>
    </row>
    <row r="1596" hidden="1" spans="1:6">
      <c r="A1596" s="2" t="s">
        <v>1764</v>
      </c>
      <c r="B1596" s="3">
        <v>404704</v>
      </c>
      <c r="C1596">
        <v>3</v>
      </c>
      <c r="D1596" t="s">
        <v>50</v>
      </c>
      <c r="E1596">
        <v>9.66666666666667</v>
      </c>
      <c r="F1596">
        <v>0</v>
      </c>
    </row>
    <row r="1597" hidden="1" spans="1:11">
      <c r="A1597" s="2" t="s">
        <v>1765</v>
      </c>
      <c r="B1597" s="3">
        <v>404704</v>
      </c>
      <c r="C1597">
        <v>3</v>
      </c>
      <c r="D1597" t="s">
        <v>97</v>
      </c>
      <c r="E1597">
        <v>3.33333333333333</v>
      </c>
      <c r="F1597">
        <v>0</v>
      </c>
      <c r="G1597">
        <v>0</v>
      </c>
      <c r="H1597">
        <v>2</v>
      </c>
      <c r="I1597">
        <v>1965</v>
      </c>
      <c r="J1597" t="s">
        <v>58</v>
      </c>
      <c r="K1597">
        <v>1</v>
      </c>
    </row>
    <row r="1598" hidden="1" spans="1:6">
      <c r="A1598" s="2" t="s">
        <v>1766</v>
      </c>
      <c r="B1598" s="3">
        <v>84</v>
      </c>
      <c r="C1598">
        <v>3</v>
      </c>
      <c r="D1598" t="s">
        <v>36</v>
      </c>
      <c r="E1598">
        <f>102/30</f>
        <v>3.4</v>
      </c>
      <c r="F1598">
        <v>0</v>
      </c>
    </row>
    <row r="1599" hidden="1" spans="1:6">
      <c r="A1599" s="2" t="s">
        <v>1767</v>
      </c>
      <c r="B1599" s="3">
        <v>84</v>
      </c>
      <c r="C1599">
        <v>3</v>
      </c>
      <c r="D1599" t="s">
        <v>38</v>
      </c>
      <c r="E1599">
        <f>125/30</f>
        <v>4.16666666666667</v>
      </c>
      <c r="F1599">
        <v>0</v>
      </c>
    </row>
    <row r="1600" hidden="1" spans="1:6">
      <c r="A1600" s="2" t="s">
        <v>1768</v>
      </c>
      <c r="B1600" s="3">
        <v>84</v>
      </c>
      <c r="C1600">
        <v>3</v>
      </c>
      <c r="D1600" t="s">
        <v>40</v>
      </c>
      <c r="E1600">
        <f>75/30</f>
        <v>2.5</v>
      </c>
      <c r="F1600">
        <v>0</v>
      </c>
    </row>
    <row r="1601" hidden="1" spans="1:6">
      <c r="A1601" s="2" t="s">
        <v>1769</v>
      </c>
      <c r="B1601" s="3">
        <v>84</v>
      </c>
      <c r="C1601">
        <v>3</v>
      </c>
      <c r="D1601" t="s">
        <v>42</v>
      </c>
      <c r="E1601">
        <f>122/30</f>
        <v>4.06666666666667</v>
      </c>
      <c r="F1601">
        <v>0</v>
      </c>
    </row>
    <row r="1602" hidden="1" spans="1:6">
      <c r="A1602" s="2" t="s">
        <v>1770</v>
      </c>
      <c r="B1602" s="3">
        <v>84</v>
      </c>
      <c r="C1602">
        <v>3</v>
      </c>
      <c r="D1602" t="s">
        <v>44</v>
      </c>
      <c r="E1602">
        <f>115/30</f>
        <v>3.83333333333333</v>
      </c>
      <c r="F1602">
        <v>0</v>
      </c>
    </row>
    <row r="1603" hidden="1" spans="1:6">
      <c r="A1603" s="2" t="s">
        <v>1771</v>
      </c>
      <c r="B1603" s="3">
        <v>84</v>
      </c>
      <c r="C1603">
        <v>3</v>
      </c>
      <c r="D1603" t="s">
        <v>46</v>
      </c>
      <c r="E1603">
        <f>250/30</f>
        <v>8.33333333333333</v>
      </c>
      <c r="F1603">
        <v>0</v>
      </c>
    </row>
    <row r="1604" hidden="1" spans="1:6">
      <c r="A1604" s="2" t="s">
        <v>1772</v>
      </c>
      <c r="B1604" s="3">
        <v>84</v>
      </c>
      <c r="C1604">
        <v>3</v>
      </c>
      <c r="D1604" t="s">
        <v>86</v>
      </c>
      <c r="E1604">
        <f>313/30</f>
        <v>10.4333333333333</v>
      </c>
      <c r="F1604">
        <v>0</v>
      </c>
    </row>
    <row r="1605" hidden="1" spans="1:6">
      <c r="A1605" s="2" t="s">
        <v>1773</v>
      </c>
      <c r="B1605" s="3">
        <v>84</v>
      </c>
      <c r="C1605">
        <v>3</v>
      </c>
      <c r="D1605" t="s">
        <v>50</v>
      </c>
      <c r="E1605">
        <f>361/30</f>
        <v>12.0333333333333</v>
      </c>
      <c r="F1605">
        <v>0</v>
      </c>
    </row>
    <row r="1606" hidden="1" spans="1:11">
      <c r="A1606" s="2" t="s">
        <v>1774</v>
      </c>
      <c r="B1606" s="3">
        <v>84</v>
      </c>
      <c r="C1606">
        <v>3</v>
      </c>
      <c r="D1606" t="s">
        <v>57</v>
      </c>
      <c r="E1606">
        <f>95/30</f>
        <v>3.16666666666667</v>
      </c>
      <c r="F1606">
        <v>0</v>
      </c>
      <c r="G1606">
        <v>0</v>
      </c>
      <c r="H1606">
        <v>2</v>
      </c>
      <c r="I1606">
        <v>2493</v>
      </c>
      <c r="J1606" t="s">
        <v>58</v>
      </c>
      <c r="K1606">
        <v>1</v>
      </c>
    </row>
    <row r="1607" hidden="1" spans="1:11">
      <c r="A1607" s="2" t="s">
        <v>1775</v>
      </c>
      <c r="B1607" s="3">
        <v>84</v>
      </c>
      <c r="C1607">
        <v>3</v>
      </c>
      <c r="D1607" t="s">
        <v>1776</v>
      </c>
      <c r="E1607">
        <f>95/30</f>
        <v>3.16666666666667</v>
      </c>
      <c r="F1607">
        <v>0</v>
      </c>
      <c r="G1607">
        <v>0</v>
      </c>
      <c r="H1607">
        <v>2</v>
      </c>
      <c r="I1607">
        <v>2494</v>
      </c>
      <c r="J1607" t="s">
        <v>58</v>
      </c>
      <c r="K1607">
        <v>1</v>
      </c>
    </row>
    <row r="1608" hidden="1" spans="1:11">
      <c r="A1608" s="2" t="s">
        <v>1777</v>
      </c>
      <c r="B1608" s="3">
        <v>84</v>
      </c>
      <c r="C1608">
        <v>3</v>
      </c>
      <c r="D1608" t="s">
        <v>109</v>
      </c>
      <c r="E1608">
        <f>105/30</f>
        <v>3.5</v>
      </c>
      <c r="F1608">
        <v>0</v>
      </c>
      <c r="G1608">
        <v>0</v>
      </c>
      <c r="H1608">
        <v>2</v>
      </c>
      <c r="I1608">
        <v>2510</v>
      </c>
      <c r="J1608" t="s">
        <v>205</v>
      </c>
      <c r="K1608">
        <v>1</v>
      </c>
    </row>
    <row r="1609" hidden="1" spans="1:6">
      <c r="A1609" s="2" t="s">
        <v>1778</v>
      </c>
      <c r="B1609" s="3">
        <v>85</v>
      </c>
      <c r="C1609">
        <v>3</v>
      </c>
      <c r="D1609" t="s">
        <v>36</v>
      </c>
      <c r="E1609">
        <f>90/30</f>
        <v>3</v>
      </c>
      <c r="F1609">
        <v>0</v>
      </c>
    </row>
    <row r="1610" hidden="1" spans="1:6">
      <c r="A1610" s="2" t="s">
        <v>1779</v>
      </c>
      <c r="B1610" s="3">
        <v>85</v>
      </c>
      <c r="C1610">
        <v>3</v>
      </c>
      <c r="D1610" t="s">
        <v>38</v>
      </c>
      <c r="E1610">
        <f>110/30</f>
        <v>3.66666666666667</v>
      </c>
      <c r="F1610">
        <v>0</v>
      </c>
    </row>
    <row r="1611" hidden="1" spans="1:6">
      <c r="A1611" s="2" t="s">
        <v>1780</v>
      </c>
      <c r="B1611" s="3">
        <v>85</v>
      </c>
      <c r="C1611">
        <v>3</v>
      </c>
      <c r="D1611" t="s">
        <v>40</v>
      </c>
      <c r="E1611">
        <f>116/30</f>
        <v>3.86666666666667</v>
      </c>
      <c r="F1611">
        <v>0</v>
      </c>
    </row>
    <row r="1612" hidden="1" spans="1:6">
      <c r="A1612" s="2" t="s">
        <v>1781</v>
      </c>
      <c r="B1612" s="3">
        <v>85</v>
      </c>
      <c r="C1612">
        <v>3</v>
      </c>
      <c r="D1612" t="s">
        <v>42</v>
      </c>
      <c r="E1612">
        <f>120/30</f>
        <v>4</v>
      </c>
      <c r="F1612">
        <v>0</v>
      </c>
    </row>
    <row r="1613" hidden="1" spans="1:6">
      <c r="A1613" s="2" t="s">
        <v>1782</v>
      </c>
      <c r="B1613" s="3">
        <v>85</v>
      </c>
      <c r="C1613">
        <v>3</v>
      </c>
      <c r="D1613" t="s">
        <v>44</v>
      </c>
      <c r="E1613">
        <f>80/30</f>
        <v>2.66666666666667</v>
      </c>
      <c r="F1613">
        <v>0</v>
      </c>
    </row>
    <row r="1614" hidden="1" spans="1:6">
      <c r="A1614" s="2" t="s">
        <v>1783</v>
      </c>
      <c r="B1614" s="3">
        <v>85</v>
      </c>
      <c r="C1614">
        <v>3</v>
      </c>
      <c r="D1614" t="s">
        <v>46</v>
      </c>
      <c r="E1614">
        <f>274/30</f>
        <v>9.13333333333333</v>
      </c>
      <c r="F1614">
        <v>0</v>
      </c>
    </row>
    <row r="1615" hidden="1" spans="1:6">
      <c r="A1615" s="2" t="s">
        <v>1784</v>
      </c>
      <c r="B1615" s="3">
        <v>85</v>
      </c>
      <c r="C1615">
        <v>3</v>
      </c>
      <c r="D1615" t="s">
        <v>86</v>
      </c>
      <c r="E1615">
        <f>270/30</f>
        <v>9</v>
      </c>
      <c r="F1615">
        <v>0</v>
      </c>
    </row>
    <row r="1616" hidden="1" spans="1:6">
      <c r="A1616" s="2" t="s">
        <v>1785</v>
      </c>
      <c r="B1616" s="3">
        <v>85</v>
      </c>
      <c r="C1616">
        <v>3</v>
      </c>
      <c r="D1616" t="s">
        <v>50</v>
      </c>
      <c r="E1616">
        <f>390/30</f>
        <v>13</v>
      </c>
      <c r="F1616">
        <v>0</v>
      </c>
    </row>
    <row r="1617" hidden="1" spans="1:11">
      <c r="A1617" s="2" t="s">
        <v>1786</v>
      </c>
      <c r="B1617" s="3">
        <v>85</v>
      </c>
      <c r="C1617">
        <v>3</v>
      </c>
      <c r="D1617" t="s">
        <v>57</v>
      </c>
      <c r="E1617">
        <f>110/30</f>
        <v>3.66666666666667</v>
      </c>
      <c r="F1617">
        <v>0</v>
      </c>
      <c r="G1617">
        <v>0</v>
      </c>
      <c r="H1617">
        <v>2</v>
      </c>
      <c r="I1617">
        <v>2416</v>
      </c>
      <c r="J1617" t="s">
        <v>58</v>
      </c>
      <c r="K1617">
        <v>1</v>
      </c>
    </row>
    <row r="1618" hidden="1" spans="1:6">
      <c r="A1618" s="2" t="s">
        <v>1787</v>
      </c>
      <c r="B1618" s="3">
        <v>30033</v>
      </c>
      <c r="C1618">
        <v>3</v>
      </c>
      <c r="D1618" t="s">
        <v>1788</v>
      </c>
      <c r="E1618">
        <f>100/30</f>
        <v>3.33333333333333</v>
      </c>
      <c r="F1618">
        <v>0</v>
      </c>
    </row>
    <row r="1619" hidden="1" spans="1:6">
      <c r="A1619" s="2" t="s">
        <v>1789</v>
      </c>
      <c r="B1619" s="3">
        <v>30030</v>
      </c>
      <c r="C1619">
        <v>3</v>
      </c>
      <c r="D1619" t="s">
        <v>1788</v>
      </c>
      <c r="E1619">
        <f>60/30</f>
        <v>2</v>
      </c>
      <c r="F1619">
        <v>0</v>
      </c>
    </row>
    <row r="1620" hidden="1" spans="1:6">
      <c r="A1620" s="2" t="s">
        <v>1790</v>
      </c>
      <c r="B1620" s="3">
        <v>404800</v>
      </c>
      <c r="C1620">
        <v>3</v>
      </c>
      <c r="D1620" t="s">
        <v>36</v>
      </c>
      <c r="E1620">
        <f>112/30</f>
        <v>3.73333333333333</v>
      </c>
      <c r="F1620">
        <v>0</v>
      </c>
    </row>
    <row r="1621" hidden="1" spans="1:6">
      <c r="A1621" s="2" t="s">
        <v>1791</v>
      </c>
      <c r="B1621" s="3">
        <v>404800</v>
      </c>
      <c r="C1621">
        <v>3</v>
      </c>
      <c r="D1621" t="s">
        <v>38</v>
      </c>
      <c r="E1621">
        <f>80/30</f>
        <v>2.66666666666667</v>
      </c>
      <c r="F1621">
        <v>0</v>
      </c>
    </row>
    <row r="1622" hidden="1" spans="1:6">
      <c r="A1622" s="2" t="s">
        <v>1792</v>
      </c>
      <c r="B1622" s="3">
        <v>404800</v>
      </c>
      <c r="C1622">
        <v>3</v>
      </c>
      <c r="D1622" t="s">
        <v>40</v>
      </c>
      <c r="E1622">
        <f>93/30</f>
        <v>3.1</v>
      </c>
      <c r="F1622">
        <v>0</v>
      </c>
    </row>
    <row r="1623" hidden="1" spans="1:6">
      <c r="A1623" s="2" t="s">
        <v>1793</v>
      </c>
      <c r="B1623" s="3">
        <v>404800</v>
      </c>
      <c r="C1623">
        <v>3</v>
      </c>
      <c r="D1623" t="s">
        <v>42</v>
      </c>
      <c r="E1623">
        <f>94/30</f>
        <v>3.13333333333333</v>
      </c>
      <c r="F1623">
        <v>0</v>
      </c>
    </row>
    <row r="1624" hidden="1" spans="1:6">
      <c r="A1624" s="2" t="s">
        <v>1794</v>
      </c>
      <c r="B1624" s="3">
        <v>404800</v>
      </c>
      <c r="C1624">
        <v>3</v>
      </c>
      <c r="D1624" t="s">
        <v>44</v>
      </c>
      <c r="E1624">
        <f>130/30</f>
        <v>4.33333333333333</v>
      </c>
      <c r="F1624">
        <v>0</v>
      </c>
    </row>
    <row r="1625" hidden="1" spans="1:6">
      <c r="A1625" s="2" t="s">
        <v>1795</v>
      </c>
      <c r="B1625" s="3">
        <v>404800</v>
      </c>
      <c r="C1625">
        <v>3</v>
      </c>
      <c r="D1625" t="s">
        <v>46</v>
      </c>
      <c r="E1625">
        <f>155/30</f>
        <v>5.16666666666667</v>
      </c>
      <c r="F1625">
        <v>0</v>
      </c>
    </row>
    <row r="1626" hidden="1" spans="1:6">
      <c r="A1626" s="2" t="s">
        <v>1796</v>
      </c>
      <c r="B1626" s="3">
        <v>404800</v>
      </c>
      <c r="C1626">
        <v>3</v>
      </c>
      <c r="D1626" t="s">
        <v>86</v>
      </c>
      <c r="E1626">
        <f>280/30</f>
        <v>9.33333333333333</v>
      </c>
      <c r="F1626">
        <v>0</v>
      </c>
    </row>
    <row r="1627" hidden="1" spans="1:6">
      <c r="A1627" s="2" t="s">
        <v>1797</v>
      </c>
      <c r="B1627" s="3">
        <v>404800</v>
      </c>
      <c r="C1627">
        <v>3</v>
      </c>
      <c r="D1627" t="s">
        <v>50</v>
      </c>
      <c r="E1627">
        <f>200/30</f>
        <v>6.66666666666667</v>
      </c>
      <c r="F1627">
        <v>0</v>
      </c>
    </row>
    <row r="1628" hidden="1" spans="1:11">
      <c r="A1628" s="2" t="s">
        <v>1798</v>
      </c>
      <c r="B1628" s="3">
        <v>404800</v>
      </c>
      <c r="C1628">
        <v>3</v>
      </c>
      <c r="D1628" t="s">
        <v>54</v>
      </c>
      <c r="E1628">
        <f>148/30</f>
        <v>4.93333333333333</v>
      </c>
      <c r="F1628">
        <v>0</v>
      </c>
      <c r="G1628">
        <v>0</v>
      </c>
      <c r="H1628">
        <v>2</v>
      </c>
      <c r="I1628">
        <v>2302</v>
      </c>
      <c r="J1628" t="s">
        <v>58</v>
      </c>
      <c r="K1628">
        <v>1</v>
      </c>
    </row>
    <row r="1629" hidden="1" spans="1:6">
      <c r="A1629" s="2" t="s">
        <v>1799</v>
      </c>
      <c r="B1629" s="3">
        <v>86</v>
      </c>
      <c r="C1629">
        <v>3</v>
      </c>
      <c r="D1629" t="s">
        <v>36</v>
      </c>
      <c r="E1629">
        <f>70/30</f>
        <v>2.33333333333333</v>
      </c>
      <c r="F1629">
        <v>0</v>
      </c>
    </row>
    <row r="1630" hidden="1" spans="1:6">
      <c r="A1630" s="2" t="s">
        <v>1800</v>
      </c>
      <c r="B1630" s="3">
        <v>86</v>
      </c>
      <c r="C1630">
        <v>3</v>
      </c>
      <c r="D1630" t="s">
        <v>38</v>
      </c>
      <c r="E1630">
        <f>65/30</f>
        <v>2.16666666666667</v>
      </c>
      <c r="F1630">
        <v>0</v>
      </c>
    </row>
    <row r="1631" hidden="1" spans="1:6">
      <c r="A1631" s="2" t="s">
        <v>1801</v>
      </c>
      <c r="B1631" s="3">
        <v>86</v>
      </c>
      <c r="C1631">
        <v>3</v>
      </c>
      <c r="D1631" t="s">
        <v>40</v>
      </c>
      <c r="E1631">
        <f>102/30</f>
        <v>3.4</v>
      </c>
      <c r="F1631">
        <v>0</v>
      </c>
    </row>
    <row r="1632" hidden="1" spans="1:6">
      <c r="A1632" s="2" t="s">
        <v>1802</v>
      </c>
      <c r="B1632" s="3">
        <v>86</v>
      </c>
      <c r="C1632">
        <v>3</v>
      </c>
      <c r="D1632" t="s">
        <v>42</v>
      </c>
      <c r="E1632">
        <f>85/30</f>
        <v>2.83333333333333</v>
      </c>
      <c r="F1632">
        <v>0</v>
      </c>
    </row>
    <row r="1633" hidden="1" spans="1:6">
      <c r="A1633" s="2" t="s">
        <v>1803</v>
      </c>
      <c r="B1633" s="3">
        <v>86</v>
      </c>
      <c r="C1633">
        <v>3</v>
      </c>
      <c r="D1633" t="s">
        <v>44</v>
      </c>
      <c r="E1633">
        <f>100/30</f>
        <v>3.33333333333333</v>
      </c>
      <c r="F1633">
        <v>0</v>
      </c>
    </row>
    <row r="1634" hidden="1" spans="1:6">
      <c r="A1634" s="2" t="s">
        <v>1804</v>
      </c>
      <c r="B1634" s="3">
        <v>86</v>
      </c>
      <c r="C1634">
        <v>3</v>
      </c>
      <c r="D1634" t="s">
        <v>46</v>
      </c>
      <c r="E1634">
        <f>265/30</f>
        <v>8.83333333333333</v>
      </c>
      <c r="F1634">
        <v>0</v>
      </c>
    </row>
    <row r="1635" hidden="1" spans="1:6">
      <c r="A1635" s="2" t="s">
        <v>1805</v>
      </c>
      <c r="B1635" s="3">
        <v>86</v>
      </c>
      <c r="C1635">
        <v>3</v>
      </c>
      <c r="D1635" t="s">
        <v>86</v>
      </c>
      <c r="E1635">
        <f>310/30</f>
        <v>10.3333333333333</v>
      </c>
      <c r="F1635">
        <v>0</v>
      </c>
    </row>
    <row r="1636" hidden="1" spans="1:6">
      <c r="A1636" s="2" t="s">
        <v>1806</v>
      </c>
      <c r="B1636" s="3">
        <v>86</v>
      </c>
      <c r="C1636">
        <v>3</v>
      </c>
      <c r="D1636" t="s">
        <v>50</v>
      </c>
      <c r="E1636">
        <f>210/30</f>
        <v>7</v>
      </c>
      <c r="F1636">
        <v>0</v>
      </c>
    </row>
    <row r="1637" hidden="1" spans="1:6">
      <c r="A1637" s="2" t="s">
        <v>1807</v>
      </c>
      <c r="B1637" s="3">
        <v>87</v>
      </c>
      <c r="C1637">
        <v>3</v>
      </c>
      <c r="D1637" t="s">
        <v>36</v>
      </c>
      <c r="E1637">
        <f>110/30</f>
        <v>3.66666666666667</v>
      </c>
      <c r="F1637">
        <v>0</v>
      </c>
    </row>
    <row r="1638" hidden="1" spans="1:6">
      <c r="A1638" s="2" t="s">
        <v>1808</v>
      </c>
      <c r="B1638" s="3">
        <v>87</v>
      </c>
      <c r="C1638">
        <v>3</v>
      </c>
      <c r="D1638" t="s">
        <v>38</v>
      </c>
      <c r="E1638">
        <f>130/30</f>
        <v>4.33333333333333</v>
      </c>
      <c r="F1638">
        <v>0</v>
      </c>
    </row>
    <row r="1639" hidden="1" spans="1:6">
      <c r="A1639" s="2" t="s">
        <v>1809</v>
      </c>
      <c r="B1639" s="3">
        <v>87</v>
      </c>
      <c r="C1639">
        <v>3</v>
      </c>
      <c r="D1639" t="s">
        <v>40</v>
      </c>
      <c r="E1639">
        <f>200/30</f>
        <v>6.66666666666667</v>
      </c>
      <c r="F1639">
        <v>0</v>
      </c>
    </row>
    <row r="1640" hidden="1" spans="1:6">
      <c r="A1640" s="2" t="s">
        <v>1810</v>
      </c>
      <c r="B1640" s="3">
        <v>87</v>
      </c>
      <c r="C1640">
        <v>3</v>
      </c>
      <c r="D1640" t="s">
        <v>42</v>
      </c>
      <c r="E1640">
        <f>130/30</f>
        <v>4.33333333333333</v>
      </c>
      <c r="F1640">
        <v>0</v>
      </c>
    </row>
    <row r="1641" hidden="1" spans="1:6">
      <c r="A1641" s="2" t="s">
        <v>1811</v>
      </c>
      <c r="B1641" s="3">
        <v>87</v>
      </c>
      <c r="C1641">
        <v>3</v>
      </c>
      <c r="D1641" t="s">
        <v>44</v>
      </c>
      <c r="E1641">
        <f>265/30</f>
        <v>8.83333333333333</v>
      </c>
      <c r="F1641">
        <v>0</v>
      </c>
    </row>
    <row r="1642" hidden="1" spans="1:6">
      <c r="A1642" s="2" t="s">
        <v>1812</v>
      </c>
      <c r="B1642" s="3">
        <v>87</v>
      </c>
      <c r="C1642">
        <v>3</v>
      </c>
      <c r="D1642" t="s">
        <v>50</v>
      </c>
      <c r="E1642">
        <f>290/30</f>
        <v>9.66666666666667</v>
      </c>
      <c r="F1642">
        <v>0</v>
      </c>
    </row>
    <row r="1643" hidden="1" spans="1:6">
      <c r="A1643" s="2" t="s">
        <v>1813</v>
      </c>
      <c r="B1643" s="3">
        <v>87</v>
      </c>
      <c r="C1643">
        <v>3</v>
      </c>
      <c r="D1643" t="s">
        <v>90</v>
      </c>
      <c r="E1643">
        <f>255/30</f>
        <v>8.5</v>
      </c>
      <c r="F1643">
        <v>0</v>
      </c>
    </row>
    <row r="1644" hidden="1" spans="1:6">
      <c r="A1644" s="2" t="s">
        <v>1814</v>
      </c>
      <c r="B1644" s="3">
        <v>87</v>
      </c>
      <c r="C1644">
        <v>3</v>
      </c>
      <c r="D1644" t="s">
        <v>52</v>
      </c>
      <c r="E1644">
        <v>11.6</v>
      </c>
      <c r="F1644">
        <v>0</v>
      </c>
    </row>
    <row r="1645" hidden="1" spans="1:6">
      <c r="A1645" s="2" t="s">
        <v>1815</v>
      </c>
      <c r="B1645" s="3">
        <v>87</v>
      </c>
      <c r="C1645">
        <v>3</v>
      </c>
      <c r="D1645" s="1" t="s">
        <v>140</v>
      </c>
      <c r="E1645">
        <f>265/30</f>
        <v>8.83333333333333</v>
      </c>
      <c r="F1645">
        <v>0</v>
      </c>
    </row>
    <row r="1646" hidden="1" spans="1:11">
      <c r="A1646" s="2" t="s">
        <v>1816</v>
      </c>
      <c r="B1646" s="3">
        <v>87</v>
      </c>
      <c r="C1646">
        <v>3</v>
      </c>
      <c r="D1646" s="1" t="s">
        <v>92</v>
      </c>
      <c r="E1646">
        <f>75/30</f>
        <v>2.5</v>
      </c>
      <c r="F1646">
        <v>0</v>
      </c>
      <c r="G1646">
        <v>0</v>
      </c>
      <c r="H1646">
        <v>2</v>
      </c>
      <c r="I1646">
        <v>2600</v>
      </c>
      <c r="J1646" t="s">
        <v>58</v>
      </c>
      <c r="K1646">
        <v>1</v>
      </c>
    </row>
    <row r="1647" hidden="1" spans="1:6">
      <c r="A1647" s="2" t="s">
        <v>1817</v>
      </c>
      <c r="B1647" s="3">
        <v>30035</v>
      </c>
      <c r="C1647">
        <v>3</v>
      </c>
      <c r="D1647" t="s">
        <v>46</v>
      </c>
      <c r="E1647">
        <f>52/30</f>
        <v>1.73333333333333</v>
      </c>
      <c r="F1647">
        <v>0</v>
      </c>
    </row>
    <row r="1648" hidden="1" spans="1:6">
      <c r="A1648" s="2" t="s">
        <v>1818</v>
      </c>
      <c r="B1648" s="3">
        <v>30035</v>
      </c>
      <c r="C1648">
        <v>3</v>
      </c>
      <c r="D1648" t="s">
        <v>86</v>
      </c>
      <c r="E1648">
        <f>125/30</f>
        <v>4.16666666666667</v>
      </c>
      <c r="F1648">
        <v>0</v>
      </c>
    </row>
    <row r="1649" hidden="1" spans="1:6">
      <c r="A1649" s="2" t="s">
        <v>1819</v>
      </c>
      <c r="B1649" s="3">
        <v>30035</v>
      </c>
      <c r="C1649">
        <v>3</v>
      </c>
      <c r="D1649" t="s">
        <v>50</v>
      </c>
      <c r="E1649">
        <f>290/30</f>
        <v>9.66666666666667</v>
      </c>
      <c r="F1649">
        <v>0</v>
      </c>
    </row>
    <row r="1650" hidden="1" spans="1:6">
      <c r="A1650" s="2" t="s">
        <v>1820</v>
      </c>
      <c r="B1650" s="3">
        <v>30035</v>
      </c>
      <c r="C1650">
        <v>3</v>
      </c>
      <c r="D1650" t="s">
        <v>90</v>
      </c>
      <c r="E1650">
        <f>255/30</f>
        <v>8.5</v>
      </c>
      <c r="F1650">
        <v>0</v>
      </c>
    </row>
    <row r="1651" hidden="1" spans="1:6">
      <c r="A1651" s="2" t="s">
        <v>1821</v>
      </c>
      <c r="B1651" s="3">
        <v>30035</v>
      </c>
      <c r="C1651">
        <v>3</v>
      </c>
      <c r="D1651" t="s">
        <v>48</v>
      </c>
      <c r="E1651">
        <f>348/30</f>
        <v>11.6</v>
      </c>
      <c r="F1651">
        <v>0</v>
      </c>
    </row>
    <row r="1652" hidden="1" spans="1:6">
      <c r="A1652" s="2" t="s">
        <v>1822</v>
      </c>
      <c r="B1652" s="3">
        <v>30035</v>
      </c>
      <c r="C1652">
        <v>3</v>
      </c>
      <c r="D1652" t="s">
        <v>52</v>
      </c>
      <c r="E1652">
        <v>11.6</v>
      </c>
      <c r="F1652">
        <v>0</v>
      </c>
    </row>
    <row r="1653" hidden="1" spans="1:6">
      <c r="A1653" s="2" t="s">
        <v>1823</v>
      </c>
      <c r="B1653" s="3">
        <v>30035</v>
      </c>
      <c r="C1653">
        <v>3</v>
      </c>
      <c r="D1653" s="1" t="s">
        <v>133</v>
      </c>
      <c r="E1653">
        <f>290/30</f>
        <v>9.66666666666667</v>
      </c>
      <c r="F1653">
        <v>0</v>
      </c>
    </row>
    <row r="1654" hidden="1" spans="1:6">
      <c r="A1654" s="2" t="s">
        <v>1824</v>
      </c>
      <c r="B1654" s="3">
        <v>30035</v>
      </c>
      <c r="C1654">
        <v>3</v>
      </c>
      <c r="D1654" s="1" t="s">
        <v>412</v>
      </c>
      <c r="E1654">
        <f>255/30</f>
        <v>8.5</v>
      </c>
      <c r="F1654">
        <v>0</v>
      </c>
    </row>
    <row r="1655" s="16" customFormat="1" hidden="1" spans="1:12">
      <c r="A1655" s="87" t="s">
        <v>1825</v>
      </c>
      <c r="B1655" s="88">
        <v>30035</v>
      </c>
      <c r="C1655" s="16">
        <v>3</v>
      </c>
      <c r="D1655" s="16" t="s">
        <v>1826</v>
      </c>
      <c r="E1655" s="16">
        <f>140/30</f>
        <v>4.66666666666667</v>
      </c>
      <c r="F1655" s="16">
        <v>0</v>
      </c>
      <c r="L1655" s="89"/>
    </row>
    <row r="1656" hidden="1" spans="1:6">
      <c r="A1656" s="2" t="s">
        <v>1827</v>
      </c>
      <c r="B1656" s="3">
        <v>408001</v>
      </c>
      <c r="C1656">
        <v>3</v>
      </c>
      <c r="D1656" t="s">
        <v>36</v>
      </c>
      <c r="E1656">
        <v>2.8</v>
      </c>
      <c r="F1656">
        <v>0</v>
      </c>
    </row>
    <row r="1657" hidden="1" spans="1:6">
      <c r="A1657" s="2" t="s">
        <v>1828</v>
      </c>
      <c r="B1657" s="3">
        <v>408001</v>
      </c>
      <c r="C1657">
        <v>3</v>
      </c>
      <c r="D1657" t="s">
        <v>38</v>
      </c>
      <c r="E1657">
        <v>3.1</v>
      </c>
      <c r="F1657">
        <v>0</v>
      </c>
    </row>
    <row r="1658" hidden="1" spans="1:6">
      <c r="A1658" s="2" t="s">
        <v>1829</v>
      </c>
      <c r="B1658" s="3">
        <v>408001</v>
      </c>
      <c r="C1658">
        <v>3</v>
      </c>
      <c r="D1658" t="s">
        <v>40</v>
      </c>
      <c r="E1658">
        <v>3.76666666666667</v>
      </c>
      <c r="F1658">
        <v>0</v>
      </c>
    </row>
    <row r="1659" hidden="1" spans="1:6">
      <c r="A1659" s="2" t="s">
        <v>1830</v>
      </c>
      <c r="B1659" s="3">
        <v>408001</v>
      </c>
      <c r="C1659">
        <v>3</v>
      </c>
      <c r="D1659" t="s">
        <v>42</v>
      </c>
      <c r="E1659">
        <v>5.2</v>
      </c>
      <c r="F1659">
        <v>0</v>
      </c>
    </row>
    <row r="1660" hidden="1" spans="1:6">
      <c r="A1660" s="2" t="s">
        <v>1831</v>
      </c>
      <c r="B1660" s="3">
        <v>408001</v>
      </c>
      <c r="C1660">
        <v>3</v>
      </c>
      <c r="D1660" t="s">
        <v>44</v>
      </c>
      <c r="E1660">
        <v>4.3</v>
      </c>
      <c r="F1660">
        <v>0</v>
      </c>
    </row>
    <row r="1661" hidden="1" spans="1:6">
      <c r="A1661" s="2" t="s">
        <v>1832</v>
      </c>
      <c r="B1661" s="3">
        <v>408001</v>
      </c>
      <c r="C1661">
        <v>3</v>
      </c>
      <c r="D1661" t="s">
        <v>46</v>
      </c>
      <c r="E1661">
        <v>6.43333333333333</v>
      </c>
      <c r="F1661">
        <v>0</v>
      </c>
    </row>
    <row r="1662" hidden="1" spans="1:6">
      <c r="A1662" s="2" t="s">
        <v>1833</v>
      </c>
      <c r="B1662" s="3">
        <v>408001</v>
      </c>
      <c r="C1662">
        <v>3</v>
      </c>
      <c r="D1662" t="s">
        <v>86</v>
      </c>
      <c r="E1662">
        <v>9.53333333333333</v>
      </c>
      <c r="F1662">
        <v>0</v>
      </c>
    </row>
    <row r="1663" hidden="1" spans="1:6">
      <c r="A1663" s="2" t="s">
        <v>1834</v>
      </c>
      <c r="B1663" s="3">
        <v>408001</v>
      </c>
      <c r="C1663">
        <v>3</v>
      </c>
      <c r="D1663" t="s">
        <v>50</v>
      </c>
      <c r="E1663">
        <v>8.66666666666667</v>
      </c>
      <c r="F1663">
        <v>0</v>
      </c>
    </row>
    <row r="1664" hidden="1" spans="1:6">
      <c r="A1664" s="2">
        <v>40800201</v>
      </c>
      <c r="B1664" s="3">
        <v>408002</v>
      </c>
      <c r="C1664">
        <v>3</v>
      </c>
      <c r="D1664" t="s">
        <v>36</v>
      </c>
      <c r="E1664">
        <v>2.8</v>
      </c>
      <c r="F1664">
        <v>0</v>
      </c>
    </row>
    <row r="1665" hidden="1" spans="1:6">
      <c r="A1665" s="2">
        <v>40800202</v>
      </c>
      <c r="B1665" s="3">
        <v>408002</v>
      </c>
      <c r="C1665">
        <v>3</v>
      </c>
      <c r="D1665" t="s">
        <v>38</v>
      </c>
      <c r="E1665">
        <v>3.1</v>
      </c>
      <c r="F1665">
        <v>0</v>
      </c>
    </row>
    <row r="1666" hidden="1" spans="1:6">
      <c r="A1666" s="2">
        <v>40800203</v>
      </c>
      <c r="B1666" s="3">
        <v>408002</v>
      </c>
      <c r="C1666">
        <v>3</v>
      </c>
      <c r="D1666" t="s">
        <v>40</v>
      </c>
      <c r="E1666">
        <v>3.76666666666667</v>
      </c>
      <c r="F1666">
        <v>0</v>
      </c>
    </row>
    <row r="1667" hidden="1" spans="1:6">
      <c r="A1667" s="2">
        <v>40800204</v>
      </c>
      <c r="B1667" s="3">
        <v>408002</v>
      </c>
      <c r="C1667">
        <v>3</v>
      </c>
      <c r="D1667" t="s">
        <v>42</v>
      </c>
      <c r="E1667">
        <v>5.2</v>
      </c>
      <c r="F1667">
        <v>0</v>
      </c>
    </row>
    <row r="1668" hidden="1" spans="1:6">
      <c r="A1668" s="2">
        <v>40800205</v>
      </c>
      <c r="B1668" s="3">
        <v>408002</v>
      </c>
      <c r="C1668">
        <v>3</v>
      </c>
      <c r="D1668" t="s">
        <v>44</v>
      </c>
      <c r="E1668">
        <v>4.3</v>
      </c>
      <c r="F1668">
        <v>0</v>
      </c>
    </row>
    <row r="1669" hidden="1" spans="1:6">
      <c r="A1669" s="2">
        <v>40800206</v>
      </c>
      <c r="B1669" s="3">
        <v>408002</v>
      </c>
      <c r="C1669">
        <v>3</v>
      </c>
      <c r="D1669" t="s">
        <v>46</v>
      </c>
      <c r="E1669">
        <v>6.43333333333333</v>
      </c>
      <c r="F1669">
        <v>0</v>
      </c>
    </row>
    <row r="1670" hidden="1" spans="1:6">
      <c r="A1670" s="2">
        <v>40800207</v>
      </c>
      <c r="B1670" s="3">
        <v>408002</v>
      </c>
      <c r="C1670">
        <v>3</v>
      </c>
      <c r="D1670" t="s">
        <v>86</v>
      </c>
      <c r="E1670">
        <v>9.53333333333333</v>
      </c>
      <c r="F1670">
        <v>0</v>
      </c>
    </row>
    <row r="1671" hidden="1" spans="1:6">
      <c r="A1671" s="2">
        <v>40800208</v>
      </c>
      <c r="B1671" s="3">
        <v>408002</v>
      </c>
      <c r="C1671">
        <v>3</v>
      </c>
      <c r="D1671" t="s">
        <v>50</v>
      </c>
      <c r="E1671">
        <v>8.66666666666667</v>
      </c>
      <c r="F1671">
        <v>0</v>
      </c>
    </row>
    <row r="1672" hidden="1" spans="1:6">
      <c r="A1672" s="2">
        <v>40560201</v>
      </c>
      <c r="B1672" s="3">
        <v>405602</v>
      </c>
      <c r="C1672">
        <v>3</v>
      </c>
      <c r="D1672" t="s">
        <v>36</v>
      </c>
      <c r="E1672">
        <v>2.4</v>
      </c>
      <c r="F1672">
        <v>0</v>
      </c>
    </row>
    <row r="1673" hidden="1" spans="1:6">
      <c r="A1673" s="2">
        <v>40560202</v>
      </c>
      <c r="B1673" s="3">
        <v>405602</v>
      </c>
      <c r="C1673">
        <v>3</v>
      </c>
      <c r="D1673" t="s">
        <v>38</v>
      </c>
      <c r="E1673">
        <v>2.83333333333333</v>
      </c>
      <c r="F1673">
        <v>0</v>
      </c>
    </row>
    <row r="1674" hidden="1" spans="1:6">
      <c r="A1674" s="2">
        <v>40560203</v>
      </c>
      <c r="B1674" s="3">
        <v>405602</v>
      </c>
      <c r="C1674">
        <v>3</v>
      </c>
      <c r="D1674" t="s">
        <v>40</v>
      </c>
      <c r="E1674">
        <v>3.16666666666667</v>
      </c>
      <c r="F1674">
        <v>0</v>
      </c>
    </row>
    <row r="1675" hidden="1" spans="1:6">
      <c r="A1675" s="2">
        <v>40560204</v>
      </c>
      <c r="B1675" s="3">
        <v>405602</v>
      </c>
      <c r="C1675">
        <v>3</v>
      </c>
      <c r="D1675" t="s">
        <v>42</v>
      </c>
      <c r="E1675">
        <v>6.33333333333333</v>
      </c>
      <c r="F1675">
        <v>0</v>
      </c>
    </row>
    <row r="1676" hidden="1" spans="1:6">
      <c r="A1676" s="2">
        <v>40560205</v>
      </c>
      <c r="B1676" s="3">
        <v>405602</v>
      </c>
      <c r="C1676">
        <v>3</v>
      </c>
      <c r="D1676" t="s">
        <v>44</v>
      </c>
      <c r="E1676">
        <v>5.33333333333333</v>
      </c>
      <c r="F1676">
        <v>0</v>
      </c>
    </row>
    <row r="1677" hidden="1" spans="1:6">
      <c r="A1677" s="2">
        <v>40560206</v>
      </c>
      <c r="B1677" s="3">
        <v>405602</v>
      </c>
      <c r="C1677">
        <v>3</v>
      </c>
      <c r="D1677" t="s">
        <v>46</v>
      </c>
      <c r="E1677">
        <v>2.83333333333333</v>
      </c>
      <c r="F1677">
        <v>0</v>
      </c>
    </row>
    <row r="1678" hidden="1" spans="1:6">
      <c r="A1678" s="2">
        <v>40560207</v>
      </c>
      <c r="B1678" s="3">
        <v>405602</v>
      </c>
      <c r="C1678">
        <v>3</v>
      </c>
      <c r="D1678" t="s">
        <v>86</v>
      </c>
      <c r="E1678">
        <v>11.4</v>
      </c>
      <c r="F1678">
        <v>0</v>
      </c>
    </row>
    <row r="1679" hidden="1" spans="1:6">
      <c r="A1679" s="2">
        <v>40560208</v>
      </c>
      <c r="B1679" s="3">
        <v>405602</v>
      </c>
      <c r="C1679">
        <v>3</v>
      </c>
      <c r="D1679" t="s">
        <v>50</v>
      </c>
      <c r="E1679">
        <v>9</v>
      </c>
      <c r="F1679">
        <v>0</v>
      </c>
    </row>
    <row r="1680" hidden="1" spans="1:11">
      <c r="A1680" s="2">
        <v>40560220</v>
      </c>
      <c r="B1680" s="3">
        <v>405602</v>
      </c>
      <c r="C1680">
        <v>3</v>
      </c>
      <c r="D1680" t="s">
        <v>807</v>
      </c>
      <c r="E1680">
        <v>4.66666666666667</v>
      </c>
      <c r="F1680">
        <v>0</v>
      </c>
      <c r="G1680">
        <v>0</v>
      </c>
      <c r="H1680">
        <v>2</v>
      </c>
      <c r="I1680">
        <v>1155</v>
      </c>
      <c r="J1680" t="s">
        <v>58</v>
      </c>
      <c r="K1680">
        <v>1</v>
      </c>
    </row>
    <row r="1681" hidden="1" spans="1:6">
      <c r="A1681" s="2" t="s">
        <v>1835</v>
      </c>
      <c r="B1681" s="90">
        <v>407101</v>
      </c>
      <c r="C1681">
        <v>3</v>
      </c>
      <c r="D1681" t="s">
        <v>36</v>
      </c>
      <c r="E1681">
        <v>2.5</v>
      </c>
      <c r="F1681">
        <v>0</v>
      </c>
    </row>
    <row r="1682" hidden="1" spans="1:6">
      <c r="A1682" s="2" t="s">
        <v>1836</v>
      </c>
      <c r="B1682" s="90">
        <v>407101</v>
      </c>
      <c r="C1682">
        <v>3</v>
      </c>
      <c r="D1682" t="s">
        <v>38</v>
      </c>
      <c r="E1682">
        <v>1.93333333333333</v>
      </c>
      <c r="F1682">
        <v>0</v>
      </c>
    </row>
    <row r="1683" hidden="1" spans="1:6">
      <c r="A1683" s="2" t="s">
        <v>1837</v>
      </c>
      <c r="B1683" s="90">
        <v>407101</v>
      </c>
      <c r="C1683">
        <v>3</v>
      </c>
      <c r="D1683" t="s">
        <v>40</v>
      </c>
      <c r="E1683">
        <v>3</v>
      </c>
      <c r="F1683">
        <v>0</v>
      </c>
    </row>
    <row r="1684" hidden="1" spans="1:6">
      <c r="A1684" s="2" t="s">
        <v>1838</v>
      </c>
      <c r="B1684" s="90">
        <v>407101</v>
      </c>
      <c r="C1684">
        <v>3</v>
      </c>
      <c r="D1684" t="s">
        <v>42</v>
      </c>
      <c r="E1684">
        <v>2.5</v>
      </c>
      <c r="F1684">
        <v>0</v>
      </c>
    </row>
    <row r="1685" hidden="1" spans="1:6">
      <c r="A1685" s="2" t="s">
        <v>1839</v>
      </c>
      <c r="B1685" s="90">
        <v>407101</v>
      </c>
      <c r="C1685">
        <v>3</v>
      </c>
      <c r="D1685" t="s">
        <v>44</v>
      </c>
      <c r="E1685">
        <v>6.16666666666667</v>
      </c>
      <c r="F1685">
        <v>0</v>
      </c>
    </row>
    <row r="1686" hidden="1" spans="1:6">
      <c r="A1686" s="2" t="s">
        <v>1840</v>
      </c>
      <c r="B1686" s="90">
        <v>407101</v>
      </c>
      <c r="C1686">
        <v>3</v>
      </c>
      <c r="D1686" t="s">
        <v>46</v>
      </c>
      <c r="E1686">
        <v>1.33333333333333</v>
      </c>
      <c r="F1686">
        <v>0</v>
      </c>
    </row>
    <row r="1687" hidden="1" spans="1:13">
      <c r="A1687" s="2" t="s">
        <v>1841</v>
      </c>
      <c r="B1687" s="90">
        <v>407101</v>
      </c>
      <c r="C1687">
        <v>3</v>
      </c>
      <c r="D1687" t="s">
        <v>669</v>
      </c>
      <c r="E1687">
        <v>1.66666666666667</v>
      </c>
      <c r="F1687">
        <v>1</v>
      </c>
      <c r="G1687">
        <v>0</v>
      </c>
      <c r="H1687">
        <v>2</v>
      </c>
      <c r="I1687">
        <v>2059</v>
      </c>
      <c r="J1687" t="s">
        <v>1562</v>
      </c>
      <c r="K1687">
        <v>0</v>
      </c>
      <c r="L1687" s="4" t="s">
        <v>1563</v>
      </c>
      <c r="M1687" t="s">
        <v>1564</v>
      </c>
    </row>
    <row r="1688" hidden="1" spans="1:11">
      <c r="A1688" s="2" t="s">
        <v>1842</v>
      </c>
      <c r="B1688" s="90">
        <v>407101</v>
      </c>
      <c r="C1688">
        <v>3</v>
      </c>
      <c r="D1688" t="s">
        <v>57</v>
      </c>
      <c r="E1688">
        <v>4</v>
      </c>
      <c r="F1688">
        <v>0</v>
      </c>
      <c r="G1688">
        <v>0</v>
      </c>
      <c r="H1688">
        <v>2</v>
      </c>
      <c r="I1688">
        <v>2036</v>
      </c>
      <c r="J1688" t="s">
        <v>58</v>
      </c>
      <c r="K1688">
        <v>1</v>
      </c>
    </row>
    <row r="1689" hidden="1" spans="1:6">
      <c r="A1689" s="2" t="s">
        <v>1843</v>
      </c>
      <c r="B1689" s="3">
        <v>2254</v>
      </c>
      <c r="C1689">
        <v>3</v>
      </c>
      <c r="D1689" t="s">
        <v>36</v>
      </c>
      <c r="E1689">
        <f>64/30</f>
        <v>2.13333333333333</v>
      </c>
      <c r="F1689">
        <v>0</v>
      </c>
    </row>
    <row r="1690" hidden="1" spans="1:6">
      <c r="A1690" s="2" t="s">
        <v>1844</v>
      </c>
      <c r="B1690" s="3">
        <v>2254</v>
      </c>
      <c r="C1690">
        <v>3</v>
      </c>
      <c r="D1690" t="s">
        <v>38</v>
      </c>
      <c r="E1690">
        <f>60/30</f>
        <v>2</v>
      </c>
      <c r="F1690">
        <v>0</v>
      </c>
    </row>
    <row r="1691" hidden="1" spans="1:6">
      <c r="A1691" s="2" t="s">
        <v>1845</v>
      </c>
      <c r="B1691" s="3">
        <v>2254</v>
      </c>
      <c r="C1691">
        <v>3</v>
      </c>
      <c r="D1691" t="s">
        <v>40</v>
      </c>
      <c r="E1691">
        <f>95/30</f>
        <v>3.16666666666667</v>
      </c>
      <c r="F1691">
        <v>0</v>
      </c>
    </row>
    <row r="1692" hidden="1" spans="1:6">
      <c r="A1692" s="2" t="s">
        <v>1846</v>
      </c>
      <c r="B1692" s="3">
        <v>2254</v>
      </c>
      <c r="C1692">
        <v>3</v>
      </c>
      <c r="D1692" t="s">
        <v>42</v>
      </c>
      <c r="E1692">
        <f>145/30</f>
        <v>4.83333333333333</v>
      </c>
      <c r="F1692">
        <v>0</v>
      </c>
    </row>
    <row r="1693" hidden="1" spans="1:6">
      <c r="A1693" s="2" t="s">
        <v>1847</v>
      </c>
      <c r="B1693" s="3">
        <v>1216</v>
      </c>
      <c r="C1693">
        <v>3</v>
      </c>
      <c r="D1693" t="s">
        <v>44</v>
      </c>
      <c r="E1693">
        <f>250/30</f>
        <v>8.33333333333333</v>
      </c>
      <c r="F1693">
        <v>0</v>
      </c>
    </row>
    <row r="1694" hidden="1" spans="1:6">
      <c r="A1694" s="2" t="s">
        <v>1848</v>
      </c>
      <c r="B1694" s="3">
        <v>1217</v>
      </c>
      <c r="C1694">
        <v>3</v>
      </c>
      <c r="D1694" t="s">
        <v>36</v>
      </c>
      <c r="E1694">
        <f>65/30</f>
        <v>2.16666666666667</v>
      </c>
      <c r="F1694">
        <v>0</v>
      </c>
    </row>
    <row r="1695" hidden="1" spans="1:6">
      <c r="A1695" s="2" t="s">
        <v>1849</v>
      </c>
      <c r="B1695" s="3">
        <v>1217</v>
      </c>
      <c r="C1695">
        <v>3</v>
      </c>
      <c r="D1695" t="s">
        <v>38</v>
      </c>
      <c r="E1695">
        <f>80/30</f>
        <v>2.66666666666667</v>
      </c>
      <c r="F1695">
        <v>0</v>
      </c>
    </row>
    <row r="1696" hidden="1" spans="1:6">
      <c r="A1696" s="2" t="s">
        <v>1850</v>
      </c>
      <c r="B1696" s="3">
        <v>1217</v>
      </c>
      <c r="C1696">
        <v>3</v>
      </c>
      <c r="D1696" t="s">
        <v>40</v>
      </c>
      <c r="E1696">
        <f>80/30</f>
        <v>2.66666666666667</v>
      </c>
      <c r="F1696">
        <v>0</v>
      </c>
    </row>
    <row r="1697" hidden="1" spans="1:6">
      <c r="A1697" s="2" t="s">
        <v>1851</v>
      </c>
      <c r="B1697" s="3">
        <v>1217</v>
      </c>
      <c r="C1697">
        <v>3</v>
      </c>
      <c r="D1697" t="s">
        <v>44</v>
      </c>
      <c r="E1697">
        <f>198/30</f>
        <v>6.6</v>
      </c>
      <c r="F1697">
        <v>0</v>
      </c>
    </row>
    <row r="1698" hidden="1" spans="1:6">
      <c r="A1698" s="2" t="s">
        <v>1852</v>
      </c>
      <c r="B1698" s="3">
        <v>1217</v>
      </c>
      <c r="C1698">
        <v>3</v>
      </c>
      <c r="D1698" t="s">
        <v>46</v>
      </c>
      <c r="E1698">
        <f>198/30</f>
        <v>6.6</v>
      </c>
      <c r="F1698">
        <v>0</v>
      </c>
    </row>
    <row r="1699" hidden="1" spans="1:6">
      <c r="A1699" s="2" t="s">
        <v>1853</v>
      </c>
      <c r="B1699" s="3">
        <v>1218</v>
      </c>
      <c r="C1699">
        <v>3</v>
      </c>
      <c r="D1699" t="s">
        <v>36</v>
      </c>
      <c r="E1699">
        <f>100/30</f>
        <v>3.33333333333333</v>
      </c>
      <c r="F1699">
        <v>0</v>
      </c>
    </row>
    <row r="1700" hidden="1" spans="1:6">
      <c r="A1700" s="2" t="s">
        <v>1854</v>
      </c>
      <c r="B1700" s="3">
        <v>1218</v>
      </c>
      <c r="C1700">
        <v>3</v>
      </c>
      <c r="D1700" t="s">
        <v>38</v>
      </c>
      <c r="E1700">
        <f>72/30</f>
        <v>2.4</v>
      </c>
      <c r="F1700">
        <v>0</v>
      </c>
    </row>
    <row r="1701" hidden="1" spans="1:6">
      <c r="A1701" s="2" t="s">
        <v>1855</v>
      </c>
      <c r="B1701" s="3">
        <v>1218</v>
      </c>
      <c r="C1701">
        <v>3</v>
      </c>
      <c r="D1701" t="s">
        <v>40</v>
      </c>
      <c r="E1701">
        <f>105/30</f>
        <v>3.5</v>
      </c>
      <c r="F1701">
        <v>0</v>
      </c>
    </row>
    <row r="1702" hidden="1" spans="1:6">
      <c r="A1702" s="2" t="s">
        <v>1856</v>
      </c>
      <c r="B1702" s="3">
        <v>30036</v>
      </c>
      <c r="C1702">
        <v>3</v>
      </c>
      <c r="D1702" t="s">
        <v>36</v>
      </c>
      <c r="E1702">
        <f>120/30</f>
        <v>4</v>
      </c>
      <c r="F1702">
        <v>0</v>
      </c>
    </row>
    <row r="1703" hidden="1" spans="1:6">
      <c r="A1703" s="2" t="s">
        <v>1857</v>
      </c>
      <c r="B1703" s="3">
        <v>30036</v>
      </c>
      <c r="C1703">
        <v>3</v>
      </c>
      <c r="D1703" t="s">
        <v>38</v>
      </c>
      <c r="E1703">
        <f>90/30</f>
        <v>3</v>
      </c>
      <c r="F1703">
        <v>0</v>
      </c>
    </row>
    <row r="1704" hidden="1" spans="1:6">
      <c r="A1704" s="2" t="s">
        <v>1858</v>
      </c>
      <c r="B1704" s="3">
        <v>30036</v>
      </c>
      <c r="C1704">
        <v>3</v>
      </c>
      <c r="D1704" t="s">
        <v>40</v>
      </c>
      <c r="E1704">
        <f>60/30</f>
        <v>2</v>
      </c>
      <c r="F1704">
        <v>0</v>
      </c>
    </row>
    <row r="1705" hidden="1" spans="1:6">
      <c r="A1705" s="2" t="s">
        <v>1859</v>
      </c>
      <c r="B1705" s="3">
        <v>30036</v>
      </c>
      <c r="C1705">
        <v>3</v>
      </c>
      <c r="D1705" t="s">
        <v>42</v>
      </c>
      <c r="E1705">
        <f>270/30</f>
        <v>9</v>
      </c>
      <c r="F1705">
        <v>0</v>
      </c>
    </row>
    <row r="1706" ht="16.5" hidden="1" spans="1:11">
      <c r="A1706" s="2" t="s">
        <v>1860</v>
      </c>
      <c r="B1706" s="3">
        <v>30036</v>
      </c>
      <c r="C1706">
        <v>3</v>
      </c>
      <c r="D1706" t="s">
        <v>780</v>
      </c>
      <c r="E1706">
        <v>1.5</v>
      </c>
      <c r="F1706">
        <v>0</v>
      </c>
      <c r="G1706">
        <v>0</v>
      </c>
      <c r="H1706">
        <v>2</v>
      </c>
      <c r="I1706" s="91">
        <v>2677</v>
      </c>
      <c r="J1706" t="s">
        <v>58</v>
      </c>
      <c r="K1706">
        <v>1</v>
      </c>
    </row>
    <row r="1707" hidden="1" spans="1:6">
      <c r="A1707" s="2" t="s">
        <v>1861</v>
      </c>
      <c r="B1707" s="3">
        <v>88</v>
      </c>
      <c r="C1707">
        <v>3</v>
      </c>
      <c r="D1707" t="s">
        <v>44</v>
      </c>
      <c r="E1707">
        <f>110/30</f>
        <v>3.66666666666667</v>
      </c>
      <c r="F1707">
        <v>0</v>
      </c>
    </row>
    <row r="1708" hidden="1" spans="1:6">
      <c r="A1708" s="2" t="s">
        <v>1862</v>
      </c>
      <c r="B1708" s="3">
        <v>88</v>
      </c>
      <c r="C1708">
        <v>3</v>
      </c>
      <c r="D1708" t="s">
        <v>46</v>
      </c>
      <c r="E1708">
        <f>97/30</f>
        <v>3.23333333333333</v>
      </c>
      <c r="F1708">
        <v>0</v>
      </c>
    </row>
    <row r="1709" hidden="1" spans="1:6">
      <c r="A1709" s="2" t="s">
        <v>1863</v>
      </c>
      <c r="B1709" s="3">
        <v>88</v>
      </c>
      <c r="C1709">
        <v>3</v>
      </c>
      <c r="D1709" t="s">
        <v>86</v>
      </c>
      <c r="E1709">
        <f>95/30</f>
        <v>3.16666666666667</v>
      </c>
      <c r="F1709">
        <v>0</v>
      </c>
    </row>
    <row r="1710" hidden="1" spans="1:6">
      <c r="A1710" s="2" t="s">
        <v>1864</v>
      </c>
      <c r="B1710" s="3">
        <v>88</v>
      </c>
      <c r="C1710">
        <v>3</v>
      </c>
      <c r="D1710" t="s">
        <v>50</v>
      </c>
      <c r="E1710">
        <f>310/30</f>
        <v>10.3333333333333</v>
      </c>
      <c r="F1710">
        <v>0</v>
      </c>
    </row>
    <row r="1711" hidden="1" spans="1:6">
      <c r="A1711" s="2" t="s">
        <v>1865</v>
      </c>
      <c r="B1711" s="3">
        <v>88</v>
      </c>
      <c r="C1711">
        <v>3</v>
      </c>
      <c r="D1711" t="s">
        <v>90</v>
      </c>
      <c r="E1711">
        <f>403/30</f>
        <v>13.4333333333333</v>
      </c>
      <c r="F1711">
        <v>0</v>
      </c>
    </row>
    <row r="1712" hidden="1" spans="1:11">
      <c r="A1712" s="2" t="s">
        <v>1866</v>
      </c>
      <c r="B1712" s="3">
        <v>88</v>
      </c>
      <c r="C1712">
        <v>3</v>
      </c>
      <c r="D1712" t="s">
        <v>54</v>
      </c>
      <c r="E1712">
        <f>55/30</f>
        <v>1.83333333333333</v>
      </c>
      <c r="F1712">
        <v>0</v>
      </c>
      <c r="G1712" t="s">
        <v>942</v>
      </c>
      <c r="H1712" t="s">
        <v>943</v>
      </c>
      <c r="I1712" t="s">
        <v>1867</v>
      </c>
      <c r="J1712" t="s">
        <v>1868</v>
      </c>
      <c r="K1712" t="s">
        <v>1869</v>
      </c>
    </row>
    <row r="1713" hidden="1" spans="1:6">
      <c r="A1713" s="2" t="s">
        <v>1870</v>
      </c>
      <c r="B1713" s="3">
        <v>89</v>
      </c>
      <c r="C1713">
        <v>3</v>
      </c>
      <c r="D1713" t="s">
        <v>36</v>
      </c>
      <c r="E1713">
        <f>82/30</f>
        <v>2.73333333333333</v>
      </c>
      <c r="F1713">
        <v>0</v>
      </c>
    </row>
    <row r="1714" hidden="1" spans="1:6">
      <c r="A1714" s="2" t="s">
        <v>1871</v>
      </c>
      <c r="B1714" s="3">
        <v>89</v>
      </c>
      <c r="C1714">
        <v>3</v>
      </c>
      <c r="D1714" t="s">
        <v>38</v>
      </c>
      <c r="E1714">
        <f>140/30</f>
        <v>4.66666666666667</v>
      </c>
      <c r="F1714">
        <v>0</v>
      </c>
    </row>
    <row r="1715" hidden="1" spans="1:6">
      <c r="A1715" s="2" t="s">
        <v>1872</v>
      </c>
      <c r="B1715" s="3">
        <v>89</v>
      </c>
      <c r="C1715">
        <v>3</v>
      </c>
      <c r="D1715" t="s">
        <v>40</v>
      </c>
      <c r="E1715">
        <f>115/30</f>
        <v>3.83333333333333</v>
      </c>
      <c r="F1715">
        <v>0</v>
      </c>
    </row>
    <row r="1716" hidden="1" spans="1:6">
      <c r="A1716" s="2" t="s">
        <v>1873</v>
      </c>
      <c r="B1716" s="3">
        <v>89</v>
      </c>
      <c r="C1716">
        <v>3</v>
      </c>
      <c r="D1716" t="s">
        <v>42</v>
      </c>
      <c r="E1716">
        <f>91/30</f>
        <v>3.03333333333333</v>
      </c>
      <c r="F1716">
        <v>0</v>
      </c>
    </row>
    <row r="1717" hidden="1" spans="1:6">
      <c r="A1717" s="2" t="s">
        <v>1874</v>
      </c>
      <c r="B1717" s="3">
        <v>89</v>
      </c>
      <c r="C1717">
        <v>3</v>
      </c>
      <c r="D1717" t="s">
        <v>44</v>
      </c>
      <c r="E1717">
        <f>80/30</f>
        <v>2.66666666666667</v>
      </c>
      <c r="F1717">
        <v>0</v>
      </c>
    </row>
    <row r="1718" hidden="1" spans="1:6">
      <c r="A1718" s="2" t="s">
        <v>1875</v>
      </c>
      <c r="B1718" s="3">
        <v>89</v>
      </c>
      <c r="C1718">
        <v>3</v>
      </c>
      <c r="D1718" t="s">
        <v>46</v>
      </c>
      <c r="E1718">
        <f>245/30</f>
        <v>8.16666666666667</v>
      </c>
      <c r="F1718">
        <v>0</v>
      </c>
    </row>
    <row r="1719" hidden="1" spans="1:6">
      <c r="A1719" s="2" t="s">
        <v>1876</v>
      </c>
      <c r="B1719" s="3">
        <v>89</v>
      </c>
      <c r="C1719">
        <v>3</v>
      </c>
      <c r="D1719" t="s">
        <v>86</v>
      </c>
      <c r="E1719">
        <f>282/30</f>
        <v>9.4</v>
      </c>
      <c r="F1719">
        <v>0</v>
      </c>
    </row>
    <row r="1720" hidden="1" spans="1:6">
      <c r="A1720" s="2" t="s">
        <v>1877</v>
      </c>
      <c r="B1720" s="3">
        <v>30037</v>
      </c>
      <c r="C1720">
        <v>3</v>
      </c>
      <c r="D1720" t="s">
        <v>50</v>
      </c>
      <c r="E1720">
        <f>378/30</f>
        <v>12.6</v>
      </c>
      <c r="F1720">
        <v>0</v>
      </c>
    </row>
    <row r="1721" hidden="1" spans="1:6">
      <c r="A1721" s="2" t="s">
        <v>1878</v>
      </c>
      <c r="B1721" s="3">
        <v>89</v>
      </c>
      <c r="C1721">
        <v>3</v>
      </c>
      <c r="D1721" t="s">
        <v>50</v>
      </c>
      <c r="E1721">
        <v>12.6</v>
      </c>
      <c r="F1721">
        <v>0</v>
      </c>
    </row>
    <row r="1722" ht="16.5" hidden="1" spans="1:11">
      <c r="A1722" s="2" t="s">
        <v>1879</v>
      </c>
      <c r="B1722" s="3">
        <v>89</v>
      </c>
      <c r="C1722">
        <v>3</v>
      </c>
      <c r="D1722" t="s">
        <v>54</v>
      </c>
      <c r="E1722">
        <f>115/30</f>
        <v>3.83333333333333</v>
      </c>
      <c r="F1722">
        <v>0</v>
      </c>
      <c r="G1722">
        <v>0</v>
      </c>
      <c r="H1722">
        <v>2</v>
      </c>
      <c r="I1722" s="91">
        <v>2775</v>
      </c>
      <c r="J1722" t="s">
        <v>58</v>
      </c>
      <c r="K1722">
        <v>1</v>
      </c>
    </row>
    <row r="1723" hidden="1" spans="1:6">
      <c r="A1723" s="2">
        <v>40710201</v>
      </c>
      <c r="B1723" s="3">
        <v>407102</v>
      </c>
      <c r="C1723">
        <v>3</v>
      </c>
      <c r="D1723" t="s">
        <v>36</v>
      </c>
      <c r="E1723">
        <v>2.5</v>
      </c>
      <c r="F1723">
        <v>0</v>
      </c>
    </row>
    <row r="1724" hidden="1" spans="1:6">
      <c r="A1724" s="2">
        <v>40710202</v>
      </c>
      <c r="B1724" s="3">
        <v>407102</v>
      </c>
      <c r="C1724">
        <v>3</v>
      </c>
      <c r="D1724" t="s">
        <v>38</v>
      </c>
      <c r="E1724">
        <v>1.93333333333333</v>
      </c>
      <c r="F1724">
        <v>0</v>
      </c>
    </row>
    <row r="1725" hidden="1" spans="1:6">
      <c r="A1725" s="2">
        <v>40710203</v>
      </c>
      <c r="B1725" s="3">
        <v>407102</v>
      </c>
      <c r="C1725">
        <v>3</v>
      </c>
      <c r="D1725" t="s">
        <v>40</v>
      </c>
      <c r="E1725">
        <v>3</v>
      </c>
      <c r="F1725">
        <v>0</v>
      </c>
    </row>
    <row r="1726" hidden="1" spans="1:6">
      <c r="A1726" s="2">
        <v>40710204</v>
      </c>
      <c r="B1726" s="3">
        <v>407102</v>
      </c>
      <c r="C1726">
        <v>3</v>
      </c>
      <c r="D1726" t="s">
        <v>42</v>
      </c>
      <c r="E1726">
        <v>2.5</v>
      </c>
      <c r="F1726">
        <v>0</v>
      </c>
    </row>
    <row r="1727" hidden="1" spans="1:6">
      <c r="A1727" s="2">
        <v>40710205</v>
      </c>
      <c r="B1727" s="3">
        <v>407102</v>
      </c>
      <c r="C1727">
        <v>3</v>
      </c>
      <c r="D1727" t="s">
        <v>44</v>
      </c>
      <c r="E1727">
        <v>6.16666666666667</v>
      </c>
      <c r="F1727">
        <v>0</v>
      </c>
    </row>
    <row r="1728" hidden="1" spans="1:6">
      <c r="A1728" s="2">
        <v>40710206</v>
      </c>
      <c r="B1728" s="3">
        <v>407102</v>
      </c>
      <c r="C1728">
        <v>3</v>
      </c>
      <c r="D1728" t="s">
        <v>46</v>
      </c>
      <c r="E1728">
        <v>1.33333333333333</v>
      </c>
      <c r="F1728">
        <v>0</v>
      </c>
    </row>
    <row r="1729" hidden="1" spans="1:13">
      <c r="A1729" s="2">
        <v>40710207</v>
      </c>
      <c r="B1729" s="3">
        <v>407102</v>
      </c>
      <c r="C1729">
        <v>3</v>
      </c>
      <c r="D1729" t="s">
        <v>669</v>
      </c>
      <c r="E1729">
        <v>1.66666666666667</v>
      </c>
      <c r="F1729">
        <v>1</v>
      </c>
      <c r="G1729">
        <v>0</v>
      </c>
      <c r="H1729">
        <v>2</v>
      </c>
      <c r="I1729">
        <v>2059</v>
      </c>
      <c r="J1729" t="s">
        <v>1562</v>
      </c>
      <c r="K1729">
        <v>0</v>
      </c>
      <c r="L1729" s="4" t="s">
        <v>1563</v>
      </c>
      <c r="M1729" t="s">
        <v>1564</v>
      </c>
    </row>
    <row r="1730" hidden="1" spans="1:11">
      <c r="A1730" s="2">
        <v>40710208</v>
      </c>
      <c r="B1730" s="3">
        <v>407102</v>
      </c>
      <c r="C1730">
        <v>3</v>
      </c>
      <c r="D1730" t="s">
        <v>57</v>
      </c>
      <c r="E1730">
        <v>4</v>
      </c>
      <c r="F1730">
        <v>0</v>
      </c>
      <c r="G1730">
        <v>0</v>
      </c>
      <c r="H1730">
        <v>2</v>
      </c>
      <c r="I1730">
        <v>2036</v>
      </c>
      <c r="J1730" t="s">
        <v>58</v>
      </c>
      <c r="K1730">
        <v>1</v>
      </c>
    </row>
    <row r="1731" s="17" customFormat="1" spans="1:14">
      <c r="A1731" s="92">
        <v>40500201</v>
      </c>
      <c r="B1731" s="93">
        <v>405002</v>
      </c>
      <c r="C1731" s="17">
        <v>3</v>
      </c>
      <c r="D1731" s="17" t="s">
        <v>36</v>
      </c>
      <c r="E1731" s="17">
        <v>1.5</v>
      </c>
      <c r="F1731" s="17">
        <v>0</v>
      </c>
      <c r="L1731" s="97"/>
      <c r="N1731" s="17" t="s">
        <v>1880</v>
      </c>
    </row>
    <row r="1732" s="17" customFormat="1" spans="1:14">
      <c r="A1732" s="92">
        <v>40500202</v>
      </c>
      <c r="B1732" s="93">
        <v>405002</v>
      </c>
      <c r="C1732" s="17">
        <v>3</v>
      </c>
      <c r="D1732" s="17" t="s">
        <v>38</v>
      </c>
      <c r="E1732" s="17">
        <v>1.83333333333333</v>
      </c>
      <c r="F1732" s="17">
        <v>0</v>
      </c>
      <c r="L1732" s="97"/>
      <c r="N1732" s="17" t="s">
        <v>1880</v>
      </c>
    </row>
    <row r="1733" s="17" customFormat="1" spans="1:14">
      <c r="A1733" s="92">
        <v>40500203</v>
      </c>
      <c r="B1733" s="93">
        <v>405002</v>
      </c>
      <c r="C1733" s="17">
        <v>3</v>
      </c>
      <c r="D1733" s="17" t="s">
        <v>40</v>
      </c>
      <c r="E1733" s="17">
        <v>6.8</v>
      </c>
      <c r="F1733" s="17">
        <v>0</v>
      </c>
      <c r="G1733" s="17">
        <v>0</v>
      </c>
      <c r="L1733" s="97" t="s">
        <v>583</v>
      </c>
      <c r="N1733" s="17" t="s">
        <v>1880</v>
      </c>
    </row>
    <row r="1734" s="17" customFormat="1" spans="1:14">
      <c r="A1734" s="92">
        <v>40500204</v>
      </c>
      <c r="B1734" s="93">
        <v>405002</v>
      </c>
      <c r="C1734" s="17">
        <v>3</v>
      </c>
      <c r="D1734" s="17" t="s">
        <v>42</v>
      </c>
      <c r="E1734" s="17">
        <v>6</v>
      </c>
      <c r="F1734" s="17">
        <v>0</v>
      </c>
      <c r="L1734" s="97"/>
      <c r="N1734" s="17" t="s">
        <v>1880</v>
      </c>
    </row>
    <row r="1735" s="17" customFormat="1" spans="1:14">
      <c r="A1735" s="92">
        <v>40500205</v>
      </c>
      <c r="B1735" s="93">
        <v>405002</v>
      </c>
      <c r="C1735" s="17">
        <v>3</v>
      </c>
      <c r="D1735" s="17" t="s">
        <v>44</v>
      </c>
      <c r="E1735" s="17">
        <v>3.5</v>
      </c>
      <c r="F1735" s="17">
        <v>0</v>
      </c>
      <c r="L1735" s="97"/>
      <c r="N1735" s="17" t="s">
        <v>1880</v>
      </c>
    </row>
    <row r="1736" s="17" customFormat="1" spans="1:14">
      <c r="A1736" s="92">
        <v>40500206</v>
      </c>
      <c r="B1736" s="93">
        <v>405002</v>
      </c>
      <c r="C1736" s="17">
        <v>3</v>
      </c>
      <c r="D1736" s="17" t="s">
        <v>46</v>
      </c>
      <c r="E1736" s="17">
        <v>3.16666666666667</v>
      </c>
      <c r="F1736" s="17">
        <v>0</v>
      </c>
      <c r="L1736" s="97"/>
      <c r="N1736" s="17" t="s">
        <v>1880</v>
      </c>
    </row>
    <row r="1737" s="17" customFormat="1" spans="1:14">
      <c r="A1737" s="92">
        <v>40500207</v>
      </c>
      <c r="B1737" s="93">
        <v>405002</v>
      </c>
      <c r="C1737" s="17">
        <v>3</v>
      </c>
      <c r="D1737" s="17" t="s">
        <v>86</v>
      </c>
      <c r="E1737" s="17">
        <v>13</v>
      </c>
      <c r="F1737" s="17">
        <v>0</v>
      </c>
      <c r="G1737" s="17">
        <v>0</v>
      </c>
      <c r="L1737" s="97" t="s">
        <v>588</v>
      </c>
      <c r="N1737" s="17" t="s">
        <v>1880</v>
      </c>
    </row>
    <row r="1738" s="17" customFormat="1" spans="1:14">
      <c r="A1738" s="92">
        <v>40500208</v>
      </c>
      <c r="B1738" s="93">
        <v>405002</v>
      </c>
      <c r="C1738" s="17">
        <v>3</v>
      </c>
      <c r="D1738" s="17" t="s">
        <v>50</v>
      </c>
      <c r="E1738" s="17">
        <v>3.16666666666667</v>
      </c>
      <c r="F1738" s="17">
        <v>0</v>
      </c>
      <c r="G1738" s="17">
        <v>0</v>
      </c>
      <c r="L1738" s="97" t="s">
        <v>590</v>
      </c>
      <c r="N1738" s="17" t="s">
        <v>1880</v>
      </c>
    </row>
    <row r="1739" s="17" customFormat="1" spans="1:14">
      <c r="A1739" s="92">
        <v>40500209</v>
      </c>
      <c r="B1739" s="93">
        <v>405002</v>
      </c>
      <c r="C1739" s="17">
        <v>3</v>
      </c>
      <c r="D1739" s="17" t="s">
        <v>90</v>
      </c>
      <c r="E1739" s="17">
        <v>15</v>
      </c>
      <c r="F1739" s="17">
        <v>0</v>
      </c>
      <c r="G1739" s="17">
        <v>0</v>
      </c>
      <c r="L1739" s="97"/>
      <c r="N1739" s="17" t="s">
        <v>1880</v>
      </c>
    </row>
    <row r="1740" s="17" customFormat="1" spans="1:14">
      <c r="A1740" s="92">
        <v>40500210</v>
      </c>
      <c r="B1740" s="93">
        <v>405002</v>
      </c>
      <c r="C1740" s="17">
        <v>3</v>
      </c>
      <c r="D1740" s="17" t="s">
        <v>48</v>
      </c>
      <c r="E1740" s="17">
        <v>2.5</v>
      </c>
      <c r="F1740" s="17">
        <v>0</v>
      </c>
      <c r="L1740" s="97"/>
      <c r="N1740" s="17" t="s">
        <v>1880</v>
      </c>
    </row>
    <row r="1741" s="18" customFormat="1" spans="1:14">
      <c r="A1741" s="94" t="s">
        <v>1881</v>
      </c>
      <c r="B1741" s="95">
        <v>405002</v>
      </c>
      <c r="C1741" s="18">
        <v>3</v>
      </c>
      <c r="D1741" s="18" t="s">
        <v>133</v>
      </c>
      <c r="E1741" s="18">
        <v>8.933</v>
      </c>
      <c r="F1741" s="18">
        <v>0</v>
      </c>
      <c r="G1741" s="18"/>
      <c r="H1741" s="18"/>
      <c r="I1741" s="18"/>
      <c r="J1741" s="18"/>
      <c r="K1741" s="18"/>
      <c r="L1741" s="98"/>
      <c r="N1741" s="18" t="s">
        <v>1880</v>
      </c>
    </row>
    <row r="1742" s="17" customFormat="1" spans="1:14">
      <c r="A1742" s="92">
        <v>40500220</v>
      </c>
      <c r="B1742" s="93">
        <v>405002</v>
      </c>
      <c r="C1742" s="17">
        <v>3</v>
      </c>
      <c r="D1742" s="17" t="s">
        <v>236</v>
      </c>
      <c r="E1742" s="17">
        <v>2.66666666666667</v>
      </c>
      <c r="F1742" s="17">
        <v>0</v>
      </c>
      <c r="G1742" s="17">
        <v>0</v>
      </c>
      <c r="H1742" s="17">
        <v>1</v>
      </c>
      <c r="I1742" s="17">
        <v>693</v>
      </c>
      <c r="J1742" s="17" t="s">
        <v>58</v>
      </c>
      <c r="K1742" s="17">
        <v>0</v>
      </c>
      <c r="L1742" s="97"/>
      <c r="N1742" s="17" t="s">
        <v>1880</v>
      </c>
    </row>
    <row r="1743" s="17" customFormat="1" spans="1:14">
      <c r="A1743" s="92">
        <v>40500221</v>
      </c>
      <c r="B1743" s="93">
        <v>405002</v>
      </c>
      <c r="C1743" s="17">
        <v>3</v>
      </c>
      <c r="D1743" s="17" t="s">
        <v>204</v>
      </c>
      <c r="E1743" s="17">
        <v>2</v>
      </c>
      <c r="F1743" s="17">
        <v>0</v>
      </c>
      <c r="G1743" s="17">
        <v>0</v>
      </c>
      <c r="H1743" s="17">
        <v>1</v>
      </c>
      <c r="I1743" s="17">
        <v>694</v>
      </c>
      <c r="J1743" s="99" t="s">
        <v>403</v>
      </c>
      <c r="K1743" s="17">
        <v>0</v>
      </c>
      <c r="L1743" s="97"/>
      <c r="N1743" s="17" t="s">
        <v>1880</v>
      </c>
    </row>
    <row r="1744" s="17" customFormat="1" spans="1:14">
      <c r="A1744" s="92">
        <v>40500222</v>
      </c>
      <c r="B1744" s="93">
        <v>405002</v>
      </c>
      <c r="C1744" s="17">
        <v>3</v>
      </c>
      <c r="D1744" s="96" t="s">
        <v>54</v>
      </c>
      <c r="E1744" s="17">
        <v>9.16666666666667</v>
      </c>
      <c r="F1744" s="17">
        <v>0</v>
      </c>
      <c r="G1744" s="17">
        <v>0</v>
      </c>
      <c r="H1744" s="17">
        <v>2</v>
      </c>
      <c r="I1744" s="17">
        <v>799</v>
      </c>
      <c r="J1744" s="99" t="s">
        <v>403</v>
      </c>
      <c r="K1744" s="17">
        <v>0</v>
      </c>
      <c r="L1744" s="97"/>
      <c r="N1744" s="17" t="s">
        <v>1880</v>
      </c>
    </row>
    <row r="1745" s="17" customFormat="1" spans="1:14">
      <c r="A1745" s="92" t="s">
        <v>1882</v>
      </c>
      <c r="B1745" s="93">
        <v>405002</v>
      </c>
      <c r="C1745" s="17">
        <v>3</v>
      </c>
      <c r="D1745" s="96" t="s">
        <v>60</v>
      </c>
      <c r="E1745" s="17">
        <v>3.33333333333333</v>
      </c>
      <c r="F1745" s="17">
        <v>0</v>
      </c>
      <c r="G1745" s="17">
        <v>0</v>
      </c>
      <c r="H1745" s="17">
        <v>2</v>
      </c>
      <c r="I1745" s="17">
        <v>952</v>
      </c>
      <c r="J1745" s="99" t="s">
        <v>58</v>
      </c>
      <c r="K1745" s="17">
        <v>0</v>
      </c>
      <c r="L1745" s="97"/>
      <c r="N1745" s="17" t="s">
        <v>1880</v>
      </c>
    </row>
    <row r="1746" hidden="1" spans="1:6">
      <c r="A1746" s="2" t="s">
        <v>1883</v>
      </c>
      <c r="B1746" s="3">
        <v>408401</v>
      </c>
      <c r="C1746">
        <v>3</v>
      </c>
      <c r="D1746" t="s">
        <v>36</v>
      </c>
      <c r="E1746">
        <f>102/30</f>
        <v>3.4</v>
      </c>
      <c r="F1746">
        <v>0</v>
      </c>
    </row>
    <row r="1747" hidden="1" spans="1:6">
      <c r="A1747" s="2" t="s">
        <v>1884</v>
      </c>
      <c r="B1747" s="3">
        <v>408401</v>
      </c>
      <c r="C1747">
        <v>3</v>
      </c>
      <c r="D1747" t="s">
        <v>38</v>
      </c>
      <c r="E1747">
        <f>125/30</f>
        <v>4.16666666666667</v>
      </c>
      <c r="F1747">
        <v>0</v>
      </c>
    </row>
    <row r="1748" hidden="1" spans="1:6">
      <c r="A1748" s="2" t="s">
        <v>1885</v>
      </c>
      <c r="B1748" s="3">
        <v>408401</v>
      </c>
      <c r="C1748">
        <v>3</v>
      </c>
      <c r="D1748" t="s">
        <v>40</v>
      </c>
      <c r="E1748">
        <f>75/30</f>
        <v>2.5</v>
      </c>
      <c r="F1748">
        <v>0</v>
      </c>
    </row>
    <row r="1749" hidden="1" spans="1:6">
      <c r="A1749" s="2" t="s">
        <v>1886</v>
      </c>
      <c r="B1749" s="3">
        <v>408401</v>
      </c>
      <c r="C1749">
        <v>3</v>
      </c>
      <c r="D1749" t="s">
        <v>42</v>
      </c>
      <c r="E1749">
        <f>122/30</f>
        <v>4.06666666666667</v>
      </c>
      <c r="F1749">
        <v>0</v>
      </c>
    </row>
    <row r="1750" hidden="1" spans="1:6">
      <c r="A1750" s="2" t="s">
        <v>1887</v>
      </c>
      <c r="B1750" s="3">
        <v>408401</v>
      </c>
      <c r="C1750">
        <v>3</v>
      </c>
      <c r="D1750" t="s">
        <v>44</v>
      </c>
      <c r="E1750">
        <f>115/30</f>
        <v>3.83333333333333</v>
      </c>
      <c r="F1750">
        <v>0</v>
      </c>
    </row>
    <row r="1751" hidden="1" spans="1:6">
      <c r="A1751" s="2" t="s">
        <v>1888</v>
      </c>
      <c r="B1751" s="3">
        <v>408401</v>
      </c>
      <c r="C1751">
        <v>3</v>
      </c>
      <c r="D1751" t="s">
        <v>46</v>
      </c>
      <c r="E1751">
        <f>250/30</f>
        <v>8.33333333333333</v>
      </c>
      <c r="F1751">
        <v>0</v>
      </c>
    </row>
    <row r="1752" hidden="1" spans="1:6">
      <c r="A1752" s="2" t="s">
        <v>1889</v>
      </c>
      <c r="B1752" s="3">
        <v>408401</v>
      </c>
      <c r="C1752">
        <v>3</v>
      </c>
      <c r="D1752" t="s">
        <v>86</v>
      </c>
      <c r="E1752">
        <f>313/30</f>
        <v>10.4333333333333</v>
      </c>
      <c r="F1752">
        <v>0</v>
      </c>
    </row>
    <row r="1753" hidden="1" spans="1:6">
      <c r="A1753" s="2" t="s">
        <v>1890</v>
      </c>
      <c r="B1753" s="3">
        <v>408401</v>
      </c>
      <c r="C1753">
        <v>3</v>
      </c>
      <c r="D1753" t="s">
        <v>50</v>
      </c>
      <c r="E1753">
        <f>361/30</f>
        <v>12.0333333333333</v>
      </c>
      <c r="F1753">
        <v>0</v>
      </c>
    </row>
    <row r="1754" hidden="1" spans="1:11">
      <c r="A1754" s="2" t="s">
        <v>1891</v>
      </c>
      <c r="B1754" s="3">
        <v>408401</v>
      </c>
      <c r="C1754">
        <v>3</v>
      </c>
      <c r="D1754" t="s">
        <v>57</v>
      </c>
      <c r="E1754">
        <f>95/30</f>
        <v>3.16666666666667</v>
      </c>
      <c r="F1754">
        <v>0</v>
      </c>
      <c r="G1754">
        <v>0</v>
      </c>
      <c r="H1754">
        <v>2</v>
      </c>
      <c r="I1754">
        <v>2493</v>
      </c>
      <c r="J1754" t="s">
        <v>58</v>
      </c>
      <c r="K1754">
        <v>1</v>
      </c>
    </row>
    <row r="1755" hidden="1" spans="1:11">
      <c r="A1755" s="2" t="s">
        <v>1892</v>
      </c>
      <c r="B1755" s="3">
        <v>408401</v>
      </c>
      <c r="C1755">
        <v>3</v>
      </c>
      <c r="D1755" t="s">
        <v>1776</v>
      </c>
      <c r="E1755">
        <f>95/30</f>
        <v>3.16666666666667</v>
      </c>
      <c r="F1755">
        <v>0</v>
      </c>
      <c r="G1755">
        <v>0</v>
      </c>
      <c r="H1755">
        <v>2</v>
      </c>
      <c r="I1755">
        <v>2494</v>
      </c>
      <c r="J1755" t="s">
        <v>58</v>
      </c>
      <c r="K1755">
        <v>1</v>
      </c>
    </row>
    <row r="1756" hidden="1" spans="1:11">
      <c r="A1756" s="2" t="s">
        <v>1893</v>
      </c>
      <c r="B1756" s="3">
        <v>408401</v>
      </c>
      <c r="C1756">
        <v>3</v>
      </c>
      <c r="D1756" t="s">
        <v>109</v>
      </c>
      <c r="E1756">
        <f>105/30</f>
        <v>3.5</v>
      </c>
      <c r="F1756">
        <v>0</v>
      </c>
      <c r="G1756">
        <v>0</v>
      </c>
      <c r="H1756">
        <v>2</v>
      </c>
      <c r="I1756">
        <v>2510</v>
      </c>
      <c r="J1756" t="s">
        <v>205</v>
      </c>
      <c r="K1756">
        <v>1</v>
      </c>
    </row>
    <row r="1757" hidden="1" spans="1:6">
      <c r="A1757" s="2" t="s">
        <v>1894</v>
      </c>
      <c r="B1757" s="3">
        <v>408601</v>
      </c>
      <c r="C1757">
        <v>3</v>
      </c>
      <c r="D1757" t="s">
        <v>36</v>
      </c>
      <c r="E1757">
        <v>2.33333333333333</v>
      </c>
      <c r="F1757">
        <v>0</v>
      </c>
    </row>
    <row r="1758" hidden="1" spans="1:6">
      <c r="A1758" s="2" t="s">
        <v>1895</v>
      </c>
      <c r="B1758" s="3">
        <v>408601</v>
      </c>
      <c r="C1758">
        <v>3</v>
      </c>
      <c r="D1758" t="s">
        <v>38</v>
      </c>
      <c r="E1758">
        <v>2.16666666666667</v>
      </c>
      <c r="F1758">
        <v>0</v>
      </c>
    </row>
    <row r="1759" hidden="1" spans="1:6">
      <c r="A1759" s="2" t="s">
        <v>1896</v>
      </c>
      <c r="B1759" s="3">
        <v>408601</v>
      </c>
      <c r="C1759">
        <v>3</v>
      </c>
      <c r="D1759" t="s">
        <v>40</v>
      </c>
      <c r="E1759">
        <v>3.4</v>
      </c>
      <c r="F1759">
        <v>0</v>
      </c>
    </row>
    <row r="1760" hidden="1" spans="1:6">
      <c r="A1760" s="2" t="s">
        <v>1897</v>
      </c>
      <c r="B1760" s="3">
        <v>408601</v>
      </c>
      <c r="C1760">
        <v>3</v>
      </c>
      <c r="D1760" t="s">
        <v>42</v>
      </c>
      <c r="E1760">
        <v>2.83333333333333</v>
      </c>
      <c r="F1760">
        <v>0</v>
      </c>
    </row>
    <row r="1761" hidden="1" spans="1:6">
      <c r="A1761" s="2" t="s">
        <v>1898</v>
      </c>
      <c r="B1761" s="3">
        <v>408601</v>
      </c>
      <c r="C1761">
        <v>3</v>
      </c>
      <c r="D1761" t="s">
        <v>44</v>
      </c>
      <c r="E1761">
        <v>3.33333333333333</v>
      </c>
      <c r="F1761">
        <v>0</v>
      </c>
    </row>
    <row r="1762" hidden="1" spans="1:6">
      <c r="A1762" s="2" t="s">
        <v>1899</v>
      </c>
      <c r="B1762" s="3">
        <v>408601</v>
      </c>
      <c r="C1762">
        <v>3</v>
      </c>
      <c r="D1762" t="s">
        <v>46</v>
      </c>
      <c r="E1762">
        <v>8.83333333333333</v>
      </c>
      <c r="F1762">
        <v>0</v>
      </c>
    </row>
    <row r="1763" hidden="1" spans="1:6">
      <c r="A1763" s="2" t="s">
        <v>1900</v>
      </c>
      <c r="B1763" s="3">
        <v>408601</v>
      </c>
      <c r="C1763">
        <v>3</v>
      </c>
      <c r="D1763" t="s">
        <v>86</v>
      </c>
      <c r="E1763">
        <v>10.3333333333333</v>
      </c>
      <c r="F1763">
        <v>0</v>
      </c>
    </row>
    <row r="1764" hidden="1" spans="1:6">
      <c r="A1764" s="2" t="s">
        <v>1901</v>
      </c>
      <c r="B1764" s="3">
        <v>408601</v>
      </c>
      <c r="C1764">
        <v>3</v>
      </c>
      <c r="D1764" t="s">
        <v>50</v>
      </c>
      <c r="E1764">
        <v>7</v>
      </c>
      <c r="F1764">
        <v>0</v>
      </c>
    </row>
    <row r="1765" hidden="1" spans="1:6">
      <c r="A1765" s="2" t="s">
        <v>1902</v>
      </c>
      <c r="B1765" s="3">
        <v>1219</v>
      </c>
      <c r="C1765">
        <v>3</v>
      </c>
      <c r="D1765" t="s">
        <v>36</v>
      </c>
      <c r="E1765">
        <f>83/30</f>
        <v>2.76666666666667</v>
      </c>
      <c r="F1765">
        <v>0</v>
      </c>
    </row>
    <row r="1766" hidden="1" spans="1:6">
      <c r="A1766" s="2" t="s">
        <v>1903</v>
      </c>
      <c r="B1766" s="3">
        <v>1219</v>
      </c>
      <c r="C1766">
        <v>3</v>
      </c>
      <c r="D1766" t="s">
        <v>38</v>
      </c>
      <c r="E1766">
        <f>78/30</f>
        <v>2.6</v>
      </c>
      <c r="F1766">
        <v>0</v>
      </c>
    </row>
    <row r="1767" hidden="1" spans="1:6">
      <c r="A1767" s="2" t="s">
        <v>1904</v>
      </c>
      <c r="B1767" s="3">
        <v>1219</v>
      </c>
      <c r="C1767">
        <v>3</v>
      </c>
      <c r="D1767" t="s">
        <v>40</v>
      </c>
      <c r="E1767">
        <f>68/30</f>
        <v>2.26666666666667</v>
      </c>
      <c r="F1767">
        <v>0</v>
      </c>
    </row>
    <row r="1768" hidden="1" spans="1:6">
      <c r="A1768" s="2" t="s">
        <v>1905</v>
      </c>
      <c r="B1768" s="3">
        <v>1219</v>
      </c>
      <c r="C1768">
        <v>3</v>
      </c>
      <c r="D1768" t="s">
        <v>42</v>
      </c>
      <c r="E1768">
        <f>200/30</f>
        <v>6.66666666666667</v>
      </c>
      <c r="F1768">
        <v>0</v>
      </c>
    </row>
    <row r="1769" hidden="1" spans="1:6">
      <c r="A1769" s="2">
        <v>40840201</v>
      </c>
      <c r="B1769" s="3">
        <v>408402</v>
      </c>
      <c r="C1769">
        <v>3</v>
      </c>
      <c r="D1769" t="s">
        <v>36</v>
      </c>
      <c r="E1769">
        <f>102/30</f>
        <v>3.4</v>
      </c>
      <c r="F1769">
        <v>0</v>
      </c>
    </row>
    <row r="1770" hidden="1" spans="1:6">
      <c r="A1770" s="2">
        <v>40840202</v>
      </c>
      <c r="B1770" s="3">
        <v>408402</v>
      </c>
      <c r="C1770">
        <v>3</v>
      </c>
      <c r="D1770" t="s">
        <v>38</v>
      </c>
      <c r="E1770">
        <f>125/30</f>
        <v>4.16666666666667</v>
      </c>
      <c r="F1770">
        <v>0</v>
      </c>
    </row>
    <row r="1771" hidden="1" spans="1:6">
      <c r="A1771" s="2">
        <v>40840203</v>
      </c>
      <c r="B1771" s="3">
        <v>408402</v>
      </c>
      <c r="C1771">
        <v>3</v>
      </c>
      <c r="D1771" t="s">
        <v>40</v>
      </c>
      <c r="E1771">
        <f>75/30</f>
        <v>2.5</v>
      </c>
      <c r="F1771">
        <v>0</v>
      </c>
    </row>
    <row r="1772" hidden="1" spans="1:6">
      <c r="A1772" s="2">
        <v>40840204</v>
      </c>
      <c r="B1772" s="3">
        <v>408402</v>
      </c>
      <c r="C1772">
        <v>3</v>
      </c>
      <c r="D1772" t="s">
        <v>42</v>
      </c>
      <c r="E1772">
        <f>122/30</f>
        <v>4.06666666666667</v>
      </c>
      <c r="F1772">
        <v>0</v>
      </c>
    </row>
    <row r="1773" hidden="1" spans="1:6">
      <c r="A1773" s="2">
        <v>40840205</v>
      </c>
      <c r="B1773" s="3">
        <v>408402</v>
      </c>
      <c r="C1773">
        <v>3</v>
      </c>
      <c r="D1773" t="s">
        <v>44</v>
      </c>
      <c r="E1773">
        <f>115/30</f>
        <v>3.83333333333333</v>
      </c>
      <c r="F1773">
        <v>0</v>
      </c>
    </row>
    <row r="1774" hidden="1" spans="1:6">
      <c r="A1774" s="2">
        <v>40840206</v>
      </c>
      <c r="B1774" s="3">
        <v>408402</v>
      </c>
      <c r="C1774">
        <v>3</v>
      </c>
      <c r="D1774" t="s">
        <v>46</v>
      </c>
      <c r="E1774">
        <f>250/30</f>
        <v>8.33333333333333</v>
      </c>
      <c r="F1774">
        <v>0</v>
      </c>
    </row>
    <row r="1775" hidden="1" spans="1:6">
      <c r="A1775" s="2">
        <v>40840207</v>
      </c>
      <c r="B1775" s="3">
        <v>408402</v>
      </c>
      <c r="C1775">
        <v>3</v>
      </c>
      <c r="D1775" t="s">
        <v>86</v>
      </c>
      <c r="E1775">
        <f>313/30</f>
        <v>10.4333333333333</v>
      </c>
      <c r="F1775">
        <v>0</v>
      </c>
    </row>
    <row r="1776" hidden="1" spans="1:6">
      <c r="A1776" s="2">
        <v>40840208</v>
      </c>
      <c r="B1776" s="3">
        <v>408402</v>
      </c>
      <c r="C1776">
        <v>3</v>
      </c>
      <c r="D1776" t="s">
        <v>50</v>
      </c>
      <c r="E1776">
        <f>361/30</f>
        <v>12.0333333333333</v>
      </c>
      <c r="F1776">
        <v>0</v>
      </c>
    </row>
    <row r="1777" hidden="1" spans="1:11">
      <c r="A1777" s="2">
        <v>40840220</v>
      </c>
      <c r="B1777" s="3">
        <v>408402</v>
      </c>
      <c r="C1777">
        <v>3</v>
      </c>
      <c r="D1777" t="s">
        <v>57</v>
      </c>
      <c r="E1777">
        <f>95/30</f>
        <v>3.16666666666667</v>
      </c>
      <c r="F1777">
        <v>0</v>
      </c>
      <c r="G1777">
        <v>0</v>
      </c>
      <c r="H1777">
        <v>2</v>
      </c>
      <c r="I1777">
        <v>2493</v>
      </c>
      <c r="J1777" t="s">
        <v>58</v>
      </c>
      <c r="K1777">
        <v>1</v>
      </c>
    </row>
    <row r="1778" hidden="1" spans="1:11">
      <c r="A1778" s="2">
        <v>40840221</v>
      </c>
      <c r="B1778" s="3">
        <v>408402</v>
      </c>
      <c r="C1778">
        <v>3</v>
      </c>
      <c r="D1778" t="s">
        <v>1776</v>
      </c>
      <c r="E1778">
        <f>95/30</f>
        <v>3.16666666666667</v>
      </c>
      <c r="F1778">
        <v>0</v>
      </c>
      <c r="G1778">
        <v>0</v>
      </c>
      <c r="H1778">
        <v>2</v>
      </c>
      <c r="I1778">
        <v>2494</v>
      </c>
      <c r="J1778" t="s">
        <v>58</v>
      </c>
      <c r="K1778">
        <v>1</v>
      </c>
    </row>
    <row r="1779" hidden="1" spans="1:11">
      <c r="A1779" s="2">
        <v>40840222</v>
      </c>
      <c r="B1779" s="3">
        <v>408402</v>
      </c>
      <c r="C1779">
        <v>3</v>
      </c>
      <c r="D1779" t="s">
        <v>109</v>
      </c>
      <c r="E1779">
        <f>105/30</f>
        <v>3.5</v>
      </c>
      <c r="F1779">
        <v>0</v>
      </c>
      <c r="G1779">
        <v>0</v>
      </c>
      <c r="H1779">
        <v>2</v>
      </c>
      <c r="I1779">
        <v>2510</v>
      </c>
      <c r="J1779" t="s">
        <v>205</v>
      </c>
      <c r="K1779">
        <v>1</v>
      </c>
    </row>
    <row r="1780" hidden="1" spans="1:6">
      <c r="A1780" s="2" t="s">
        <v>1906</v>
      </c>
      <c r="B1780" s="3">
        <v>1223</v>
      </c>
      <c r="C1780">
        <v>3</v>
      </c>
      <c r="D1780" t="s">
        <v>36</v>
      </c>
      <c r="E1780">
        <f>68/30</f>
        <v>2.26666666666667</v>
      </c>
      <c r="F1780">
        <v>0</v>
      </c>
    </row>
    <row r="1781" hidden="1" spans="1:6">
      <c r="A1781" s="2" t="s">
        <v>1907</v>
      </c>
      <c r="B1781" s="3">
        <v>1223</v>
      </c>
      <c r="C1781">
        <v>3</v>
      </c>
      <c r="D1781" t="s">
        <v>38</v>
      </c>
      <c r="E1781">
        <f>105/30</f>
        <v>3.5</v>
      </c>
      <c r="F1781">
        <v>0</v>
      </c>
    </row>
    <row r="1782" hidden="1" spans="1:6">
      <c r="A1782" s="2" t="s">
        <v>1908</v>
      </c>
      <c r="B1782" s="3">
        <v>1223</v>
      </c>
      <c r="C1782">
        <v>3</v>
      </c>
      <c r="D1782" t="s">
        <v>40</v>
      </c>
      <c r="E1782">
        <f>67/30</f>
        <v>2.23333333333333</v>
      </c>
      <c r="F1782">
        <v>0</v>
      </c>
    </row>
    <row r="1783" hidden="1" spans="1:6">
      <c r="A1783" s="2">
        <v>122001</v>
      </c>
      <c r="B1783" s="38">
        <v>1220</v>
      </c>
      <c r="C1783">
        <v>3</v>
      </c>
      <c r="D1783" t="s">
        <v>36</v>
      </c>
      <c r="E1783">
        <f>87/30</f>
        <v>2.9</v>
      </c>
      <c r="F1783">
        <v>0</v>
      </c>
    </row>
    <row r="1784" hidden="1" spans="1:6">
      <c r="A1784" s="2" t="s">
        <v>1909</v>
      </c>
      <c r="B1784" s="3">
        <v>1221</v>
      </c>
      <c r="C1784">
        <v>3</v>
      </c>
      <c r="D1784" t="s">
        <v>36</v>
      </c>
      <c r="E1784">
        <f>68/30</f>
        <v>2.26666666666667</v>
      </c>
      <c r="F1784">
        <v>0</v>
      </c>
    </row>
    <row r="1785" hidden="1" spans="1:6">
      <c r="A1785" s="2" t="s">
        <v>1910</v>
      </c>
      <c r="B1785" s="3">
        <v>1222</v>
      </c>
      <c r="C1785">
        <v>3</v>
      </c>
      <c r="D1785" t="s">
        <v>36</v>
      </c>
      <c r="E1785">
        <f>70/30</f>
        <v>2.33333333333333</v>
      </c>
      <c r="F1785">
        <v>0</v>
      </c>
    </row>
    <row r="1786" hidden="1" spans="1:6">
      <c r="A1786" s="2" t="s">
        <v>1911</v>
      </c>
      <c r="B1786" s="3">
        <v>1224</v>
      </c>
      <c r="C1786">
        <v>3</v>
      </c>
      <c r="D1786" t="s">
        <v>36</v>
      </c>
      <c r="E1786">
        <f>60/30</f>
        <v>2</v>
      </c>
      <c r="F1786">
        <v>0</v>
      </c>
    </row>
    <row r="1787" hidden="1" spans="1:6">
      <c r="A1787" s="2" t="s">
        <v>1912</v>
      </c>
      <c r="B1787" s="3">
        <v>1225</v>
      </c>
      <c r="C1787">
        <v>3</v>
      </c>
      <c r="D1787" t="s">
        <v>36</v>
      </c>
      <c r="E1787">
        <f>83/30</f>
        <v>2.76666666666667</v>
      </c>
      <c r="F1787">
        <v>0</v>
      </c>
    </row>
    <row r="1788" hidden="1" spans="1:6">
      <c r="A1788" s="2" t="s">
        <v>1913</v>
      </c>
      <c r="B1788" s="3">
        <v>90</v>
      </c>
      <c r="C1788">
        <v>3</v>
      </c>
      <c r="D1788" t="s">
        <v>36</v>
      </c>
      <c r="E1788">
        <f>70/30</f>
        <v>2.33333333333333</v>
      </c>
      <c r="F1788">
        <v>0</v>
      </c>
    </row>
    <row r="1789" hidden="1" spans="1:6">
      <c r="A1789" s="2" t="s">
        <v>1914</v>
      </c>
      <c r="B1789" s="3">
        <v>90</v>
      </c>
      <c r="C1789">
        <v>3</v>
      </c>
      <c r="D1789" t="s">
        <v>38</v>
      </c>
      <c r="E1789">
        <f>108/30</f>
        <v>3.6</v>
      </c>
      <c r="F1789">
        <v>0</v>
      </c>
    </row>
    <row r="1790" hidden="1" spans="1:6">
      <c r="A1790" s="2" t="s">
        <v>1915</v>
      </c>
      <c r="B1790" s="3">
        <v>90</v>
      </c>
      <c r="C1790">
        <v>3</v>
      </c>
      <c r="D1790" t="s">
        <v>40</v>
      </c>
      <c r="E1790">
        <f>81/30</f>
        <v>2.7</v>
      </c>
      <c r="F1790">
        <v>0</v>
      </c>
    </row>
    <row r="1791" hidden="1" spans="1:6">
      <c r="A1791" s="2" t="s">
        <v>1916</v>
      </c>
      <c r="B1791" s="3">
        <v>90</v>
      </c>
      <c r="C1791">
        <v>3</v>
      </c>
      <c r="D1791" t="s">
        <v>42</v>
      </c>
      <c r="E1791">
        <f>280/30</f>
        <v>9.33333333333333</v>
      </c>
      <c r="F1791">
        <v>0</v>
      </c>
    </row>
    <row r="1792" hidden="1" spans="1:6">
      <c r="A1792" s="2" t="s">
        <v>1917</v>
      </c>
      <c r="B1792" s="3">
        <v>90</v>
      </c>
      <c r="C1792">
        <v>3</v>
      </c>
      <c r="D1792" t="s">
        <v>44</v>
      </c>
      <c r="E1792">
        <f>90/30</f>
        <v>3</v>
      </c>
      <c r="F1792">
        <v>0</v>
      </c>
    </row>
    <row r="1793" hidden="1" spans="1:6">
      <c r="A1793" s="2">
        <v>122601</v>
      </c>
      <c r="B1793" s="3">
        <v>1226</v>
      </c>
      <c r="C1793">
        <v>3</v>
      </c>
      <c r="D1793" t="s">
        <v>36</v>
      </c>
      <c r="E1793">
        <f>89/30</f>
        <v>2.96666666666667</v>
      </c>
      <c r="F1793">
        <v>0</v>
      </c>
    </row>
    <row r="1794" hidden="1" spans="1:6">
      <c r="A1794" s="2" t="s">
        <v>1918</v>
      </c>
      <c r="B1794" s="3">
        <v>1227</v>
      </c>
      <c r="C1794">
        <v>3</v>
      </c>
      <c r="D1794" t="s">
        <v>36</v>
      </c>
      <c r="E1794">
        <f>60/30</f>
        <v>2</v>
      </c>
      <c r="F1794">
        <v>0</v>
      </c>
    </row>
    <row r="1795" hidden="1" spans="1:6">
      <c r="A1795" s="2" t="s">
        <v>1919</v>
      </c>
      <c r="B1795" s="3">
        <v>1228</v>
      </c>
      <c r="C1795">
        <v>3</v>
      </c>
      <c r="D1795" t="s">
        <v>36</v>
      </c>
      <c r="E1795">
        <f>65/30</f>
        <v>2.16666666666667</v>
      </c>
      <c r="F1795">
        <v>0</v>
      </c>
    </row>
    <row r="1796" hidden="1" spans="1:6">
      <c r="A1796" s="2">
        <v>122901</v>
      </c>
      <c r="B1796" s="3">
        <v>1229</v>
      </c>
      <c r="C1796">
        <v>3</v>
      </c>
      <c r="D1796" t="s">
        <v>36</v>
      </c>
      <c r="E1796">
        <f>130/30</f>
        <v>4.33333333333333</v>
      </c>
      <c r="F1796">
        <v>0</v>
      </c>
    </row>
    <row r="1797" hidden="1" spans="1:6">
      <c r="A1797" s="2">
        <v>122902</v>
      </c>
      <c r="B1797" s="3">
        <v>1229</v>
      </c>
      <c r="C1797">
        <v>3</v>
      </c>
      <c r="D1797" t="s">
        <v>38</v>
      </c>
      <c r="E1797">
        <f>130/30</f>
        <v>4.33333333333333</v>
      </c>
      <c r="F1797">
        <v>0</v>
      </c>
    </row>
    <row r="1798" hidden="1" spans="1:6">
      <c r="A1798" s="2">
        <v>122903</v>
      </c>
      <c r="B1798" s="3">
        <v>1229</v>
      </c>
      <c r="C1798">
        <v>3</v>
      </c>
      <c r="D1798" t="s">
        <v>40</v>
      </c>
      <c r="E1798">
        <f>86/30</f>
        <v>2.86666666666667</v>
      </c>
      <c r="F1798">
        <v>0</v>
      </c>
    </row>
    <row r="1799" hidden="1" spans="1:6">
      <c r="A1799" s="2">
        <v>122904</v>
      </c>
      <c r="B1799" s="3">
        <v>1229</v>
      </c>
      <c r="C1799">
        <v>3</v>
      </c>
      <c r="D1799" t="s">
        <v>42</v>
      </c>
      <c r="E1799">
        <f>271/30</f>
        <v>9.03333333333333</v>
      </c>
      <c r="F1799">
        <v>0</v>
      </c>
    </row>
    <row r="1800" hidden="1" spans="1:6">
      <c r="A1800" s="2">
        <v>122905</v>
      </c>
      <c r="B1800" s="3">
        <v>1229</v>
      </c>
      <c r="C1800">
        <v>3</v>
      </c>
      <c r="D1800" t="s">
        <v>44</v>
      </c>
      <c r="E1800">
        <f>105/30</f>
        <v>3.5</v>
      </c>
      <c r="F1800">
        <v>0</v>
      </c>
    </row>
    <row r="1801" hidden="1" spans="1:6">
      <c r="A1801" s="2" t="s">
        <v>1920</v>
      </c>
      <c r="B1801" s="3">
        <v>408701</v>
      </c>
      <c r="C1801">
        <v>3</v>
      </c>
      <c r="D1801" t="s">
        <v>36</v>
      </c>
      <c r="E1801">
        <f>110/30</f>
        <v>3.66666666666667</v>
      </c>
      <c r="F1801">
        <v>0</v>
      </c>
    </row>
    <row r="1802" hidden="1" spans="1:6">
      <c r="A1802" s="2" t="s">
        <v>1921</v>
      </c>
      <c r="B1802" s="3">
        <v>408701</v>
      </c>
      <c r="C1802">
        <v>3</v>
      </c>
      <c r="D1802" t="s">
        <v>38</v>
      </c>
      <c r="E1802">
        <f>130/30</f>
        <v>4.33333333333333</v>
      </c>
      <c r="F1802">
        <v>0</v>
      </c>
    </row>
    <row r="1803" hidden="1" spans="1:6">
      <c r="A1803" s="2" t="s">
        <v>1922</v>
      </c>
      <c r="B1803" s="3">
        <v>408701</v>
      </c>
      <c r="C1803">
        <v>3</v>
      </c>
      <c r="D1803" t="s">
        <v>40</v>
      </c>
      <c r="E1803">
        <f>200/30</f>
        <v>6.66666666666667</v>
      </c>
      <c r="F1803">
        <v>0</v>
      </c>
    </row>
    <row r="1804" hidden="1" spans="1:6">
      <c r="A1804" s="2" t="s">
        <v>1923</v>
      </c>
      <c r="B1804" s="3">
        <v>408701</v>
      </c>
      <c r="C1804">
        <v>3</v>
      </c>
      <c r="D1804" t="s">
        <v>42</v>
      </c>
      <c r="E1804">
        <f>130/30</f>
        <v>4.33333333333333</v>
      </c>
      <c r="F1804">
        <v>0</v>
      </c>
    </row>
    <row r="1805" hidden="1" spans="1:6">
      <c r="A1805" s="2" t="s">
        <v>1924</v>
      </c>
      <c r="B1805" s="3">
        <v>408701</v>
      </c>
      <c r="C1805">
        <v>3</v>
      </c>
      <c r="D1805" t="s">
        <v>44</v>
      </c>
      <c r="E1805">
        <f>265/30</f>
        <v>8.83333333333333</v>
      </c>
      <c r="F1805">
        <v>0</v>
      </c>
    </row>
    <row r="1806" hidden="1" spans="1:6">
      <c r="A1806" s="2" t="s">
        <v>1925</v>
      </c>
      <c r="B1806" s="3">
        <v>408701</v>
      </c>
      <c r="C1806">
        <v>3</v>
      </c>
      <c r="D1806" t="s">
        <v>50</v>
      </c>
      <c r="E1806">
        <f>290/30</f>
        <v>9.66666666666667</v>
      </c>
      <c r="F1806">
        <v>0</v>
      </c>
    </row>
    <row r="1807" hidden="1" spans="1:6">
      <c r="A1807" s="2" t="s">
        <v>1926</v>
      </c>
      <c r="B1807" s="3">
        <v>408701</v>
      </c>
      <c r="C1807">
        <v>3</v>
      </c>
      <c r="D1807" t="s">
        <v>90</v>
      </c>
      <c r="E1807">
        <f>255/30</f>
        <v>8.5</v>
      </c>
      <c r="F1807">
        <v>0</v>
      </c>
    </row>
    <row r="1808" hidden="1" spans="1:6">
      <c r="A1808" s="2" t="s">
        <v>1927</v>
      </c>
      <c r="B1808" s="3">
        <v>408701</v>
      </c>
      <c r="C1808">
        <v>3</v>
      </c>
      <c r="D1808" t="s">
        <v>48</v>
      </c>
      <c r="E1808">
        <v>11.6</v>
      </c>
      <c r="F1808">
        <v>0</v>
      </c>
    </row>
    <row r="1809" hidden="1" spans="1:6">
      <c r="A1809" s="2" t="s">
        <v>1928</v>
      </c>
      <c r="B1809" s="3">
        <v>408701</v>
      </c>
      <c r="C1809">
        <v>3</v>
      </c>
      <c r="D1809" t="s">
        <v>52</v>
      </c>
      <c r="E1809">
        <v>11.6</v>
      </c>
      <c r="F1809">
        <v>0</v>
      </c>
    </row>
    <row r="1810" hidden="1" spans="1:6">
      <c r="A1810" s="2" t="s">
        <v>1929</v>
      </c>
      <c r="B1810" s="3">
        <v>408701</v>
      </c>
      <c r="C1810">
        <v>3</v>
      </c>
      <c r="D1810" s="1" t="s">
        <v>140</v>
      </c>
      <c r="E1810">
        <f>265/30</f>
        <v>8.83333333333333</v>
      </c>
      <c r="F1810">
        <v>0</v>
      </c>
    </row>
    <row r="1811" hidden="1" spans="1:11">
      <c r="A1811" s="2" t="s">
        <v>1930</v>
      </c>
      <c r="B1811" s="3">
        <v>408701</v>
      </c>
      <c r="C1811">
        <v>3</v>
      </c>
      <c r="D1811" s="1" t="s">
        <v>92</v>
      </c>
      <c r="E1811">
        <f>75/30</f>
        <v>2.5</v>
      </c>
      <c r="F1811">
        <v>0</v>
      </c>
      <c r="G1811">
        <v>0</v>
      </c>
      <c r="H1811">
        <v>2</v>
      </c>
      <c r="I1811">
        <v>2600</v>
      </c>
      <c r="J1811" t="s">
        <v>58</v>
      </c>
      <c r="K1811">
        <v>1</v>
      </c>
    </row>
    <row r="1812" hidden="1" spans="1:6">
      <c r="A1812" s="2" t="s">
        <v>1931</v>
      </c>
      <c r="B1812" s="3">
        <v>30039</v>
      </c>
      <c r="C1812">
        <v>3</v>
      </c>
      <c r="D1812" t="s">
        <v>46</v>
      </c>
      <c r="E1812">
        <f>52/30</f>
        <v>1.73333333333333</v>
      </c>
      <c r="F1812">
        <v>0</v>
      </c>
    </row>
    <row r="1813" hidden="1" spans="1:6">
      <c r="A1813" s="2" t="s">
        <v>1932</v>
      </c>
      <c r="B1813" s="3">
        <v>30039</v>
      </c>
      <c r="C1813">
        <v>3</v>
      </c>
      <c r="D1813" t="s">
        <v>86</v>
      </c>
      <c r="E1813">
        <f>125/30</f>
        <v>4.16666666666667</v>
      </c>
      <c r="F1813">
        <v>0</v>
      </c>
    </row>
    <row r="1814" hidden="1" spans="1:6">
      <c r="A1814" s="2" t="s">
        <v>1933</v>
      </c>
      <c r="B1814" s="3">
        <v>30039</v>
      </c>
      <c r="C1814">
        <v>3</v>
      </c>
      <c r="D1814" t="s">
        <v>50</v>
      </c>
      <c r="E1814">
        <f>290/30</f>
        <v>9.66666666666667</v>
      </c>
      <c r="F1814">
        <v>0</v>
      </c>
    </row>
    <row r="1815" hidden="1" spans="1:6">
      <c r="A1815" s="2" t="s">
        <v>1934</v>
      </c>
      <c r="B1815" s="3">
        <v>30039</v>
      </c>
      <c r="C1815">
        <v>3</v>
      </c>
      <c r="D1815" t="s">
        <v>90</v>
      </c>
      <c r="E1815">
        <f>255/30</f>
        <v>8.5</v>
      </c>
      <c r="F1815">
        <v>0</v>
      </c>
    </row>
    <row r="1816" hidden="1" spans="1:6">
      <c r="A1816" s="2" t="s">
        <v>1935</v>
      </c>
      <c r="B1816" s="3">
        <v>30039</v>
      </c>
      <c r="C1816">
        <v>3</v>
      </c>
      <c r="D1816" t="s">
        <v>48</v>
      </c>
      <c r="E1816">
        <f>348/30</f>
        <v>11.6</v>
      </c>
      <c r="F1816">
        <v>0</v>
      </c>
    </row>
    <row r="1817" hidden="1" spans="1:6">
      <c r="A1817" s="2" t="s">
        <v>1936</v>
      </c>
      <c r="B1817" s="3">
        <v>30039</v>
      </c>
      <c r="C1817">
        <v>3</v>
      </c>
      <c r="D1817" t="s">
        <v>52</v>
      </c>
      <c r="E1817">
        <v>11.6</v>
      </c>
      <c r="F1817">
        <v>0</v>
      </c>
    </row>
    <row r="1818" hidden="1" spans="1:6">
      <c r="A1818" s="2" t="s">
        <v>1937</v>
      </c>
      <c r="B1818" s="3">
        <v>30039</v>
      </c>
      <c r="C1818">
        <v>3</v>
      </c>
      <c r="D1818" s="1" t="s">
        <v>133</v>
      </c>
      <c r="E1818">
        <f>290/30</f>
        <v>9.66666666666667</v>
      </c>
      <c r="F1818">
        <v>0</v>
      </c>
    </row>
    <row r="1819" hidden="1" spans="1:6">
      <c r="A1819" s="2" t="s">
        <v>1938</v>
      </c>
      <c r="B1819" s="3">
        <v>30039</v>
      </c>
      <c r="C1819">
        <v>3</v>
      </c>
      <c r="D1819" s="1" t="s">
        <v>412</v>
      </c>
      <c r="E1819">
        <f>255/30</f>
        <v>8.5</v>
      </c>
      <c r="F1819">
        <v>0</v>
      </c>
    </row>
    <row r="1820" s="16" customFormat="1" hidden="1" spans="1:12">
      <c r="A1820" s="87" t="s">
        <v>1939</v>
      </c>
      <c r="B1820" s="88">
        <v>30039</v>
      </c>
      <c r="C1820" s="16">
        <v>3</v>
      </c>
      <c r="D1820" s="16" t="s">
        <v>1826</v>
      </c>
      <c r="E1820" s="16">
        <f>140/30</f>
        <v>4.66666666666667</v>
      </c>
      <c r="F1820" s="16">
        <v>0</v>
      </c>
      <c r="L1820" s="89"/>
    </row>
    <row r="1821" hidden="1" spans="1:6">
      <c r="A1821" s="2" t="s">
        <v>1940</v>
      </c>
      <c r="B1821" s="3">
        <v>407103</v>
      </c>
      <c r="C1821">
        <v>3</v>
      </c>
      <c r="D1821" t="s">
        <v>36</v>
      </c>
      <c r="E1821">
        <v>2.5</v>
      </c>
      <c r="F1821">
        <v>0</v>
      </c>
    </row>
    <row r="1822" hidden="1" spans="1:6">
      <c r="A1822" s="2" t="s">
        <v>1941</v>
      </c>
      <c r="B1822" s="3">
        <v>407103</v>
      </c>
      <c r="C1822">
        <v>3</v>
      </c>
      <c r="D1822" t="s">
        <v>38</v>
      </c>
      <c r="E1822">
        <v>1.93333333333333</v>
      </c>
      <c r="F1822">
        <v>0</v>
      </c>
    </row>
    <row r="1823" hidden="1" spans="1:6">
      <c r="A1823" s="2" t="s">
        <v>1942</v>
      </c>
      <c r="B1823" s="3">
        <v>407103</v>
      </c>
      <c r="C1823">
        <v>3</v>
      </c>
      <c r="D1823" t="s">
        <v>40</v>
      </c>
      <c r="E1823">
        <v>3</v>
      </c>
      <c r="F1823">
        <v>0</v>
      </c>
    </row>
    <row r="1824" hidden="1" spans="1:6">
      <c r="A1824" s="2" t="s">
        <v>1943</v>
      </c>
      <c r="B1824" s="3">
        <v>407103</v>
      </c>
      <c r="C1824">
        <v>3</v>
      </c>
      <c r="D1824" t="s">
        <v>42</v>
      </c>
      <c r="E1824">
        <v>2.5</v>
      </c>
      <c r="F1824">
        <v>0</v>
      </c>
    </row>
    <row r="1825" hidden="1" spans="1:6">
      <c r="A1825" s="2" t="s">
        <v>1944</v>
      </c>
      <c r="B1825" s="3">
        <v>407103</v>
      </c>
      <c r="C1825">
        <v>3</v>
      </c>
      <c r="D1825" t="s">
        <v>44</v>
      </c>
      <c r="E1825">
        <v>6.16666666666667</v>
      </c>
      <c r="F1825">
        <v>0</v>
      </c>
    </row>
    <row r="1826" hidden="1" spans="1:6">
      <c r="A1826" s="2" t="s">
        <v>1945</v>
      </c>
      <c r="B1826" s="3">
        <v>407103</v>
      </c>
      <c r="C1826">
        <v>3</v>
      </c>
      <c r="D1826" t="s">
        <v>46</v>
      </c>
      <c r="E1826">
        <v>1.33333333333333</v>
      </c>
      <c r="F1826">
        <v>0</v>
      </c>
    </row>
    <row r="1827" hidden="1" spans="1:13">
      <c r="A1827" s="2" t="s">
        <v>1946</v>
      </c>
      <c r="B1827" s="3">
        <v>407103</v>
      </c>
      <c r="C1827">
        <v>3</v>
      </c>
      <c r="D1827" t="s">
        <v>669</v>
      </c>
      <c r="E1827">
        <v>1.66666666666667</v>
      </c>
      <c r="F1827">
        <v>1</v>
      </c>
      <c r="G1827">
        <v>0</v>
      </c>
      <c r="H1827">
        <v>2</v>
      </c>
      <c r="I1827">
        <v>2059</v>
      </c>
      <c r="J1827" t="s">
        <v>1562</v>
      </c>
      <c r="K1827">
        <v>0</v>
      </c>
      <c r="L1827" s="4" t="s">
        <v>1563</v>
      </c>
      <c r="M1827" t="s">
        <v>1564</v>
      </c>
    </row>
    <row r="1828" hidden="1" spans="1:11">
      <c r="A1828" s="2" t="s">
        <v>1947</v>
      </c>
      <c r="B1828" s="3">
        <v>407103</v>
      </c>
      <c r="C1828">
        <v>3</v>
      </c>
      <c r="D1828" t="s">
        <v>57</v>
      </c>
      <c r="E1828">
        <v>4</v>
      </c>
      <c r="F1828">
        <v>0</v>
      </c>
      <c r="G1828">
        <v>0</v>
      </c>
      <c r="H1828">
        <v>2</v>
      </c>
      <c r="I1828">
        <v>2036</v>
      </c>
      <c r="J1828" t="s">
        <v>58</v>
      </c>
      <c r="K1828">
        <v>1</v>
      </c>
    </row>
    <row r="1829" hidden="1" spans="1:6">
      <c r="A1829" s="2" t="s">
        <v>1948</v>
      </c>
      <c r="B1829" s="3">
        <v>91</v>
      </c>
      <c r="C1829">
        <v>3</v>
      </c>
      <c r="D1829" t="s">
        <v>36</v>
      </c>
      <c r="E1829">
        <f>65/30</f>
        <v>2.16666666666667</v>
      </c>
      <c r="F1829">
        <v>0</v>
      </c>
    </row>
    <row r="1830" hidden="1" spans="1:6">
      <c r="A1830" s="2" t="s">
        <v>1949</v>
      </c>
      <c r="B1830" s="3">
        <v>91</v>
      </c>
      <c r="C1830">
        <v>3</v>
      </c>
      <c r="D1830" t="s">
        <v>38</v>
      </c>
      <c r="E1830">
        <f>80/30</f>
        <v>2.66666666666667</v>
      </c>
      <c r="F1830">
        <v>0</v>
      </c>
    </row>
    <row r="1831" hidden="1" spans="1:6">
      <c r="A1831" s="2" t="s">
        <v>1950</v>
      </c>
      <c r="B1831" s="3">
        <v>91</v>
      </c>
      <c r="C1831">
        <v>3</v>
      </c>
      <c r="D1831" t="s">
        <v>40</v>
      </c>
      <c r="E1831">
        <f>70/30</f>
        <v>2.33333333333333</v>
      </c>
      <c r="F1831">
        <v>0</v>
      </c>
    </row>
    <row r="1832" hidden="1" spans="1:6">
      <c r="A1832" s="2" t="s">
        <v>1951</v>
      </c>
      <c r="B1832" s="3">
        <v>91</v>
      </c>
      <c r="C1832">
        <v>3</v>
      </c>
      <c r="D1832" t="s">
        <v>42</v>
      </c>
      <c r="E1832">
        <f>41/30</f>
        <v>1.36666666666667</v>
      </c>
      <c r="F1832">
        <v>0</v>
      </c>
    </row>
    <row r="1833" hidden="1" spans="1:6">
      <c r="A1833" s="2" t="s">
        <v>1952</v>
      </c>
      <c r="B1833" s="3">
        <v>91</v>
      </c>
      <c r="C1833">
        <v>3</v>
      </c>
      <c r="D1833" t="s">
        <v>44</v>
      </c>
      <c r="E1833">
        <f>220/30</f>
        <v>7.33333333333333</v>
      </c>
      <c r="F1833">
        <v>0</v>
      </c>
    </row>
    <row r="1834" ht="16.5" hidden="1" spans="1:11">
      <c r="A1834" s="2" t="s">
        <v>1953</v>
      </c>
      <c r="B1834" s="3">
        <v>91</v>
      </c>
      <c r="C1834">
        <v>3</v>
      </c>
      <c r="D1834" t="s">
        <v>1406</v>
      </c>
      <c r="E1834">
        <f>41/30</f>
        <v>1.36666666666667</v>
      </c>
      <c r="F1834">
        <v>0</v>
      </c>
      <c r="G1834">
        <v>0</v>
      </c>
      <c r="H1834">
        <v>2</v>
      </c>
      <c r="I1834" s="91">
        <v>2722</v>
      </c>
      <c r="J1834" t="s">
        <v>58</v>
      </c>
      <c r="K1834">
        <v>1</v>
      </c>
    </row>
    <row r="1835" hidden="1" spans="1:6">
      <c r="A1835" s="2" t="s">
        <v>1954</v>
      </c>
      <c r="B1835" s="3">
        <v>1231</v>
      </c>
      <c r="C1835">
        <v>3</v>
      </c>
      <c r="D1835" t="s">
        <v>36</v>
      </c>
      <c r="E1835">
        <f>44/30</f>
        <v>1.46666666666667</v>
      </c>
      <c r="F1835">
        <v>0</v>
      </c>
    </row>
    <row r="1836" hidden="1" spans="1:6">
      <c r="A1836" s="2" t="s">
        <v>1955</v>
      </c>
      <c r="B1836" s="3">
        <v>1231</v>
      </c>
      <c r="C1836">
        <v>3</v>
      </c>
      <c r="D1836" t="s">
        <v>38</v>
      </c>
      <c r="E1836">
        <f>86/30</f>
        <v>2.86666666666667</v>
      </c>
      <c r="F1836">
        <v>0</v>
      </c>
    </row>
    <row r="1837" hidden="1" spans="1:6">
      <c r="A1837" s="2" t="s">
        <v>1956</v>
      </c>
      <c r="B1837" s="3">
        <v>1231</v>
      </c>
      <c r="C1837">
        <v>3</v>
      </c>
      <c r="D1837" t="s">
        <v>40</v>
      </c>
      <c r="E1837">
        <f>76/30</f>
        <v>2.53333333333333</v>
      </c>
      <c r="F1837">
        <v>0</v>
      </c>
    </row>
    <row r="1838" hidden="1" spans="1:6">
      <c r="A1838" s="2" t="s">
        <v>1957</v>
      </c>
      <c r="B1838" s="3">
        <v>1233</v>
      </c>
      <c r="C1838">
        <v>3</v>
      </c>
      <c r="D1838" t="s">
        <v>36</v>
      </c>
      <c r="E1838">
        <f>53/30</f>
        <v>1.76666666666667</v>
      </c>
      <c r="F1838">
        <v>0</v>
      </c>
    </row>
    <row r="1839" hidden="1" spans="1:6">
      <c r="A1839" s="2" t="s">
        <v>1958</v>
      </c>
      <c r="B1839" s="3">
        <v>1233</v>
      </c>
      <c r="C1839">
        <v>3</v>
      </c>
      <c r="D1839" t="s">
        <v>38</v>
      </c>
      <c r="E1839">
        <f>79/30</f>
        <v>2.63333333333333</v>
      </c>
      <c r="F1839">
        <v>0</v>
      </c>
    </row>
    <row r="1840" hidden="1" spans="1:6">
      <c r="A1840" s="2" t="s">
        <v>1959</v>
      </c>
      <c r="B1840" s="3">
        <v>1233</v>
      </c>
      <c r="C1840">
        <v>3</v>
      </c>
      <c r="D1840" t="s">
        <v>40</v>
      </c>
      <c r="E1840">
        <f>150/30</f>
        <v>5</v>
      </c>
      <c r="F1840">
        <v>0</v>
      </c>
    </row>
    <row r="1841" hidden="1" spans="1:6">
      <c r="A1841" s="2" t="s">
        <v>1960</v>
      </c>
      <c r="B1841" s="3">
        <v>2267</v>
      </c>
      <c r="C1841">
        <v>3</v>
      </c>
      <c r="D1841" t="s">
        <v>36</v>
      </c>
      <c r="E1841">
        <f>48/30</f>
        <v>1.6</v>
      </c>
      <c r="F1841">
        <v>0</v>
      </c>
    </row>
    <row r="1842" hidden="1" spans="1:6">
      <c r="A1842" s="2" t="s">
        <v>1961</v>
      </c>
      <c r="B1842" s="3">
        <v>2267</v>
      </c>
      <c r="C1842">
        <v>3</v>
      </c>
      <c r="D1842" t="s">
        <v>38</v>
      </c>
      <c r="E1842">
        <f>98/30</f>
        <v>3.26666666666667</v>
      </c>
      <c r="F1842">
        <v>0</v>
      </c>
    </row>
    <row r="1843" hidden="1" spans="1:6">
      <c r="A1843" s="2" t="s">
        <v>1962</v>
      </c>
      <c r="B1843" s="3">
        <v>2269</v>
      </c>
      <c r="C1843">
        <v>3</v>
      </c>
      <c r="D1843" t="s">
        <v>36</v>
      </c>
      <c r="E1843">
        <f>62/30</f>
        <v>2.06666666666667</v>
      </c>
      <c r="F1843">
        <v>0</v>
      </c>
    </row>
    <row r="1844" hidden="1" spans="1:6">
      <c r="A1844" s="2" t="s">
        <v>1963</v>
      </c>
      <c r="B1844" s="3">
        <v>93</v>
      </c>
      <c r="C1844">
        <v>3</v>
      </c>
      <c r="D1844" t="s">
        <v>36</v>
      </c>
      <c r="E1844">
        <f>114/30</f>
        <v>3.8</v>
      </c>
      <c r="F1844">
        <v>0</v>
      </c>
    </row>
    <row r="1845" hidden="1" spans="1:6">
      <c r="A1845" s="2" t="s">
        <v>1964</v>
      </c>
      <c r="B1845" s="3">
        <v>93</v>
      </c>
      <c r="C1845">
        <v>3</v>
      </c>
      <c r="D1845" t="s">
        <v>38</v>
      </c>
      <c r="E1845">
        <f>115/30</f>
        <v>3.83333333333333</v>
      </c>
      <c r="F1845">
        <v>0</v>
      </c>
    </row>
    <row r="1846" hidden="1" spans="1:6">
      <c r="A1846" s="2" t="s">
        <v>1965</v>
      </c>
      <c r="B1846" s="3">
        <v>93</v>
      </c>
      <c r="C1846">
        <v>3</v>
      </c>
      <c r="D1846" t="s">
        <v>40</v>
      </c>
      <c r="E1846">
        <f>141/30</f>
        <v>4.7</v>
      </c>
      <c r="F1846">
        <v>0</v>
      </c>
    </row>
    <row r="1847" hidden="1" spans="1:6">
      <c r="A1847" s="2" t="s">
        <v>1966</v>
      </c>
      <c r="B1847" s="3">
        <v>93</v>
      </c>
      <c r="C1847">
        <v>3</v>
      </c>
      <c r="D1847" t="s">
        <v>42</v>
      </c>
      <c r="E1847">
        <f>113/30</f>
        <v>3.76666666666667</v>
      </c>
      <c r="F1847">
        <v>0</v>
      </c>
    </row>
    <row r="1848" hidden="1" spans="1:6">
      <c r="A1848" s="2" t="s">
        <v>1967</v>
      </c>
      <c r="B1848" s="3">
        <v>93</v>
      </c>
      <c r="C1848">
        <v>3</v>
      </c>
      <c r="D1848" t="s">
        <v>44</v>
      </c>
      <c r="E1848">
        <f>125/30</f>
        <v>4.16666666666667</v>
      </c>
      <c r="F1848">
        <v>0</v>
      </c>
    </row>
    <row r="1849" hidden="1" spans="1:6">
      <c r="A1849" s="2" t="s">
        <v>1968</v>
      </c>
      <c r="B1849" s="3">
        <v>93</v>
      </c>
      <c r="C1849">
        <v>3</v>
      </c>
      <c r="D1849" t="s">
        <v>46</v>
      </c>
      <c r="E1849">
        <f>408/30</f>
        <v>13.6</v>
      </c>
      <c r="F1849">
        <v>0</v>
      </c>
    </row>
    <row r="1850" hidden="1" spans="1:6">
      <c r="A1850" s="2" t="s">
        <v>1969</v>
      </c>
      <c r="B1850" s="3">
        <v>93</v>
      </c>
      <c r="C1850">
        <v>3</v>
      </c>
      <c r="D1850" t="s">
        <v>86</v>
      </c>
      <c r="E1850">
        <f>400/30</f>
        <v>13.3333333333333</v>
      </c>
      <c r="F1850">
        <v>0</v>
      </c>
    </row>
    <row r="1851" hidden="1" spans="1:6">
      <c r="A1851" s="2" t="s">
        <v>1970</v>
      </c>
      <c r="B1851" s="3">
        <v>93</v>
      </c>
      <c r="C1851">
        <v>3</v>
      </c>
      <c r="D1851" t="s">
        <v>50</v>
      </c>
      <c r="E1851">
        <f>50/30</f>
        <v>1.66666666666667</v>
      </c>
      <c r="F1851">
        <v>0</v>
      </c>
    </row>
    <row r="1852" hidden="1" spans="1:6">
      <c r="A1852" s="2" t="s">
        <v>1971</v>
      </c>
      <c r="B1852" s="3">
        <v>93</v>
      </c>
      <c r="C1852">
        <v>3</v>
      </c>
      <c r="D1852" t="s">
        <v>90</v>
      </c>
      <c r="E1852">
        <f>408/30</f>
        <v>13.6</v>
      </c>
      <c r="F1852">
        <v>0</v>
      </c>
    </row>
    <row r="1853" hidden="1" spans="1:6">
      <c r="A1853" s="2" t="s">
        <v>1972</v>
      </c>
      <c r="B1853" s="3">
        <v>30043</v>
      </c>
      <c r="C1853">
        <v>3</v>
      </c>
      <c r="D1853" t="s">
        <v>86</v>
      </c>
      <c r="E1853">
        <f>400/30</f>
        <v>13.3333333333333</v>
      </c>
      <c r="F1853">
        <v>0</v>
      </c>
    </row>
    <row r="1854" hidden="1" spans="1:6">
      <c r="A1854" s="2" t="s">
        <v>1973</v>
      </c>
      <c r="B1854" s="3">
        <v>30043</v>
      </c>
      <c r="C1854">
        <v>3</v>
      </c>
      <c r="D1854" t="s">
        <v>50</v>
      </c>
      <c r="E1854">
        <f>360/30</f>
        <v>12</v>
      </c>
      <c r="F1854">
        <v>0</v>
      </c>
    </row>
    <row r="1855" ht="16.5" hidden="1" spans="1:11">
      <c r="A1855" s="2" t="s">
        <v>1974</v>
      </c>
      <c r="B1855" s="3">
        <v>93</v>
      </c>
      <c r="C1855">
        <v>3</v>
      </c>
      <c r="D1855" t="s">
        <v>57</v>
      </c>
      <c r="E1855">
        <v>3</v>
      </c>
      <c r="F1855">
        <v>0</v>
      </c>
      <c r="G1855" t="s">
        <v>942</v>
      </c>
      <c r="H1855" t="s">
        <v>943</v>
      </c>
      <c r="I1855" s="91" t="s">
        <v>1975</v>
      </c>
      <c r="J1855" s="91" t="s">
        <v>1976</v>
      </c>
      <c r="K1855" t="s">
        <v>1869</v>
      </c>
    </row>
    <row r="1856" hidden="1" spans="1:6">
      <c r="A1856" s="2" t="s">
        <v>1977</v>
      </c>
      <c r="B1856" s="90">
        <v>409301</v>
      </c>
      <c r="C1856">
        <v>3</v>
      </c>
      <c r="D1856" t="s">
        <v>36</v>
      </c>
      <c r="E1856">
        <f>114/30</f>
        <v>3.8</v>
      </c>
      <c r="F1856">
        <v>0</v>
      </c>
    </row>
    <row r="1857" hidden="1" spans="1:6">
      <c r="A1857" s="2" t="s">
        <v>1978</v>
      </c>
      <c r="B1857" s="90">
        <v>409301</v>
      </c>
      <c r="C1857">
        <v>3</v>
      </c>
      <c r="D1857" t="s">
        <v>38</v>
      </c>
      <c r="E1857">
        <f>115/30</f>
        <v>3.83333333333333</v>
      </c>
      <c r="F1857">
        <v>0</v>
      </c>
    </row>
    <row r="1858" hidden="1" spans="1:6">
      <c r="A1858" s="2" t="s">
        <v>1979</v>
      </c>
      <c r="B1858" s="90">
        <v>409301</v>
      </c>
      <c r="C1858">
        <v>3</v>
      </c>
      <c r="D1858" t="s">
        <v>40</v>
      </c>
      <c r="E1858">
        <f>141/30</f>
        <v>4.7</v>
      </c>
      <c r="F1858">
        <v>0</v>
      </c>
    </row>
    <row r="1859" hidden="1" spans="1:6">
      <c r="A1859" s="2" t="s">
        <v>1980</v>
      </c>
      <c r="B1859" s="90">
        <v>409301</v>
      </c>
      <c r="C1859">
        <v>3</v>
      </c>
      <c r="D1859" t="s">
        <v>42</v>
      </c>
      <c r="E1859">
        <f>113/30</f>
        <v>3.76666666666667</v>
      </c>
      <c r="F1859">
        <v>0</v>
      </c>
    </row>
    <row r="1860" hidden="1" spans="1:6">
      <c r="A1860" s="2" t="s">
        <v>1981</v>
      </c>
      <c r="B1860" s="90">
        <v>409301</v>
      </c>
      <c r="C1860">
        <v>3</v>
      </c>
      <c r="D1860" t="s">
        <v>44</v>
      </c>
      <c r="E1860">
        <f>125/30</f>
        <v>4.16666666666667</v>
      </c>
      <c r="F1860">
        <v>0</v>
      </c>
    </row>
    <row r="1861" hidden="1" spans="1:6">
      <c r="A1861" s="2" t="s">
        <v>1982</v>
      </c>
      <c r="B1861" s="90">
        <v>409301</v>
      </c>
      <c r="C1861">
        <v>3</v>
      </c>
      <c r="D1861" t="s">
        <v>46</v>
      </c>
      <c r="E1861">
        <f>408/30</f>
        <v>13.6</v>
      </c>
      <c r="F1861">
        <v>0</v>
      </c>
    </row>
    <row r="1862" hidden="1" spans="1:6">
      <c r="A1862" s="2" t="s">
        <v>1983</v>
      </c>
      <c r="B1862" s="90">
        <v>409301</v>
      </c>
      <c r="C1862">
        <v>3</v>
      </c>
      <c r="D1862" t="s">
        <v>86</v>
      </c>
      <c r="E1862">
        <f>400/30</f>
        <v>13.3333333333333</v>
      </c>
      <c r="F1862">
        <v>0</v>
      </c>
    </row>
    <row r="1863" hidden="1" spans="1:6">
      <c r="A1863" s="2" t="s">
        <v>1984</v>
      </c>
      <c r="B1863" s="90">
        <v>409301</v>
      </c>
      <c r="C1863">
        <v>3</v>
      </c>
      <c r="D1863" t="s">
        <v>50</v>
      </c>
      <c r="E1863">
        <f>50/30</f>
        <v>1.66666666666667</v>
      </c>
      <c r="F1863">
        <v>0</v>
      </c>
    </row>
    <row r="1864" hidden="1" spans="1:6">
      <c r="A1864" s="2" t="s">
        <v>1985</v>
      </c>
      <c r="B1864" s="90">
        <v>409301</v>
      </c>
      <c r="C1864">
        <v>3</v>
      </c>
      <c r="D1864" t="s">
        <v>90</v>
      </c>
      <c r="E1864">
        <f>408/30</f>
        <v>13.6</v>
      </c>
      <c r="F1864">
        <v>0</v>
      </c>
    </row>
    <row r="1865" ht="16.5" hidden="1" spans="1:11">
      <c r="A1865" s="2" t="s">
        <v>1986</v>
      </c>
      <c r="B1865" s="90">
        <v>409301</v>
      </c>
      <c r="C1865">
        <v>3</v>
      </c>
      <c r="D1865" t="s">
        <v>57</v>
      </c>
      <c r="E1865">
        <v>3</v>
      </c>
      <c r="F1865">
        <v>0</v>
      </c>
      <c r="G1865" t="s">
        <v>942</v>
      </c>
      <c r="H1865" t="s">
        <v>943</v>
      </c>
      <c r="I1865" s="91" t="s">
        <v>1975</v>
      </c>
      <c r="J1865" s="91" t="s">
        <v>1976</v>
      </c>
      <c r="K1865" t="s">
        <v>1869</v>
      </c>
    </row>
    <row r="1866" hidden="1" spans="1:6">
      <c r="A1866" s="2" t="s">
        <v>1987</v>
      </c>
      <c r="B1866" s="100">
        <v>1234</v>
      </c>
      <c r="C1866">
        <v>3</v>
      </c>
      <c r="D1866" t="s">
        <v>36</v>
      </c>
      <c r="E1866">
        <f>120/30</f>
        <v>4</v>
      </c>
      <c r="F1866">
        <v>0</v>
      </c>
    </row>
    <row r="1867" hidden="1" spans="1:6">
      <c r="A1867" s="2" t="s">
        <v>1988</v>
      </c>
      <c r="B1867" s="100">
        <v>1234</v>
      </c>
      <c r="C1867">
        <v>3</v>
      </c>
      <c r="D1867" t="s">
        <v>38</v>
      </c>
      <c r="E1867">
        <f>95/30</f>
        <v>3.16666666666667</v>
      </c>
      <c r="F1867">
        <v>0</v>
      </c>
    </row>
    <row r="1868" hidden="1" spans="1:6">
      <c r="A1868" s="2" t="s">
        <v>1989</v>
      </c>
      <c r="B1868" s="100">
        <v>1234</v>
      </c>
      <c r="C1868">
        <v>3</v>
      </c>
      <c r="D1868" t="s">
        <v>40</v>
      </c>
      <c r="E1868">
        <f>65/30</f>
        <v>2.16666666666667</v>
      </c>
      <c r="F1868">
        <v>0</v>
      </c>
    </row>
    <row r="1869" hidden="1" spans="1:6">
      <c r="A1869" s="2" t="s">
        <v>1990</v>
      </c>
      <c r="B1869" s="100">
        <v>1234</v>
      </c>
      <c r="C1869">
        <v>3</v>
      </c>
      <c r="D1869" t="s">
        <v>42</v>
      </c>
      <c r="E1869">
        <f>68/30</f>
        <v>2.26666666666667</v>
      </c>
      <c r="F1869">
        <v>0</v>
      </c>
    </row>
    <row r="1870" hidden="1" spans="1:6">
      <c r="A1870" s="2" t="s">
        <v>1991</v>
      </c>
      <c r="B1870" s="100">
        <v>1234</v>
      </c>
      <c r="C1870">
        <v>3</v>
      </c>
      <c r="D1870" t="s">
        <v>44</v>
      </c>
      <c r="E1870">
        <f>280/30</f>
        <v>9.33333333333333</v>
      </c>
      <c r="F1870">
        <v>0</v>
      </c>
    </row>
    <row r="1871" hidden="1" spans="1:6">
      <c r="A1871" s="2" t="s">
        <v>1992</v>
      </c>
      <c r="B1871" s="100">
        <v>1234</v>
      </c>
      <c r="C1871">
        <v>3</v>
      </c>
      <c r="D1871" t="s">
        <v>50</v>
      </c>
      <c r="E1871">
        <f>244/30</f>
        <v>8.13333333333333</v>
      </c>
      <c r="F1871">
        <v>0</v>
      </c>
    </row>
    <row r="1872" hidden="1" spans="1:6">
      <c r="A1872" s="2" t="s">
        <v>1993</v>
      </c>
      <c r="B1872" s="3">
        <v>1235</v>
      </c>
      <c r="C1872">
        <v>3</v>
      </c>
      <c r="D1872" t="s">
        <v>36</v>
      </c>
      <c r="E1872">
        <f>61/30</f>
        <v>2.03333333333333</v>
      </c>
      <c r="F1872">
        <v>0</v>
      </c>
    </row>
    <row r="1873" hidden="1" spans="1:6">
      <c r="A1873" s="2" t="s">
        <v>1994</v>
      </c>
      <c r="B1873" s="3">
        <v>1235</v>
      </c>
      <c r="C1873">
        <v>3</v>
      </c>
      <c r="D1873" t="s">
        <v>38</v>
      </c>
      <c r="E1873">
        <f>83/30</f>
        <v>2.76666666666667</v>
      </c>
      <c r="F1873">
        <v>0</v>
      </c>
    </row>
    <row r="1874" hidden="1" spans="1:11">
      <c r="A1874" s="2" t="s">
        <v>1995</v>
      </c>
      <c r="B1874" s="3">
        <v>1235</v>
      </c>
      <c r="C1874">
        <v>3</v>
      </c>
      <c r="D1874" t="s">
        <v>1406</v>
      </c>
      <c r="E1874">
        <f>65/30</f>
        <v>2.16666666666667</v>
      </c>
      <c r="F1874">
        <v>0</v>
      </c>
      <c r="G1874">
        <v>0</v>
      </c>
      <c r="H1874">
        <v>2</v>
      </c>
      <c r="I1874">
        <v>2857</v>
      </c>
      <c r="J1874" t="s">
        <v>58</v>
      </c>
      <c r="K1874">
        <v>1</v>
      </c>
    </row>
    <row r="1875" hidden="1" spans="1:6">
      <c r="A1875" s="2" t="s">
        <v>1996</v>
      </c>
      <c r="B1875" s="3">
        <v>1235</v>
      </c>
      <c r="C1875">
        <v>3</v>
      </c>
      <c r="D1875" t="s">
        <v>42</v>
      </c>
      <c r="E1875">
        <f>189/30</f>
        <v>6.3</v>
      </c>
      <c r="F1875">
        <v>0</v>
      </c>
    </row>
    <row r="1876" hidden="1" spans="1:6">
      <c r="A1876" s="2" t="s">
        <v>1997</v>
      </c>
      <c r="B1876" s="3">
        <v>1235</v>
      </c>
      <c r="C1876">
        <v>3</v>
      </c>
      <c r="D1876" t="s">
        <v>44</v>
      </c>
      <c r="E1876">
        <f>175/30</f>
        <v>5.83333333333333</v>
      </c>
      <c r="F1876">
        <v>0</v>
      </c>
    </row>
    <row r="1877" hidden="1" spans="1:6">
      <c r="A1877" s="2" t="s">
        <v>1998</v>
      </c>
      <c r="B1877" s="3">
        <v>1236</v>
      </c>
      <c r="C1877">
        <v>3</v>
      </c>
      <c r="D1877" t="s">
        <v>36</v>
      </c>
      <c r="E1877">
        <f>91/30</f>
        <v>3.03333333333333</v>
      </c>
      <c r="F1877">
        <v>0</v>
      </c>
    </row>
    <row r="1878" hidden="1" spans="1:6">
      <c r="A1878" s="2" t="s">
        <v>1999</v>
      </c>
      <c r="B1878" s="3">
        <v>1236</v>
      </c>
      <c r="C1878">
        <v>3</v>
      </c>
      <c r="D1878" t="s">
        <v>38</v>
      </c>
      <c r="E1878">
        <f>230/30</f>
        <v>7.66666666666667</v>
      </c>
      <c r="F1878">
        <v>0</v>
      </c>
    </row>
    <row r="1879" hidden="1" spans="1:6">
      <c r="A1879" s="2" t="s">
        <v>2000</v>
      </c>
      <c r="B1879" s="3">
        <v>1237</v>
      </c>
      <c r="C1879">
        <v>3</v>
      </c>
      <c r="D1879" t="s">
        <v>36</v>
      </c>
      <c r="E1879">
        <f>104/30</f>
        <v>3.46666666666667</v>
      </c>
      <c r="F1879">
        <v>0</v>
      </c>
    </row>
    <row r="1880" hidden="1" spans="1:6">
      <c r="A1880" s="2" t="s">
        <v>2001</v>
      </c>
      <c r="B1880" s="3">
        <v>1237</v>
      </c>
      <c r="C1880">
        <v>3</v>
      </c>
      <c r="D1880" t="s">
        <v>38</v>
      </c>
      <c r="E1880">
        <f>90/30</f>
        <v>3</v>
      </c>
      <c r="F1880">
        <v>0</v>
      </c>
    </row>
    <row r="1881" hidden="1" spans="1:6">
      <c r="A1881" s="2" t="s">
        <v>2002</v>
      </c>
      <c r="B1881" s="3">
        <v>1237</v>
      </c>
      <c r="C1881">
        <v>3</v>
      </c>
      <c r="D1881" t="s">
        <v>40</v>
      </c>
      <c r="E1881">
        <f>100/30</f>
        <v>3.33333333333333</v>
      </c>
      <c r="F1881">
        <v>0</v>
      </c>
    </row>
    <row r="1882" hidden="1" spans="1:6">
      <c r="A1882" s="2" t="s">
        <v>2003</v>
      </c>
      <c r="B1882" s="3">
        <v>1238</v>
      </c>
      <c r="C1882">
        <v>3</v>
      </c>
      <c r="D1882" t="s">
        <v>36</v>
      </c>
      <c r="E1882">
        <f>69/30</f>
        <v>2.3</v>
      </c>
      <c r="F1882">
        <v>0</v>
      </c>
    </row>
    <row r="1883" hidden="1" spans="1:6">
      <c r="A1883" s="2" t="s">
        <v>2004</v>
      </c>
      <c r="B1883" s="3">
        <v>1238</v>
      </c>
      <c r="C1883">
        <v>3</v>
      </c>
      <c r="D1883" t="s">
        <v>38</v>
      </c>
      <c r="E1883">
        <f>101/30</f>
        <v>3.36666666666667</v>
      </c>
      <c r="F1883">
        <v>0</v>
      </c>
    </row>
    <row r="1884" hidden="1" spans="1:6">
      <c r="A1884" s="2" t="s">
        <v>2005</v>
      </c>
      <c r="B1884" s="3">
        <v>1238</v>
      </c>
      <c r="C1884">
        <v>3</v>
      </c>
      <c r="D1884" t="s">
        <v>40</v>
      </c>
      <c r="E1884">
        <f>66/30</f>
        <v>2.2</v>
      </c>
      <c r="F1884">
        <v>0</v>
      </c>
    </row>
    <row r="1885" hidden="1" spans="1:6">
      <c r="A1885" s="2" t="s">
        <v>2006</v>
      </c>
      <c r="B1885" s="3">
        <v>1239</v>
      </c>
      <c r="C1885">
        <v>3</v>
      </c>
      <c r="D1885" t="s">
        <v>36</v>
      </c>
      <c r="E1885">
        <f>105/30</f>
        <v>3.5</v>
      </c>
      <c r="F1885">
        <v>0</v>
      </c>
    </row>
    <row r="1886" hidden="1" spans="1:6">
      <c r="A1886" s="2" t="s">
        <v>2007</v>
      </c>
      <c r="B1886" s="3">
        <v>1239</v>
      </c>
      <c r="C1886">
        <v>3</v>
      </c>
      <c r="D1886" t="s">
        <v>38</v>
      </c>
      <c r="E1886">
        <f>143/30</f>
        <v>4.76666666666667</v>
      </c>
      <c r="F1886">
        <v>0</v>
      </c>
    </row>
    <row r="1887" hidden="1" spans="1:6">
      <c r="A1887" s="2" t="s">
        <v>2008</v>
      </c>
      <c r="B1887" s="3">
        <v>1239</v>
      </c>
      <c r="C1887">
        <v>3</v>
      </c>
      <c r="D1887" t="s">
        <v>40</v>
      </c>
      <c r="E1887">
        <f>112/30</f>
        <v>3.73333333333333</v>
      </c>
      <c r="F1887">
        <v>0</v>
      </c>
    </row>
    <row r="1888" hidden="1" spans="1:6">
      <c r="A1888" s="2" t="s">
        <v>2009</v>
      </c>
      <c r="B1888" s="3">
        <v>1240</v>
      </c>
      <c r="C1888">
        <v>3</v>
      </c>
      <c r="D1888" t="s">
        <v>36</v>
      </c>
      <c r="E1888">
        <f>110/30</f>
        <v>3.66666666666667</v>
      </c>
      <c r="F1888">
        <v>0</v>
      </c>
    </row>
    <row r="1889" hidden="1" spans="1:6">
      <c r="A1889" s="2" t="s">
        <v>2010</v>
      </c>
      <c r="B1889" s="3">
        <v>1240</v>
      </c>
      <c r="C1889">
        <v>3</v>
      </c>
      <c r="D1889" t="s">
        <v>38</v>
      </c>
      <c r="E1889">
        <f>125/30</f>
        <v>4.16666666666667</v>
      </c>
      <c r="F1889">
        <v>0</v>
      </c>
    </row>
    <row r="1890" hidden="1" spans="1:6">
      <c r="A1890" s="2" t="s">
        <v>2011</v>
      </c>
      <c r="B1890" s="3">
        <v>1240</v>
      </c>
      <c r="C1890">
        <v>3</v>
      </c>
      <c r="D1890" t="s">
        <v>40</v>
      </c>
      <c r="E1890">
        <f>90/30</f>
        <v>3</v>
      </c>
      <c r="F1890">
        <v>0</v>
      </c>
    </row>
    <row r="1891" hidden="1" spans="1:6">
      <c r="A1891" s="2" t="s">
        <v>2012</v>
      </c>
      <c r="B1891" s="3">
        <v>1240</v>
      </c>
      <c r="C1891">
        <v>3</v>
      </c>
      <c r="D1891" t="s">
        <v>42</v>
      </c>
      <c r="E1891">
        <f>200/30</f>
        <v>6.66666666666667</v>
      </c>
      <c r="F1891">
        <v>0</v>
      </c>
    </row>
    <row r="1892" hidden="1" spans="1:6">
      <c r="A1892" s="2" t="s">
        <v>2013</v>
      </c>
      <c r="B1892" s="3">
        <v>1241</v>
      </c>
      <c r="C1892">
        <v>3</v>
      </c>
      <c r="D1892" t="s">
        <v>36</v>
      </c>
      <c r="E1892">
        <f>64/30</f>
        <v>2.13333333333333</v>
      </c>
      <c r="F1892">
        <v>0</v>
      </c>
    </row>
    <row r="1893" hidden="1" spans="1:6">
      <c r="A1893" s="2" t="s">
        <v>2014</v>
      </c>
      <c r="B1893" s="3">
        <v>1241</v>
      </c>
      <c r="C1893">
        <v>3</v>
      </c>
      <c r="D1893" t="s">
        <v>38</v>
      </c>
      <c r="E1893">
        <f>89/30</f>
        <v>2.96666666666667</v>
      </c>
      <c r="F1893">
        <v>0</v>
      </c>
    </row>
    <row r="1894" hidden="1" spans="1:6">
      <c r="A1894" s="2" t="s">
        <v>2015</v>
      </c>
      <c r="B1894" s="3">
        <v>1241</v>
      </c>
      <c r="C1894">
        <v>3</v>
      </c>
      <c r="D1894" t="s">
        <v>40</v>
      </c>
      <c r="E1894">
        <f>59/30</f>
        <v>1.96666666666667</v>
      </c>
      <c r="F1894">
        <v>0</v>
      </c>
    </row>
    <row r="1895" hidden="1" spans="1:6">
      <c r="A1895" s="2" t="s">
        <v>2016</v>
      </c>
      <c r="B1895" s="3">
        <v>1241</v>
      </c>
      <c r="C1895">
        <v>3</v>
      </c>
      <c r="D1895" t="s">
        <v>42</v>
      </c>
      <c r="E1895">
        <f>85/30</f>
        <v>2.83333333333333</v>
      </c>
      <c r="F1895">
        <v>0</v>
      </c>
    </row>
    <row r="1896" hidden="1" spans="1:6">
      <c r="A1896" s="2" t="s">
        <v>2017</v>
      </c>
      <c r="B1896" s="3">
        <v>1242</v>
      </c>
      <c r="C1896">
        <v>3</v>
      </c>
      <c r="D1896" t="s">
        <v>36</v>
      </c>
      <c r="E1896">
        <f>133/30</f>
        <v>4.43333333333333</v>
      </c>
      <c r="F1896">
        <v>0</v>
      </c>
    </row>
    <row r="1897" hidden="1" spans="1:6">
      <c r="A1897" s="2" t="s">
        <v>2018</v>
      </c>
      <c r="B1897" s="3">
        <v>1242</v>
      </c>
      <c r="C1897">
        <v>3</v>
      </c>
      <c r="D1897" t="s">
        <v>38</v>
      </c>
      <c r="E1897">
        <f>120/30</f>
        <v>4</v>
      </c>
      <c r="F1897">
        <v>0</v>
      </c>
    </row>
    <row r="1898" hidden="1" spans="1:6">
      <c r="A1898" s="2" t="s">
        <v>2019</v>
      </c>
      <c r="B1898" s="3">
        <v>1242</v>
      </c>
      <c r="C1898">
        <v>3</v>
      </c>
      <c r="D1898" t="s">
        <v>42</v>
      </c>
      <c r="E1898">
        <f>110/30</f>
        <v>3.66666666666667</v>
      </c>
      <c r="F1898">
        <v>0</v>
      </c>
    </row>
    <row r="1899" hidden="1" spans="1:6">
      <c r="A1899" s="2" t="s">
        <v>2020</v>
      </c>
      <c r="B1899" s="3">
        <v>1242</v>
      </c>
      <c r="C1899">
        <v>3</v>
      </c>
      <c r="D1899" t="s">
        <v>44</v>
      </c>
      <c r="E1899">
        <f>210/30</f>
        <v>7</v>
      </c>
      <c r="F1899">
        <v>0</v>
      </c>
    </row>
    <row r="1900" hidden="1" spans="1:6">
      <c r="A1900" s="53">
        <v>9201</v>
      </c>
      <c r="B1900" s="3">
        <v>92</v>
      </c>
      <c r="C1900">
        <v>3</v>
      </c>
      <c r="D1900" t="s">
        <v>36</v>
      </c>
      <c r="E1900">
        <f>77/30</f>
        <v>2.56666666666667</v>
      </c>
      <c r="F1900">
        <v>0</v>
      </c>
    </row>
    <row r="1901" hidden="1" spans="1:6">
      <c r="A1901" s="53">
        <v>9202</v>
      </c>
      <c r="B1901" s="3">
        <v>92</v>
      </c>
      <c r="C1901">
        <v>3</v>
      </c>
      <c r="D1901" t="s">
        <v>38</v>
      </c>
      <c r="E1901">
        <f>67/30</f>
        <v>2.23333333333333</v>
      </c>
      <c r="F1901">
        <v>0</v>
      </c>
    </row>
    <row r="1902" hidden="1" spans="1:6">
      <c r="A1902" s="53">
        <v>9203</v>
      </c>
      <c r="B1902" s="3">
        <v>92</v>
      </c>
      <c r="C1902">
        <v>3</v>
      </c>
      <c r="D1902" t="s">
        <v>40</v>
      </c>
      <c r="E1902">
        <f>73/30</f>
        <v>2.43333333333333</v>
      </c>
      <c r="F1902">
        <v>0</v>
      </c>
    </row>
    <row r="1903" hidden="1" spans="1:6">
      <c r="A1903" s="53">
        <v>9204</v>
      </c>
      <c r="B1903" s="3">
        <v>92</v>
      </c>
      <c r="C1903">
        <v>3</v>
      </c>
      <c r="D1903" t="s">
        <v>42</v>
      </c>
      <c r="E1903">
        <f>256/30</f>
        <v>8.53333333333333</v>
      </c>
      <c r="F1903">
        <v>0</v>
      </c>
    </row>
    <row r="1904" hidden="1" spans="1:6">
      <c r="A1904" s="53">
        <v>9205</v>
      </c>
      <c r="B1904" s="3">
        <v>92</v>
      </c>
      <c r="C1904">
        <v>3</v>
      </c>
      <c r="D1904" t="s">
        <v>44</v>
      </c>
      <c r="E1904">
        <f>232/30</f>
        <v>7.73333333333333</v>
      </c>
      <c r="F1904">
        <v>0</v>
      </c>
    </row>
    <row r="1905" hidden="1" spans="1:6">
      <c r="A1905" s="53">
        <v>3004206</v>
      </c>
      <c r="B1905" s="3">
        <v>30042</v>
      </c>
      <c r="C1905">
        <v>3</v>
      </c>
      <c r="D1905" t="s">
        <v>46</v>
      </c>
      <c r="E1905">
        <f>68/30</f>
        <v>2.26666666666667</v>
      </c>
      <c r="F1905">
        <v>0</v>
      </c>
    </row>
    <row r="1906" hidden="1" spans="1:6">
      <c r="A1906" s="53">
        <v>3004207</v>
      </c>
      <c r="B1906" s="3">
        <v>30042</v>
      </c>
      <c r="C1906">
        <v>3</v>
      </c>
      <c r="D1906" t="s">
        <v>86</v>
      </c>
      <c r="E1906">
        <f>120/30</f>
        <v>4</v>
      </c>
      <c r="F1906">
        <v>0</v>
      </c>
    </row>
    <row r="1907" hidden="1" spans="1:6">
      <c r="A1907" s="53">
        <v>3004208</v>
      </c>
      <c r="B1907" s="3">
        <v>30042</v>
      </c>
      <c r="C1907">
        <v>3</v>
      </c>
      <c r="D1907" t="s">
        <v>50</v>
      </c>
      <c r="E1907">
        <f>65/30</f>
        <v>2.16666666666667</v>
      </c>
      <c r="F1907">
        <v>0</v>
      </c>
    </row>
    <row r="1908" hidden="1" spans="1:6">
      <c r="A1908" s="53">
        <v>3004209</v>
      </c>
      <c r="B1908" s="3">
        <v>30042</v>
      </c>
      <c r="C1908">
        <v>3</v>
      </c>
      <c r="D1908" t="s">
        <v>90</v>
      </c>
      <c r="E1908">
        <f>226/30</f>
        <v>7.53333333333333</v>
      </c>
      <c r="F1908">
        <v>0</v>
      </c>
    </row>
    <row r="1909" hidden="1" spans="1:6">
      <c r="A1909" s="53">
        <v>40820201</v>
      </c>
      <c r="B1909" s="3">
        <v>408202</v>
      </c>
      <c r="C1909">
        <v>3</v>
      </c>
      <c r="D1909" t="s">
        <v>36</v>
      </c>
      <c r="E1909">
        <f>118/30</f>
        <v>3.93333333333333</v>
      </c>
      <c r="F1909">
        <v>0</v>
      </c>
    </row>
    <row r="1910" hidden="1" spans="1:6">
      <c r="A1910" s="53">
        <v>40820202</v>
      </c>
      <c r="B1910" s="3">
        <v>408202</v>
      </c>
      <c r="C1910">
        <v>3</v>
      </c>
      <c r="D1910" t="s">
        <v>38</v>
      </c>
      <c r="E1910">
        <f>168/30</f>
        <v>5.6</v>
      </c>
      <c r="F1910">
        <v>0</v>
      </c>
    </row>
    <row r="1911" hidden="1" spans="1:6">
      <c r="A1911" s="53">
        <v>40820203</v>
      </c>
      <c r="B1911" s="3">
        <v>408202</v>
      </c>
      <c r="C1911">
        <v>3</v>
      </c>
      <c r="D1911" t="s">
        <v>40</v>
      </c>
      <c r="E1911">
        <f>160/30</f>
        <v>5.33333333333333</v>
      </c>
      <c r="F1911">
        <v>0</v>
      </c>
    </row>
    <row r="1912" hidden="1" spans="1:6">
      <c r="A1912" s="53">
        <v>40820204</v>
      </c>
      <c r="B1912" s="3">
        <v>408202</v>
      </c>
      <c r="C1912">
        <v>3</v>
      </c>
      <c r="D1912" t="s">
        <v>42</v>
      </c>
      <c r="E1912">
        <f>115/30</f>
        <v>3.83333333333333</v>
      </c>
      <c r="F1912">
        <v>0</v>
      </c>
    </row>
    <row r="1913" hidden="1" spans="1:6">
      <c r="A1913" s="53">
        <v>40820205</v>
      </c>
      <c r="B1913" s="3">
        <v>408202</v>
      </c>
      <c r="C1913">
        <v>3</v>
      </c>
      <c r="D1913" t="s">
        <v>44</v>
      </c>
      <c r="E1913">
        <f>110/30</f>
        <v>3.66666666666667</v>
      </c>
      <c r="F1913">
        <v>0</v>
      </c>
    </row>
    <row r="1914" hidden="1" spans="1:6">
      <c r="A1914" s="53">
        <v>40820206</v>
      </c>
      <c r="B1914" s="3">
        <v>408202</v>
      </c>
      <c r="C1914">
        <v>3</v>
      </c>
      <c r="D1914" t="s">
        <v>46</v>
      </c>
      <c r="E1914">
        <f>245/30</f>
        <v>8.16666666666667</v>
      </c>
      <c r="F1914">
        <v>0</v>
      </c>
    </row>
    <row r="1915" hidden="1" spans="1:6">
      <c r="A1915" s="53">
        <v>40820207</v>
      </c>
      <c r="B1915" s="3">
        <v>408202</v>
      </c>
      <c r="C1915">
        <v>3</v>
      </c>
      <c r="D1915" t="s">
        <v>86</v>
      </c>
      <c r="E1915">
        <f>307/30</f>
        <v>10.2333333333333</v>
      </c>
      <c r="F1915">
        <v>0</v>
      </c>
    </row>
    <row r="1916" hidden="1" spans="1:6">
      <c r="A1916" s="53">
        <v>40820208</v>
      </c>
      <c r="B1916" s="3">
        <v>408202</v>
      </c>
      <c r="C1916">
        <v>3</v>
      </c>
      <c r="D1916" t="s">
        <v>50</v>
      </c>
      <c r="E1916">
        <f>260/30</f>
        <v>8.66666666666667</v>
      </c>
      <c r="F1916">
        <v>0</v>
      </c>
    </row>
    <row r="1917" hidden="1" spans="1:11">
      <c r="A1917" s="2" t="s">
        <v>2021</v>
      </c>
      <c r="B1917" s="3">
        <v>408202</v>
      </c>
      <c r="C1917">
        <v>3</v>
      </c>
      <c r="D1917" t="s">
        <v>57</v>
      </c>
      <c r="E1917">
        <f>125/30</f>
        <v>4.16666666666667</v>
      </c>
      <c r="F1917">
        <v>0</v>
      </c>
      <c r="G1917" t="s">
        <v>61</v>
      </c>
      <c r="H1917" t="s">
        <v>62</v>
      </c>
      <c r="I1917" t="s">
        <v>1689</v>
      </c>
      <c r="J1917" t="s">
        <v>1690</v>
      </c>
      <c r="K1917" t="s">
        <v>95</v>
      </c>
    </row>
    <row r="1918" hidden="1" spans="1:11">
      <c r="A1918" s="2" t="s">
        <v>2022</v>
      </c>
      <c r="B1918" s="3">
        <v>408202</v>
      </c>
      <c r="C1918">
        <v>3</v>
      </c>
      <c r="D1918" t="s">
        <v>1406</v>
      </c>
      <c r="E1918">
        <f>60/30</f>
        <v>2</v>
      </c>
      <c r="F1918">
        <v>0</v>
      </c>
      <c r="G1918">
        <v>0</v>
      </c>
      <c r="H1918">
        <v>1</v>
      </c>
      <c r="I1918">
        <v>2275</v>
      </c>
      <c r="J1918" t="s">
        <v>58</v>
      </c>
      <c r="K1918">
        <v>0</v>
      </c>
    </row>
    <row r="1919" hidden="1" spans="1:6">
      <c r="A1919" s="2" t="s">
        <v>2023</v>
      </c>
      <c r="B1919" s="3">
        <v>404705</v>
      </c>
      <c r="C1919">
        <v>3</v>
      </c>
      <c r="D1919" t="s">
        <v>36</v>
      </c>
      <c r="E1919">
        <f>90/30</f>
        <v>3</v>
      </c>
      <c r="F1919">
        <v>0</v>
      </c>
    </row>
    <row r="1920" hidden="1" spans="1:6">
      <c r="A1920" s="2">
        <v>40470502</v>
      </c>
      <c r="B1920" s="3">
        <v>404705</v>
      </c>
      <c r="C1920">
        <v>3</v>
      </c>
      <c r="D1920" t="s">
        <v>38</v>
      </c>
      <c r="E1920">
        <f>70/30</f>
        <v>2.33333333333333</v>
      </c>
      <c r="F1920">
        <v>0</v>
      </c>
    </row>
    <row r="1921" hidden="1" spans="1:6">
      <c r="A1921" s="2">
        <v>40470503</v>
      </c>
      <c r="B1921" s="3">
        <v>404705</v>
      </c>
      <c r="C1921">
        <v>3</v>
      </c>
      <c r="D1921" t="s">
        <v>40</v>
      </c>
      <c r="E1921">
        <f>45/30</f>
        <v>1.5</v>
      </c>
      <c r="F1921">
        <v>0</v>
      </c>
    </row>
    <row r="1922" hidden="1" spans="1:6">
      <c r="A1922" s="2">
        <v>40470504</v>
      </c>
      <c r="B1922" s="3">
        <v>404705</v>
      </c>
      <c r="C1922">
        <v>3</v>
      </c>
      <c r="D1922" t="s">
        <v>42</v>
      </c>
      <c r="E1922">
        <f>36/30</f>
        <v>1.2</v>
      </c>
      <c r="F1922">
        <v>0</v>
      </c>
    </row>
    <row r="1923" hidden="1" spans="1:6">
      <c r="A1923" s="2">
        <v>40470505</v>
      </c>
      <c r="B1923" s="3">
        <v>404705</v>
      </c>
      <c r="C1923">
        <v>3</v>
      </c>
      <c r="D1923" t="s">
        <v>44</v>
      </c>
      <c r="E1923">
        <f>95/30</f>
        <v>3.16666666666667</v>
      </c>
      <c r="F1923">
        <v>0</v>
      </c>
    </row>
    <row r="1924" hidden="1" spans="1:6">
      <c r="A1924" s="2">
        <v>40470506</v>
      </c>
      <c r="B1924" s="3">
        <v>404705</v>
      </c>
      <c r="C1924">
        <v>3</v>
      </c>
      <c r="D1924" t="s">
        <v>46</v>
      </c>
      <c r="E1924">
        <f>300/30</f>
        <v>10</v>
      </c>
      <c r="F1924">
        <v>0</v>
      </c>
    </row>
    <row r="1925" hidden="1" spans="1:6">
      <c r="A1925" s="2">
        <v>40470507</v>
      </c>
      <c r="B1925" s="3">
        <v>404705</v>
      </c>
      <c r="C1925">
        <v>3</v>
      </c>
      <c r="D1925" t="s">
        <v>86</v>
      </c>
      <c r="E1925">
        <f>360/30</f>
        <v>12</v>
      </c>
      <c r="F1925">
        <v>0</v>
      </c>
    </row>
    <row r="1926" hidden="1" spans="1:6">
      <c r="A1926" s="2">
        <v>40470508</v>
      </c>
      <c r="B1926" s="3">
        <v>404705</v>
      </c>
      <c r="C1926">
        <v>3</v>
      </c>
      <c r="D1926" t="s">
        <v>50</v>
      </c>
      <c r="E1926">
        <f>290/30</f>
        <v>9.66666666666667</v>
      </c>
      <c r="F1926">
        <v>0</v>
      </c>
    </row>
    <row r="1927" hidden="1" spans="1:11">
      <c r="A1927" s="2" t="s">
        <v>2024</v>
      </c>
      <c r="B1927" s="3">
        <v>404705</v>
      </c>
      <c r="C1927">
        <v>3</v>
      </c>
      <c r="D1927" t="s">
        <v>97</v>
      </c>
      <c r="E1927">
        <v>3.33333333333333</v>
      </c>
      <c r="F1927">
        <v>0</v>
      </c>
      <c r="G1927">
        <v>0</v>
      </c>
      <c r="H1927">
        <v>2</v>
      </c>
      <c r="I1927">
        <v>1965</v>
      </c>
      <c r="J1927" t="s">
        <v>58</v>
      </c>
      <c r="K1927">
        <v>1</v>
      </c>
    </row>
    <row r="1928" hidden="1" spans="1:6">
      <c r="A1928" s="2" t="s">
        <v>2025</v>
      </c>
      <c r="B1928" s="3">
        <v>407303</v>
      </c>
      <c r="C1928">
        <v>3</v>
      </c>
      <c r="D1928" t="s">
        <v>36</v>
      </c>
      <c r="E1928">
        <v>2.56666666666667</v>
      </c>
      <c r="F1928">
        <v>0</v>
      </c>
    </row>
    <row r="1929" hidden="1" spans="1:6">
      <c r="A1929" s="2" t="s">
        <v>2026</v>
      </c>
      <c r="B1929" s="3">
        <v>407303</v>
      </c>
      <c r="C1929">
        <v>3</v>
      </c>
      <c r="D1929" t="s">
        <v>38</v>
      </c>
      <c r="E1929">
        <v>2.73333333333333</v>
      </c>
      <c r="F1929">
        <v>0</v>
      </c>
    </row>
    <row r="1930" hidden="1" spans="1:6">
      <c r="A1930" s="2" t="s">
        <v>2027</v>
      </c>
      <c r="B1930" s="3">
        <v>407303</v>
      </c>
      <c r="C1930">
        <v>3</v>
      </c>
      <c r="D1930" t="s">
        <v>40</v>
      </c>
      <c r="E1930">
        <v>3.73333333333333</v>
      </c>
      <c r="F1930">
        <v>0</v>
      </c>
    </row>
    <row r="1931" hidden="1" spans="1:6">
      <c r="A1931" s="2" t="s">
        <v>2028</v>
      </c>
      <c r="B1931" s="3">
        <v>407303</v>
      </c>
      <c r="C1931">
        <v>3</v>
      </c>
      <c r="D1931" t="s">
        <v>42</v>
      </c>
      <c r="E1931">
        <v>2.83333333333333</v>
      </c>
      <c r="F1931">
        <v>0</v>
      </c>
    </row>
    <row r="1932" hidden="1" spans="1:6">
      <c r="A1932" s="2" t="s">
        <v>2029</v>
      </c>
      <c r="B1932" s="3">
        <v>407303</v>
      </c>
      <c r="C1932">
        <v>3</v>
      </c>
      <c r="D1932" t="s">
        <v>44</v>
      </c>
      <c r="E1932">
        <v>2.66666666666667</v>
      </c>
      <c r="F1932">
        <v>0</v>
      </c>
    </row>
    <row r="1933" hidden="1" spans="1:6">
      <c r="A1933" s="2" t="s">
        <v>2030</v>
      </c>
      <c r="B1933" s="3">
        <v>407303</v>
      </c>
      <c r="C1933">
        <v>3</v>
      </c>
      <c r="D1933" t="s">
        <v>46</v>
      </c>
      <c r="E1933">
        <v>7</v>
      </c>
      <c r="F1933">
        <v>0</v>
      </c>
    </row>
    <row r="1934" hidden="1" spans="1:6">
      <c r="A1934" s="2" t="s">
        <v>2031</v>
      </c>
      <c r="B1934" s="3">
        <v>407303</v>
      </c>
      <c r="C1934">
        <v>3</v>
      </c>
      <c r="D1934" t="s">
        <v>86</v>
      </c>
      <c r="E1934">
        <v>8.66666666666667</v>
      </c>
      <c r="F1934">
        <v>0</v>
      </c>
    </row>
    <row r="1935" hidden="1" spans="1:6">
      <c r="A1935" s="2" t="s">
        <v>2032</v>
      </c>
      <c r="B1935" s="3">
        <v>407303</v>
      </c>
      <c r="C1935">
        <v>3</v>
      </c>
      <c r="D1935" t="s">
        <v>50</v>
      </c>
      <c r="E1935">
        <v>6.83333333333333</v>
      </c>
      <c r="F1935">
        <v>0</v>
      </c>
    </row>
    <row r="1936" hidden="1" spans="1:11">
      <c r="A1936" s="2" t="s">
        <v>2033</v>
      </c>
      <c r="B1936" s="3">
        <v>407303</v>
      </c>
      <c r="C1936">
        <v>3</v>
      </c>
      <c r="D1936" t="s">
        <v>57</v>
      </c>
      <c r="E1936">
        <v>5</v>
      </c>
      <c r="F1936">
        <v>0</v>
      </c>
      <c r="G1936">
        <v>0</v>
      </c>
      <c r="H1936">
        <v>2</v>
      </c>
      <c r="I1936">
        <v>2128</v>
      </c>
      <c r="J1936" t="s">
        <v>58</v>
      </c>
      <c r="K1936">
        <v>1</v>
      </c>
    </row>
    <row r="1937" hidden="1" spans="1:11">
      <c r="A1937" s="2" t="s">
        <v>2034</v>
      </c>
      <c r="B1937" s="3">
        <v>407303</v>
      </c>
      <c r="C1937">
        <v>3</v>
      </c>
      <c r="D1937" t="s">
        <v>92</v>
      </c>
      <c r="E1937">
        <f>100/30</f>
        <v>3.33333333333333</v>
      </c>
      <c r="F1937">
        <v>0</v>
      </c>
      <c r="G1937">
        <v>0</v>
      </c>
      <c r="H1937">
        <v>2</v>
      </c>
      <c r="I1937">
        <v>2137</v>
      </c>
      <c r="J1937" t="s">
        <v>473</v>
      </c>
      <c r="K1937">
        <v>1</v>
      </c>
    </row>
    <row r="1938" hidden="1" spans="1:6">
      <c r="A1938" s="2" t="s">
        <v>2035</v>
      </c>
      <c r="B1938" s="3">
        <v>407005</v>
      </c>
      <c r="C1938">
        <v>3</v>
      </c>
      <c r="D1938" t="s">
        <v>36</v>
      </c>
      <c r="E1938">
        <f>60/30</f>
        <v>2</v>
      </c>
      <c r="F1938">
        <v>0</v>
      </c>
    </row>
    <row r="1939" hidden="1" spans="1:6">
      <c r="A1939" s="2" t="s">
        <v>2036</v>
      </c>
      <c r="B1939" s="3">
        <v>407005</v>
      </c>
      <c r="C1939">
        <v>3</v>
      </c>
      <c r="D1939" t="s">
        <v>38</v>
      </c>
      <c r="E1939">
        <f>110/30</f>
        <v>3.66666666666667</v>
      </c>
      <c r="F1939">
        <v>0</v>
      </c>
    </row>
    <row r="1940" hidden="1" spans="1:6">
      <c r="A1940" s="2" t="s">
        <v>2037</v>
      </c>
      <c r="B1940" s="3">
        <v>407005</v>
      </c>
      <c r="C1940">
        <v>3</v>
      </c>
      <c r="D1940" t="s">
        <v>40</v>
      </c>
      <c r="E1940">
        <f>105/30</f>
        <v>3.5</v>
      </c>
      <c r="F1940">
        <v>0</v>
      </c>
    </row>
    <row r="1941" hidden="1" spans="1:6">
      <c r="A1941" s="2" t="s">
        <v>2038</v>
      </c>
      <c r="B1941" s="3">
        <v>407005</v>
      </c>
      <c r="C1941">
        <v>3</v>
      </c>
      <c r="D1941" t="s">
        <v>42</v>
      </c>
      <c r="E1941">
        <f>95/30</f>
        <v>3.16666666666667</v>
      </c>
      <c r="F1941">
        <v>0</v>
      </c>
    </row>
    <row r="1942" hidden="1" spans="1:6">
      <c r="A1942" s="2" t="s">
        <v>2039</v>
      </c>
      <c r="B1942" s="3">
        <v>407005</v>
      </c>
      <c r="C1942">
        <v>3</v>
      </c>
      <c r="D1942" t="s">
        <v>44</v>
      </c>
      <c r="E1942">
        <f>110/30</f>
        <v>3.66666666666667</v>
      </c>
      <c r="F1942">
        <v>0</v>
      </c>
    </row>
    <row r="1943" hidden="1" spans="1:6">
      <c r="A1943" s="2" t="s">
        <v>2040</v>
      </c>
      <c r="B1943" s="3">
        <v>407005</v>
      </c>
      <c r="C1943">
        <v>3</v>
      </c>
      <c r="D1943" t="s">
        <v>46</v>
      </c>
      <c r="E1943">
        <f>400/30</f>
        <v>13.3333333333333</v>
      </c>
      <c r="F1943">
        <v>0</v>
      </c>
    </row>
    <row r="1944" hidden="1" spans="1:12">
      <c r="A1944" s="2" t="s">
        <v>2041</v>
      </c>
      <c r="B1944" s="3">
        <v>407005</v>
      </c>
      <c r="C1944">
        <v>3</v>
      </c>
      <c r="D1944" t="s">
        <v>86</v>
      </c>
      <c r="E1944">
        <f>245/30</f>
        <v>8.16666666666667</v>
      </c>
      <c r="F1944">
        <v>0</v>
      </c>
      <c r="G1944">
        <v>0</v>
      </c>
      <c r="L1944" s="4" t="s">
        <v>1348</v>
      </c>
    </row>
    <row r="1945" hidden="1" spans="1:6">
      <c r="A1945" s="2" t="s">
        <v>2042</v>
      </c>
      <c r="B1945" s="3">
        <v>407005</v>
      </c>
      <c r="C1945">
        <v>3</v>
      </c>
      <c r="D1945" t="s">
        <v>50</v>
      </c>
      <c r="E1945">
        <f>340/30</f>
        <v>11.3333333333333</v>
      </c>
      <c r="F1945">
        <v>0</v>
      </c>
    </row>
    <row r="1946" hidden="1" spans="1:13">
      <c r="A1946" s="2" t="s">
        <v>2043</v>
      </c>
      <c r="B1946" s="3">
        <v>407005</v>
      </c>
      <c r="C1946">
        <v>3</v>
      </c>
      <c r="D1946" t="s">
        <v>57</v>
      </c>
      <c r="E1946">
        <f>68/30</f>
        <v>2.26666666666667</v>
      </c>
      <c r="F1946">
        <v>0</v>
      </c>
      <c r="G1946">
        <v>0</v>
      </c>
      <c r="H1946">
        <v>2</v>
      </c>
      <c r="I1946">
        <v>1707</v>
      </c>
      <c r="J1946" t="s">
        <v>58</v>
      </c>
      <c r="K1946">
        <v>0</v>
      </c>
      <c r="L1946" s="4" t="s">
        <v>1351</v>
      </c>
      <c r="M1946" t="s">
        <v>1352</v>
      </c>
    </row>
    <row r="1947" hidden="1" spans="1:6">
      <c r="A1947" s="2" t="s">
        <v>2044</v>
      </c>
      <c r="B1947" s="3">
        <v>400511</v>
      </c>
      <c r="C1947">
        <v>3</v>
      </c>
      <c r="D1947" t="s">
        <v>36</v>
      </c>
      <c r="E1947">
        <v>2.33333333333333</v>
      </c>
      <c r="F1947">
        <v>0</v>
      </c>
    </row>
    <row r="1948" hidden="1" spans="1:6">
      <c r="A1948" s="2" t="s">
        <v>2045</v>
      </c>
      <c r="B1948" s="3">
        <v>400511</v>
      </c>
      <c r="C1948">
        <v>3</v>
      </c>
      <c r="D1948" t="s">
        <v>38</v>
      </c>
      <c r="E1948">
        <v>2.9</v>
      </c>
      <c r="F1948">
        <v>0</v>
      </c>
    </row>
    <row r="1949" hidden="1" spans="1:6">
      <c r="A1949" s="2" t="s">
        <v>2046</v>
      </c>
      <c r="B1949" s="3">
        <v>400511</v>
      </c>
      <c r="C1949">
        <v>3</v>
      </c>
      <c r="D1949" t="s">
        <v>40</v>
      </c>
      <c r="E1949">
        <v>4</v>
      </c>
      <c r="F1949">
        <v>0</v>
      </c>
    </row>
    <row r="1950" hidden="1" spans="1:6">
      <c r="A1950" s="2" t="s">
        <v>2047</v>
      </c>
      <c r="B1950" s="3">
        <v>400511</v>
      </c>
      <c r="C1950">
        <v>3</v>
      </c>
      <c r="D1950" t="s">
        <v>42</v>
      </c>
      <c r="E1950">
        <v>2.06666666666667</v>
      </c>
      <c r="F1950">
        <v>0</v>
      </c>
    </row>
    <row r="1951" hidden="1" spans="1:6">
      <c r="A1951" s="2" t="s">
        <v>2048</v>
      </c>
      <c r="B1951" s="3">
        <v>400511</v>
      </c>
      <c r="C1951">
        <v>3</v>
      </c>
      <c r="D1951" t="s">
        <v>44</v>
      </c>
      <c r="E1951">
        <v>3.5</v>
      </c>
      <c r="F1951">
        <v>0</v>
      </c>
    </row>
    <row r="1952" hidden="1" spans="1:6">
      <c r="A1952" s="2" t="s">
        <v>2049</v>
      </c>
      <c r="B1952" s="3">
        <v>400511</v>
      </c>
      <c r="C1952">
        <v>3</v>
      </c>
      <c r="D1952" t="s">
        <v>46</v>
      </c>
      <c r="E1952">
        <v>6</v>
      </c>
      <c r="F1952">
        <v>0</v>
      </c>
    </row>
    <row r="1953" hidden="1" spans="1:6">
      <c r="A1953" s="2" t="s">
        <v>2050</v>
      </c>
      <c r="B1953" s="3">
        <v>400511</v>
      </c>
      <c r="C1953">
        <v>3</v>
      </c>
      <c r="D1953" t="s">
        <v>86</v>
      </c>
      <c r="E1953">
        <v>9.33333333333333</v>
      </c>
      <c r="F1953">
        <v>0</v>
      </c>
    </row>
    <row r="1954" hidden="1" spans="1:6">
      <c r="A1954" s="2" t="s">
        <v>2051</v>
      </c>
      <c r="B1954" s="3">
        <v>400511</v>
      </c>
      <c r="C1954">
        <v>3</v>
      </c>
      <c r="D1954" t="s">
        <v>50</v>
      </c>
      <c r="E1954">
        <v>8</v>
      </c>
      <c r="F1954">
        <v>0</v>
      </c>
    </row>
    <row r="1955" hidden="1" spans="1:11">
      <c r="A1955" s="2" t="s">
        <v>2052</v>
      </c>
      <c r="B1955" s="3">
        <v>400511</v>
      </c>
      <c r="C1955">
        <v>3</v>
      </c>
      <c r="D1955" t="s">
        <v>109</v>
      </c>
      <c r="E1955">
        <v>5.66666666666667</v>
      </c>
      <c r="F1955">
        <v>0</v>
      </c>
      <c r="G1955">
        <v>0</v>
      </c>
      <c r="H1955">
        <v>2</v>
      </c>
      <c r="I1955">
        <v>1843</v>
      </c>
      <c r="J1955" t="s">
        <v>58</v>
      </c>
      <c r="K1955">
        <v>1</v>
      </c>
    </row>
    <row r="1956" hidden="1" spans="1:6">
      <c r="A1956" s="2" t="s">
        <v>2053</v>
      </c>
      <c r="B1956" s="3">
        <v>1230</v>
      </c>
      <c r="C1956">
        <v>3</v>
      </c>
      <c r="D1956" t="s">
        <v>36</v>
      </c>
      <c r="E1956">
        <f>130/30</f>
        <v>4.33333333333333</v>
      </c>
      <c r="F1956">
        <v>0</v>
      </c>
    </row>
    <row r="1957" hidden="1" spans="1:6">
      <c r="A1957" s="2" t="s">
        <v>2054</v>
      </c>
      <c r="B1957" s="3">
        <v>1230</v>
      </c>
      <c r="C1957">
        <v>3</v>
      </c>
      <c r="D1957" t="s">
        <v>38</v>
      </c>
      <c r="E1957">
        <f>130/30</f>
        <v>4.33333333333333</v>
      </c>
      <c r="F1957">
        <v>0</v>
      </c>
    </row>
    <row r="1958" hidden="1" spans="1:6">
      <c r="A1958" s="2" t="s">
        <v>2055</v>
      </c>
      <c r="B1958" s="3">
        <v>1230</v>
      </c>
      <c r="C1958">
        <v>3</v>
      </c>
      <c r="D1958" t="s">
        <v>40</v>
      </c>
      <c r="E1958">
        <f>85/30</f>
        <v>2.83333333333333</v>
      </c>
      <c r="F1958">
        <v>0</v>
      </c>
    </row>
    <row r="1959" hidden="1" spans="1:6">
      <c r="A1959" s="2" t="s">
        <v>2056</v>
      </c>
      <c r="B1959" s="3">
        <v>1230</v>
      </c>
      <c r="C1959">
        <v>3</v>
      </c>
      <c r="D1959" t="s">
        <v>42</v>
      </c>
      <c r="E1959">
        <f>154/30</f>
        <v>5.13333333333333</v>
      </c>
      <c r="F1959">
        <v>0</v>
      </c>
    </row>
    <row r="1960" hidden="1" spans="1:6">
      <c r="A1960" s="2" t="s">
        <v>2057</v>
      </c>
      <c r="B1960" s="3">
        <v>1230</v>
      </c>
      <c r="C1960">
        <v>3</v>
      </c>
      <c r="D1960" t="s">
        <v>44</v>
      </c>
      <c r="E1960">
        <f>160/30</f>
        <v>5.33333333333333</v>
      </c>
      <c r="F1960">
        <v>0</v>
      </c>
    </row>
    <row r="1961" hidden="1" spans="1:6">
      <c r="A1961" s="2" t="s">
        <v>2058</v>
      </c>
      <c r="B1961" s="3">
        <v>408901</v>
      </c>
      <c r="C1961">
        <v>3</v>
      </c>
      <c r="D1961" t="s">
        <v>36</v>
      </c>
      <c r="E1961">
        <f>82/30</f>
        <v>2.73333333333333</v>
      </c>
      <c r="F1961">
        <v>0</v>
      </c>
    </row>
    <row r="1962" hidden="1" spans="1:6">
      <c r="A1962" s="2" t="s">
        <v>2059</v>
      </c>
      <c r="B1962" s="3">
        <v>408901</v>
      </c>
      <c r="C1962">
        <v>3</v>
      </c>
      <c r="D1962" t="s">
        <v>38</v>
      </c>
      <c r="E1962">
        <f>140/30</f>
        <v>4.66666666666667</v>
      </c>
      <c r="F1962">
        <v>0</v>
      </c>
    </row>
    <row r="1963" hidden="1" spans="1:6">
      <c r="A1963" s="2" t="s">
        <v>2060</v>
      </c>
      <c r="B1963" s="3">
        <v>408901</v>
      </c>
      <c r="C1963">
        <v>3</v>
      </c>
      <c r="D1963" t="s">
        <v>40</v>
      </c>
      <c r="E1963">
        <f>55/30</f>
        <v>1.83333333333333</v>
      </c>
      <c r="F1963">
        <v>0</v>
      </c>
    </row>
    <row r="1964" hidden="1" spans="1:6">
      <c r="A1964" s="2" t="s">
        <v>2061</v>
      </c>
      <c r="B1964" s="3">
        <v>408901</v>
      </c>
      <c r="C1964">
        <v>3</v>
      </c>
      <c r="D1964" t="s">
        <v>42</v>
      </c>
      <c r="E1964">
        <f>91/30</f>
        <v>3.03333333333333</v>
      </c>
      <c r="F1964">
        <v>0</v>
      </c>
    </row>
    <row r="1965" hidden="1" spans="1:6">
      <c r="A1965" s="2" t="s">
        <v>2062</v>
      </c>
      <c r="B1965" s="3">
        <v>408901</v>
      </c>
      <c r="C1965">
        <v>3</v>
      </c>
      <c r="D1965" t="s">
        <v>44</v>
      </c>
      <c r="E1965">
        <f>80/30</f>
        <v>2.66666666666667</v>
      </c>
      <c r="F1965">
        <v>0</v>
      </c>
    </row>
    <row r="1966" hidden="1" spans="1:6">
      <c r="A1966" s="2" t="s">
        <v>2063</v>
      </c>
      <c r="B1966" s="3">
        <v>408901</v>
      </c>
      <c r="C1966">
        <v>3</v>
      </c>
      <c r="D1966" t="s">
        <v>46</v>
      </c>
      <c r="E1966">
        <f>245/30</f>
        <v>8.16666666666667</v>
      </c>
      <c r="F1966">
        <v>0</v>
      </c>
    </row>
    <row r="1967" hidden="1" spans="1:6">
      <c r="A1967" s="2" t="s">
        <v>2064</v>
      </c>
      <c r="B1967" s="3">
        <v>408901</v>
      </c>
      <c r="C1967">
        <v>3</v>
      </c>
      <c r="D1967" t="s">
        <v>86</v>
      </c>
      <c r="E1967">
        <f>282/30</f>
        <v>9.4</v>
      </c>
      <c r="F1967">
        <v>0</v>
      </c>
    </row>
    <row r="1968" hidden="1" spans="1:6">
      <c r="A1968" s="2" t="s">
        <v>2065</v>
      </c>
      <c r="B1968" s="3">
        <v>408901</v>
      </c>
      <c r="C1968">
        <v>3</v>
      </c>
      <c r="D1968" t="s">
        <v>50</v>
      </c>
      <c r="E1968">
        <v>12.6</v>
      </c>
      <c r="F1968">
        <v>0</v>
      </c>
    </row>
    <row r="1969" hidden="1" spans="1:6">
      <c r="A1969" s="2" t="s">
        <v>2066</v>
      </c>
      <c r="B1969" s="3">
        <v>30044</v>
      </c>
      <c r="C1969">
        <v>3</v>
      </c>
      <c r="D1969" t="s">
        <v>50</v>
      </c>
      <c r="E1969">
        <f>378/30</f>
        <v>12.6</v>
      </c>
      <c r="F1969">
        <v>0</v>
      </c>
    </row>
    <row r="1970" ht="16.5" hidden="1" spans="1:11">
      <c r="A1970" s="2" t="s">
        <v>2067</v>
      </c>
      <c r="B1970" s="3">
        <v>408901</v>
      </c>
      <c r="C1970">
        <v>3</v>
      </c>
      <c r="D1970" t="s">
        <v>54</v>
      </c>
      <c r="E1970">
        <f>115/30</f>
        <v>3.83333333333333</v>
      </c>
      <c r="F1970">
        <v>0</v>
      </c>
      <c r="G1970">
        <v>0</v>
      </c>
      <c r="H1970">
        <v>2</v>
      </c>
      <c r="I1970" s="91">
        <v>2775</v>
      </c>
      <c r="J1970" t="s">
        <v>58</v>
      </c>
      <c r="K1970">
        <v>1</v>
      </c>
    </row>
    <row r="1971" hidden="1" spans="1:6">
      <c r="A1971" s="2" t="s">
        <v>2068</v>
      </c>
      <c r="B1971" s="3">
        <v>94</v>
      </c>
      <c r="C1971">
        <v>3</v>
      </c>
      <c r="D1971" t="s">
        <v>36</v>
      </c>
      <c r="E1971">
        <f>105/30</f>
        <v>3.5</v>
      </c>
      <c r="F1971">
        <v>0</v>
      </c>
    </row>
    <row r="1972" hidden="1" spans="1:6">
      <c r="A1972" s="2" t="s">
        <v>2069</v>
      </c>
      <c r="B1972" s="3">
        <v>94</v>
      </c>
      <c r="C1972">
        <v>3</v>
      </c>
      <c r="D1972" t="s">
        <v>38</v>
      </c>
      <c r="E1972">
        <f>130/30</f>
        <v>4.33333333333333</v>
      </c>
      <c r="F1972">
        <v>0</v>
      </c>
    </row>
    <row r="1973" hidden="1" spans="1:6">
      <c r="A1973" s="2" t="s">
        <v>2070</v>
      </c>
      <c r="B1973" s="3">
        <v>94</v>
      </c>
      <c r="C1973">
        <v>3</v>
      </c>
      <c r="D1973" t="s">
        <v>40</v>
      </c>
      <c r="E1973">
        <f>97/30</f>
        <v>3.23333333333333</v>
      </c>
      <c r="F1973">
        <v>0</v>
      </c>
    </row>
    <row r="1974" hidden="1" spans="1:6">
      <c r="A1974" s="2" t="s">
        <v>2071</v>
      </c>
      <c r="B1974" s="3">
        <v>94</v>
      </c>
      <c r="C1974">
        <v>3</v>
      </c>
      <c r="D1974" t="s">
        <v>42</v>
      </c>
      <c r="E1974">
        <f>76/30</f>
        <v>2.53333333333333</v>
      </c>
      <c r="F1974">
        <v>0</v>
      </c>
    </row>
    <row r="1975" hidden="1" spans="1:6">
      <c r="A1975" s="2" t="s">
        <v>2072</v>
      </c>
      <c r="B1975" s="3">
        <v>94</v>
      </c>
      <c r="C1975">
        <v>3</v>
      </c>
      <c r="D1975" t="s">
        <v>44</v>
      </c>
      <c r="E1975">
        <f>140/30</f>
        <v>4.66666666666667</v>
      </c>
      <c r="F1975">
        <v>0</v>
      </c>
    </row>
    <row r="1976" hidden="1" spans="1:6">
      <c r="A1976" s="2" t="s">
        <v>2073</v>
      </c>
      <c r="B1976" s="3">
        <v>94</v>
      </c>
      <c r="C1976">
        <v>3</v>
      </c>
      <c r="D1976" t="s">
        <v>46</v>
      </c>
      <c r="E1976">
        <f>340/30</f>
        <v>11.3333333333333</v>
      </c>
      <c r="F1976">
        <v>0</v>
      </c>
    </row>
    <row r="1977" hidden="1" spans="1:6">
      <c r="A1977" s="2" t="s">
        <v>2074</v>
      </c>
      <c r="B1977" s="3">
        <v>94</v>
      </c>
      <c r="C1977">
        <v>3</v>
      </c>
      <c r="D1977" t="s">
        <v>86</v>
      </c>
      <c r="E1977">
        <f>360/30</f>
        <v>12</v>
      </c>
      <c r="F1977">
        <v>0</v>
      </c>
    </row>
    <row r="1978" hidden="1" spans="1:6">
      <c r="A1978" s="2" t="s">
        <v>2075</v>
      </c>
      <c r="B1978" s="3">
        <v>94</v>
      </c>
      <c r="C1978">
        <v>3</v>
      </c>
      <c r="D1978" t="s">
        <v>50</v>
      </c>
      <c r="E1978">
        <f>408/30</f>
        <v>13.6</v>
      </c>
      <c r="F1978">
        <v>0</v>
      </c>
    </row>
    <row r="1979" ht="16.5" hidden="1" spans="1:11">
      <c r="A1979" s="2" t="s">
        <v>2076</v>
      </c>
      <c r="B1979" s="3">
        <v>94</v>
      </c>
      <c r="C1979">
        <v>3</v>
      </c>
      <c r="D1979" t="s">
        <v>57</v>
      </c>
      <c r="E1979">
        <f>101/30</f>
        <v>3.36666666666667</v>
      </c>
      <c r="F1979">
        <v>0</v>
      </c>
      <c r="G1979">
        <v>0</v>
      </c>
      <c r="H1979">
        <v>2</v>
      </c>
      <c r="I1979" s="91">
        <v>2796</v>
      </c>
      <c r="J1979" t="s">
        <v>2077</v>
      </c>
      <c r="K1979">
        <v>1</v>
      </c>
    </row>
    <row r="1980" ht="16.5" hidden="1" spans="1:9">
      <c r="A1980" s="2" t="s">
        <v>2078</v>
      </c>
      <c r="B1980" s="3">
        <v>94</v>
      </c>
      <c r="C1980">
        <v>3</v>
      </c>
      <c r="D1980" t="s">
        <v>90</v>
      </c>
      <c r="E1980">
        <f>360/30</f>
        <v>12</v>
      </c>
      <c r="F1980">
        <v>0</v>
      </c>
      <c r="I1980" s="91"/>
    </row>
    <row r="1981" ht="16.5" hidden="1" spans="1:9">
      <c r="A1981" s="2" t="s">
        <v>2079</v>
      </c>
      <c r="B1981" s="3">
        <v>94</v>
      </c>
      <c r="C1981">
        <v>3</v>
      </c>
      <c r="D1981" t="s">
        <v>48</v>
      </c>
      <c r="E1981">
        <f>408/30</f>
        <v>13.6</v>
      </c>
      <c r="F1981">
        <v>0</v>
      </c>
      <c r="I1981" s="91"/>
    </row>
    <row r="1982" hidden="1" spans="1:6">
      <c r="A1982" s="2" t="s">
        <v>2080</v>
      </c>
      <c r="B1982" s="3">
        <v>95</v>
      </c>
      <c r="C1982">
        <v>3</v>
      </c>
      <c r="D1982" t="s">
        <v>36</v>
      </c>
      <c r="E1982">
        <f>98/30</f>
        <v>3.26666666666667</v>
      </c>
      <c r="F1982">
        <v>0</v>
      </c>
    </row>
    <row r="1983" hidden="1" spans="1:6">
      <c r="A1983" s="2" t="s">
        <v>2081</v>
      </c>
      <c r="B1983" s="3">
        <v>95</v>
      </c>
      <c r="C1983">
        <v>3</v>
      </c>
      <c r="D1983" t="s">
        <v>38</v>
      </c>
      <c r="E1983">
        <f>131/30</f>
        <v>4.36666666666667</v>
      </c>
      <c r="F1983">
        <v>0</v>
      </c>
    </row>
    <row r="1984" hidden="1" spans="1:6">
      <c r="A1984" s="2" t="s">
        <v>2082</v>
      </c>
      <c r="B1984" s="3">
        <v>95</v>
      </c>
      <c r="C1984">
        <v>3</v>
      </c>
      <c r="D1984" t="s">
        <v>40</v>
      </c>
      <c r="E1984">
        <f>108/30</f>
        <v>3.6</v>
      </c>
      <c r="F1984">
        <v>0</v>
      </c>
    </row>
    <row r="1985" hidden="1" spans="1:6">
      <c r="A1985" s="2" t="s">
        <v>2083</v>
      </c>
      <c r="B1985" s="3">
        <v>95</v>
      </c>
      <c r="C1985">
        <v>3</v>
      </c>
      <c r="D1985" t="s">
        <v>42</v>
      </c>
      <c r="E1985">
        <f>107/30</f>
        <v>3.56666666666667</v>
      </c>
      <c r="F1985">
        <v>0</v>
      </c>
    </row>
    <row r="1986" hidden="1" spans="1:6">
      <c r="A1986" s="2" t="s">
        <v>2084</v>
      </c>
      <c r="B1986" s="3">
        <v>95</v>
      </c>
      <c r="C1986">
        <v>3</v>
      </c>
      <c r="D1986" t="s">
        <v>44</v>
      </c>
      <c r="E1986">
        <f>100/30</f>
        <v>3.33333333333333</v>
      </c>
      <c r="F1986">
        <v>0</v>
      </c>
    </row>
    <row r="1987" hidden="1" spans="1:6">
      <c r="A1987" s="2" t="s">
        <v>2085</v>
      </c>
      <c r="B1987" s="3">
        <v>95</v>
      </c>
      <c r="C1987">
        <v>3</v>
      </c>
      <c r="D1987" t="s">
        <v>46</v>
      </c>
      <c r="E1987">
        <f>320/30</f>
        <v>10.6666666666667</v>
      </c>
      <c r="F1987">
        <v>0</v>
      </c>
    </row>
    <row r="1988" hidden="1" spans="1:6">
      <c r="A1988" s="2" t="s">
        <v>2086</v>
      </c>
      <c r="B1988" s="3">
        <v>95</v>
      </c>
      <c r="C1988">
        <v>3</v>
      </c>
      <c r="D1988" t="s">
        <v>86</v>
      </c>
      <c r="E1988">
        <f>424/30</f>
        <v>14.1333333333333</v>
      </c>
      <c r="F1988">
        <v>0</v>
      </c>
    </row>
    <row r="1989" hidden="1" spans="1:6">
      <c r="A1989" s="2" t="s">
        <v>2087</v>
      </c>
      <c r="B1989" s="3">
        <v>95</v>
      </c>
      <c r="C1989">
        <v>3</v>
      </c>
      <c r="D1989" t="s">
        <v>50</v>
      </c>
      <c r="E1989">
        <f>485/30</f>
        <v>16.1666666666667</v>
      </c>
      <c r="F1989">
        <v>0</v>
      </c>
    </row>
    <row r="1990" hidden="1" spans="1:6">
      <c r="A1990" s="2" t="s">
        <v>2088</v>
      </c>
      <c r="B1990" s="3">
        <v>95</v>
      </c>
      <c r="C1990">
        <v>3</v>
      </c>
      <c r="D1990" t="s">
        <v>90</v>
      </c>
      <c r="E1990">
        <f>240/30</f>
        <v>8</v>
      </c>
      <c r="F1990">
        <v>0</v>
      </c>
    </row>
    <row r="1991" hidden="1" spans="1:11">
      <c r="A1991" s="2" t="s">
        <v>2089</v>
      </c>
      <c r="B1991" s="3">
        <v>95</v>
      </c>
      <c r="C1991">
        <v>3</v>
      </c>
      <c r="D1991" t="s">
        <v>57</v>
      </c>
      <c r="E1991">
        <f>95/30</f>
        <v>3.16666666666667</v>
      </c>
      <c r="F1991">
        <v>0</v>
      </c>
      <c r="G1991">
        <v>0</v>
      </c>
      <c r="H1991">
        <v>2</v>
      </c>
      <c r="I1991">
        <v>2826</v>
      </c>
      <c r="J1991" t="s">
        <v>58</v>
      </c>
      <c r="K1991">
        <v>1</v>
      </c>
    </row>
    <row r="1992" hidden="1" spans="1:6">
      <c r="A1992" s="2" t="s">
        <v>2090</v>
      </c>
      <c r="B1992" s="3">
        <v>95</v>
      </c>
      <c r="C1992">
        <v>3</v>
      </c>
      <c r="D1992" t="s">
        <v>48</v>
      </c>
      <c r="E1992">
        <f>71/30</f>
        <v>2.36666666666667</v>
      </c>
      <c r="F1992">
        <v>0</v>
      </c>
    </row>
    <row r="1993" hidden="1" spans="1:6">
      <c r="A1993" s="2">
        <v>3004607</v>
      </c>
      <c r="B1993" s="3">
        <v>30046</v>
      </c>
      <c r="C1993">
        <v>3</v>
      </c>
      <c r="D1993" t="s">
        <v>86</v>
      </c>
      <c r="E1993">
        <f>424/30</f>
        <v>14.1333333333333</v>
      </c>
      <c r="F1993">
        <v>0</v>
      </c>
    </row>
    <row r="1994" hidden="1" spans="1:6">
      <c r="A1994" s="2" t="s">
        <v>2091</v>
      </c>
      <c r="B1994" s="3">
        <v>30046</v>
      </c>
      <c r="C1994">
        <v>3</v>
      </c>
      <c r="D1994" t="s">
        <v>57</v>
      </c>
      <c r="E1994">
        <f>95/30</f>
        <v>3.16666666666667</v>
      </c>
      <c r="F1994">
        <v>0</v>
      </c>
    </row>
    <row r="1995" hidden="1" spans="1:6">
      <c r="A1995" s="2" t="s">
        <v>2092</v>
      </c>
      <c r="B1995" s="3">
        <v>409401</v>
      </c>
      <c r="C1995">
        <v>3</v>
      </c>
      <c r="D1995" t="s">
        <v>36</v>
      </c>
      <c r="E1995">
        <f>105/30</f>
        <v>3.5</v>
      </c>
      <c r="F1995">
        <v>0</v>
      </c>
    </row>
    <row r="1996" hidden="1" spans="1:6">
      <c r="A1996" s="2" t="s">
        <v>2093</v>
      </c>
      <c r="B1996" s="3">
        <v>409401</v>
      </c>
      <c r="C1996">
        <v>3</v>
      </c>
      <c r="D1996" t="s">
        <v>38</v>
      </c>
      <c r="E1996">
        <f>130/30</f>
        <v>4.33333333333333</v>
      </c>
      <c r="F1996">
        <v>0</v>
      </c>
    </row>
    <row r="1997" hidden="1" spans="1:6">
      <c r="A1997" s="2" t="s">
        <v>2094</v>
      </c>
      <c r="B1997" s="3">
        <v>409401</v>
      </c>
      <c r="C1997">
        <v>3</v>
      </c>
      <c r="D1997" t="s">
        <v>40</v>
      </c>
      <c r="E1997">
        <f>97/30</f>
        <v>3.23333333333333</v>
      </c>
      <c r="F1997">
        <v>0</v>
      </c>
    </row>
    <row r="1998" hidden="1" spans="1:6">
      <c r="A1998" s="2" t="s">
        <v>2095</v>
      </c>
      <c r="B1998" s="3">
        <v>409401</v>
      </c>
      <c r="C1998">
        <v>3</v>
      </c>
      <c r="D1998" t="s">
        <v>42</v>
      </c>
      <c r="E1998">
        <f>76/30</f>
        <v>2.53333333333333</v>
      </c>
      <c r="F1998">
        <v>0</v>
      </c>
    </row>
    <row r="1999" hidden="1" spans="1:6">
      <c r="A1999" s="2" t="s">
        <v>2096</v>
      </c>
      <c r="B1999" s="3">
        <v>409401</v>
      </c>
      <c r="C1999">
        <v>3</v>
      </c>
      <c r="D1999" t="s">
        <v>44</v>
      </c>
      <c r="E1999">
        <f>140/30</f>
        <v>4.66666666666667</v>
      </c>
      <c r="F1999">
        <v>0</v>
      </c>
    </row>
    <row r="2000" hidden="1" spans="1:6">
      <c r="A2000" s="2" t="s">
        <v>2097</v>
      </c>
      <c r="B2000" s="3">
        <v>409401</v>
      </c>
      <c r="C2000">
        <v>3</v>
      </c>
      <c r="D2000" t="s">
        <v>46</v>
      </c>
      <c r="E2000">
        <f>340/30</f>
        <v>11.3333333333333</v>
      </c>
      <c r="F2000">
        <v>0</v>
      </c>
    </row>
    <row r="2001" hidden="1" spans="1:6">
      <c r="A2001" s="2" t="s">
        <v>2098</v>
      </c>
      <c r="B2001" s="3">
        <v>409401</v>
      </c>
      <c r="C2001">
        <v>3</v>
      </c>
      <c r="D2001" t="s">
        <v>86</v>
      </c>
      <c r="E2001">
        <f>360/30</f>
        <v>12</v>
      </c>
      <c r="F2001">
        <v>0</v>
      </c>
    </row>
    <row r="2002" hidden="1" spans="1:6">
      <c r="A2002" s="2" t="s">
        <v>2099</v>
      </c>
      <c r="B2002" s="3">
        <v>409401</v>
      </c>
      <c r="C2002">
        <v>3</v>
      </c>
      <c r="D2002" t="s">
        <v>50</v>
      </c>
      <c r="E2002">
        <f>408/30</f>
        <v>13.6</v>
      </c>
      <c r="F2002">
        <v>0</v>
      </c>
    </row>
    <row r="2003" ht="16.5" hidden="1" spans="1:11">
      <c r="A2003" s="2" t="s">
        <v>2100</v>
      </c>
      <c r="B2003" s="3">
        <v>409401</v>
      </c>
      <c r="C2003">
        <v>3</v>
      </c>
      <c r="D2003" t="s">
        <v>57</v>
      </c>
      <c r="E2003">
        <f>101/30</f>
        <v>3.36666666666667</v>
      </c>
      <c r="F2003">
        <v>0</v>
      </c>
      <c r="G2003">
        <v>0</v>
      </c>
      <c r="H2003">
        <v>2</v>
      </c>
      <c r="I2003" s="91">
        <v>2796</v>
      </c>
      <c r="J2003" t="s">
        <v>2077</v>
      </c>
      <c r="K2003">
        <v>1</v>
      </c>
    </row>
    <row r="2004" ht="16.5" hidden="1" spans="1:9">
      <c r="A2004" s="2" t="s">
        <v>2101</v>
      </c>
      <c r="B2004" s="3">
        <v>409401</v>
      </c>
      <c r="C2004">
        <v>3</v>
      </c>
      <c r="D2004" t="s">
        <v>90</v>
      </c>
      <c r="E2004">
        <f>360/30</f>
        <v>12</v>
      </c>
      <c r="F2004">
        <v>0</v>
      </c>
      <c r="I2004" s="91"/>
    </row>
    <row r="2005" ht="16.5" hidden="1" spans="1:9">
      <c r="A2005" s="2" t="s">
        <v>2102</v>
      </c>
      <c r="B2005" s="3">
        <v>409401</v>
      </c>
      <c r="C2005">
        <v>3</v>
      </c>
      <c r="D2005" t="s">
        <v>48</v>
      </c>
      <c r="E2005">
        <f>408/30</f>
        <v>13.6</v>
      </c>
      <c r="F2005">
        <v>0</v>
      </c>
      <c r="I2005" s="91"/>
    </row>
    <row r="2006" hidden="1" spans="1:6">
      <c r="A2006" s="2" t="s">
        <v>2103</v>
      </c>
      <c r="B2006" s="3">
        <v>96</v>
      </c>
      <c r="C2006">
        <v>3</v>
      </c>
      <c r="D2006" t="s">
        <v>36</v>
      </c>
      <c r="E2006">
        <f>101/30</f>
        <v>3.36666666666667</v>
      </c>
      <c r="F2006">
        <v>0</v>
      </c>
    </row>
    <row r="2007" hidden="1" spans="1:6">
      <c r="A2007" s="2" t="s">
        <v>2104</v>
      </c>
      <c r="B2007" s="3">
        <v>96</v>
      </c>
      <c r="C2007">
        <v>3</v>
      </c>
      <c r="D2007" t="s">
        <v>38</v>
      </c>
      <c r="E2007">
        <f>153/30</f>
        <v>5.1</v>
      </c>
      <c r="F2007">
        <v>0</v>
      </c>
    </row>
    <row r="2008" hidden="1" spans="1:6">
      <c r="A2008" s="2" t="s">
        <v>2105</v>
      </c>
      <c r="B2008" s="3">
        <v>96</v>
      </c>
      <c r="C2008">
        <v>3</v>
      </c>
      <c r="D2008" t="s">
        <v>40</v>
      </c>
      <c r="E2008">
        <f>127/30</f>
        <v>4.23333333333333</v>
      </c>
      <c r="F2008">
        <v>0</v>
      </c>
    </row>
    <row r="2009" hidden="1" spans="1:6">
      <c r="A2009" s="2" t="s">
        <v>2106</v>
      </c>
      <c r="B2009" s="3">
        <v>96</v>
      </c>
      <c r="C2009">
        <v>3</v>
      </c>
      <c r="D2009" t="s">
        <v>42</v>
      </c>
      <c r="E2009">
        <f>124/30</f>
        <v>4.13333333333333</v>
      </c>
      <c r="F2009">
        <v>0</v>
      </c>
    </row>
    <row r="2010" hidden="1" spans="1:6">
      <c r="A2010" s="2" t="s">
        <v>2107</v>
      </c>
      <c r="B2010" s="3">
        <v>96</v>
      </c>
      <c r="C2010">
        <v>3</v>
      </c>
      <c r="D2010" t="s">
        <v>44</v>
      </c>
      <c r="E2010">
        <f>89/30</f>
        <v>2.96666666666667</v>
      </c>
      <c r="F2010">
        <v>0</v>
      </c>
    </row>
    <row r="2011" hidden="1" spans="1:6">
      <c r="A2011" s="2" t="s">
        <v>2108</v>
      </c>
      <c r="B2011" s="3">
        <v>96</v>
      </c>
      <c r="C2011">
        <v>3</v>
      </c>
      <c r="D2011" t="s">
        <v>46</v>
      </c>
      <c r="E2011">
        <f>273/30</f>
        <v>9.1</v>
      </c>
      <c r="F2011">
        <v>0</v>
      </c>
    </row>
    <row r="2012" hidden="1" spans="1:6">
      <c r="A2012" s="2" t="s">
        <v>2109</v>
      </c>
      <c r="B2012" s="3">
        <v>96</v>
      </c>
      <c r="C2012">
        <v>3</v>
      </c>
      <c r="D2012" t="s">
        <v>86</v>
      </c>
      <c r="E2012">
        <f>290/30</f>
        <v>9.66666666666667</v>
      </c>
      <c r="F2012">
        <v>0</v>
      </c>
    </row>
    <row r="2013" hidden="1" spans="1:6">
      <c r="A2013" s="2" t="s">
        <v>2110</v>
      </c>
      <c r="B2013" s="3">
        <v>96</v>
      </c>
      <c r="C2013">
        <v>3</v>
      </c>
      <c r="D2013" t="s">
        <v>50</v>
      </c>
      <c r="E2013">
        <f>225/30</f>
        <v>7.5</v>
      </c>
      <c r="F2013">
        <v>0</v>
      </c>
    </row>
    <row r="2014" ht="16.5" hidden="1" spans="1:11">
      <c r="A2014" s="2" t="s">
        <v>2111</v>
      </c>
      <c r="B2014" s="3">
        <v>96</v>
      </c>
      <c r="C2014">
        <v>3</v>
      </c>
      <c r="D2014" t="s">
        <v>57</v>
      </c>
      <c r="E2014">
        <f>103/30</f>
        <v>3.43333333333333</v>
      </c>
      <c r="F2014">
        <v>0</v>
      </c>
      <c r="G2014">
        <v>0</v>
      </c>
      <c r="H2014">
        <v>2</v>
      </c>
      <c r="I2014" s="91">
        <v>2914</v>
      </c>
      <c r="J2014" t="s">
        <v>58</v>
      </c>
      <c r="K2014">
        <v>1</v>
      </c>
    </row>
    <row r="2015" ht="16.5" hidden="1" spans="1:9">
      <c r="A2015" s="2" t="s">
        <v>2112</v>
      </c>
      <c r="B2015" s="3">
        <v>96</v>
      </c>
      <c r="C2015">
        <v>3</v>
      </c>
      <c r="D2015" t="s">
        <v>1406</v>
      </c>
      <c r="E2015">
        <f>45/30</f>
        <v>1.5</v>
      </c>
      <c r="F2015">
        <v>0</v>
      </c>
      <c r="I2015" s="91"/>
    </row>
    <row r="2016" hidden="1" spans="1:6">
      <c r="A2016" s="2" t="s">
        <v>2113</v>
      </c>
      <c r="B2016" s="3">
        <v>407212</v>
      </c>
      <c r="C2016">
        <v>3</v>
      </c>
      <c r="D2016" t="s">
        <v>36</v>
      </c>
      <c r="E2016">
        <v>2.33333333333333</v>
      </c>
      <c r="F2016">
        <v>0</v>
      </c>
    </row>
    <row r="2017" hidden="1" spans="1:6">
      <c r="A2017" s="2" t="s">
        <v>2114</v>
      </c>
      <c r="B2017" s="3">
        <v>407212</v>
      </c>
      <c r="C2017">
        <v>3</v>
      </c>
      <c r="D2017" t="s">
        <v>38</v>
      </c>
      <c r="E2017">
        <v>2.9</v>
      </c>
      <c r="F2017">
        <v>0</v>
      </c>
    </row>
    <row r="2018" hidden="1" spans="1:6">
      <c r="A2018" s="2" t="s">
        <v>2115</v>
      </c>
      <c r="B2018" s="3">
        <v>407212</v>
      </c>
      <c r="C2018">
        <v>3</v>
      </c>
      <c r="D2018" t="s">
        <v>40</v>
      </c>
      <c r="E2018">
        <v>4</v>
      </c>
      <c r="F2018">
        <v>0</v>
      </c>
    </row>
    <row r="2019" hidden="1" spans="1:6">
      <c r="A2019" s="2" t="s">
        <v>2116</v>
      </c>
      <c r="B2019" s="3">
        <v>407212</v>
      </c>
      <c r="C2019">
        <v>3</v>
      </c>
      <c r="D2019" t="s">
        <v>42</v>
      </c>
      <c r="E2019">
        <v>2.06666666666667</v>
      </c>
      <c r="F2019">
        <v>0</v>
      </c>
    </row>
    <row r="2020" hidden="1" spans="1:6">
      <c r="A2020" s="2" t="s">
        <v>2117</v>
      </c>
      <c r="B2020" s="3">
        <v>407212</v>
      </c>
      <c r="C2020">
        <v>3</v>
      </c>
      <c r="D2020" t="s">
        <v>44</v>
      </c>
      <c r="E2020">
        <v>3.5</v>
      </c>
      <c r="F2020">
        <v>0</v>
      </c>
    </row>
    <row r="2021" hidden="1" spans="1:6">
      <c r="A2021" s="2" t="s">
        <v>2118</v>
      </c>
      <c r="B2021" s="3">
        <v>407212</v>
      </c>
      <c r="C2021">
        <v>3</v>
      </c>
      <c r="D2021" t="s">
        <v>46</v>
      </c>
      <c r="E2021">
        <v>6</v>
      </c>
      <c r="F2021">
        <v>0</v>
      </c>
    </row>
    <row r="2022" hidden="1" spans="1:6">
      <c r="A2022" s="2" t="s">
        <v>2119</v>
      </c>
      <c r="B2022" s="3">
        <v>407212</v>
      </c>
      <c r="C2022">
        <v>3</v>
      </c>
      <c r="D2022" t="s">
        <v>86</v>
      </c>
      <c r="E2022">
        <v>9.33333333333333</v>
      </c>
      <c r="F2022">
        <v>0</v>
      </c>
    </row>
    <row r="2023" hidden="1" spans="1:6">
      <c r="A2023" s="2" t="s">
        <v>2120</v>
      </c>
      <c r="B2023" s="3">
        <v>407212</v>
      </c>
      <c r="C2023">
        <v>3</v>
      </c>
      <c r="D2023" t="s">
        <v>50</v>
      </c>
      <c r="E2023">
        <v>8</v>
      </c>
      <c r="F2023">
        <v>0</v>
      </c>
    </row>
    <row r="2024" hidden="1" spans="1:11">
      <c r="A2024" s="2" t="s">
        <v>2121</v>
      </c>
      <c r="B2024" s="3">
        <v>407212</v>
      </c>
      <c r="C2024">
        <v>3</v>
      </c>
      <c r="D2024" t="s">
        <v>109</v>
      </c>
      <c r="E2024">
        <v>5.66666666666667</v>
      </c>
      <c r="F2024">
        <v>0</v>
      </c>
      <c r="G2024">
        <v>0</v>
      </c>
      <c r="H2024">
        <v>2</v>
      </c>
      <c r="I2024">
        <v>1843</v>
      </c>
      <c r="J2024" t="s">
        <v>58</v>
      </c>
      <c r="K2024">
        <v>1</v>
      </c>
    </row>
    <row r="2025" hidden="1" spans="1:6">
      <c r="A2025" s="2" t="s">
        <v>2122</v>
      </c>
      <c r="B2025" s="3">
        <v>407506</v>
      </c>
      <c r="C2025">
        <v>3</v>
      </c>
      <c r="D2025" t="s">
        <v>36</v>
      </c>
      <c r="E2025">
        <f>90/30</f>
        <v>3</v>
      </c>
      <c r="F2025">
        <v>0</v>
      </c>
    </row>
    <row r="2026" hidden="1" spans="1:6">
      <c r="A2026" s="2" t="s">
        <v>2123</v>
      </c>
      <c r="B2026" s="3">
        <v>407506</v>
      </c>
      <c r="C2026">
        <v>3</v>
      </c>
      <c r="D2026" t="s">
        <v>38</v>
      </c>
      <c r="E2026">
        <f>70/30</f>
        <v>2.33333333333333</v>
      </c>
      <c r="F2026">
        <v>0</v>
      </c>
    </row>
    <row r="2027" hidden="1" spans="1:6">
      <c r="A2027" s="2" t="s">
        <v>2124</v>
      </c>
      <c r="B2027" s="3">
        <v>407506</v>
      </c>
      <c r="C2027">
        <v>3</v>
      </c>
      <c r="D2027" t="s">
        <v>40</v>
      </c>
      <c r="E2027">
        <f>45/30</f>
        <v>1.5</v>
      </c>
      <c r="F2027">
        <v>0</v>
      </c>
    </row>
    <row r="2028" hidden="1" spans="1:6">
      <c r="A2028" s="2" t="s">
        <v>2125</v>
      </c>
      <c r="B2028" s="3">
        <v>407506</v>
      </c>
      <c r="C2028">
        <v>3</v>
      </c>
      <c r="D2028" t="s">
        <v>42</v>
      </c>
      <c r="E2028">
        <f>36/30</f>
        <v>1.2</v>
      </c>
      <c r="F2028">
        <v>0</v>
      </c>
    </row>
    <row r="2029" hidden="1" spans="1:6">
      <c r="A2029" s="2" t="s">
        <v>2126</v>
      </c>
      <c r="B2029" s="3">
        <v>407506</v>
      </c>
      <c r="C2029">
        <v>3</v>
      </c>
      <c r="D2029" t="s">
        <v>44</v>
      </c>
      <c r="E2029">
        <f>95/30</f>
        <v>3.16666666666667</v>
      </c>
      <c r="F2029">
        <v>0</v>
      </c>
    </row>
    <row r="2030" hidden="1" spans="1:6">
      <c r="A2030" s="2" t="s">
        <v>2127</v>
      </c>
      <c r="B2030" s="3">
        <v>407506</v>
      </c>
      <c r="C2030">
        <v>3</v>
      </c>
      <c r="D2030" t="s">
        <v>46</v>
      </c>
      <c r="E2030">
        <f>300/30</f>
        <v>10</v>
      </c>
      <c r="F2030">
        <v>0</v>
      </c>
    </row>
    <row r="2031" hidden="1" spans="1:6">
      <c r="A2031" s="2" t="s">
        <v>2128</v>
      </c>
      <c r="B2031" s="3">
        <v>407506</v>
      </c>
      <c r="C2031">
        <v>3</v>
      </c>
      <c r="D2031" t="s">
        <v>86</v>
      </c>
      <c r="E2031">
        <f>360/30</f>
        <v>12</v>
      </c>
      <c r="F2031">
        <v>0</v>
      </c>
    </row>
    <row r="2032" hidden="1" spans="1:6">
      <c r="A2032" s="2" t="s">
        <v>2129</v>
      </c>
      <c r="B2032" s="3">
        <v>407506</v>
      </c>
      <c r="C2032">
        <v>3</v>
      </c>
      <c r="D2032" t="s">
        <v>50</v>
      </c>
      <c r="E2032">
        <f>290/30</f>
        <v>9.66666666666667</v>
      </c>
      <c r="F2032">
        <v>0</v>
      </c>
    </row>
    <row r="2033" hidden="1" spans="1:11">
      <c r="A2033" s="2" t="s">
        <v>2130</v>
      </c>
      <c r="B2033" s="3">
        <v>407506</v>
      </c>
      <c r="C2033">
        <v>3</v>
      </c>
      <c r="D2033" t="s">
        <v>97</v>
      </c>
      <c r="E2033">
        <v>3.33333333333333</v>
      </c>
      <c r="F2033">
        <v>0</v>
      </c>
      <c r="G2033">
        <v>0</v>
      </c>
      <c r="H2033">
        <v>2</v>
      </c>
      <c r="I2033">
        <v>1965</v>
      </c>
      <c r="J2033" t="s">
        <v>58</v>
      </c>
      <c r="K2033">
        <v>1</v>
      </c>
    </row>
    <row r="2034" hidden="1" spans="1:6">
      <c r="A2034" s="2" t="s">
        <v>2131</v>
      </c>
      <c r="B2034" s="3">
        <v>407401</v>
      </c>
      <c r="C2034">
        <v>3</v>
      </c>
      <c r="D2034" t="s">
        <v>36</v>
      </c>
      <c r="E2034">
        <f>53/30</f>
        <v>1.76666666666667</v>
      </c>
      <c r="F2034">
        <v>0</v>
      </c>
    </row>
    <row r="2035" hidden="1" spans="1:6">
      <c r="A2035" s="2" t="s">
        <v>2132</v>
      </c>
      <c r="B2035" s="3">
        <v>407401</v>
      </c>
      <c r="C2035">
        <v>3</v>
      </c>
      <c r="D2035" t="s">
        <v>40</v>
      </c>
      <c r="E2035">
        <f>50/30</f>
        <v>1.66666666666667</v>
      </c>
      <c r="F2035">
        <v>0</v>
      </c>
    </row>
    <row r="2036" hidden="1" spans="1:6">
      <c r="A2036" s="2" t="s">
        <v>2133</v>
      </c>
      <c r="B2036" s="3">
        <v>407401</v>
      </c>
      <c r="C2036">
        <v>3</v>
      </c>
      <c r="D2036" t="s">
        <v>42</v>
      </c>
      <c r="E2036">
        <f>290/30</f>
        <v>9.66666666666667</v>
      </c>
      <c r="F2036">
        <v>0</v>
      </c>
    </row>
    <row r="2037" hidden="1" spans="1:6">
      <c r="A2037" s="2" t="s">
        <v>2134</v>
      </c>
      <c r="B2037" s="3">
        <v>407401</v>
      </c>
      <c r="C2037">
        <v>3</v>
      </c>
      <c r="D2037" t="s">
        <v>44</v>
      </c>
      <c r="E2037">
        <f>170/30</f>
        <v>5.66666666666667</v>
      </c>
      <c r="F2037">
        <v>0</v>
      </c>
    </row>
    <row r="2038" hidden="1" spans="1:6">
      <c r="A2038" s="2" t="s">
        <v>2135</v>
      </c>
      <c r="B2038" s="3">
        <v>407401</v>
      </c>
      <c r="C2038">
        <v>3</v>
      </c>
      <c r="D2038" t="s">
        <v>46</v>
      </c>
      <c r="E2038">
        <f>62/30</f>
        <v>2.06666666666667</v>
      </c>
      <c r="F2038">
        <v>0</v>
      </c>
    </row>
    <row r="2039" hidden="1" spans="1:6">
      <c r="A2039" s="2" t="s">
        <v>2136</v>
      </c>
      <c r="B2039" s="3">
        <v>407401</v>
      </c>
      <c r="C2039">
        <v>3</v>
      </c>
      <c r="D2039" t="s">
        <v>86</v>
      </c>
      <c r="E2039">
        <f>95/30</f>
        <v>3.16666666666667</v>
      </c>
      <c r="F2039">
        <v>0</v>
      </c>
    </row>
    <row r="2040" hidden="1" spans="1:6">
      <c r="A2040" s="2" t="s">
        <v>2137</v>
      </c>
      <c r="B2040" s="3">
        <v>407401</v>
      </c>
      <c r="C2040">
        <v>3</v>
      </c>
      <c r="D2040" t="s">
        <v>50</v>
      </c>
      <c r="E2040">
        <f>230/30</f>
        <v>7.66666666666667</v>
      </c>
      <c r="F2040">
        <v>0</v>
      </c>
    </row>
    <row r="2041" hidden="1" spans="1:6">
      <c r="A2041" s="2" t="s">
        <v>2138</v>
      </c>
      <c r="B2041" s="3">
        <v>407401</v>
      </c>
      <c r="C2041">
        <v>3</v>
      </c>
      <c r="D2041" t="s">
        <v>90</v>
      </c>
      <c r="E2041">
        <f>70/30</f>
        <v>2.33333333333333</v>
      </c>
      <c r="F2041">
        <v>0</v>
      </c>
    </row>
    <row r="2042" hidden="1" spans="1:6">
      <c r="A2042" s="2" t="s">
        <v>2139</v>
      </c>
      <c r="B2042" s="3">
        <v>407401</v>
      </c>
      <c r="C2042">
        <v>3</v>
      </c>
      <c r="D2042" t="s">
        <v>1668</v>
      </c>
      <c r="E2042">
        <f>15/30</f>
        <v>0.5</v>
      </c>
      <c r="F2042">
        <v>0</v>
      </c>
    </row>
    <row r="2043" hidden="1" spans="1:13">
      <c r="A2043" s="2" t="s">
        <v>2140</v>
      </c>
      <c r="B2043" s="3">
        <v>407401</v>
      </c>
      <c r="C2043">
        <v>3</v>
      </c>
      <c r="D2043" t="s">
        <v>57</v>
      </c>
      <c r="E2043">
        <v>5</v>
      </c>
      <c r="F2043">
        <v>0</v>
      </c>
      <c r="G2043">
        <v>0</v>
      </c>
      <c r="H2043">
        <v>2</v>
      </c>
      <c r="I2043">
        <v>2160</v>
      </c>
      <c r="J2043" t="s">
        <v>58</v>
      </c>
      <c r="K2043">
        <v>1</v>
      </c>
      <c r="L2043" s="4" t="s">
        <v>2141</v>
      </c>
      <c r="M2043" t="s">
        <v>2142</v>
      </c>
    </row>
    <row r="2044" hidden="1" spans="1:6">
      <c r="A2044" s="2" t="s">
        <v>2143</v>
      </c>
      <c r="B2044" s="3">
        <v>1243</v>
      </c>
      <c r="C2044">
        <v>3</v>
      </c>
      <c r="D2044" t="s">
        <v>36</v>
      </c>
      <c r="E2044">
        <f>48/30</f>
        <v>1.6</v>
      </c>
      <c r="F2044">
        <v>0</v>
      </c>
    </row>
    <row r="2045" hidden="1" spans="1:6">
      <c r="A2045" s="2" t="s">
        <v>2144</v>
      </c>
      <c r="B2045" s="3">
        <v>1243</v>
      </c>
      <c r="C2045">
        <v>3</v>
      </c>
      <c r="D2045" t="s">
        <v>38</v>
      </c>
      <c r="E2045">
        <f>62/30</f>
        <v>2.06666666666667</v>
      </c>
      <c r="F2045">
        <v>0</v>
      </c>
    </row>
    <row r="2046" hidden="1" spans="1:6">
      <c r="A2046" s="2" t="s">
        <v>2145</v>
      </c>
      <c r="B2046" s="3">
        <v>1243</v>
      </c>
      <c r="C2046">
        <v>3</v>
      </c>
      <c r="D2046" t="s">
        <v>40</v>
      </c>
      <c r="E2046">
        <f>89/30</f>
        <v>2.96666666666667</v>
      </c>
      <c r="F2046">
        <v>0</v>
      </c>
    </row>
    <row r="2047" hidden="1" spans="1:6">
      <c r="A2047" s="2" t="s">
        <v>2146</v>
      </c>
      <c r="B2047" s="3">
        <v>1243</v>
      </c>
      <c r="C2047">
        <v>3</v>
      </c>
      <c r="D2047" t="s">
        <v>42</v>
      </c>
      <c r="E2047">
        <f>213/30</f>
        <v>7.1</v>
      </c>
      <c r="F2047">
        <v>0</v>
      </c>
    </row>
    <row r="2048" hidden="1" spans="1:6">
      <c r="A2048" s="2" t="s">
        <v>2147</v>
      </c>
      <c r="B2048" s="3">
        <v>409601</v>
      </c>
      <c r="C2048">
        <v>3</v>
      </c>
      <c r="D2048" t="s">
        <v>36</v>
      </c>
      <c r="E2048">
        <f>101/30</f>
        <v>3.36666666666667</v>
      </c>
      <c r="F2048">
        <v>0</v>
      </c>
    </row>
    <row r="2049" hidden="1" spans="1:6">
      <c r="A2049" s="2" t="s">
        <v>2148</v>
      </c>
      <c r="B2049" s="3">
        <v>409601</v>
      </c>
      <c r="C2049">
        <v>3</v>
      </c>
      <c r="D2049" t="s">
        <v>38</v>
      </c>
      <c r="E2049">
        <f>153/30</f>
        <v>5.1</v>
      </c>
      <c r="F2049">
        <v>0</v>
      </c>
    </row>
    <row r="2050" hidden="1" spans="1:6">
      <c r="A2050" s="2" t="s">
        <v>2149</v>
      </c>
      <c r="B2050" s="3">
        <v>409601</v>
      </c>
      <c r="C2050">
        <v>3</v>
      </c>
      <c r="D2050" t="s">
        <v>40</v>
      </c>
      <c r="E2050">
        <f>127/30</f>
        <v>4.23333333333333</v>
      </c>
      <c r="F2050">
        <v>0</v>
      </c>
    </row>
    <row r="2051" hidden="1" spans="1:6">
      <c r="A2051" s="2" t="s">
        <v>2150</v>
      </c>
      <c r="B2051" s="3">
        <v>409601</v>
      </c>
      <c r="C2051">
        <v>3</v>
      </c>
      <c r="D2051" t="s">
        <v>42</v>
      </c>
      <c r="E2051">
        <f>124/30</f>
        <v>4.13333333333333</v>
      </c>
      <c r="F2051">
        <v>0</v>
      </c>
    </row>
    <row r="2052" hidden="1" spans="1:6">
      <c r="A2052" s="2" t="s">
        <v>2151</v>
      </c>
      <c r="B2052" s="3">
        <v>409601</v>
      </c>
      <c r="C2052">
        <v>3</v>
      </c>
      <c r="D2052" t="s">
        <v>44</v>
      </c>
      <c r="E2052">
        <f>89/30</f>
        <v>2.96666666666667</v>
      </c>
      <c r="F2052">
        <v>0</v>
      </c>
    </row>
    <row r="2053" hidden="1" spans="1:6">
      <c r="A2053" s="2" t="s">
        <v>2152</v>
      </c>
      <c r="B2053" s="3">
        <v>409601</v>
      </c>
      <c r="C2053">
        <v>3</v>
      </c>
      <c r="D2053" t="s">
        <v>46</v>
      </c>
      <c r="E2053">
        <f>273/30</f>
        <v>9.1</v>
      </c>
      <c r="F2053">
        <v>0</v>
      </c>
    </row>
    <row r="2054" hidden="1" spans="1:6">
      <c r="A2054" s="2" t="s">
        <v>2153</v>
      </c>
      <c r="B2054" s="3">
        <v>409601</v>
      </c>
      <c r="C2054">
        <v>3</v>
      </c>
      <c r="D2054" t="s">
        <v>86</v>
      </c>
      <c r="E2054">
        <f>290/30</f>
        <v>9.66666666666667</v>
      </c>
      <c r="F2054">
        <v>0</v>
      </c>
    </row>
    <row r="2055" hidden="1" spans="1:6">
      <c r="A2055" s="2" t="s">
        <v>2154</v>
      </c>
      <c r="B2055" s="3">
        <v>409601</v>
      </c>
      <c r="C2055">
        <v>3</v>
      </c>
      <c r="D2055" t="s">
        <v>50</v>
      </c>
      <c r="E2055">
        <f>225/30</f>
        <v>7.5</v>
      </c>
      <c r="F2055">
        <v>0</v>
      </c>
    </row>
    <row r="2056" ht="16.5" hidden="1" spans="1:11">
      <c r="A2056" s="2" t="s">
        <v>2155</v>
      </c>
      <c r="B2056" s="3">
        <v>409601</v>
      </c>
      <c r="C2056">
        <v>3</v>
      </c>
      <c r="D2056" t="s">
        <v>57</v>
      </c>
      <c r="E2056">
        <f>103/30</f>
        <v>3.43333333333333</v>
      </c>
      <c r="F2056">
        <v>0</v>
      </c>
      <c r="G2056">
        <v>0</v>
      </c>
      <c r="H2056">
        <v>2</v>
      </c>
      <c r="I2056" s="91">
        <v>2914</v>
      </c>
      <c r="J2056" t="s">
        <v>58</v>
      </c>
      <c r="K2056">
        <v>1</v>
      </c>
    </row>
    <row r="2057" ht="16.5" hidden="1" spans="1:9">
      <c r="A2057" s="2" t="s">
        <v>2156</v>
      </c>
      <c r="B2057" s="3">
        <v>409601</v>
      </c>
      <c r="C2057">
        <v>3</v>
      </c>
      <c r="D2057" t="s">
        <v>1406</v>
      </c>
      <c r="E2057">
        <f>45/30</f>
        <v>1.5</v>
      </c>
      <c r="F2057">
        <v>0</v>
      </c>
      <c r="I2057" s="91"/>
    </row>
    <row r="2058" hidden="1" spans="1:6">
      <c r="A2058" s="2" t="s">
        <v>2157</v>
      </c>
      <c r="B2058" s="3">
        <v>97</v>
      </c>
      <c r="C2058">
        <v>3</v>
      </c>
      <c r="D2058" t="s">
        <v>36</v>
      </c>
      <c r="E2058" s="58">
        <v>3.833333333</v>
      </c>
      <c r="F2058">
        <v>0</v>
      </c>
    </row>
    <row r="2059" hidden="1" spans="1:6">
      <c r="A2059" s="2" t="s">
        <v>2158</v>
      </c>
      <c r="B2059" s="3">
        <v>97</v>
      </c>
      <c r="C2059">
        <v>3</v>
      </c>
      <c r="D2059" t="s">
        <v>38</v>
      </c>
      <c r="E2059" s="58">
        <v>2.7</v>
      </c>
      <c r="F2059">
        <v>0</v>
      </c>
    </row>
    <row r="2060" hidden="1" spans="1:6">
      <c r="A2060" s="2" t="s">
        <v>2159</v>
      </c>
      <c r="B2060" s="3">
        <v>97</v>
      </c>
      <c r="C2060">
        <v>3</v>
      </c>
      <c r="D2060" t="s">
        <v>40</v>
      </c>
      <c r="E2060" s="58">
        <v>3.1</v>
      </c>
      <c r="F2060">
        <v>0</v>
      </c>
    </row>
    <row r="2061" hidden="1" spans="1:6">
      <c r="A2061" s="2" t="s">
        <v>2160</v>
      </c>
      <c r="B2061" s="3">
        <v>97</v>
      </c>
      <c r="C2061">
        <v>3</v>
      </c>
      <c r="D2061" t="s">
        <v>42</v>
      </c>
      <c r="E2061" s="58">
        <v>3.066666667</v>
      </c>
      <c r="F2061">
        <v>0</v>
      </c>
    </row>
    <row r="2062" hidden="1" spans="1:6">
      <c r="A2062" s="2" t="s">
        <v>2161</v>
      </c>
      <c r="B2062" s="3">
        <v>97</v>
      </c>
      <c r="C2062">
        <v>3</v>
      </c>
      <c r="D2062" t="s">
        <v>44</v>
      </c>
      <c r="E2062" s="58">
        <v>3.2</v>
      </c>
      <c r="F2062">
        <v>0</v>
      </c>
    </row>
    <row r="2063" ht="16.5" hidden="1" spans="1:11">
      <c r="A2063" s="2" t="s">
        <v>2162</v>
      </c>
      <c r="B2063" s="3">
        <v>97</v>
      </c>
      <c r="C2063">
        <v>3</v>
      </c>
      <c r="D2063" t="s">
        <v>54</v>
      </c>
      <c r="E2063" s="58">
        <v>2.133333333</v>
      </c>
      <c r="F2063">
        <v>0</v>
      </c>
      <c r="G2063">
        <v>0</v>
      </c>
      <c r="H2063">
        <v>2</v>
      </c>
      <c r="I2063" s="91">
        <v>2948</v>
      </c>
      <c r="J2063" t="s">
        <v>58</v>
      </c>
      <c r="K2063">
        <v>1</v>
      </c>
    </row>
    <row r="2064" hidden="1" spans="1:6">
      <c r="A2064" s="2" t="s">
        <v>2163</v>
      </c>
      <c r="B2064" s="3">
        <v>3063</v>
      </c>
      <c r="C2064">
        <v>3</v>
      </c>
      <c r="D2064" t="s">
        <v>46</v>
      </c>
      <c r="E2064" s="13">
        <f>181/30</f>
        <v>6.03333333333333</v>
      </c>
      <c r="F2064">
        <v>0</v>
      </c>
    </row>
    <row r="2065" hidden="1" spans="1:6">
      <c r="A2065" s="2" t="s">
        <v>2164</v>
      </c>
      <c r="B2065" s="3">
        <v>3063</v>
      </c>
      <c r="C2065">
        <v>3</v>
      </c>
      <c r="D2065" t="s">
        <v>86</v>
      </c>
      <c r="E2065" s="13">
        <f>193/30</f>
        <v>6.43333333333333</v>
      </c>
      <c r="F2065">
        <v>0</v>
      </c>
    </row>
    <row r="2066" hidden="1" spans="1:6">
      <c r="A2066" s="2" t="s">
        <v>2165</v>
      </c>
      <c r="B2066" s="3">
        <v>3063</v>
      </c>
      <c r="C2066">
        <v>3</v>
      </c>
      <c r="D2066" t="s">
        <v>50</v>
      </c>
      <c r="E2066" s="13">
        <f>328/30</f>
        <v>10.9333333333333</v>
      </c>
      <c r="F2066">
        <v>0</v>
      </c>
    </row>
    <row r="2067" hidden="1" spans="1:6">
      <c r="A2067" s="2" t="s">
        <v>2166</v>
      </c>
      <c r="B2067" s="3">
        <v>3063</v>
      </c>
      <c r="C2067">
        <v>3</v>
      </c>
      <c r="D2067" t="s">
        <v>90</v>
      </c>
      <c r="E2067" s="58">
        <f>193/30</f>
        <v>6.43333333333333</v>
      </c>
      <c r="F2067">
        <v>0</v>
      </c>
    </row>
    <row r="2068" hidden="1" spans="1:6">
      <c r="A2068" s="2" t="s">
        <v>2167</v>
      </c>
      <c r="B2068" s="3">
        <v>98</v>
      </c>
      <c r="C2068">
        <v>3</v>
      </c>
      <c r="D2068" t="s">
        <v>36</v>
      </c>
      <c r="E2068" s="58">
        <v>3</v>
      </c>
      <c r="F2068">
        <v>0</v>
      </c>
    </row>
    <row r="2069" hidden="1" spans="1:6">
      <c r="A2069" s="2" t="s">
        <v>2168</v>
      </c>
      <c r="B2069" s="3">
        <v>98</v>
      </c>
      <c r="C2069">
        <v>3</v>
      </c>
      <c r="D2069" t="s">
        <v>38</v>
      </c>
      <c r="E2069" s="58">
        <v>3.833333</v>
      </c>
      <c r="F2069">
        <v>0</v>
      </c>
    </row>
    <row r="2070" hidden="1" spans="1:6">
      <c r="A2070" s="2" t="s">
        <v>2169</v>
      </c>
      <c r="B2070" s="3">
        <v>98</v>
      </c>
      <c r="C2070">
        <v>3</v>
      </c>
      <c r="D2070" t="s">
        <v>40</v>
      </c>
      <c r="E2070" s="58">
        <v>3.4</v>
      </c>
      <c r="F2070">
        <v>0</v>
      </c>
    </row>
    <row r="2071" hidden="1" spans="1:6">
      <c r="A2071" s="2" t="s">
        <v>2170</v>
      </c>
      <c r="B2071" s="3">
        <v>98</v>
      </c>
      <c r="C2071">
        <v>3</v>
      </c>
      <c r="D2071" t="s">
        <v>42</v>
      </c>
      <c r="E2071" s="58">
        <v>4.9</v>
      </c>
      <c r="F2071">
        <v>0</v>
      </c>
    </row>
    <row r="2072" hidden="1" spans="1:6">
      <c r="A2072" s="2" t="s">
        <v>2171</v>
      </c>
      <c r="B2072" s="3">
        <v>98</v>
      </c>
      <c r="C2072">
        <v>3</v>
      </c>
      <c r="D2072" t="s">
        <v>44</v>
      </c>
      <c r="E2072" s="58">
        <v>10</v>
      </c>
      <c r="F2072">
        <v>0</v>
      </c>
    </row>
    <row r="2073" hidden="1" spans="1:6">
      <c r="A2073" s="2" t="s">
        <v>2172</v>
      </c>
      <c r="B2073" s="3">
        <v>98</v>
      </c>
      <c r="C2073">
        <v>3</v>
      </c>
      <c r="D2073" t="s">
        <v>46</v>
      </c>
      <c r="E2073" s="58">
        <v>7.333333</v>
      </c>
      <c r="F2073">
        <v>0</v>
      </c>
    </row>
    <row r="2074" hidden="1" spans="1:6">
      <c r="A2074" s="2" t="s">
        <v>2173</v>
      </c>
      <c r="B2074" s="3">
        <v>98</v>
      </c>
      <c r="C2074">
        <v>3</v>
      </c>
      <c r="D2074" t="s">
        <v>86</v>
      </c>
      <c r="E2074" s="58">
        <v>8.4</v>
      </c>
      <c r="F2074">
        <v>0</v>
      </c>
    </row>
    <row r="2075" hidden="1" spans="1:6">
      <c r="A2075" s="2" t="s">
        <v>2174</v>
      </c>
      <c r="B2075" s="3">
        <v>98</v>
      </c>
      <c r="C2075">
        <v>3</v>
      </c>
      <c r="D2075" t="s">
        <v>50</v>
      </c>
      <c r="E2075" s="58">
        <v>8.766667</v>
      </c>
      <c r="F2075">
        <v>0</v>
      </c>
    </row>
    <row r="2076" hidden="1" spans="1:6">
      <c r="A2076" s="2" t="s">
        <v>2175</v>
      </c>
      <c r="B2076" s="3">
        <v>98</v>
      </c>
      <c r="C2076">
        <v>3</v>
      </c>
      <c r="D2076" t="s">
        <v>90</v>
      </c>
      <c r="E2076" s="58">
        <v>8.766667</v>
      </c>
      <c r="F2076">
        <v>0</v>
      </c>
    </row>
    <row r="2077" ht="16.5" hidden="1" spans="1:11">
      <c r="A2077" s="2" t="s">
        <v>2176</v>
      </c>
      <c r="B2077" s="3">
        <v>98</v>
      </c>
      <c r="C2077">
        <v>3</v>
      </c>
      <c r="D2077" t="s">
        <v>57</v>
      </c>
      <c r="E2077" s="58">
        <v>2.666667</v>
      </c>
      <c r="F2077">
        <v>0</v>
      </c>
      <c r="G2077">
        <v>0</v>
      </c>
      <c r="H2077">
        <v>2</v>
      </c>
      <c r="I2077" s="91">
        <v>2987</v>
      </c>
      <c r="J2077" t="s">
        <v>58</v>
      </c>
      <c r="K2077">
        <v>1</v>
      </c>
    </row>
    <row r="2078" ht="18" hidden="1" customHeight="1" spans="1:9">
      <c r="A2078" s="2" t="s">
        <v>2177</v>
      </c>
      <c r="B2078" s="3">
        <v>98</v>
      </c>
      <c r="C2078">
        <v>3</v>
      </c>
      <c r="D2078" t="s">
        <v>2178</v>
      </c>
      <c r="E2078" s="58">
        <v>0.8</v>
      </c>
      <c r="F2078">
        <v>0</v>
      </c>
      <c r="I2078" s="91"/>
    </row>
    <row r="2079" ht="16.5" hidden="1" spans="1:9">
      <c r="A2079" s="2" t="s">
        <v>2179</v>
      </c>
      <c r="B2079" s="3">
        <v>98</v>
      </c>
      <c r="C2079">
        <v>3</v>
      </c>
      <c r="D2079" t="s">
        <v>300</v>
      </c>
      <c r="E2079" s="58">
        <v>0.8</v>
      </c>
      <c r="F2079">
        <v>0</v>
      </c>
      <c r="I2079" s="91"/>
    </row>
    <row r="2080" ht="16.5" hidden="1" spans="1:9">
      <c r="A2080" s="2" t="s">
        <v>2180</v>
      </c>
      <c r="B2080" s="3">
        <v>98</v>
      </c>
      <c r="C2080">
        <v>3</v>
      </c>
      <c r="D2080" t="s">
        <v>1047</v>
      </c>
      <c r="E2080" s="58">
        <f>50/30</f>
        <v>1.66666666666667</v>
      </c>
      <c r="F2080">
        <v>0</v>
      </c>
      <c r="I2080" s="91"/>
    </row>
    <row r="2081" ht="16.5" hidden="1" spans="1:9">
      <c r="A2081" s="2" t="s">
        <v>2181</v>
      </c>
      <c r="B2081" s="3">
        <v>98</v>
      </c>
      <c r="C2081">
        <v>3</v>
      </c>
      <c r="D2081" t="s">
        <v>2182</v>
      </c>
      <c r="E2081" s="58">
        <f>45/30</f>
        <v>1.5</v>
      </c>
      <c r="F2081">
        <v>0</v>
      </c>
      <c r="I2081" s="91"/>
    </row>
    <row r="2082" ht="16.5" hidden="1" spans="1:9">
      <c r="A2082" s="2" t="s">
        <v>2183</v>
      </c>
      <c r="B2082" s="3">
        <v>98</v>
      </c>
      <c r="C2082">
        <v>3</v>
      </c>
      <c r="D2082" t="s">
        <v>2184</v>
      </c>
      <c r="E2082" s="58">
        <f>36/30</f>
        <v>1.2</v>
      </c>
      <c r="F2082">
        <v>0</v>
      </c>
      <c r="I2082" s="91"/>
    </row>
    <row r="2083" ht="16.5" hidden="1" spans="1:9">
      <c r="A2083" s="2" t="s">
        <v>2185</v>
      </c>
      <c r="B2083" s="3">
        <v>98</v>
      </c>
      <c r="C2083">
        <v>3</v>
      </c>
      <c r="D2083" t="s">
        <v>2186</v>
      </c>
      <c r="E2083" s="58">
        <f>51/30</f>
        <v>1.7</v>
      </c>
      <c r="F2083">
        <v>0</v>
      </c>
      <c r="I2083" s="91"/>
    </row>
    <row r="2084" ht="16.5" hidden="1" spans="1:9">
      <c r="A2084" s="2" t="s">
        <v>2187</v>
      </c>
      <c r="B2084" s="3">
        <v>98</v>
      </c>
      <c r="C2084">
        <v>3</v>
      </c>
      <c r="D2084" t="s">
        <v>2188</v>
      </c>
      <c r="E2084" s="58">
        <f>24/30</f>
        <v>0.8</v>
      </c>
      <c r="F2084">
        <v>0</v>
      </c>
      <c r="I2084" s="91"/>
    </row>
    <row r="2085" ht="16.5" hidden="1" spans="1:9">
      <c r="A2085" s="2" t="s">
        <v>2189</v>
      </c>
      <c r="B2085" s="3">
        <v>98</v>
      </c>
      <c r="C2085">
        <v>3</v>
      </c>
      <c r="D2085" t="s">
        <v>2190</v>
      </c>
      <c r="E2085" s="58">
        <f>24/30</f>
        <v>0.8</v>
      </c>
      <c r="F2085">
        <v>0</v>
      </c>
      <c r="I2085" s="91"/>
    </row>
    <row r="2086" ht="16.5" hidden="1" spans="1:9">
      <c r="A2086" s="2" t="s">
        <v>2191</v>
      </c>
      <c r="B2086" s="3">
        <v>98</v>
      </c>
      <c r="C2086">
        <v>3</v>
      </c>
      <c r="D2086" t="s">
        <v>2192</v>
      </c>
      <c r="E2086" s="58">
        <f>24/30</f>
        <v>0.8</v>
      </c>
      <c r="F2086">
        <v>0</v>
      </c>
      <c r="I2086" s="91"/>
    </row>
    <row r="2087" ht="16.5" hidden="1" spans="1:9">
      <c r="A2087" s="2" t="s">
        <v>2193</v>
      </c>
      <c r="B2087" s="3">
        <v>98</v>
      </c>
      <c r="C2087">
        <v>3</v>
      </c>
      <c r="D2087" t="s">
        <v>2194</v>
      </c>
      <c r="E2087" s="58">
        <f>26/30</f>
        <v>0.866666666666667</v>
      </c>
      <c r="F2087">
        <v>0</v>
      </c>
      <c r="I2087" s="91"/>
    </row>
    <row r="2088" ht="16.5" hidden="1" spans="1:9">
      <c r="A2088" s="2" t="s">
        <v>2195</v>
      </c>
      <c r="B2088" s="3">
        <v>98</v>
      </c>
      <c r="C2088">
        <v>3</v>
      </c>
      <c r="D2088" t="s">
        <v>2196</v>
      </c>
      <c r="E2088" s="58">
        <f>60/30</f>
        <v>2</v>
      </c>
      <c r="F2088">
        <v>0</v>
      </c>
      <c r="I2088" s="91"/>
    </row>
    <row r="2089" ht="16.5" hidden="1" spans="1:9">
      <c r="A2089" s="2" t="s">
        <v>2197</v>
      </c>
      <c r="B2089" s="3">
        <v>98</v>
      </c>
      <c r="C2089">
        <v>3</v>
      </c>
      <c r="D2089" t="s">
        <v>2198</v>
      </c>
      <c r="E2089" s="58">
        <f>60/30</f>
        <v>2</v>
      </c>
      <c r="F2089">
        <v>0</v>
      </c>
      <c r="I2089" s="91"/>
    </row>
    <row r="2090" ht="16.5" hidden="1" spans="1:9">
      <c r="A2090" s="2" t="s">
        <v>2199</v>
      </c>
      <c r="B2090" s="3">
        <v>98</v>
      </c>
      <c r="C2090">
        <v>3</v>
      </c>
      <c r="D2090" t="s">
        <v>236</v>
      </c>
      <c r="E2090" s="58">
        <f>66/30</f>
        <v>2.2</v>
      </c>
      <c r="F2090">
        <v>0</v>
      </c>
      <c r="I2090" s="91"/>
    </row>
    <row r="2091" ht="16.5" hidden="1" spans="1:9">
      <c r="A2091" s="2" t="s">
        <v>2200</v>
      </c>
      <c r="B2091" s="3">
        <v>98</v>
      </c>
      <c r="C2091">
        <v>3</v>
      </c>
      <c r="D2091" t="s">
        <v>204</v>
      </c>
      <c r="E2091" s="58">
        <f>41/30</f>
        <v>1.36666666666667</v>
      </c>
      <c r="F2091">
        <v>0</v>
      </c>
      <c r="I2091" s="91"/>
    </row>
    <row r="2092" ht="16.5" hidden="1" spans="1:11">
      <c r="A2092" s="2" t="s">
        <v>2201</v>
      </c>
      <c r="B2092" s="3">
        <v>98</v>
      </c>
      <c r="C2092">
        <v>3</v>
      </c>
      <c r="D2092" t="s">
        <v>77</v>
      </c>
      <c r="E2092" s="58">
        <f>87/30</f>
        <v>2.9</v>
      </c>
      <c r="F2092">
        <v>0</v>
      </c>
      <c r="G2092">
        <v>0</v>
      </c>
      <c r="H2092">
        <v>2</v>
      </c>
      <c r="I2092" s="91">
        <v>2993</v>
      </c>
      <c r="J2092" t="s">
        <v>58</v>
      </c>
      <c r="K2092">
        <v>1</v>
      </c>
    </row>
    <row r="2093" hidden="1" spans="1:6">
      <c r="A2093" s="2" t="s">
        <v>2202</v>
      </c>
      <c r="B2093" s="3">
        <v>1244</v>
      </c>
      <c r="C2093">
        <v>3</v>
      </c>
      <c r="D2093" t="s">
        <v>36</v>
      </c>
      <c r="E2093">
        <f>65/30</f>
        <v>2.16666666666667</v>
      </c>
      <c r="F2093">
        <v>0</v>
      </c>
    </row>
    <row r="2094" hidden="1" spans="1:6">
      <c r="A2094" s="2" t="s">
        <v>2203</v>
      </c>
      <c r="B2094" s="3">
        <v>2270</v>
      </c>
      <c r="C2094">
        <v>3</v>
      </c>
      <c r="D2094" t="s">
        <v>36</v>
      </c>
      <c r="E2094">
        <f>100/30</f>
        <v>3.33333333333333</v>
      </c>
      <c r="F2094">
        <v>0</v>
      </c>
    </row>
    <row r="2095" hidden="1" spans="1:6">
      <c r="A2095" s="2" t="s">
        <v>2204</v>
      </c>
      <c r="B2095" s="3">
        <v>2270</v>
      </c>
      <c r="C2095">
        <v>3</v>
      </c>
      <c r="D2095" t="s">
        <v>38</v>
      </c>
      <c r="E2095">
        <f>96/30</f>
        <v>3.2</v>
      </c>
      <c r="F2095">
        <v>0</v>
      </c>
    </row>
    <row r="2096" hidden="1" spans="1:6">
      <c r="A2096" s="2" t="s">
        <v>2205</v>
      </c>
      <c r="B2096" s="3">
        <v>2270</v>
      </c>
      <c r="C2096">
        <v>3</v>
      </c>
      <c r="D2096" t="s">
        <v>40</v>
      </c>
      <c r="E2096">
        <f>80/30</f>
        <v>2.66666666666667</v>
      </c>
      <c r="F2096">
        <v>0</v>
      </c>
    </row>
    <row r="2097" hidden="1" spans="1:6">
      <c r="A2097" s="2" t="s">
        <v>2206</v>
      </c>
      <c r="B2097" s="3">
        <v>2270</v>
      </c>
      <c r="C2097">
        <v>3</v>
      </c>
      <c r="D2097" t="s">
        <v>42</v>
      </c>
      <c r="E2097">
        <f>104/30</f>
        <v>3.46666666666667</v>
      </c>
      <c r="F2097">
        <v>0</v>
      </c>
    </row>
    <row r="2098" hidden="1" spans="1:6">
      <c r="A2098" s="2" t="s">
        <v>2207</v>
      </c>
      <c r="B2098" s="3">
        <v>2270</v>
      </c>
      <c r="C2098">
        <v>3</v>
      </c>
      <c r="D2098" t="s">
        <v>44</v>
      </c>
      <c r="E2098">
        <f>70/30</f>
        <v>2.33333333333333</v>
      </c>
      <c r="F2098">
        <v>0</v>
      </c>
    </row>
    <row r="2099" hidden="1" spans="1:6">
      <c r="A2099" s="2" t="s">
        <v>2208</v>
      </c>
      <c r="B2099" s="3">
        <v>2270</v>
      </c>
      <c r="C2099">
        <v>3</v>
      </c>
      <c r="D2099" t="s">
        <v>46</v>
      </c>
      <c r="E2099">
        <f>313/30</f>
        <v>10.4333333333333</v>
      </c>
      <c r="F2099">
        <v>0</v>
      </c>
    </row>
    <row r="2100" hidden="1" spans="1:6">
      <c r="A2100" s="2" t="s">
        <v>2209</v>
      </c>
      <c r="B2100" s="3">
        <v>2270</v>
      </c>
      <c r="C2100">
        <v>3</v>
      </c>
      <c r="D2100" t="s">
        <v>86</v>
      </c>
      <c r="E2100">
        <f>328/30</f>
        <v>10.9333333333333</v>
      </c>
      <c r="F2100">
        <v>0</v>
      </c>
    </row>
    <row r="2101" hidden="1" spans="1:6">
      <c r="A2101" s="2" t="s">
        <v>2210</v>
      </c>
      <c r="B2101" s="3">
        <v>2270</v>
      </c>
      <c r="C2101">
        <v>3</v>
      </c>
      <c r="D2101" t="s">
        <v>50</v>
      </c>
      <c r="E2101">
        <f>350/30</f>
        <v>11.6666666666667</v>
      </c>
      <c r="F2101">
        <v>0</v>
      </c>
    </row>
    <row r="2102" hidden="1" spans="1:6">
      <c r="A2102" s="2" t="s">
        <v>2211</v>
      </c>
      <c r="B2102" s="3">
        <v>2270</v>
      </c>
      <c r="C2102">
        <v>3</v>
      </c>
      <c r="D2102" t="s">
        <v>90</v>
      </c>
      <c r="E2102">
        <f>328/30</f>
        <v>10.9333333333333</v>
      </c>
      <c r="F2102">
        <v>0</v>
      </c>
    </row>
    <row r="2103" hidden="1" spans="1:11">
      <c r="A2103" s="2" t="s">
        <v>2212</v>
      </c>
      <c r="B2103" s="3">
        <v>2270</v>
      </c>
      <c r="C2103">
        <v>3</v>
      </c>
      <c r="D2103" t="s">
        <v>54</v>
      </c>
      <c r="E2103">
        <f>92/30</f>
        <v>3.06666666666667</v>
      </c>
      <c r="F2103">
        <v>0</v>
      </c>
      <c r="G2103">
        <v>0</v>
      </c>
      <c r="H2103">
        <v>2</v>
      </c>
      <c r="I2103">
        <v>2962</v>
      </c>
      <c r="J2103" t="s">
        <v>58</v>
      </c>
      <c r="K2103">
        <v>1</v>
      </c>
    </row>
    <row r="2104" hidden="1" spans="1:11">
      <c r="A2104" s="2" t="s">
        <v>2213</v>
      </c>
      <c r="B2104" s="3">
        <v>2270</v>
      </c>
      <c r="C2104">
        <v>3</v>
      </c>
      <c r="D2104" t="s">
        <v>204</v>
      </c>
      <c r="E2104">
        <f>92/30</f>
        <v>3.06666666666667</v>
      </c>
      <c r="F2104">
        <v>0</v>
      </c>
      <c r="G2104">
        <v>0</v>
      </c>
      <c r="H2104">
        <v>2</v>
      </c>
      <c r="I2104">
        <v>2963</v>
      </c>
      <c r="J2104" t="s">
        <v>58</v>
      </c>
      <c r="K2104">
        <v>1</v>
      </c>
    </row>
    <row r="2105" hidden="1" spans="1:11">
      <c r="A2105" s="2" t="s">
        <v>2214</v>
      </c>
      <c r="B2105" s="3">
        <v>2270</v>
      </c>
      <c r="C2105">
        <v>3</v>
      </c>
      <c r="D2105" t="s">
        <v>109</v>
      </c>
      <c r="E2105">
        <f>92/30</f>
        <v>3.06666666666667</v>
      </c>
      <c r="F2105">
        <v>0</v>
      </c>
      <c r="G2105">
        <v>0</v>
      </c>
      <c r="H2105">
        <v>2</v>
      </c>
      <c r="I2105" t="s">
        <v>2215</v>
      </c>
      <c r="J2105" t="s">
        <v>240</v>
      </c>
      <c r="K2105">
        <v>1</v>
      </c>
    </row>
    <row r="2106" hidden="1" spans="1:6">
      <c r="A2106" s="2" t="s">
        <v>2216</v>
      </c>
      <c r="B2106" s="3">
        <v>409701</v>
      </c>
      <c r="C2106">
        <v>3</v>
      </c>
      <c r="D2106" t="s">
        <v>36</v>
      </c>
      <c r="E2106" s="58">
        <v>3.833333333</v>
      </c>
      <c r="F2106">
        <v>0</v>
      </c>
    </row>
    <row r="2107" hidden="1" spans="1:6">
      <c r="A2107" s="2" t="s">
        <v>2217</v>
      </c>
      <c r="B2107" s="3">
        <v>409701</v>
      </c>
      <c r="C2107">
        <v>3</v>
      </c>
      <c r="D2107" t="s">
        <v>38</v>
      </c>
      <c r="E2107" s="58">
        <v>2.7</v>
      </c>
      <c r="F2107">
        <v>0</v>
      </c>
    </row>
    <row r="2108" hidden="1" spans="1:6">
      <c r="A2108" s="2" t="s">
        <v>2218</v>
      </c>
      <c r="B2108" s="3">
        <v>409701</v>
      </c>
      <c r="C2108">
        <v>3</v>
      </c>
      <c r="D2108" t="s">
        <v>40</v>
      </c>
      <c r="E2108" s="58">
        <v>3.1</v>
      </c>
      <c r="F2108">
        <v>0</v>
      </c>
    </row>
    <row r="2109" hidden="1" spans="1:6">
      <c r="A2109" s="2" t="s">
        <v>2219</v>
      </c>
      <c r="B2109" s="3">
        <v>409701</v>
      </c>
      <c r="C2109">
        <v>3</v>
      </c>
      <c r="D2109" t="s">
        <v>42</v>
      </c>
      <c r="E2109" s="58">
        <v>3.066666667</v>
      </c>
      <c r="F2109">
        <v>0</v>
      </c>
    </row>
    <row r="2110" hidden="1" spans="1:6">
      <c r="A2110" s="2" t="s">
        <v>2220</v>
      </c>
      <c r="B2110" s="3">
        <v>409701</v>
      </c>
      <c r="C2110">
        <v>3</v>
      </c>
      <c r="D2110" t="s">
        <v>44</v>
      </c>
      <c r="E2110" s="58">
        <v>3.2</v>
      </c>
      <c r="F2110">
        <v>0</v>
      </c>
    </row>
    <row r="2111" ht="16.5" hidden="1" spans="1:11">
      <c r="A2111" s="2" t="s">
        <v>2221</v>
      </c>
      <c r="B2111" s="3">
        <v>409701</v>
      </c>
      <c r="C2111">
        <v>3</v>
      </c>
      <c r="D2111" t="s">
        <v>54</v>
      </c>
      <c r="E2111" s="58">
        <v>2.133333333</v>
      </c>
      <c r="F2111">
        <v>0</v>
      </c>
      <c r="G2111">
        <v>0</v>
      </c>
      <c r="H2111">
        <v>2</v>
      </c>
      <c r="I2111" s="91">
        <v>2948</v>
      </c>
      <c r="J2111" t="s">
        <v>58</v>
      </c>
      <c r="K2111">
        <v>1</v>
      </c>
    </row>
    <row r="2112" hidden="1" spans="1:6">
      <c r="A2112" s="2" t="s">
        <v>2222</v>
      </c>
      <c r="B2112" s="3">
        <v>30048</v>
      </c>
      <c r="C2112">
        <v>3</v>
      </c>
      <c r="D2112" t="s">
        <v>92</v>
      </c>
      <c r="E2112">
        <v>3</v>
      </c>
      <c r="F2112">
        <v>0</v>
      </c>
    </row>
    <row r="2113" hidden="1" spans="1:6">
      <c r="A2113" s="2" t="s">
        <v>2223</v>
      </c>
      <c r="B2113" s="3">
        <v>30048</v>
      </c>
      <c r="C2113">
        <v>3</v>
      </c>
      <c r="D2113" t="s">
        <v>261</v>
      </c>
      <c r="E2113">
        <v>1.466666667</v>
      </c>
      <c r="F2113">
        <v>1</v>
      </c>
    </row>
    <row r="2114" hidden="1" spans="1:6">
      <c r="A2114" s="2" t="s">
        <v>2224</v>
      </c>
      <c r="B2114" s="3">
        <v>30048</v>
      </c>
      <c r="C2114">
        <v>3</v>
      </c>
      <c r="D2114" t="s">
        <v>264</v>
      </c>
      <c r="E2114">
        <v>1.666666667</v>
      </c>
      <c r="F2114">
        <v>1</v>
      </c>
    </row>
    <row r="2115" hidden="1" spans="1:6">
      <c r="A2115" s="2" t="s">
        <v>2225</v>
      </c>
      <c r="B2115" s="3">
        <v>409801</v>
      </c>
      <c r="C2115">
        <v>3</v>
      </c>
      <c r="D2115" t="s">
        <v>36</v>
      </c>
      <c r="E2115" s="58">
        <v>3</v>
      </c>
      <c r="F2115">
        <v>0</v>
      </c>
    </row>
    <row r="2116" hidden="1" spans="1:6">
      <c r="A2116" s="2" t="s">
        <v>2226</v>
      </c>
      <c r="B2116" s="3">
        <v>409801</v>
      </c>
      <c r="C2116">
        <v>3</v>
      </c>
      <c r="D2116" t="s">
        <v>38</v>
      </c>
      <c r="E2116" s="58">
        <v>3.833333</v>
      </c>
      <c r="F2116">
        <v>0</v>
      </c>
    </row>
    <row r="2117" hidden="1" spans="1:6">
      <c r="A2117" s="2" t="s">
        <v>2227</v>
      </c>
      <c r="B2117" s="3">
        <v>409801</v>
      </c>
      <c r="C2117">
        <v>3</v>
      </c>
      <c r="D2117" t="s">
        <v>40</v>
      </c>
      <c r="E2117" s="58">
        <v>3.4</v>
      </c>
      <c r="F2117">
        <v>0</v>
      </c>
    </row>
    <row r="2118" hidden="1" spans="1:6">
      <c r="A2118" s="2" t="s">
        <v>2228</v>
      </c>
      <c r="B2118" s="3">
        <v>409801</v>
      </c>
      <c r="C2118">
        <v>3</v>
      </c>
      <c r="D2118" t="s">
        <v>42</v>
      </c>
      <c r="E2118" s="58">
        <v>4.9</v>
      </c>
      <c r="F2118">
        <v>0</v>
      </c>
    </row>
    <row r="2119" hidden="1" spans="1:6">
      <c r="A2119" s="2" t="s">
        <v>2229</v>
      </c>
      <c r="B2119" s="3">
        <v>409801</v>
      </c>
      <c r="C2119">
        <v>3</v>
      </c>
      <c r="D2119" t="s">
        <v>44</v>
      </c>
      <c r="E2119" s="58">
        <v>10</v>
      </c>
      <c r="F2119">
        <v>0</v>
      </c>
    </row>
    <row r="2120" hidden="1" spans="1:6">
      <c r="A2120" s="2" t="s">
        <v>2230</v>
      </c>
      <c r="B2120" s="3">
        <v>409801</v>
      </c>
      <c r="C2120">
        <v>3</v>
      </c>
      <c r="D2120" t="s">
        <v>46</v>
      </c>
      <c r="E2120" s="58">
        <v>7.333333</v>
      </c>
      <c r="F2120">
        <v>0</v>
      </c>
    </row>
    <row r="2121" hidden="1" spans="1:6">
      <c r="A2121" s="2" t="s">
        <v>2231</v>
      </c>
      <c r="B2121" s="3">
        <v>409801</v>
      </c>
      <c r="C2121">
        <v>3</v>
      </c>
      <c r="D2121" t="s">
        <v>86</v>
      </c>
      <c r="E2121" s="58">
        <v>8.4</v>
      </c>
      <c r="F2121">
        <v>0</v>
      </c>
    </row>
    <row r="2122" hidden="1" spans="1:6">
      <c r="A2122" s="2" t="s">
        <v>2232</v>
      </c>
      <c r="B2122" s="3">
        <v>409801</v>
      </c>
      <c r="C2122">
        <v>3</v>
      </c>
      <c r="D2122" t="s">
        <v>50</v>
      </c>
      <c r="E2122" s="58">
        <v>8.766667</v>
      </c>
      <c r="F2122">
        <v>0</v>
      </c>
    </row>
    <row r="2123" hidden="1" spans="1:6">
      <c r="A2123" s="2" t="s">
        <v>2233</v>
      </c>
      <c r="B2123" s="3">
        <v>409801</v>
      </c>
      <c r="C2123">
        <v>3</v>
      </c>
      <c r="D2123" t="s">
        <v>90</v>
      </c>
      <c r="E2123" s="58">
        <v>8.766667</v>
      </c>
      <c r="F2123">
        <v>0</v>
      </c>
    </row>
    <row r="2124" ht="16.5" hidden="1" spans="1:11">
      <c r="A2124" s="2" t="s">
        <v>2234</v>
      </c>
      <c r="B2124" s="3">
        <v>409801</v>
      </c>
      <c r="C2124">
        <v>3</v>
      </c>
      <c r="D2124" t="s">
        <v>57</v>
      </c>
      <c r="E2124" s="58">
        <v>2.666667</v>
      </c>
      <c r="F2124">
        <v>0</v>
      </c>
      <c r="G2124">
        <v>0</v>
      </c>
      <c r="H2124">
        <v>2</v>
      </c>
      <c r="I2124" s="91">
        <v>2987</v>
      </c>
      <c r="J2124" t="s">
        <v>58</v>
      </c>
      <c r="K2124">
        <v>1</v>
      </c>
    </row>
    <row r="2125" hidden="1" spans="1:11">
      <c r="A2125" s="2" t="s">
        <v>2235</v>
      </c>
      <c r="B2125" s="3">
        <v>409801</v>
      </c>
      <c r="C2125">
        <v>3</v>
      </c>
      <c r="D2125" t="s">
        <v>77</v>
      </c>
      <c r="E2125">
        <v>2.9</v>
      </c>
      <c r="F2125">
        <v>0</v>
      </c>
      <c r="G2125">
        <v>0</v>
      </c>
      <c r="H2125">
        <v>2</v>
      </c>
      <c r="I2125">
        <v>2993</v>
      </c>
      <c r="J2125" t="s">
        <v>58</v>
      </c>
      <c r="K2125">
        <v>1</v>
      </c>
    </row>
    <row r="2126" hidden="1" spans="1:6">
      <c r="A2126" s="2" t="s">
        <v>2236</v>
      </c>
      <c r="B2126" s="3">
        <v>99</v>
      </c>
      <c r="C2126">
        <v>3</v>
      </c>
      <c r="D2126" t="s">
        <v>36</v>
      </c>
      <c r="E2126">
        <f>72/30</f>
        <v>2.4</v>
      </c>
      <c r="F2126">
        <v>0</v>
      </c>
    </row>
    <row r="2127" hidden="1" spans="1:11">
      <c r="A2127" s="2" t="s">
        <v>2237</v>
      </c>
      <c r="B2127" s="3">
        <v>99</v>
      </c>
      <c r="C2127">
        <v>3</v>
      </c>
      <c r="D2127" t="s">
        <v>38</v>
      </c>
      <c r="E2127">
        <f>114/30</f>
        <v>3.8</v>
      </c>
      <c r="F2127">
        <v>0</v>
      </c>
      <c r="G2127" t="s">
        <v>61</v>
      </c>
      <c r="H2127" t="s">
        <v>62</v>
      </c>
      <c r="I2127" t="s">
        <v>2238</v>
      </c>
      <c r="J2127" t="s">
        <v>2239</v>
      </c>
      <c r="K2127" t="s">
        <v>95</v>
      </c>
    </row>
    <row r="2128" hidden="1" spans="1:6">
      <c r="A2128" s="2" t="s">
        <v>2240</v>
      </c>
      <c r="B2128" s="3">
        <v>99</v>
      </c>
      <c r="C2128">
        <v>3</v>
      </c>
      <c r="D2128" t="s">
        <v>40</v>
      </c>
      <c r="E2128">
        <f>65/30</f>
        <v>2.16666666666667</v>
      </c>
      <c r="F2128">
        <v>0</v>
      </c>
    </row>
    <row r="2129" ht="16.5" hidden="1" spans="1:11">
      <c r="A2129" s="2" t="s">
        <v>2241</v>
      </c>
      <c r="B2129" s="3">
        <v>99</v>
      </c>
      <c r="C2129">
        <v>3</v>
      </c>
      <c r="D2129" t="s">
        <v>42</v>
      </c>
      <c r="E2129">
        <f>117/30</f>
        <v>3.9</v>
      </c>
      <c r="F2129">
        <v>0</v>
      </c>
      <c r="G2129" t="s">
        <v>61</v>
      </c>
      <c r="H2129" t="s">
        <v>62</v>
      </c>
      <c r="I2129" s="91" t="s">
        <v>2242</v>
      </c>
      <c r="J2129" t="s">
        <v>2239</v>
      </c>
      <c r="K2129" t="s">
        <v>95</v>
      </c>
    </row>
    <row r="2130" hidden="1" spans="1:6">
      <c r="A2130" s="2" t="s">
        <v>2243</v>
      </c>
      <c r="B2130" s="3">
        <v>99</v>
      </c>
      <c r="C2130">
        <v>3</v>
      </c>
      <c r="D2130" t="s">
        <v>44</v>
      </c>
      <c r="E2130">
        <f>125/30</f>
        <v>4.16666666666667</v>
      </c>
      <c r="F2130">
        <v>0</v>
      </c>
    </row>
    <row r="2131" hidden="1" spans="1:11">
      <c r="A2131" s="2" t="s">
        <v>2244</v>
      </c>
      <c r="B2131" s="3">
        <v>99</v>
      </c>
      <c r="C2131">
        <v>3</v>
      </c>
      <c r="D2131" t="s">
        <v>46</v>
      </c>
      <c r="E2131">
        <f>289/30</f>
        <v>9.63333333333333</v>
      </c>
      <c r="F2131">
        <v>0</v>
      </c>
      <c r="G2131" t="s">
        <v>2245</v>
      </c>
      <c r="H2131" t="s">
        <v>2246</v>
      </c>
      <c r="I2131" t="s">
        <v>2247</v>
      </c>
      <c r="J2131" t="s">
        <v>2248</v>
      </c>
      <c r="K2131" t="s">
        <v>2249</v>
      </c>
    </row>
    <row r="2132" hidden="1" spans="1:6">
      <c r="A2132" s="2" t="s">
        <v>2250</v>
      </c>
      <c r="B2132" s="3">
        <v>99</v>
      </c>
      <c r="C2132">
        <v>3</v>
      </c>
      <c r="D2132" t="s">
        <v>86</v>
      </c>
      <c r="E2132">
        <f>238/30</f>
        <v>7.93333333333333</v>
      </c>
      <c r="F2132">
        <v>0</v>
      </c>
    </row>
    <row r="2133" hidden="1" spans="1:11">
      <c r="A2133" s="2" t="s">
        <v>2251</v>
      </c>
      <c r="B2133" s="3">
        <v>99</v>
      </c>
      <c r="C2133">
        <v>3</v>
      </c>
      <c r="D2133" t="s">
        <v>50</v>
      </c>
      <c r="E2133">
        <v>8</v>
      </c>
      <c r="F2133">
        <v>0</v>
      </c>
      <c r="G2133" t="s">
        <v>2245</v>
      </c>
      <c r="H2133" t="s">
        <v>2246</v>
      </c>
      <c r="I2133" t="s">
        <v>2252</v>
      </c>
      <c r="J2133" t="s">
        <v>2248</v>
      </c>
      <c r="K2133" t="s">
        <v>2249</v>
      </c>
    </row>
    <row r="2134" hidden="1" spans="1:6">
      <c r="A2134" s="2" t="s">
        <v>2253</v>
      </c>
      <c r="B2134" s="3">
        <v>3064</v>
      </c>
      <c r="C2134">
        <v>3</v>
      </c>
      <c r="D2134" t="s">
        <v>90</v>
      </c>
      <c r="E2134" s="13">
        <f>93/30</f>
        <v>3.1</v>
      </c>
      <c r="F2134">
        <v>0</v>
      </c>
    </row>
    <row r="2135" hidden="1" spans="1:6">
      <c r="A2135" s="2" t="s">
        <v>2254</v>
      </c>
      <c r="B2135" s="3">
        <v>3064</v>
      </c>
      <c r="C2135">
        <v>3</v>
      </c>
      <c r="D2135" t="s">
        <v>48</v>
      </c>
      <c r="E2135" s="13">
        <f>94/30</f>
        <v>3.13333333333333</v>
      </c>
      <c r="F2135">
        <v>0</v>
      </c>
    </row>
    <row r="2136" hidden="1" spans="1:11">
      <c r="A2136" s="2" t="s">
        <v>2255</v>
      </c>
      <c r="B2136" s="3">
        <v>99</v>
      </c>
      <c r="C2136">
        <v>3</v>
      </c>
      <c r="D2136" t="s">
        <v>57</v>
      </c>
      <c r="E2136">
        <f>131/30</f>
        <v>4.36666666666667</v>
      </c>
      <c r="F2136">
        <v>0</v>
      </c>
      <c r="G2136" t="s">
        <v>2256</v>
      </c>
      <c r="H2136" t="s">
        <v>2257</v>
      </c>
      <c r="I2136" t="s">
        <v>2258</v>
      </c>
      <c r="J2136" t="s">
        <v>2259</v>
      </c>
      <c r="K2136" t="s">
        <v>2260</v>
      </c>
    </row>
    <row r="2137" hidden="1" spans="1:6">
      <c r="A2137" s="2" t="s">
        <v>2261</v>
      </c>
      <c r="B2137" s="3">
        <v>409901</v>
      </c>
      <c r="C2137">
        <v>3</v>
      </c>
      <c r="D2137" t="s">
        <v>36</v>
      </c>
      <c r="E2137">
        <f>72/30</f>
        <v>2.4</v>
      </c>
      <c r="F2137">
        <v>0</v>
      </c>
    </row>
    <row r="2138" hidden="1" spans="1:11">
      <c r="A2138" s="2" t="s">
        <v>2262</v>
      </c>
      <c r="B2138" s="3">
        <v>409901</v>
      </c>
      <c r="C2138">
        <v>3</v>
      </c>
      <c r="D2138" t="s">
        <v>38</v>
      </c>
      <c r="E2138">
        <f>114/30</f>
        <v>3.8</v>
      </c>
      <c r="F2138">
        <v>0</v>
      </c>
      <c r="G2138" t="s">
        <v>61</v>
      </c>
      <c r="H2138" t="s">
        <v>62</v>
      </c>
      <c r="I2138" t="s">
        <v>2238</v>
      </c>
      <c r="J2138" t="s">
        <v>2239</v>
      </c>
      <c r="K2138" t="s">
        <v>95</v>
      </c>
    </row>
    <row r="2139" hidden="1" spans="1:6">
      <c r="A2139" s="2" t="s">
        <v>2263</v>
      </c>
      <c r="B2139" s="3">
        <v>409901</v>
      </c>
      <c r="C2139">
        <v>3</v>
      </c>
      <c r="D2139" t="s">
        <v>40</v>
      </c>
      <c r="E2139">
        <f>65/30</f>
        <v>2.16666666666667</v>
      </c>
      <c r="F2139">
        <v>0</v>
      </c>
    </row>
    <row r="2140" ht="16.5" hidden="1" spans="1:11">
      <c r="A2140" s="2" t="s">
        <v>2264</v>
      </c>
      <c r="B2140" s="3">
        <v>409901</v>
      </c>
      <c r="C2140">
        <v>3</v>
      </c>
      <c r="D2140" t="s">
        <v>42</v>
      </c>
      <c r="E2140">
        <f>117/30</f>
        <v>3.9</v>
      </c>
      <c r="F2140">
        <v>0</v>
      </c>
      <c r="G2140" t="s">
        <v>61</v>
      </c>
      <c r="H2140" t="s">
        <v>62</v>
      </c>
      <c r="I2140" s="91" t="s">
        <v>2242</v>
      </c>
      <c r="J2140" t="s">
        <v>2239</v>
      </c>
      <c r="K2140" t="s">
        <v>95</v>
      </c>
    </row>
    <row r="2141" hidden="1" spans="1:6">
      <c r="A2141" s="2" t="s">
        <v>2265</v>
      </c>
      <c r="B2141" s="3">
        <v>409901</v>
      </c>
      <c r="C2141">
        <v>3</v>
      </c>
      <c r="D2141" t="s">
        <v>44</v>
      </c>
      <c r="E2141">
        <f>125/30</f>
        <v>4.16666666666667</v>
      </c>
      <c r="F2141">
        <v>0</v>
      </c>
    </row>
    <row r="2142" hidden="1" spans="1:11">
      <c r="A2142" s="2" t="s">
        <v>2266</v>
      </c>
      <c r="B2142" s="3">
        <v>409901</v>
      </c>
      <c r="C2142">
        <v>3</v>
      </c>
      <c r="D2142" t="s">
        <v>46</v>
      </c>
      <c r="E2142">
        <f>289/30</f>
        <v>9.63333333333333</v>
      </c>
      <c r="F2142">
        <v>0</v>
      </c>
      <c r="G2142" t="s">
        <v>2245</v>
      </c>
      <c r="H2142" t="s">
        <v>2246</v>
      </c>
      <c r="I2142" t="s">
        <v>2247</v>
      </c>
      <c r="J2142" t="s">
        <v>2248</v>
      </c>
      <c r="K2142" t="s">
        <v>2249</v>
      </c>
    </row>
    <row r="2143" hidden="1" spans="1:6">
      <c r="A2143" s="2" t="s">
        <v>2267</v>
      </c>
      <c r="B2143" s="3">
        <v>409901</v>
      </c>
      <c r="C2143">
        <v>3</v>
      </c>
      <c r="D2143" t="s">
        <v>86</v>
      </c>
      <c r="E2143">
        <f>238/30</f>
        <v>7.93333333333333</v>
      </c>
      <c r="F2143">
        <v>0</v>
      </c>
    </row>
    <row r="2144" hidden="1" spans="1:11">
      <c r="A2144" s="2" t="s">
        <v>2268</v>
      </c>
      <c r="B2144" s="3">
        <v>409901</v>
      </c>
      <c r="C2144">
        <v>3</v>
      </c>
      <c r="D2144" t="s">
        <v>50</v>
      </c>
      <c r="E2144">
        <v>8</v>
      </c>
      <c r="F2144">
        <v>0</v>
      </c>
      <c r="G2144" t="s">
        <v>2245</v>
      </c>
      <c r="H2144" t="s">
        <v>2246</v>
      </c>
      <c r="I2144" t="s">
        <v>2252</v>
      </c>
      <c r="J2144" t="s">
        <v>2248</v>
      </c>
      <c r="K2144" t="s">
        <v>2249</v>
      </c>
    </row>
    <row r="2145" hidden="1" spans="1:11">
      <c r="A2145" s="2" t="s">
        <v>2269</v>
      </c>
      <c r="B2145" s="3">
        <v>409901</v>
      </c>
      <c r="C2145">
        <v>3</v>
      </c>
      <c r="D2145" t="s">
        <v>57</v>
      </c>
      <c r="E2145">
        <f>131/30</f>
        <v>4.36666666666667</v>
      </c>
      <c r="F2145">
        <v>0</v>
      </c>
      <c r="G2145" t="s">
        <v>2256</v>
      </c>
      <c r="H2145" t="s">
        <v>2257</v>
      </c>
      <c r="I2145" t="s">
        <v>2270</v>
      </c>
      <c r="J2145" t="s">
        <v>2271</v>
      </c>
      <c r="K2145" t="s">
        <v>2260</v>
      </c>
    </row>
    <row r="2146" hidden="1" spans="1:11">
      <c r="A2146" s="2" t="s">
        <v>2272</v>
      </c>
      <c r="B2146" s="3">
        <v>409901</v>
      </c>
      <c r="C2146">
        <v>3</v>
      </c>
      <c r="D2146" t="s">
        <v>264</v>
      </c>
      <c r="E2146">
        <v>0</v>
      </c>
      <c r="F2146">
        <v>1</v>
      </c>
      <c r="G2146" t="s">
        <v>2273</v>
      </c>
      <c r="H2146" t="s">
        <v>2274</v>
      </c>
      <c r="I2146" t="s">
        <v>2275</v>
      </c>
      <c r="J2146" t="s">
        <v>2276</v>
      </c>
      <c r="K2146" t="s">
        <v>2273</v>
      </c>
    </row>
    <row r="2147" hidden="1" spans="1:11">
      <c r="A2147" s="2" t="s">
        <v>2277</v>
      </c>
      <c r="B2147" s="3">
        <v>409901</v>
      </c>
      <c r="C2147">
        <v>3</v>
      </c>
      <c r="D2147" t="s">
        <v>92</v>
      </c>
      <c r="E2147">
        <v>0</v>
      </c>
      <c r="F2147">
        <v>1</v>
      </c>
      <c r="G2147" t="s">
        <v>2273</v>
      </c>
      <c r="H2147" t="s">
        <v>2274</v>
      </c>
      <c r="I2147" t="s">
        <v>2275</v>
      </c>
      <c r="J2147" t="s">
        <v>2276</v>
      </c>
      <c r="K2147" t="s">
        <v>2273</v>
      </c>
    </row>
    <row r="2148" hidden="1" spans="1:11">
      <c r="A2148" s="2" t="s">
        <v>2278</v>
      </c>
      <c r="B2148" s="3">
        <v>409901</v>
      </c>
      <c r="C2148">
        <v>3</v>
      </c>
      <c r="D2148" t="s">
        <v>109</v>
      </c>
      <c r="E2148">
        <v>0</v>
      </c>
      <c r="F2148">
        <v>1</v>
      </c>
      <c r="G2148" t="s">
        <v>2273</v>
      </c>
      <c r="H2148" t="s">
        <v>2274</v>
      </c>
      <c r="I2148" t="s">
        <v>2275</v>
      </c>
      <c r="J2148" t="s">
        <v>2276</v>
      </c>
      <c r="K2148" t="s">
        <v>2273</v>
      </c>
    </row>
    <row r="2149" hidden="1" spans="1:11">
      <c r="A2149" s="2" t="s">
        <v>2279</v>
      </c>
      <c r="B2149" s="3">
        <v>409901</v>
      </c>
      <c r="C2149">
        <v>3</v>
      </c>
      <c r="D2149" t="s">
        <v>97</v>
      </c>
      <c r="E2149">
        <v>0</v>
      </c>
      <c r="F2149">
        <v>1</v>
      </c>
      <c r="G2149" t="s">
        <v>2273</v>
      </c>
      <c r="H2149" t="s">
        <v>2274</v>
      </c>
      <c r="I2149" t="s">
        <v>2275</v>
      </c>
      <c r="J2149" t="s">
        <v>2276</v>
      </c>
      <c r="K2149" t="s">
        <v>2273</v>
      </c>
    </row>
    <row r="2150" hidden="1" spans="1:11">
      <c r="A2150" s="2" t="s">
        <v>2280</v>
      </c>
      <c r="B2150" s="3">
        <v>409901</v>
      </c>
      <c r="C2150">
        <v>3</v>
      </c>
      <c r="D2150" t="s">
        <v>261</v>
      </c>
      <c r="E2150">
        <v>0</v>
      </c>
      <c r="F2150">
        <v>1</v>
      </c>
      <c r="G2150" t="s">
        <v>2273</v>
      </c>
      <c r="H2150" t="s">
        <v>2274</v>
      </c>
      <c r="I2150" t="s">
        <v>2275</v>
      </c>
      <c r="J2150" t="s">
        <v>2276</v>
      </c>
      <c r="K2150" t="s">
        <v>2273</v>
      </c>
    </row>
    <row r="2151" hidden="1" spans="1:11">
      <c r="A2151" s="2" t="s">
        <v>2281</v>
      </c>
      <c r="B2151" s="3">
        <v>409901</v>
      </c>
      <c r="C2151">
        <v>3</v>
      </c>
      <c r="D2151" t="s">
        <v>266</v>
      </c>
      <c r="E2151">
        <v>0</v>
      </c>
      <c r="F2151">
        <v>1</v>
      </c>
      <c r="G2151" t="s">
        <v>2273</v>
      </c>
      <c r="H2151" t="s">
        <v>2274</v>
      </c>
      <c r="I2151" t="s">
        <v>2275</v>
      </c>
      <c r="J2151" t="s">
        <v>2276</v>
      </c>
      <c r="K2151" t="s">
        <v>2273</v>
      </c>
    </row>
    <row r="2152" hidden="1" spans="1:6">
      <c r="A2152" s="2" t="s">
        <v>2282</v>
      </c>
      <c r="B2152" s="3">
        <v>100</v>
      </c>
      <c r="C2152">
        <v>3</v>
      </c>
      <c r="D2152" t="s">
        <v>36</v>
      </c>
      <c r="E2152">
        <f>70/30</f>
        <v>2.33333333333333</v>
      </c>
      <c r="F2152">
        <v>0</v>
      </c>
    </row>
    <row r="2153" hidden="1" spans="1:6">
      <c r="A2153" s="2" t="s">
        <v>2283</v>
      </c>
      <c r="B2153" s="3">
        <v>100</v>
      </c>
      <c r="C2153">
        <v>3</v>
      </c>
      <c r="D2153" t="s">
        <v>38</v>
      </c>
      <c r="E2153">
        <f>125/30</f>
        <v>4.16666666666667</v>
      </c>
      <c r="F2153">
        <v>0</v>
      </c>
    </row>
    <row r="2154" hidden="1" spans="1:6">
      <c r="A2154" s="2" t="s">
        <v>2284</v>
      </c>
      <c r="B2154" s="3">
        <v>100</v>
      </c>
      <c r="C2154">
        <v>3</v>
      </c>
      <c r="D2154" t="s">
        <v>40</v>
      </c>
      <c r="E2154">
        <f>73/30</f>
        <v>2.43333333333333</v>
      </c>
      <c r="F2154">
        <v>0</v>
      </c>
    </row>
    <row r="2155" hidden="1" spans="1:6">
      <c r="A2155" s="2" t="s">
        <v>2285</v>
      </c>
      <c r="B2155" s="3">
        <v>100</v>
      </c>
      <c r="C2155">
        <v>3</v>
      </c>
      <c r="D2155" t="s">
        <v>42</v>
      </c>
      <c r="E2155">
        <f>100/30</f>
        <v>3.33333333333333</v>
      </c>
      <c r="F2155">
        <v>0</v>
      </c>
    </row>
    <row r="2156" hidden="1" spans="1:6">
      <c r="A2156" s="2" t="s">
        <v>2286</v>
      </c>
      <c r="B2156" s="3">
        <v>100</v>
      </c>
      <c r="C2156">
        <v>3</v>
      </c>
      <c r="D2156" t="s">
        <v>44</v>
      </c>
      <c r="E2156">
        <f>110/30</f>
        <v>3.66666666666667</v>
      </c>
      <c r="F2156">
        <v>0</v>
      </c>
    </row>
    <row r="2157" hidden="1" spans="1:6">
      <c r="A2157" s="2" t="s">
        <v>2287</v>
      </c>
      <c r="B2157" s="3">
        <v>100</v>
      </c>
      <c r="C2157">
        <v>3</v>
      </c>
      <c r="D2157" t="s">
        <v>46</v>
      </c>
      <c r="E2157">
        <f>215/30</f>
        <v>7.16666666666667</v>
      </c>
      <c r="F2157">
        <v>0</v>
      </c>
    </row>
    <row r="2158" hidden="1" spans="1:6">
      <c r="A2158" s="2" t="s">
        <v>2288</v>
      </c>
      <c r="B2158" s="3">
        <v>100</v>
      </c>
      <c r="C2158">
        <v>3</v>
      </c>
      <c r="D2158" t="s">
        <v>86</v>
      </c>
      <c r="E2158">
        <f>270/30</f>
        <v>9</v>
      </c>
      <c r="F2158">
        <v>0</v>
      </c>
    </row>
    <row r="2159" hidden="1" spans="1:6">
      <c r="A2159" s="2" t="s">
        <v>2289</v>
      </c>
      <c r="B2159" s="3">
        <v>100</v>
      </c>
      <c r="C2159">
        <v>3</v>
      </c>
      <c r="D2159" t="s">
        <v>50</v>
      </c>
      <c r="E2159">
        <f>378/30</f>
        <v>12.6</v>
      </c>
      <c r="F2159">
        <v>0</v>
      </c>
    </row>
    <row r="2160" hidden="1" spans="1:6">
      <c r="A2160" s="2" t="s">
        <v>2290</v>
      </c>
      <c r="B2160" s="3">
        <v>100</v>
      </c>
      <c r="C2160">
        <v>3</v>
      </c>
      <c r="D2160" t="s">
        <v>90</v>
      </c>
      <c r="E2160">
        <f>270/30</f>
        <v>9</v>
      </c>
      <c r="F2160">
        <v>0</v>
      </c>
    </row>
    <row r="2161" ht="16.5" hidden="1" spans="1:11">
      <c r="A2161" s="2" t="s">
        <v>2291</v>
      </c>
      <c r="B2161" s="3">
        <v>100</v>
      </c>
      <c r="C2161">
        <v>3</v>
      </c>
      <c r="D2161" t="s">
        <v>57</v>
      </c>
      <c r="E2161">
        <f>100/30</f>
        <v>3.33333333333333</v>
      </c>
      <c r="F2161">
        <v>0</v>
      </c>
      <c r="G2161">
        <v>0</v>
      </c>
      <c r="H2161">
        <v>2</v>
      </c>
      <c r="I2161" s="91">
        <v>3067</v>
      </c>
      <c r="J2161" t="s">
        <v>58</v>
      </c>
      <c r="K2161">
        <v>1</v>
      </c>
    </row>
    <row r="2162" ht="16.5" hidden="1" spans="1:11">
      <c r="A2162" s="2" t="s">
        <v>2292</v>
      </c>
      <c r="B2162" s="3">
        <v>100</v>
      </c>
      <c r="C2162">
        <v>3</v>
      </c>
      <c r="D2162" t="s">
        <v>1406</v>
      </c>
      <c r="E2162">
        <f>25/30</f>
        <v>0.833333333333333</v>
      </c>
      <c r="F2162">
        <v>0</v>
      </c>
      <c r="G2162" t="s">
        <v>61</v>
      </c>
      <c r="H2162" t="s">
        <v>62</v>
      </c>
      <c r="I2162" s="91" t="s">
        <v>2293</v>
      </c>
      <c r="J2162" t="s">
        <v>2294</v>
      </c>
      <c r="K2162" t="s">
        <v>61</v>
      </c>
    </row>
    <row r="2163" ht="16.5" hidden="1" spans="1:9">
      <c r="A2163" s="2" t="s">
        <v>2295</v>
      </c>
      <c r="B2163" s="3">
        <v>100</v>
      </c>
      <c r="C2163">
        <v>3</v>
      </c>
      <c r="D2163" t="s">
        <v>2296</v>
      </c>
      <c r="E2163">
        <f>40/30</f>
        <v>1.33333333333333</v>
      </c>
      <c r="F2163">
        <v>1</v>
      </c>
      <c r="I2163" s="91"/>
    </row>
    <row r="2164" ht="16.5" hidden="1" spans="1:11">
      <c r="A2164" s="2" t="s">
        <v>2297</v>
      </c>
      <c r="B2164" s="3">
        <v>100</v>
      </c>
      <c r="C2164">
        <v>3</v>
      </c>
      <c r="D2164" t="s">
        <v>2298</v>
      </c>
      <c r="E2164">
        <f>27/30</f>
        <v>0.9</v>
      </c>
      <c r="F2164">
        <v>0</v>
      </c>
      <c r="G2164">
        <v>0</v>
      </c>
      <c r="H2164">
        <v>2</v>
      </c>
      <c r="I2164" s="91">
        <v>3074</v>
      </c>
      <c r="J2164" t="s">
        <v>58</v>
      </c>
      <c r="K2164">
        <v>0</v>
      </c>
    </row>
    <row r="2165" ht="16.5" hidden="1" spans="1:9">
      <c r="A2165" s="2" t="s">
        <v>2299</v>
      </c>
      <c r="B2165" s="3">
        <v>100</v>
      </c>
      <c r="C2165">
        <v>3</v>
      </c>
      <c r="D2165" t="s">
        <v>2300</v>
      </c>
      <c r="E2165">
        <f>40/30</f>
        <v>1.33333333333333</v>
      </c>
      <c r="F2165">
        <v>1</v>
      </c>
      <c r="I2165" s="91"/>
    </row>
    <row r="2166" ht="16.5" hidden="1" spans="1:11">
      <c r="A2166" s="2" t="s">
        <v>2301</v>
      </c>
      <c r="B2166" s="3">
        <v>100</v>
      </c>
      <c r="C2166">
        <v>3</v>
      </c>
      <c r="D2166" t="s">
        <v>1776</v>
      </c>
      <c r="E2166">
        <f>146/30</f>
        <v>4.86666666666667</v>
      </c>
      <c r="F2166">
        <v>0</v>
      </c>
      <c r="G2166" t="s">
        <v>61</v>
      </c>
      <c r="H2166" t="s">
        <v>62</v>
      </c>
      <c r="I2166" s="91" t="s">
        <v>2302</v>
      </c>
      <c r="J2166" t="s">
        <v>2303</v>
      </c>
      <c r="K2166" t="s">
        <v>95</v>
      </c>
    </row>
    <row r="2167" hidden="1" spans="1:6">
      <c r="A2167" s="2" t="s">
        <v>2304</v>
      </c>
      <c r="B2167" s="3">
        <v>4010001</v>
      </c>
      <c r="C2167">
        <v>3</v>
      </c>
      <c r="D2167" t="s">
        <v>36</v>
      </c>
      <c r="E2167">
        <f>70/30</f>
        <v>2.33333333333333</v>
      </c>
      <c r="F2167">
        <v>0</v>
      </c>
    </row>
    <row r="2168" hidden="1" spans="1:6">
      <c r="A2168" s="2" t="s">
        <v>2305</v>
      </c>
      <c r="B2168" s="3">
        <v>4010001</v>
      </c>
      <c r="C2168">
        <v>3</v>
      </c>
      <c r="D2168" t="s">
        <v>38</v>
      </c>
      <c r="E2168">
        <f>125/30</f>
        <v>4.16666666666667</v>
      </c>
      <c r="F2168">
        <v>0</v>
      </c>
    </row>
    <row r="2169" hidden="1" spans="1:6">
      <c r="A2169" s="2" t="s">
        <v>2306</v>
      </c>
      <c r="B2169" s="3">
        <v>4010001</v>
      </c>
      <c r="C2169">
        <v>3</v>
      </c>
      <c r="D2169" t="s">
        <v>40</v>
      </c>
      <c r="E2169">
        <f>73/30</f>
        <v>2.43333333333333</v>
      </c>
      <c r="F2169">
        <v>0</v>
      </c>
    </row>
    <row r="2170" hidden="1" spans="1:6">
      <c r="A2170" s="2" t="s">
        <v>2307</v>
      </c>
      <c r="B2170" s="3">
        <v>4010001</v>
      </c>
      <c r="C2170">
        <v>3</v>
      </c>
      <c r="D2170" t="s">
        <v>42</v>
      </c>
      <c r="E2170">
        <f>100/30</f>
        <v>3.33333333333333</v>
      </c>
      <c r="F2170">
        <v>0</v>
      </c>
    </row>
    <row r="2171" hidden="1" spans="1:6">
      <c r="A2171" s="2" t="s">
        <v>2308</v>
      </c>
      <c r="B2171" s="3">
        <v>4010001</v>
      </c>
      <c r="C2171">
        <v>3</v>
      </c>
      <c r="D2171" t="s">
        <v>44</v>
      </c>
      <c r="E2171">
        <f>110/30</f>
        <v>3.66666666666667</v>
      </c>
      <c r="F2171">
        <v>0</v>
      </c>
    </row>
    <row r="2172" hidden="1" spans="1:6">
      <c r="A2172" s="2" t="s">
        <v>2309</v>
      </c>
      <c r="B2172" s="3">
        <v>4010001</v>
      </c>
      <c r="C2172">
        <v>3</v>
      </c>
      <c r="D2172" t="s">
        <v>46</v>
      </c>
      <c r="E2172">
        <f>215/30</f>
        <v>7.16666666666667</v>
      </c>
      <c r="F2172">
        <v>0</v>
      </c>
    </row>
    <row r="2173" hidden="1" spans="1:6">
      <c r="A2173" s="2" t="s">
        <v>2310</v>
      </c>
      <c r="B2173" s="3">
        <v>4010001</v>
      </c>
      <c r="C2173">
        <v>3</v>
      </c>
      <c r="D2173" t="s">
        <v>86</v>
      </c>
      <c r="E2173">
        <f>270/30</f>
        <v>9</v>
      </c>
      <c r="F2173">
        <v>0</v>
      </c>
    </row>
    <row r="2174" hidden="1" spans="1:6">
      <c r="A2174" s="2" t="s">
        <v>2311</v>
      </c>
      <c r="B2174" s="3">
        <v>4010001</v>
      </c>
      <c r="C2174">
        <v>3</v>
      </c>
      <c r="D2174" t="s">
        <v>50</v>
      </c>
      <c r="E2174">
        <f>378/30</f>
        <v>12.6</v>
      </c>
      <c r="F2174">
        <v>0</v>
      </c>
    </row>
    <row r="2175" hidden="1" spans="1:6">
      <c r="A2175" s="2" t="s">
        <v>2312</v>
      </c>
      <c r="B2175" s="3">
        <v>4010001</v>
      </c>
      <c r="C2175">
        <v>3</v>
      </c>
      <c r="D2175" t="s">
        <v>90</v>
      </c>
      <c r="E2175">
        <f>270/30</f>
        <v>9</v>
      </c>
      <c r="F2175">
        <v>0</v>
      </c>
    </row>
    <row r="2176" ht="16.5" hidden="1" spans="1:11">
      <c r="A2176" s="2" t="s">
        <v>2313</v>
      </c>
      <c r="B2176" s="3">
        <v>4010001</v>
      </c>
      <c r="C2176">
        <v>3</v>
      </c>
      <c r="D2176" t="s">
        <v>57</v>
      </c>
      <c r="E2176">
        <f>100/30</f>
        <v>3.33333333333333</v>
      </c>
      <c r="F2176">
        <v>0</v>
      </c>
      <c r="G2176">
        <v>0</v>
      </c>
      <c r="H2176">
        <v>2</v>
      </c>
      <c r="I2176" s="91">
        <v>3067</v>
      </c>
      <c r="J2176" t="s">
        <v>58</v>
      </c>
      <c r="K2176">
        <v>1</v>
      </c>
    </row>
    <row r="2177" ht="16.5" hidden="1" spans="1:11">
      <c r="A2177" s="2" t="s">
        <v>2314</v>
      </c>
      <c r="B2177" s="3">
        <v>4010001</v>
      </c>
      <c r="C2177">
        <v>3</v>
      </c>
      <c r="D2177" t="s">
        <v>1406</v>
      </c>
      <c r="E2177">
        <f>25/30</f>
        <v>0.833333333333333</v>
      </c>
      <c r="F2177">
        <v>0</v>
      </c>
      <c r="G2177" t="s">
        <v>61</v>
      </c>
      <c r="H2177" t="s">
        <v>62</v>
      </c>
      <c r="I2177" s="91" t="s">
        <v>2293</v>
      </c>
      <c r="J2177" t="s">
        <v>2294</v>
      </c>
      <c r="K2177" t="s">
        <v>61</v>
      </c>
    </row>
    <row r="2178" ht="16.5" hidden="1" spans="1:9">
      <c r="A2178" s="2" t="s">
        <v>2315</v>
      </c>
      <c r="B2178" s="3">
        <v>4010001</v>
      </c>
      <c r="C2178">
        <v>3</v>
      </c>
      <c r="D2178" t="s">
        <v>2296</v>
      </c>
      <c r="E2178">
        <f>40/30</f>
        <v>1.33333333333333</v>
      </c>
      <c r="F2178">
        <v>0</v>
      </c>
      <c r="I2178" s="91"/>
    </row>
    <row r="2179" ht="16.5" hidden="1" spans="1:11">
      <c r="A2179" s="2" t="s">
        <v>2316</v>
      </c>
      <c r="B2179" s="3">
        <v>4010001</v>
      </c>
      <c r="C2179">
        <v>3</v>
      </c>
      <c r="D2179" t="s">
        <v>2298</v>
      </c>
      <c r="E2179">
        <f>27/30</f>
        <v>0.9</v>
      </c>
      <c r="F2179">
        <v>0</v>
      </c>
      <c r="G2179">
        <v>0</v>
      </c>
      <c r="H2179">
        <v>2</v>
      </c>
      <c r="I2179" s="91">
        <v>3074</v>
      </c>
      <c r="J2179" t="s">
        <v>58</v>
      </c>
      <c r="K2179">
        <v>0</v>
      </c>
    </row>
    <row r="2180" ht="16.5" hidden="1" spans="1:9">
      <c r="A2180" s="2" t="s">
        <v>2317</v>
      </c>
      <c r="B2180" s="3">
        <v>4010001</v>
      </c>
      <c r="C2180">
        <v>3</v>
      </c>
      <c r="D2180" t="s">
        <v>2300</v>
      </c>
      <c r="E2180">
        <f>40/30</f>
        <v>1.33333333333333</v>
      </c>
      <c r="F2180">
        <v>1</v>
      </c>
      <c r="I2180" s="91"/>
    </row>
    <row r="2181" ht="16.5" hidden="1" spans="1:11">
      <c r="A2181" s="2" t="s">
        <v>2318</v>
      </c>
      <c r="B2181" s="3">
        <v>4010001</v>
      </c>
      <c r="C2181">
        <v>3</v>
      </c>
      <c r="D2181" t="s">
        <v>1776</v>
      </c>
      <c r="E2181">
        <f>146/30</f>
        <v>4.86666666666667</v>
      </c>
      <c r="F2181">
        <v>0</v>
      </c>
      <c r="G2181" t="s">
        <v>61</v>
      </c>
      <c r="H2181" t="s">
        <v>62</v>
      </c>
      <c r="I2181" s="91" t="s">
        <v>2302</v>
      </c>
      <c r="J2181" t="s">
        <v>2303</v>
      </c>
      <c r="K2181" t="s">
        <v>95</v>
      </c>
    </row>
    <row r="2182" ht="16.5" hidden="1" spans="1:9">
      <c r="A2182" s="2" t="s">
        <v>2319</v>
      </c>
      <c r="B2182" s="3">
        <v>30049</v>
      </c>
      <c r="C2182">
        <v>3</v>
      </c>
      <c r="D2182" t="s">
        <v>264</v>
      </c>
      <c r="E2182">
        <v>0</v>
      </c>
      <c r="F2182">
        <v>1</v>
      </c>
      <c r="I2182" s="91"/>
    </row>
    <row r="2183" ht="16.5" hidden="1" spans="1:11">
      <c r="A2183" s="2" t="s">
        <v>2320</v>
      </c>
      <c r="B2183" s="3">
        <v>30049</v>
      </c>
      <c r="C2183">
        <v>3</v>
      </c>
      <c r="D2183" t="s">
        <v>261</v>
      </c>
      <c r="E2183">
        <v>0</v>
      </c>
      <c r="F2183">
        <v>1</v>
      </c>
      <c r="I2183" s="91"/>
      <c r="K2183">
        <v>1</v>
      </c>
    </row>
    <row r="2184" hidden="1" spans="1:6">
      <c r="A2184" s="2" t="s">
        <v>2321</v>
      </c>
      <c r="B2184" s="3">
        <v>102</v>
      </c>
      <c r="C2184">
        <v>3</v>
      </c>
      <c r="D2184" t="s">
        <v>36</v>
      </c>
      <c r="E2184">
        <v>2.56666666666667</v>
      </c>
      <c r="F2184">
        <v>0</v>
      </c>
    </row>
    <row r="2185" hidden="1" spans="1:6">
      <c r="A2185" s="2" t="s">
        <v>2322</v>
      </c>
      <c r="B2185" s="3">
        <v>102</v>
      </c>
      <c r="C2185">
        <v>3</v>
      </c>
      <c r="D2185" t="s">
        <v>38</v>
      </c>
      <c r="E2185">
        <v>2.23333333333333</v>
      </c>
      <c r="F2185">
        <v>0</v>
      </c>
    </row>
    <row r="2186" hidden="1" spans="1:6">
      <c r="A2186" s="2" t="s">
        <v>2323</v>
      </c>
      <c r="B2186" s="3">
        <v>102</v>
      </c>
      <c r="C2186">
        <v>3</v>
      </c>
      <c r="D2186" t="s">
        <v>40</v>
      </c>
      <c r="E2186">
        <v>2.43333333333333</v>
      </c>
      <c r="F2186">
        <v>0</v>
      </c>
    </row>
    <row r="2187" hidden="1" spans="1:6">
      <c r="A2187" s="2" t="s">
        <v>2324</v>
      </c>
      <c r="B2187" s="3">
        <v>102</v>
      </c>
      <c r="C2187">
        <v>3</v>
      </c>
      <c r="D2187" t="s">
        <v>42</v>
      </c>
      <c r="E2187">
        <v>9</v>
      </c>
      <c r="F2187">
        <v>0</v>
      </c>
    </row>
    <row r="2188" hidden="1" spans="1:6">
      <c r="A2188" s="2" t="s">
        <v>2325</v>
      </c>
      <c r="B2188" s="3">
        <v>102</v>
      </c>
      <c r="C2188">
        <v>3</v>
      </c>
      <c r="D2188" t="s">
        <v>44</v>
      </c>
      <c r="E2188">
        <v>6.93333333333333</v>
      </c>
      <c r="F2188">
        <v>0</v>
      </c>
    </row>
    <row r="2189" hidden="1" spans="1:11">
      <c r="A2189" s="2" t="s">
        <v>2326</v>
      </c>
      <c r="B2189" s="3">
        <v>102</v>
      </c>
      <c r="C2189">
        <v>3</v>
      </c>
      <c r="D2189" t="s">
        <v>57</v>
      </c>
      <c r="E2189">
        <v>4</v>
      </c>
      <c r="F2189">
        <v>0</v>
      </c>
      <c r="G2189">
        <v>0</v>
      </c>
      <c r="H2189">
        <v>2</v>
      </c>
      <c r="I2189">
        <v>3099</v>
      </c>
      <c r="J2189" t="s">
        <v>58</v>
      </c>
      <c r="K2189">
        <v>0</v>
      </c>
    </row>
    <row r="2190" hidden="1" spans="1:6">
      <c r="A2190" s="2" t="s">
        <v>2327</v>
      </c>
      <c r="B2190" s="3">
        <v>30049</v>
      </c>
      <c r="C2190">
        <v>3</v>
      </c>
      <c r="D2190" t="s">
        <v>46</v>
      </c>
      <c r="E2190">
        <v>2.26666666666667</v>
      </c>
      <c r="F2190">
        <v>0</v>
      </c>
    </row>
    <row r="2191" hidden="1" spans="1:6">
      <c r="A2191" s="2" t="s">
        <v>2328</v>
      </c>
      <c r="B2191" s="3">
        <v>30049</v>
      </c>
      <c r="C2191">
        <v>3</v>
      </c>
      <c r="D2191" t="s">
        <v>86</v>
      </c>
      <c r="E2191">
        <v>4.63333333333333</v>
      </c>
      <c r="F2191">
        <v>0</v>
      </c>
    </row>
    <row r="2192" hidden="1" spans="1:6">
      <c r="A2192" s="2" t="s">
        <v>2329</v>
      </c>
      <c r="B2192" s="3">
        <v>30049</v>
      </c>
      <c r="C2192">
        <v>3</v>
      </c>
      <c r="D2192" t="s">
        <v>50</v>
      </c>
      <c r="E2192">
        <v>2.16666666666667</v>
      </c>
      <c r="F2192">
        <v>0</v>
      </c>
    </row>
    <row r="2193" hidden="1" spans="1:6">
      <c r="A2193" s="2" t="s">
        <v>2330</v>
      </c>
      <c r="B2193" s="3">
        <v>30049</v>
      </c>
      <c r="C2193">
        <v>3</v>
      </c>
      <c r="D2193" t="s">
        <v>90</v>
      </c>
      <c r="E2193">
        <v>8.36666666666667</v>
      </c>
      <c r="F2193">
        <v>0</v>
      </c>
    </row>
    <row r="2194" hidden="1" spans="1:6">
      <c r="A2194" s="72" t="s">
        <v>2331</v>
      </c>
      <c r="B2194" s="3">
        <v>4010201</v>
      </c>
      <c r="C2194">
        <v>3</v>
      </c>
      <c r="D2194" t="s">
        <v>36</v>
      </c>
      <c r="E2194">
        <v>2.56666666666667</v>
      </c>
      <c r="F2194">
        <v>0</v>
      </c>
    </row>
    <row r="2195" hidden="1" spans="1:6">
      <c r="A2195" s="72" t="s">
        <v>2332</v>
      </c>
      <c r="B2195" s="3">
        <v>4010201</v>
      </c>
      <c r="C2195">
        <v>3</v>
      </c>
      <c r="D2195" t="s">
        <v>38</v>
      </c>
      <c r="E2195">
        <v>2.23333333333333</v>
      </c>
      <c r="F2195">
        <v>0</v>
      </c>
    </row>
    <row r="2196" hidden="1" spans="1:6">
      <c r="A2196" s="72" t="s">
        <v>2333</v>
      </c>
      <c r="B2196" s="3">
        <v>4010201</v>
      </c>
      <c r="C2196">
        <v>3</v>
      </c>
      <c r="D2196" t="s">
        <v>40</v>
      </c>
      <c r="E2196">
        <v>2.43333333333333</v>
      </c>
      <c r="F2196">
        <v>0</v>
      </c>
    </row>
    <row r="2197" hidden="1" spans="1:6">
      <c r="A2197" s="72" t="s">
        <v>2334</v>
      </c>
      <c r="B2197" s="3">
        <v>4010201</v>
      </c>
      <c r="C2197">
        <v>3</v>
      </c>
      <c r="D2197" t="s">
        <v>42</v>
      </c>
      <c r="E2197">
        <v>9</v>
      </c>
      <c r="F2197">
        <v>0</v>
      </c>
    </row>
    <row r="2198" hidden="1" spans="1:6">
      <c r="A2198" s="72" t="s">
        <v>2335</v>
      </c>
      <c r="B2198" s="3">
        <v>4010201</v>
      </c>
      <c r="C2198">
        <v>3</v>
      </c>
      <c r="D2198" t="s">
        <v>44</v>
      </c>
      <c r="E2198">
        <v>6.93333333333333</v>
      </c>
      <c r="F2198">
        <v>0</v>
      </c>
    </row>
    <row r="2199" hidden="1" spans="1:11">
      <c r="A2199" s="72" t="s">
        <v>2336</v>
      </c>
      <c r="B2199" s="3">
        <v>4010201</v>
      </c>
      <c r="C2199">
        <v>3</v>
      </c>
      <c r="D2199" t="s">
        <v>57</v>
      </c>
      <c r="E2199">
        <f>120/30</f>
        <v>4</v>
      </c>
      <c r="F2199">
        <v>0</v>
      </c>
      <c r="G2199">
        <v>0</v>
      </c>
      <c r="H2199">
        <v>2</v>
      </c>
      <c r="I2199">
        <v>3099</v>
      </c>
      <c r="J2199" t="s">
        <v>58</v>
      </c>
      <c r="K2199">
        <v>0</v>
      </c>
    </row>
    <row r="2200" hidden="1" spans="1:6">
      <c r="A2200" s="2" t="s">
        <v>2337</v>
      </c>
      <c r="B2200" s="3">
        <v>101</v>
      </c>
      <c r="C2200">
        <v>3</v>
      </c>
      <c r="D2200" t="s">
        <v>36</v>
      </c>
      <c r="E2200">
        <f>145/30</f>
        <v>4.83333333333333</v>
      </c>
      <c r="F2200">
        <v>0</v>
      </c>
    </row>
    <row r="2201" hidden="1" spans="1:6">
      <c r="A2201" s="2" t="s">
        <v>2338</v>
      </c>
      <c r="B2201" s="3">
        <v>101</v>
      </c>
      <c r="C2201">
        <v>3</v>
      </c>
      <c r="D2201" t="s">
        <v>38</v>
      </c>
      <c r="E2201">
        <f>110/30</f>
        <v>3.66666666666667</v>
      </c>
      <c r="F2201">
        <v>0</v>
      </c>
    </row>
    <row r="2202" hidden="1" spans="1:6">
      <c r="A2202" s="2" t="s">
        <v>2339</v>
      </c>
      <c r="B2202" s="3">
        <v>101</v>
      </c>
      <c r="C2202">
        <v>3</v>
      </c>
      <c r="D2202" t="s">
        <v>40</v>
      </c>
      <c r="E2202">
        <f>54/30</f>
        <v>1.8</v>
      </c>
      <c r="F2202">
        <v>0</v>
      </c>
    </row>
    <row r="2203" hidden="1" spans="1:6">
      <c r="A2203" s="2" t="s">
        <v>2340</v>
      </c>
      <c r="B2203" s="3">
        <v>101</v>
      </c>
      <c r="C2203">
        <v>3</v>
      </c>
      <c r="D2203" t="s">
        <v>42</v>
      </c>
      <c r="E2203">
        <f>110/30</f>
        <v>3.66666666666667</v>
      </c>
      <c r="F2203">
        <v>0</v>
      </c>
    </row>
    <row r="2204" hidden="1" spans="1:6">
      <c r="A2204" s="2" t="s">
        <v>2341</v>
      </c>
      <c r="B2204" s="3">
        <v>101</v>
      </c>
      <c r="C2204">
        <v>3</v>
      </c>
      <c r="D2204" t="s">
        <v>44</v>
      </c>
      <c r="E2204">
        <v>3.66666666666667</v>
      </c>
      <c r="F2204">
        <v>0</v>
      </c>
    </row>
    <row r="2205" hidden="1" spans="1:6">
      <c r="A2205" s="2" t="s">
        <v>2342</v>
      </c>
      <c r="B2205" s="3">
        <v>101</v>
      </c>
      <c r="C2205">
        <v>3</v>
      </c>
      <c r="D2205" t="s">
        <v>46</v>
      </c>
      <c r="E2205" s="33">
        <f>378/30</f>
        <v>12.6</v>
      </c>
      <c r="F2205">
        <v>0</v>
      </c>
    </row>
    <row r="2206" hidden="1" spans="1:6">
      <c r="A2206" s="2" t="s">
        <v>2343</v>
      </c>
      <c r="B2206" s="3">
        <v>101</v>
      </c>
      <c r="C2206">
        <v>3</v>
      </c>
      <c r="D2206" t="s">
        <v>86</v>
      </c>
      <c r="E2206">
        <f>296/30</f>
        <v>9.86666666666667</v>
      </c>
      <c r="F2206">
        <v>0</v>
      </c>
    </row>
    <row r="2207" hidden="1" spans="1:6">
      <c r="A2207" s="2" t="s">
        <v>2344</v>
      </c>
      <c r="B2207" s="3">
        <v>101</v>
      </c>
      <c r="C2207">
        <v>3</v>
      </c>
      <c r="D2207" t="s">
        <v>50</v>
      </c>
      <c r="E2207">
        <f>202/30</f>
        <v>6.73333333333333</v>
      </c>
      <c r="F2207">
        <v>0</v>
      </c>
    </row>
    <row r="2208" hidden="1" spans="1:11">
      <c r="A2208" s="2" t="s">
        <v>2345</v>
      </c>
      <c r="B2208" s="3">
        <v>101</v>
      </c>
      <c r="C2208">
        <v>3</v>
      </c>
      <c r="D2208" t="s">
        <v>57</v>
      </c>
      <c r="E2208">
        <f>175/30</f>
        <v>5.83333333333333</v>
      </c>
      <c r="F2208">
        <v>0</v>
      </c>
      <c r="G2208">
        <v>0</v>
      </c>
      <c r="H2208">
        <v>2</v>
      </c>
      <c r="I2208">
        <v>3121</v>
      </c>
      <c r="J2208" t="s">
        <v>58</v>
      </c>
      <c r="K2208">
        <v>0</v>
      </c>
    </row>
    <row r="2209" hidden="1" spans="1:6">
      <c r="A2209" s="2" t="s">
        <v>2346</v>
      </c>
      <c r="B2209" s="3">
        <v>1245</v>
      </c>
      <c r="C2209">
        <v>3</v>
      </c>
      <c r="D2209" t="s">
        <v>36</v>
      </c>
      <c r="E2209">
        <f>145/30</f>
        <v>4.83333333333333</v>
      </c>
      <c r="F2209">
        <v>0</v>
      </c>
    </row>
    <row r="2210" hidden="1" spans="1:6">
      <c r="A2210" s="2" t="s">
        <v>2347</v>
      </c>
      <c r="B2210" s="3">
        <v>1246</v>
      </c>
      <c r="C2210">
        <v>3</v>
      </c>
      <c r="D2210" t="s">
        <v>36</v>
      </c>
      <c r="E2210">
        <f>65/30</f>
        <v>2.16666666666667</v>
      </c>
      <c r="F2210">
        <v>0</v>
      </c>
    </row>
    <row r="2211" hidden="1" spans="1:6">
      <c r="A2211" s="2" t="s">
        <v>2348</v>
      </c>
      <c r="B2211" s="3">
        <v>1247</v>
      </c>
      <c r="C2211">
        <v>3</v>
      </c>
      <c r="D2211" t="s">
        <v>36</v>
      </c>
      <c r="E2211">
        <f>87/30</f>
        <v>2.9</v>
      </c>
      <c r="F2211">
        <v>0</v>
      </c>
    </row>
    <row r="2212" hidden="1" spans="1:6">
      <c r="A2212" s="2" t="s">
        <v>2349</v>
      </c>
      <c r="B2212" s="3">
        <v>1247</v>
      </c>
      <c r="C2212">
        <v>3</v>
      </c>
      <c r="D2212" t="s">
        <v>38</v>
      </c>
      <c r="E2212">
        <f>56/30</f>
        <v>1.86666666666667</v>
      </c>
      <c r="F2212">
        <v>0</v>
      </c>
    </row>
    <row r="2213" hidden="1" spans="1:6">
      <c r="A2213" s="2" t="s">
        <v>2350</v>
      </c>
      <c r="B2213" s="3">
        <v>1247</v>
      </c>
      <c r="C2213">
        <v>3</v>
      </c>
      <c r="D2213" t="s">
        <v>40</v>
      </c>
      <c r="E2213">
        <f>100/30</f>
        <v>3.33333333333333</v>
      </c>
      <c r="F2213">
        <v>0</v>
      </c>
    </row>
    <row r="2214" hidden="1" spans="1:6">
      <c r="A2214" s="2" t="s">
        <v>2351</v>
      </c>
      <c r="B2214" s="3">
        <v>1247</v>
      </c>
      <c r="C2214">
        <v>3</v>
      </c>
      <c r="D2214" t="s">
        <v>42</v>
      </c>
      <c r="E2214">
        <f>365/30</f>
        <v>12.1666666666667</v>
      </c>
      <c r="F2214">
        <v>0</v>
      </c>
    </row>
    <row r="2215" hidden="1" spans="1:6">
      <c r="A2215" s="2" t="s">
        <v>2352</v>
      </c>
      <c r="B2215" s="3">
        <v>4010101</v>
      </c>
      <c r="C2215">
        <v>3</v>
      </c>
      <c r="D2215" t="s">
        <v>36</v>
      </c>
      <c r="E2215">
        <f>145/30</f>
        <v>4.83333333333333</v>
      </c>
      <c r="F2215">
        <v>0</v>
      </c>
    </row>
    <row r="2216" hidden="1" spans="1:6">
      <c r="A2216" s="2" t="s">
        <v>2353</v>
      </c>
      <c r="B2216" s="3">
        <v>4010101</v>
      </c>
      <c r="C2216">
        <v>3</v>
      </c>
      <c r="D2216" t="s">
        <v>38</v>
      </c>
      <c r="E2216">
        <f>110/30</f>
        <v>3.66666666666667</v>
      </c>
      <c r="F2216">
        <v>0</v>
      </c>
    </row>
    <row r="2217" hidden="1" spans="1:6">
      <c r="A2217" s="2" t="s">
        <v>2354</v>
      </c>
      <c r="B2217" s="3">
        <v>4010101</v>
      </c>
      <c r="C2217">
        <v>3</v>
      </c>
      <c r="D2217" t="s">
        <v>40</v>
      </c>
      <c r="E2217">
        <f>54/30</f>
        <v>1.8</v>
      </c>
      <c r="F2217">
        <v>0</v>
      </c>
    </row>
    <row r="2218" hidden="1" spans="1:6">
      <c r="A2218" s="2" t="s">
        <v>2355</v>
      </c>
      <c r="B2218" s="3">
        <v>4010101</v>
      </c>
      <c r="C2218">
        <v>3</v>
      </c>
      <c r="D2218" t="s">
        <v>42</v>
      </c>
      <c r="E2218">
        <f>110/30</f>
        <v>3.66666666666667</v>
      </c>
      <c r="F2218">
        <v>0</v>
      </c>
    </row>
    <row r="2219" hidden="1" spans="1:6">
      <c r="A2219" s="2" t="s">
        <v>2356</v>
      </c>
      <c r="B2219" s="3">
        <v>4010101</v>
      </c>
      <c r="C2219">
        <v>3</v>
      </c>
      <c r="D2219" t="s">
        <v>44</v>
      </c>
      <c r="E2219">
        <v>3.66666666666667</v>
      </c>
      <c r="F2219">
        <v>0</v>
      </c>
    </row>
    <row r="2220" hidden="1" spans="1:6">
      <c r="A2220" s="2" t="s">
        <v>2357</v>
      </c>
      <c r="B2220" s="3">
        <v>4010101</v>
      </c>
      <c r="C2220">
        <v>3</v>
      </c>
      <c r="D2220" t="s">
        <v>46</v>
      </c>
      <c r="E2220">
        <f>378/30</f>
        <v>12.6</v>
      </c>
      <c r="F2220">
        <v>0</v>
      </c>
    </row>
    <row r="2221" hidden="1" spans="1:6">
      <c r="A2221" s="2" t="s">
        <v>2358</v>
      </c>
      <c r="B2221" s="3">
        <v>4010101</v>
      </c>
      <c r="C2221">
        <v>3</v>
      </c>
      <c r="D2221" t="s">
        <v>86</v>
      </c>
      <c r="E2221">
        <f>296/30</f>
        <v>9.86666666666667</v>
      </c>
      <c r="F2221">
        <v>0</v>
      </c>
    </row>
    <row r="2222" hidden="1" spans="1:6">
      <c r="A2222" s="2" t="s">
        <v>2359</v>
      </c>
      <c r="B2222" s="3">
        <v>4010101</v>
      </c>
      <c r="C2222">
        <v>3</v>
      </c>
      <c r="D2222" t="s">
        <v>50</v>
      </c>
      <c r="E2222">
        <f>202/30</f>
        <v>6.73333333333333</v>
      </c>
      <c r="F2222">
        <v>0</v>
      </c>
    </row>
    <row r="2223" hidden="1" spans="1:11">
      <c r="A2223" s="2" t="s">
        <v>2360</v>
      </c>
      <c r="B2223" s="3">
        <v>4010101</v>
      </c>
      <c r="C2223">
        <v>3</v>
      </c>
      <c r="D2223" t="s">
        <v>57</v>
      </c>
      <c r="E2223">
        <f>175/30</f>
        <v>5.83333333333333</v>
      </c>
      <c r="F2223">
        <v>0</v>
      </c>
      <c r="G2223">
        <v>0</v>
      </c>
      <c r="H2223">
        <v>2</v>
      </c>
      <c r="I2223">
        <v>3121</v>
      </c>
      <c r="J2223" t="s">
        <v>58</v>
      </c>
      <c r="K2223">
        <v>0</v>
      </c>
    </row>
    <row r="2224" hidden="1" spans="1:6">
      <c r="A2224" s="2" t="s">
        <v>2361</v>
      </c>
      <c r="B2224" s="3">
        <v>2287</v>
      </c>
      <c r="C2224">
        <v>3</v>
      </c>
      <c r="D2224" t="s">
        <v>36</v>
      </c>
      <c r="E2224">
        <f>60/30</f>
        <v>2</v>
      </c>
      <c r="F2224">
        <v>0</v>
      </c>
    </row>
    <row r="2225" hidden="1" spans="1:6">
      <c r="A2225" s="2" t="s">
        <v>2362</v>
      </c>
      <c r="B2225" s="3">
        <v>103</v>
      </c>
      <c r="C2225">
        <v>3</v>
      </c>
      <c r="D2225" t="s">
        <v>36</v>
      </c>
      <c r="E2225">
        <v>2.63333333333333</v>
      </c>
      <c r="F2225">
        <v>0</v>
      </c>
    </row>
    <row r="2226" hidden="1" spans="1:6">
      <c r="A2226" s="2" t="s">
        <v>2363</v>
      </c>
      <c r="B2226" s="3">
        <v>103</v>
      </c>
      <c r="C2226">
        <v>3</v>
      </c>
      <c r="D2226" t="s">
        <v>38</v>
      </c>
      <c r="E2226">
        <v>4.2</v>
      </c>
      <c r="F2226">
        <v>0</v>
      </c>
    </row>
    <row r="2227" hidden="1" spans="1:6">
      <c r="A2227" s="2" t="s">
        <v>2364</v>
      </c>
      <c r="B2227" s="3">
        <v>103</v>
      </c>
      <c r="C2227">
        <v>3</v>
      </c>
      <c r="D2227" t="s">
        <v>40</v>
      </c>
      <c r="E2227">
        <v>3.56666666666667</v>
      </c>
      <c r="F2227">
        <v>0</v>
      </c>
    </row>
    <row r="2228" hidden="1" spans="1:6">
      <c r="A2228" s="2" t="s">
        <v>2365</v>
      </c>
      <c r="B2228" s="3">
        <v>103</v>
      </c>
      <c r="C2228">
        <v>3</v>
      </c>
      <c r="D2228" t="s">
        <v>42</v>
      </c>
      <c r="E2228">
        <v>3.96666666666667</v>
      </c>
      <c r="F2228">
        <v>0</v>
      </c>
    </row>
    <row r="2229" hidden="1" spans="1:6">
      <c r="A2229" s="2" t="s">
        <v>2366</v>
      </c>
      <c r="B2229" s="3">
        <v>103</v>
      </c>
      <c r="C2229">
        <v>3</v>
      </c>
      <c r="D2229" t="s">
        <v>44</v>
      </c>
      <c r="E2229">
        <v>3.7</v>
      </c>
      <c r="F2229">
        <v>0</v>
      </c>
    </row>
    <row r="2230" hidden="1" spans="1:6">
      <c r="A2230" s="2" t="s">
        <v>2367</v>
      </c>
      <c r="B2230" s="3">
        <v>103</v>
      </c>
      <c r="C2230">
        <v>3</v>
      </c>
      <c r="D2230" t="s">
        <v>46</v>
      </c>
      <c r="E2230">
        <v>10.5333333333333</v>
      </c>
      <c r="F2230">
        <v>0</v>
      </c>
    </row>
    <row r="2231" hidden="1" spans="1:6">
      <c r="A2231" s="2" t="s">
        <v>2368</v>
      </c>
      <c r="B2231" s="3">
        <v>103</v>
      </c>
      <c r="C2231">
        <v>3</v>
      </c>
      <c r="D2231" t="s">
        <v>86</v>
      </c>
      <c r="E2231">
        <v>13.2333333333333</v>
      </c>
      <c r="F2231">
        <v>0</v>
      </c>
    </row>
    <row r="2232" hidden="1" spans="1:6">
      <c r="A2232" s="2" t="s">
        <v>2369</v>
      </c>
      <c r="B2232" s="3">
        <v>103</v>
      </c>
      <c r="C2232">
        <v>3</v>
      </c>
      <c r="D2232" t="s">
        <v>50</v>
      </c>
      <c r="E2232">
        <v>9.46666666666667</v>
      </c>
      <c r="F2232">
        <v>0</v>
      </c>
    </row>
    <row r="2233" hidden="1" spans="1:11">
      <c r="A2233" s="2" t="s">
        <v>2370</v>
      </c>
      <c r="B2233" s="3">
        <v>103</v>
      </c>
      <c r="C2233">
        <v>3</v>
      </c>
      <c r="D2233" t="s">
        <v>57</v>
      </c>
      <c r="E2233">
        <v>3.5</v>
      </c>
      <c r="F2233">
        <v>0</v>
      </c>
      <c r="G2233">
        <v>0</v>
      </c>
      <c r="H2233">
        <v>2</v>
      </c>
      <c r="I2233">
        <v>3150</v>
      </c>
      <c r="J2233" t="s">
        <v>58</v>
      </c>
      <c r="K2233">
        <v>0</v>
      </c>
    </row>
    <row r="2234" hidden="1" spans="1:11">
      <c r="A2234" s="2" t="s">
        <v>2371</v>
      </c>
      <c r="B2234" s="3">
        <v>103</v>
      </c>
      <c r="C2234">
        <v>3</v>
      </c>
      <c r="D2234" t="s">
        <v>1776</v>
      </c>
      <c r="E2234">
        <f>105/30</f>
        <v>3.5</v>
      </c>
      <c r="F2234">
        <v>0</v>
      </c>
      <c r="G2234">
        <v>0</v>
      </c>
      <c r="H2234">
        <v>2</v>
      </c>
      <c r="I2234">
        <v>4885</v>
      </c>
      <c r="J2234" t="s">
        <v>58</v>
      </c>
      <c r="K2234">
        <v>0</v>
      </c>
    </row>
    <row r="2235" hidden="1" spans="1:6">
      <c r="A2235" s="2">
        <v>226801</v>
      </c>
      <c r="B2235" s="3">
        <v>2268</v>
      </c>
      <c r="C2235">
        <v>3</v>
      </c>
      <c r="D2235" t="s">
        <v>36</v>
      </c>
      <c r="E2235">
        <f>90/30</f>
        <v>3</v>
      </c>
      <c r="F2235">
        <v>0</v>
      </c>
    </row>
    <row r="2236" hidden="1" spans="1:6">
      <c r="A2236" s="2" t="s">
        <v>2372</v>
      </c>
      <c r="B2236" s="3">
        <v>2268</v>
      </c>
      <c r="C2236">
        <v>3</v>
      </c>
      <c r="D2236" t="s">
        <v>40</v>
      </c>
      <c r="E2236">
        <f>113/30</f>
        <v>3.76666666666667</v>
      </c>
      <c r="F2236">
        <v>0</v>
      </c>
    </row>
    <row r="2237" hidden="1" spans="1:6">
      <c r="A2237" s="2" t="s">
        <v>2373</v>
      </c>
      <c r="B2237" s="3">
        <v>2268</v>
      </c>
      <c r="C2237">
        <v>3</v>
      </c>
      <c r="D2237" t="s">
        <v>50</v>
      </c>
      <c r="E2237">
        <f>290/30</f>
        <v>9.66666666666667</v>
      </c>
      <c r="F2237">
        <v>0</v>
      </c>
    </row>
    <row r="2238" hidden="1" spans="1:6">
      <c r="A2238" s="2" t="s">
        <v>2374</v>
      </c>
      <c r="B2238" s="3">
        <v>2268</v>
      </c>
      <c r="C2238">
        <v>3</v>
      </c>
      <c r="D2238" t="s">
        <v>2198</v>
      </c>
      <c r="E2238">
        <v>2</v>
      </c>
      <c r="F2238">
        <v>0</v>
      </c>
    </row>
    <row r="2239" hidden="1" spans="1:6">
      <c r="A2239" s="2" t="s">
        <v>2375</v>
      </c>
      <c r="B2239" s="3">
        <v>2268</v>
      </c>
      <c r="C2239">
        <v>3</v>
      </c>
      <c r="D2239" t="s">
        <v>2182</v>
      </c>
      <c r="E2239">
        <v>1.5</v>
      </c>
      <c r="F2239">
        <v>0</v>
      </c>
    </row>
    <row r="2240" hidden="1" spans="1:6">
      <c r="A2240" s="2" t="s">
        <v>2376</v>
      </c>
      <c r="B2240" s="3">
        <v>2268</v>
      </c>
      <c r="C2240">
        <v>3</v>
      </c>
      <c r="D2240" t="s">
        <v>2184</v>
      </c>
      <c r="E2240">
        <v>1.33333333333333</v>
      </c>
      <c r="F2240">
        <v>0</v>
      </c>
    </row>
    <row r="2241" hidden="1" spans="1:6">
      <c r="A2241" s="2" t="s">
        <v>2377</v>
      </c>
      <c r="B2241" s="3">
        <v>2268</v>
      </c>
      <c r="C2241">
        <v>3</v>
      </c>
      <c r="D2241" t="s">
        <v>2186</v>
      </c>
      <c r="E2241">
        <v>1.53333333333333</v>
      </c>
      <c r="F2241">
        <v>0</v>
      </c>
    </row>
    <row r="2242" hidden="1" spans="1:6">
      <c r="A2242" s="2" t="s">
        <v>2378</v>
      </c>
      <c r="B2242" s="3">
        <v>2268</v>
      </c>
      <c r="C2242">
        <v>3</v>
      </c>
      <c r="D2242" t="s">
        <v>2188</v>
      </c>
      <c r="E2242">
        <v>0.8</v>
      </c>
      <c r="F2242">
        <v>0</v>
      </c>
    </row>
    <row r="2243" hidden="1" spans="1:6">
      <c r="A2243" s="2" t="s">
        <v>2379</v>
      </c>
      <c r="B2243" s="3">
        <v>2268</v>
      </c>
      <c r="C2243">
        <v>3</v>
      </c>
      <c r="D2243" t="s">
        <v>2190</v>
      </c>
      <c r="E2243">
        <v>0.8</v>
      </c>
      <c r="F2243">
        <v>0</v>
      </c>
    </row>
    <row r="2244" hidden="1" spans="1:6">
      <c r="A2244" s="2" t="s">
        <v>2380</v>
      </c>
      <c r="B2244" s="3">
        <v>2268</v>
      </c>
      <c r="C2244">
        <v>3</v>
      </c>
      <c r="D2244" t="s">
        <v>2192</v>
      </c>
      <c r="E2244">
        <v>0.8</v>
      </c>
      <c r="F2244">
        <v>0</v>
      </c>
    </row>
    <row r="2245" hidden="1" spans="1:6">
      <c r="A2245" s="2" t="s">
        <v>2381</v>
      </c>
      <c r="B2245" s="3">
        <v>2268</v>
      </c>
      <c r="C2245">
        <v>3</v>
      </c>
      <c r="D2245" t="s">
        <v>2194</v>
      </c>
      <c r="E2245">
        <v>0.8</v>
      </c>
      <c r="F2245">
        <v>0</v>
      </c>
    </row>
    <row r="2246" hidden="1" spans="1:6">
      <c r="A2246" s="2" t="s">
        <v>2382</v>
      </c>
      <c r="B2246" s="3">
        <v>2268</v>
      </c>
      <c r="C2246">
        <v>3</v>
      </c>
      <c r="D2246" t="s">
        <v>300</v>
      </c>
      <c r="E2246">
        <v>0.8</v>
      </c>
      <c r="F2246">
        <v>0</v>
      </c>
    </row>
    <row r="2247" hidden="1" spans="1:6">
      <c r="A2247" s="2" t="s">
        <v>2383</v>
      </c>
      <c r="B2247" s="3">
        <v>2268</v>
      </c>
      <c r="C2247">
        <v>3</v>
      </c>
      <c r="D2247" t="s">
        <v>2178</v>
      </c>
      <c r="E2247">
        <v>0.8</v>
      </c>
      <c r="F2247">
        <v>0</v>
      </c>
    </row>
    <row r="2248" hidden="1" spans="1:6">
      <c r="A2248" s="2" t="s">
        <v>2384</v>
      </c>
      <c r="B2248" s="3">
        <v>2268</v>
      </c>
      <c r="C2248">
        <v>3</v>
      </c>
      <c r="D2248" t="s">
        <v>2196</v>
      </c>
      <c r="E2248">
        <v>1.66666666666667</v>
      </c>
      <c r="F2248">
        <v>0</v>
      </c>
    </row>
    <row r="2249" hidden="1" spans="1:6">
      <c r="A2249" s="2" t="s">
        <v>2385</v>
      </c>
      <c r="B2249" s="3">
        <v>2268</v>
      </c>
      <c r="C2249">
        <v>3</v>
      </c>
      <c r="D2249" t="s">
        <v>236</v>
      </c>
      <c r="E2249">
        <v>2</v>
      </c>
      <c r="F2249">
        <v>0</v>
      </c>
    </row>
    <row r="2250" hidden="1" spans="1:6">
      <c r="A2250" s="2" t="s">
        <v>2386</v>
      </c>
      <c r="B2250" s="3">
        <v>2268</v>
      </c>
      <c r="C2250">
        <v>3</v>
      </c>
      <c r="D2250" t="s">
        <v>264</v>
      </c>
      <c r="E2250">
        <v>1.33333333333333</v>
      </c>
      <c r="F2250">
        <v>1</v>
      </c>
    </row>
    <row r="2251" hidden="1" spans="1:6">
      <c r="A2251" s="2" t="s">
        <v>2387</v>
      </c>
      <c r="B2251" s="3">
        <v>2268</v>
      </c>
      <c r="C2251">
        <v>3</v>
      </c>
      <c r="D2251" t="s">
        <v>130</v>
      </c>
      <c r="E2251">
        <v>1.33333333333333</v>
      </c>
      <c r="F2251">
        <v>1</v>
      </c>
    </row>
    <row r="2252" hidden="1" spans="1:6">
      <c r="A2252" s="2" t="s">
        <v>2388</v>
      </c>
      <c r="B2252" s="3">
        <v>2268</v>
      </c>
      <c r="C2252">
        <v>3</v>
      </c>
      <c r="D2252" t="s">
        <v>204</v>
      </c>
      <c r="E2252">
        <v>3.36666666666667</v>
      </c>
      <c r="F2252">
        <v>0</v>
      </c>
    </row>
    <row r="2253" hidden="1" spans="1:6">
      <c r="A2253" s="2" t="s">
        <v>2389</v>
      </c>
      <c r="B2253" s="3">
        <v>2268</v>
      </c>
      <c r="C2253">
        <v>3</v>
      </c>
      <c r="D2253" t="s">
        <v>261</v>
      </c>
      <c r="E2253">
        <f>24/30</f>
        <v>0.8</v>
      </c>
      <c r="F2253">
        <v>1</v>
      </c>
    </row>
    <row r="2254" hidden="1" spans="1:6">
      <c r="A2254" s="2" t="s">
        <v>2390</v>
      </c>
      <c r="B2254" s="3">
        <v>103</v>
      </c>
      <c r="C2254">
        <v>3</v>
      </c>
      <c r="D2254" t="s">
        <v>90</v>
      </c>
      <c r="E2254">
        <v>12.1</v>
      </c>
      <c r="F2254">
        <v>0</v>
      </c>
    </row>
    <row r="2255" hidden="1" spans="1:6">
      <c r="A2255" s="2" t="s">
        <v>2391</v>
      </c>
      <c r="B2255" s="3">
        <v>103</v>
      </c>
      <c r="C2255">
        <v>3</v>
      </c>
      <c r="D2255" t="s">
        <v>48</v>
      </c>
      <c r="E2255">
        <v>12</v>
      </c>
      <c r="F2255">
        <v>0</v>
      </c>
    </row>
    <row r="2256" s="1" customFormat="1" hidden="1" spans="1:12">
      <c r="A2256" s="5" t="s">
        <v>2392</v>
      </c>
      <c r="B2256" s="54">
        <v>103</v>
      </c>
      <c r="C2256" s="1">
        <v>3</v>
      </c>
      <c r="D2256" s="1" t="s">
        <v>52</v>
      </c>
      <c r="E2256" s="1">
        <f>101/30</f>
        <v>3.36666666666667</v>
      </c>
      <c r="F2256" s="1">
        <v>0</v>
      </c>
      <c r="L2256" s="7"/>
    </row>
    <row r="2257" s="1" customFormat="1" hidden="1" spans="1:12">
      <c r="A2257" s="5" t="s">
        <v>2393</v>
      </c>
      <c r="B2257" s="54">
        <v>103</v>
      </c>
      <c r="C2257" s="1">
        <v>3</v>
      </c>
      <c r="D2257" s="1" t="s">
        <v>140</v>
      </c>
      <c r="E2257" s="1">
        <f>59/30</f>
        <v>1.96666666666667</v>
      </c>
      <c r="F2257" s="1">
        <v>0</v>
      </c>
      <c r="L2257" s="7"/>
    </row>
    <row r="2258" s="1" customFormat="1" hidden="1" spans="1:12">
      <c r="A2258" s="5" t="s">
        <v>2394</v>
      </c>
      <c r="B2258" s="54">
        <v>103</v>
      </c>
      <c r="C2258" s="1">
        <v>3</v>
      </c>
      <c r="D2258" s="1" t="s">
        <v>133</v>
      </c>
      <c r="E2258" s="1">
        <f>305/30</f>
        <v>10.1666666666667</v>
      </c>
      <c r="F2258" s="1">
        <v>0</v>
      </c>
      <c r="L2258" s="7"/>
    </row>
    <row r="2259" hidden="1" spans="1:6">
      <c r="A2259" s="2" t="s">
        <v>2395</v>
      </c>
      <c r="B2259" s="101">
        <v>4010301</v>
      </c>
      <c r="C2259">
        <v>3</v>
      </c>
      <c r="D2259" t="s">
        <v>36</v>
      </c>
      <c r="E2259">
        <v>2.63333333333333</v>
      </c>
      <c r="F2259">
        <v>0</v>
      </c>
    </row>
    <row r="2260" hidden="1" spans="1:6">
      <c r="A2260" s="2" t="s">
        <v>2396</v>
      </c>
      <c r="B2260" s="101">
        <v>4010301</v>
      </c>
      <c r="C2260">
        <v>3</v>
      </c>
      <c r="D2260" t="s">
        <v>38</v>
      </c>
      <c r="E2260">
        <v>4.2</v>
      </c>
      <c r="F2260">
        <v>0</v>
      </c>
    </row>
    <row r="2261" hidden="1" spans="1:6">
      <c r="A2261" s="2" t="s">
        <v>2397</v>
      </c>
      <c r="B2261" s="101">
        <v>4010301</v>
      </c>
      <c r="C2261">
        <v>3</v>
      </c>
      <c r="D2261" t="s">
        <v>40</v>
      </c>
      <c r="E2261">
        <v>3.56666666666667</v>
      </c>
      <c r="F2261">
        <v>0</v>
      </c>
    </row>
    <row r="2262" hidden="1" spans="1:6">
      <c r="A2262" s="2" t="s">
        <v>2398</v>
      </c>
      <c r="B2262" s="101">
        <v>4010301</v>
      </c>
      <c r="C2262">
        <v>3</v>
      </c>
      <c r="D2262" t="s">
        <v>42</v>
      </c>
      <c r="E2262">
        <v>3.96666666666667</v>
      </c>
      <c r="F2262">
        <v>0</v>
      </c>
    </row>
    <row r="2263" hidden="1" spans="1:6">
      <c r="A2263" s="2" t="s">
        <v>2399</v>
      </c>
      <c r="B2263" s="101">
        <v>4010301</v>
      </c>
      <c r="C2263">
        <v>3</v>
      </c>
      <c r="D2263" t="s">
        <v>44</v>
      </c>
      <c r="E2263">
        <v>3.7</v>
      </c>
      <c r="F2263">
        <v>0</v>
      </c>
    </row>
    <row r="2264" hidden="1" spans="1:6">
      <c r="A2264" s="2" t="s">
        <v>2400</v>
      </c>
      <c r="B2264" s="101">
        <v>4010301</v>
      </c>
      <c r="C2264">
        <v>3</v>
      </c>
      <c r="D2264" t="s">
        <v>46</v>
      </c>
      <c r="E2264">
        <v>10.5333333333333</v>
      </c>
      <c r="F2264">
        <v>0</v>
      </c>
    </row>
    <row r="2265" hidden="1" spans="1:6">
      <c r="A2265" s="2" t="s">
        <v>2401</v>
      </c>
      <c r="B2265" s="101">
        <v>4010301</v>
      </c>
      <c r="C2265">
        <v>3</v>
      </c>
      <c r="D2265" t="s">
        <v>86</v>
      </c>
      <c r="E2265">
        <v>13.2333333333333</v>
      </c>
      <c r="F2265">
        <v>0</v>
      </c>
    </row>
    <row r="2266" hidden="1" spans="1:6">
      <c r="A2266" s="2" t="s">
        <v>2402</v>
      </c>
      <c r="B2266" s="101">
        <v>4010301</v>
      </c>
      <c r="C2266">
        <v>3</v>
      </c>
      <c r="D2266" t="s">
        <v>50</v>
      </c>
      <c r="E2266">
        <v>9.46666666666667</v>
      </c>
      <c r="F2266">
        <v>0</v>
      </c>
    </row>
    <row r="2267" hidden="1" spans="1:11">
      <c r="A2267" s="2" t="s">
        <v>2403</v>
      </c>
      <c r="B2267" s="101">
        <v>4010301</v>
      </c>
      <c r="C2267">
        <v>3</v>
      </c>
      <c r="D2267" t="s">
        <v>57</v>
      </c>
      <c r="E2267">
        <v>3.5</v>
      </c>
      <c r="F2267">
        <v>0</v>
      </c>
      <c r="G2267">
        <v>0</v>
      </c>
      <c r="H2267">
        <v>2</v>
      </c>
      <c r="I2267">
        <v>3150</v>
      </c>
      <c r="J2267" t="s">
        <v>58</v>
      </c>
      <c r="K2267">
        <v>0</v>
      </c>
    </row>
    <row r="2268" hidden="1" spans="1:11">
      <c r="A2268" s="2" t="s">
        <v>2404</v>
      </c>
      <c r="B2268" s="101">
        <v>4010301</v>
      </c>
      <c r="C2268">
        <v>3</v>
      </c>
      <c r="D2268" t="s">
        <v>1776</v>
      </c>
      <c r="E2268">
        <f>105/30</f>
        <v>3.5</v>
      </c>
      <c r="F2268">
        <v>0</v>
      </c>
      <c r="G2268">
        <v>0</v>
      </c>
      <c r="H2268">
        <v>2</v>
      </c>
      <c r="I2268">
        <v>4885</v>
      </c>
      <c r="J2268" t="s">
        <v>58</v>
      </c>
      <c r="K2268">
        <v>0</v>
      </c>
    </row>
    <row r="2269" hidden="1" spans="1:6">
      <c r="A2269" s="2" t="s">
        <v>2405</v>
      </c>
      <c r="B2269" s="101">
        <v>4010301</v>
      </c>
      <c r="C2269">
        <v>3</v>
      </c>
      <c r="D2269" t="s">
        <v>90</v>
      </c>
      <c r="E2269">
        <v>12.1</v>
      </c>
      <c r="F2269">
        <v>0</v>
      </c>
    </row>
    <row r="2270" hidden="1" spans="1:6">
      <c r="A2270" s="2" t="s">
        <v>2406</v>
      </c>
      <c r="B2270" s="101">
        <v>4010301</v>
      </c>
      <c r="C2270">
        <v>3</v>
      </c>
      <c r="D2270" t="s">
        <v>48</v>
      </c>
      <c r="E2270">
        <v>12</v>
      </c>
      <c r="F2270">
        <v>0</v>
      </c>
    </row>
    <row r="2271" s="1" customFormat="1" hidden="1" spans="1:12">
      <c r="A2271" s="5" t="s">
        <v>2407</v>
      </c>
      <c r="B2271" s="102">
        <v>4010301</v>
      </c>
      <c r="C2271" s="1">
        <v>3</v>
      </c>
      <c r="D2271" s="1" t="s">
        <v>52</v>
      </c>
      <c r="E2271" s="1">
        <f>101/30</f>
        <v>3.36666666666667</v>
      </c>
      <c r="F2271" s="1">
        <v>0</v>
      </c>
      <c r="L2271" s="7"/>
    </row>
    <row r="2272" s="1" customFormat="1" hidden="1" spans="1:12">
      <c r="A2272" s="5" t="s">
        <v>2408</v>
      </c>
      <c r="B2272" s="102">
        <v>4010301</v>
      </c>
      <c r="C2272" s="1">
        <v>3</v>
      </c>
      <c r="D2272" s="1" t="s">
        <v>140</v>
      </c>
      <c r="E2272" s="1">
        <f>59/30</f>
        <v>1.96666666666667</v>
      </c>
      <c r="F2272" s="1">
        <v>0</v>
      </c>
      <c r="L2272" s="7"/>
    </row>
    <row r="2273" s="1" customFormat="1" hidden="1" spans="1:12">
      <c r="A2273" s="5" t="s">
        <v>2409</v>
      </c>
      <c r="B2273" s="102">
        <v>4010301</v>
      </c>
      <c r="C2273" s="1">
        <v>3</v>
      </c>
      <c r="D2273" s="1" t="s">
        <v>133</v>
      </c>
      <c r="E2273" s="1">
        <f>305/30</f>
        <v>10.1666666666667</v>
      </c>
      <c r="F2273" s="1">
        <v>0</v>
      </c>
      <c r="L2273" s="7"/>
    </row>
    <row r="2274" hidden="1" spans="1:6">
      <c r="A2274" s="2" t="s">
        <v>2410</v>
      </c>
      <c r="B2274" s="103">
        <v>2273</v>
      </c>
      <c r="C2274">
        <v>3</v>
      </c>
      <c r="D2274" t="s">
        <v>36</v>
      </c>
      <c r="E2274">
        <f>130/30</f>
        <v>4.33333333333333</v>
      </c>
      <c r="F2274">
        <v>0</v>
      </c>
    </row>
    <row r="2275" hidden="1" spans="1:6">
      <c r="A2275" s="2" t="s">
        <v>2411</v>
      </c>
      <c r="B2275" s="103">
        <v>2273</v>
      </c>
      <c r="C2275">
        <v>3</v>
      </c>
      <c r="D2275" t="s">
        <v>38</v>
      </c>
      <c r="E2275">
        <f>130/30</f>
        <v>4.33333333333333</v>
      </c>
      <c r="F2275">
        <v>0</v>
      </c>
    </row>
    <row r="2276" hidden="1" spans="1:6">
      <c r="A2276" s="2" t="s">
        <v>2412</v>
      </c>
      <c r="B2276" s="103">
        <v>2273</v>
      </c>
      <c r="C2276">
        <v>3</v>
      </c>
      <c r="D2276" t="s">
        <v>40</v>
      </c>
      <c r="E2276">
        <f>85/30</f>
        <v>2.83333333333333</v>
      </c>
      <c r="F2276">
        <v>0</v>
      </c>
    </row>
    <row r="2277" hidden="1" spans="1:6">
      <c r="A2277" s="2" t="s">
        <v>2413</v>
      </c>
      <c r="B2277" s="103">
        <v>2273</v>
      </c>
      <c r="C2277">
        <v>3</v>
      </c>
      <c r="D2277" t="s">
        <v>42</v>
      </c>
      <c r="E2277">
        <f>154/30</f>
        <v>5.13333333333333</v>
      </c>
      <c r="F2277">
        <v>0</v>
      </c>
    </row>
    <row r="2278" hidden="1" spans="1:6">
      <c r="A2278" s="2" t="s">
        <v>2414</v>
      </c>
      <c r="B2278" s="103">
        <v>2273</v>
      </c>
      <c r="C2278">
        <v>3</v>
      </c>
      <c r="D2278" t="s">
        <v>44</v>
      </c>
      <c r="E2278">
        <f>160/30</f>
        <v>5.33333333333333</v>
      </c>
      <c r="F2278">
        <v>0</v>
      </c>
    </row>
    <row r="2279" hidden="1" spans="1:6">
      <c r="A2279" s="2" t="s">
        <v>2415</v>
      </c>
      <c r="B2279" s="3">
        <v>104</v>
      </c>
      <c r="C2279">
        <v>3</v>
      </c>
      <c r="D2279" t="s">
        <v>36</v>
      </c>
      <c r="E2279">
        <f>78/30</f>
        <v>2.6</v>
      </c>
      <c r="F2279">
        <v>0</v>
      </c>
    </row>
    <row r="2280" hidden="1" spans="1:6">
      <c r="A2280" s="2" t="s">
        <v>2416</v>
      </c>
      <c r="B2280" s="3">
        <v>104</v>
      </c>
      <c r="C2280">
        <v>3</v>
      </c>
      <c r="D2280" t="s">
        <v>38</v>
      </c>
      <c r="E2280">
        <f>100/30</f>
        <v>3.33333333333333</v>
      </c>
      <c r="F2280">
        <v>0</v>
      </c>
    </row>
    <row r="2281" hidden="1" spans="1:6">
      <c r="A2281" s="2" t="s">
        <v>2417</v>
      </c>
      <c r="B2281" s="3">
        <v>104</v>
      </c>
      <c r="C2281">
        <v>3</v>
      </c>
      <c r="D2281" t="s">
        <v>40</v>
      </c>
      <c r="E2281">
        <f>90/30</f>
        <v>3</v>
      </c>
      <c r="F2281">
        <v>0</v>
      </c>
    </row>
    <row r="2282" hidden="1" spans="1:6">
      <c r="A2282" s="2" t="s">
        <v>2418</v>
      </c>
      <c r="B2282" s="3">
        <v>104</v>
      </c>
      <c r="C2282">
        <v>3</v>
      </c>
      <c r="D2282" t="s">
        <v>42</v>
      </c>
      <c r="E2282">
        <f>107/30</f>
        <v>3.56666666666667</v>
      </c>
      <c r="F2282">
        <v>0</v>
      </c>
    </row>
    <row r="2283" hidden="1" spans="1:6">
      <c r="A2283" s="2" t="s">
        <v>2419</v>
      </c>
      <c r="B2283" s="3">
        <v>104</v>
      </c>
      <c r="C2283">
        <v>3</v>
      </c>
      <c r="D2283" t="s">
        <v>44</v>
      </c>
      <c r="E2283">
        <f>84/30</f>
        <v>2.8</v>
      </c>
      <c r="F2283">
        <v>0</v>
      </c>
    </row>
    <row r="2284" hidden="1" spans="1:6">
      <c r="A2284" s="2" t="s">
        <v>2420</v>
      </c>
      <c r="B2284" s="3">
        <v>104</v>
      </c>
      <c r="C2284">
        <v>3</v>
      </c>
      <c r="D2284" t="s">
        <v>46</v>
      </c>
      <c r="E2284">
        <f>270/30</f>
        <v>9</v>
      </c>
      <c r="F2284">
        <v>0</v>
      </c>
    </row>
    <row r="2285" hidden="1" spans="1:6">
      <c r="A2285" s="2" t="s">
        <v>2421</v>
      </c>
      <c r="B2285" s="3">
        <v>104</v>
      </c>
      <c r="C2285">
        <v>3</v>
      </c>
      <c r="D2285" t="s">
        <v>86</v>
      </c>
      <c r="E2285">
        <f>309/30</f>
        <v>10.3</v>
      </c>
      <c r="F2285">
        <v>0</v>
      </c>
    </row>
    <row r="2286" hidden="1" spans="1:6">
      <c r="A2286" s="2" t="s">
        <v>2422</v>
      </c>
      <c r="B2286" s="3">
        <v>104</v>
      </c>
      <c r="C2286">
        <v>3</v>
      </c>
      <c r="D2286" t="s">
        <v>50</v>
      </c>
      <c r="E2286">
        <f>290/30</f>
        <v>9.66666666666667</v>
      </c>
      <c r="F2286">
        <v>0</v>
      </c>
    </row>
    <row r="2287" s="1" customFormat="1" hidden="1" spans="1:12">
      <c r="A2287" s="5" t="s">
        <v>2423</v>
      </c>
      <c r="B2287" s="54">
        <v>104</v>
      </c>
      <c r="C2287" s="1">
        <v>3</v>
      </c>
      <c r="D2287" s="1" t="s">
        <v>90</v>
      </c>
      <c r="E2287" s="1">
        <f>62/30</f>
        <v>2.06666666666667</v>
      </c>
      <c r="F2287" s="1">
        <v>0</v>
      </c>
      <c r="L2287" s="7"/>
    </row>
    <row r="2288" s="1" customFormat="1" hidden="1" spans="1:12">
      <c r="A2288" s="5" t="s">
        <v>2424</v>
      </c>
      <c r="B2288" s="54">
        <v>104</v>
      </c>
      <c r="C2288" s="1">
        <v>3</v>
      </c>
      <c r="D2288" s="1" t="s">
        <v>48</v>
      </c>
      <c r="E2288" s="1">
        <f>114/30</f>
        <v>3.8</v>
      </c>
      <c r="F2288" s="1">
        <v>0</v>
      </c>
      <c r="L2288" s="7"/>
    </row>
    <row r="2289" s="1" customFormat="1" hidden="1" spans="1:12">
      <c r="A2289" s="5" t="s">
        <v>2425</v>
      </c>
      <c r="B2289" s="54">
        <v>104</v>
      </c>
      <c r="C2289" s="1">
        <v>3</v>
      </c>
      <c r="D2289" s="1" t="s">
        <v>52</v>
      </c>
      <c r="E2289" s="1">
        <f>296/30</f>
        <v>9.86666666666667</v>
      </c>
      <c r="F2289" s="1">
        <v>0</v>
      </c>
      <c r="L2289" s="7"/>
    </row>
    <row r="2290" hidden="1" spans="1:11">
      <c r="A2290" s="2" t="s">
        <v>2426</v>
      </c>
      <c r="B2290" s="3">
        <v>104</v>
      </c>
      <c r="C2290">
        <v>3</v>
      </c>
      <c r="D2290" t="s">
        <v>54</v>
      </c>
      <c r="E2290">
        <f>126/30</f>
        <v>4.2</v>
      </c>
      <c r="F2290">
        <v>0</v>
      </c>
      <c r="G2290">
        <v>0</v>
      </c>
      <c r="H2290">
        <v>2</v>
      </c>
      <c r="I2290">
        <v>3209</v>
      </c>
      <c r="J2290" t="s">
        <v>58</v>
      </c>
      <c r="K2290">
        <v>0</v>
      </c>
    </row>
    <row r="2291" s="1" customFormat="1" hidden="1" spans="1:12">
      <c r="A2291" s="5" t="s">
        <v>2427</v>
      </c>
      <c r="B2291" s="54">
        <v>104</v>
      </c>
      <c r="C2291" s="1">
        <v>3</v>
      </c>
      <c r="D2291" s="1" t="s">
        <v>57</v>
      </c>
      <c r="E2291" s="1">
        <f>102/30</f>
        <v>3.4</v>
      </c>
      <c r="F2291" s="1">
        <v>0</v>
      </c>
      <c r="G2291" s="1">
        <v>0</v>
      </c>
      <c r="H2291" s="1">
        <v>2</v>
      </c>
      <c r="I2291" s="1">
        <v>4697</v>
      </c>
      <c r="J2291" s="1" t="s">
        <v>58</v>
      </c>
      <c r="K2291" s="1">
        <v>0</v>
      </c>
      <c r="L2291" s="7"/>
    </row>
    <row r="2292" hidden="1" spans="1:6">
      <c r="A2292" s="2" t="s">
        <v>2428</v>
      </c>
      <c r="B2292" s="3">
        <v>105</v>
      </c>
      <c r="C2292">
        <v>3</v>
      </c>
      <c r="D2292" t="s">
        <v>36</v>
      </c>
      <c r="E2292">
        <v>3.43333333333333</v>
      </c>
      <c r="F2292">
        <v>0</v>
      </c>
    </row>
    <row r="2293" hidden="1" spans="1:6">
      <c r="A2293" s="2" t="s">
        <v>2429</v>
      </c>
      <c r="B2293" s="3">
        <v>105</v>
      </c>
      <c r="C2293">
        <v>3</v>
      </c>
      <c r="D2293" t="s">
        <v>38</v>
      </c>
      <c r="E2293">
        <v>2.33333333333333</v>
      </c>
      <c r="F2293">
        <v>0</v>
      </c>
    </row>
    <row r="2294" hidden="1" spans="1:6">
      <c r="A2294" s="2" t="s">
        <v>2430</v>
      </c>
      <c r="B2294" s="3">
        <v>105</v>
      </c>
      <c r="C2294">
        <v>3</v>
      </c>
      <c r="D2294" t="s">
        <v>40</v>
      </c>
      <c r="E2294">
        <v>3.3</v>
      </c>
      <c r="F2294">
        <v>0</v>
      </c>
    </row>
    <row r="2295" hidden="1" spans="1:6">
      <c r="A2295" s="2" t="s">
        <v>2431</v>
      </c>
      <c r="B2295" s="3">
        <v>105</v>
      </c>
      <c r="C2295">
        <v>3</v>
      </c>
      <c r="D2295" t="s">
        <v>42</v>
      </c>
      <c r="E2295">
        <v>4.06666666666667</v>
      </c>
      <c r="F2295">
        <v>0</v>
      </c>
    </row>
    <row r="2296" hidden="1" spans="1:6">
      <c r="A2296" s="2" t="s">
        <v>2432</v>
      </c>
      <c r="B2296" s="3">
        <v>105</v>
      </c>
      <c r="C2296">
        <v>3</v>
      </c>
      <c r="D2296" t="s">
        <v>44</v>
      </c>
      <c r="E2296">
        <v>8.33333333333333</v>
      </c>
      <c r="F2296">
        <v>0</v>
      </c>
    </row>
    <row r="2297" hidden="1" spans="1:6">
      <c r="A2297" s="2" t="s">
        <v>2433</v>
      </c>
      <c r="B2297" s="3">
        <v>105</v>
      </c>
      <c r="C2297">
        <v>3</v>
      </c>
      <c r="D2297" t="s">
        <v>46</v>
      </c>
      <c r="E2297">
        <v>2.36666666666667</v>
      </c>
      <c r="F2297">
        <v>0</v>
      </c>
    </row>
    <row r="2298" hidden="1" spans="1:6">
      <c r="A2298" s="2" t="s">
        <v>2434</v>
      </c>
      <c r="B2298" s="3">
        <v>30053</v>
      </c>
      <c r="C2298">
        <v>3</v>
      </c>
      <c r="D2298" t="s">
        <v>46</v>
      </c>
      <c r="E2298">
        <v>9</v>
      </c>
      <c r="F2298">
        <v>0</v>
      </c>
    </row>
    <row r="2299" hidden="1" spans="1:6">
      <c r="A2299" s="2" t="s">
        <v>2435</v>
      </c>
      <c r="B2299" s="3">
        <v>30053</v>
      </c>
      <c r="C2299">
        <v>3</v>
      </c>
      <c r="D2299" t="s">
        <v>86</v>
      </c>
      <c r="E2299">
        <v>2.83333333333333</v>
      </c>
      <c r="F2299">
        <v>0</v>
      </c>
    </row>
    <row r="2300" hidden="1" spans="1:6">
      <c r="A2300" s="2" t="s">
        <v>2436</v>
      </c>
      <c r="B2300" s="3">
        <v>30053</v>
      </c>
      <c r="C2300">
        <v>3</v>
      </c>
      <c r="D2300" t="s">
        <v>50</v>
      </c>
      <c r="E2300">
        <v>4.26666666666667</v>
      </c>
      <c r="F2300">
        <v>0</v>
      </c>
    </row>
    <row r="2301" hidden="1" spans="1:6">
      <c r="A2301" s="2" t="s">
        <v>2437</v>
      </c>
      <c r="B2301" s="3">
        <v>30053</v>
      </c>
      <c r="C2301">
        <v>3</v>
      </c>
      <c r="D2301" t="s">
        <v>90</v>
      </c>
      <c r="E2301">
        <v>16.5</v>
      </c>
      <c r="F2301">
        <v>0</v>
      </c>
    </row>
    <row r="2302" ht="16.5" hidden="1" spans="1:11">
      <c r="A2302" s="2" t="s">
        <v>2438</v>
      </c>
      <c r="B2302" s="3">
        <v>105</v>
      </c>
      <c r="C2302">
        <v>3</v>
      </c>
      <c r="D2302" t="s">
        <v>54</v>
      </c>
      <c r="E2302">
        <v>2.66666666666667</v>
      </c>
      <c r="F2302">
        <v>0</v>
      </c>
      <c r="G2302" t="s">
        <v>942</v>
      </c>
      <c r="H2302" t="s">
        <v>943</v>
      </c>
      <c r="I2302" s="91" t="s">
        <v>2439</v>
      </c>
      <c r="J2302" t="s">
        <v>2440</v>
      </c>
      <c r="K2302" t="s">
        <v>942</v>
      </c>
    </row>
    <row r="2303" hidden="1" spans="1:6">
      <c r="A2303" s="101">
        <v>401050101</v>
      </c>
      <c r="B2303" s="101">
        <v>4010501</v>
      </c>
      <c r="C2303">
        <v>3</v>
      </c>
      <c r="D2303" t="s">
        <v>36</v>
      </c>
      <c r="E2303">
        <v>3.43333333333333</v>
      </c>
      <c r="F2303">
        <v>0</v>
      </c>
    </row>
    <row r="2304" hidden="1" spans="1:6">
      <c r="A2304" s="101">
        <v>401050102</v>
      </c>
      <c r="B2304" s="101">
        <v>4010501</v>
      </c>
      <c r="C2304">
        <v>3</v>
      </c>
      <c r="D2304" t="s">
        <v>38</v>
      </c>
      <c r="E2304">
        <v>2.33333333333333</v>
      </c>
      <c r="F2304">
        <v>0</v>
      </c>
    </row>
    <row r="2305" hidden="1" spans="1:6">
      <c r="A2305" s="101">
        <v>401050103</v>
      </c>
      <c r="B2305" s="101">
        <v>4010501</v>
      </c>
      <c r="C2305">
        <v>3</v>
      </c>
      <c r="D2305" t="s">
        <v>40</v>
      </c>
      <c r="E2305">
        <v>3.3</v>
      </c>
      <c r="F2305">
        <v>0</v>
      </c>
    </row>
    <row r="2306" hidden="1" spans="1:6">
      <c r="A2306" s="101">
        <v>401050104</v>
      </c>
      <c r="B2306" s="101">
        <v>4010501</v>
      </c>
      <c r="C2306">
        <v>3</v>
      </c>
      <c r="D2306" t="s">
        <v>42</v>
      </c>
      <c r="E2306">
        <v>4.06666666666667</v>
      </c>
      <c r="F2306">
        <v>0</v>
      </c>
    </row>
    <row r="2307" hidden="1" spans="1:6">
      <c r="A2307" s="101">
        <v>401050105</v>
      </c>
      <c r="B2307" s="101">
        <v>4010501</v>
      </c>
      <c r="C2307">
        <v>3</v>
      </c>
      <c r="D2307" t="s">
        <v>44</v>
      </c>
      <c r="E2307">
        <v>8.33333333333333</v>
      </c>
      <c r="F2307">
        <v>0</v>
      </c>
    </row>
    <row r="2308" hidden="1" spans="1:6">
      <c r="A2308" s="101">
        <v>401050106</v>
      </c>
      <c r="B2308" s="101">
        <v>4010501</v>
      </c>
      <c r="C2308">
        <v>3</v>
      </c>
      <c r="D2308" t="s">
        <v>46</v>
      </c>
      <c r="E2308">
        <v>2.36666666666667</v>
      </c>
      <c r="F2308">
        <v>0</v>
      </c>
    </row>
    <row r="2309" ht="16.5" hidden="1" spans="1:11">
      <c r="A2309" s="101">
        <v>401050120</v>
      </c>
      <c r="B2309" s="101">
        <v>4010501</v>
      </c>
      <c r="C2309">
        <v>3</v>
      </c>
      <c r="D2309" t="s">
        <v>54</v>
      </c>
      <c r="E2309">
        <v>2.66666666666667</v>
      </c>
      <c r="F2309">
        <v>0</v>
      </c>
      <c r="G2309" t="s">
        <v>942</v>
      </c>
      <c r="H2309" t="s">
        <v>943</v>
      </c>
      <c r="I2309" s="91" t="s">
        <v>2439</v>
      </c>
      <c r="J2309" t="s">
        <v>2440</v>
      </c>
      <c r="K2309" t="s">
        <v>942</v>
      </c>
    </row>
    <row r="2310" ht="16.5" hidden="1" spans="1:13">
      <c r="A2310" s="2" t="s">
        <v>2441</v>
      </c>
      <c r="B2310" s="3">
        <v>105</v>
      </c>
      <c r="C2310">
        <v>3</v>
      </c>
      <c r="D2310" t="s">
        <v>669</v>
      </c>
      <c r="E2310">
        <v>2</v>
      </c>
      <c r="F2310">
        <v>1</v>
      </c>
      <c r="G2310">
        <v>0</v>
      </c>
      <c r="H2310">
        <v>2</v>
      </c>
      <c r="I2310" s="91">
        <v>3245</v>
      </c>
      <c r="J2310" t="s">
        <v>58</v>
      </c>
      <c r="K2310">
        <v>0</v>
      </c>
      <c r="L2310" s="105" t="s">
        <v>2442</v>
      </c>
      <c r="M2310" s="106" t="s">
        <v>2443</v>
      </c>
    </row>
    <row r="2311" ht="16.5" hidden="1" spans="1:13">
      <c r="A2311" s="2" t="s">
        <v>2444</v>
      </c>
      <c r="B2311" s="3">
        <v>4010501</v>
      </c>
      <c r="C2311">
        <v>3</v>
      </c>
      <c r="D2311" t="s">
        <v>669</v>
      </c>
      <c r="E2311">
        <v>2</v>
      </c>
      <c r="F2311">
        <v>1</v>
      </c>
      <c r="G2311">
        <v>0</v>
      </c>
      <c r="H2311">
        <v>2</v>
      </c>
      <c r="I2311" s="91">
        <v>3245</v>
      </c>
      <c r="J2311" t="s">
        <v>58</v>
      </c>
      <c r="K2311">
        <v>0</v>
      </c>
      <c r="L2311" s="105" t="s">
        <v>2445</v>
      </c>
      <c r="M2311" s="106" t="s">
        <v>2446</v>
      </c>
    </row>
    <row r="2312" hidden="1" spans="1:6">
      <c r="A2312" s="2" t="s">
        <v>2447</v>
      </c>
      <c r="B2312" s="3">
        <v>30053</v>
      </c>
      <c r="C2312">
        <v>3</v>
      </c>
      <c r="D2312" t="s">
        <v>48</v>
      </c>
      <c r="E2312">
        <v>9</v>
      </c>
      <c r="F2312">
        <v>0</v>
      </c>
    </row>
    <row r="2313" hidden="1" spans="1:6">
      <c r="A2313" s="101">
        <v>10601</v>
      </c>
      <c r="B2313" s="3">
        <v>106</v>
      </c>
      <c r="C2313">
        <v>3</v>
      </c>
      <c r="D2313" t="s">
        <v>36</v>
      </c>
      <c r="E2313">
        <v>2.36666666666667</v>
      </c>
      <c r="F2313">
        <v>0</v>
      </c>
    </row>
    <row r="2314" hidden="1" spans="1:6">
      <c r="A2314" s="101">
        <v>10602</v>
      </c>
      <c r="B2314" s="3">
        <v>106</v>
      </c>
      <c r="C2314">
        <v>3</v>
      </c>
      <c r="D2314" t="s">
        <v>38</v>
      </c>
      <c r="E2314">
        <v>2.83333333333333</v>
      </c>
      <c r="F2314">
        <v>0</v>
      </c>
    </row>
    <row r="2315" hidden="1" spans="1:6">
      <c r="A2315" s="101">
        <v>10603</v>
      </c>
      <c r="B2315" s="3">
        <v>106</v>
      </c>
      <c r="C2315">
        <v>3</v>
      </c>
      <c r="D2315" t="s">
        <v>40</v>
      </c>
      <c r="E2315">
        <v>3.23333333333333</v>
      </c>
      <c r="F2315">
        <v>0</v>
      </c>
    </row>
    <row r="2316" hidden="1" spans="1:6">
      <c r="A2316" s="101">
        <v>10604</v>
      </c>
      <c r="B2316" s="3">
        <v>106</v>
      </c>
      <c r="C2316">
        <v>3</v>
      </c>
      <c r="D2316" t="s">
        <v>42</v>
      </c>
      <c r="E2316">
        <v>3.83333333333333</v>
      </c>
      <c r="F2316">
        <v>0</v>
      </c>
    </row>
    <row r="2317" hidden="1" spans="1:6">
      <c r="A2317" s="101">
        <v>10605</v>
      </c>
      <c r="B2317" s="3">
        <v>106</v>
      </c>
      <c r="C2317">
        <v>3</v>
      </c>
      <c r="D2317" t="s">
        <v>44</v>
      </c>
      <c r="E2317">
        <v>3.66666666666667</v>
      </c>
      <c r="F2317">
        <v>0</v>
      </c>
    </row>
    <row r="2318" hidden="1" spans="1:6">
      <c r="A2318" s="101">
        <v>10606</v>
      </c>
      <c r="B2318" s="3">
        <v>106</v>
      </c>
      <c r="C2318">
        <v>3</v>
      </c>
      <c r="D2318" t="s">
        <v>46</v>
      </c>
      <c r="E2318" s="104">
        <v>9.93333333333333</v>
      </c>
      <c r="F2318">
        <v>0</v>
      </c>
    </row>
    <row r="2319" hidden="1" spans="1:6">
      <c r="A2319" s="101">
        <v>10607</v>
      </c>
      <c r="B2319" s="3">
        <v>106</v>
      </c>
      <c r="C2319">
        <v>3</v>
      </c>
      <c r="D2319" t="s">
        <v>86</v>
      </c>
      <c r="E2319">
        <v>10.0666666666667</v>
      </c>
      <c r="F2319">
        <v>0</v>
      </c>
    </row>
    <row r="2320" hidden="1" spans="1:6">
      <c r="A2320" s="101">
        <v>10608</v>
      </c>
      <c r="B2320" s="3">
        <v>106</v>
      </c>
      <c r="C2320">
        <v>3</v>
      </c>
      <c r="D2320" t="s">
        <v>50</v>
      </c>
      <c r="E2320">
        <v>14</v>
      </c>
      <c r="F2320">
        <v>0</v>
      </c>
    </row>
    <row r="2321" hidden="1" spans="1:11">
      <c r="A2321" s="2" t="s">
        <v>2448</v>
      </c>
      <c r="B2321" s="3">
        <v>106</v>
      </c>
      <c r="C2321">
        <v>3</v>
      </c>
      <c r="D2321" t="s">
        <v>57</v>
      </c>
      <c r="E2321">
        <v>6</v>
      </c>
      <c r="F2321">
        <v>0</v>
      </c>
      <c r="G2321">
        <v>0</v>
      </c>
      <c r="H2321">
        <v>2</v>
      </c>
      <c r="I2321">
        <v>3296</v>
      </c>
      <c r="J2321" t="s">
        <v>58</v>
      </c>
      <c r="K2321">
        <v>0</v>
      </c>
    </row>
    <row r="2322" hidden="1" spans="1:6">
      <c r="A2322" s="2" t="s">
        <v>2449</v>
      </c>
      <c r="B2322" s="3">
        <v>4010601</v>
      </c>
      <c r="C2322">
        <v>3</v>
      </c>
      <c r="D2322" t="s">
        <v>36</v>
      </c>
      <c r="E2322">
        <v>2.36666666666667</v>
      </c>
      <c r="F2322">
        <v>0</v>
      </c>
    </row>
    <row r="2323" hidden="1" spans="1:6">
      <c r="A2323" s="2" t="s">
        <v>2450</v>
      </c>
      <c r="B2323" s="3">
        <v>4010601</v>
      </c>
      <c r="C2323">
        <v>3</v>
      </c>
      <c r="D2323" t="s">
        <v>38</v>
      </c>
      <c r="E2323">
        <v>2.83333333333333</v>
      </c>
      <c r="F2323">
        <v>0</v>
      </c>
    </row>
    <row r="2324" hidden="1" spans="1:6">
      <c r="A2324" s="2" t="s">
        <v>2451</v>
      </c>
      <c r="B2324" s="3">
        <v>4010601</v>
      </c>
      <c r="C2324">
        <v>3</v>
      </c>
      <c r="D2324" t="s">
        <v>40</v>
      </c>
      <c r="E2324">
        <v>3.23333333333333</v>
      </c>
      <c r="F2324">
        <v>0</v>
      </c>
    </row>
    <row r="2325" hidden="1" spans="1:6">
      <c r="A2325" s="2" t="s">
        <v>2452</v>
      </c>
      <c r="B2325" s="3">
        <v>4010601</v>
      </c>
      <c r="C2325">
        <v>3</v>
      </c>
      <c r="D2325" t="s">
        <v>42</v>
      </c>
      <c r="E2325">
        <v>3.83333333333333</v>
      </c>
      <c r="F2325">
        <v>0</v>
      </c>
    </row>
    <row r="2326" hidden="1" spans="1:6">
      <c r="A2326" s="2" t="s">
        <v>2453</v>
      </c>
      <c r="B2326" s="3">
        <v>4010601</v>
      </c>
      <c r="C2326">
        <v>3</v>
      </c>
      <c r="D2326" t="s">
        <v>44</v>
      </c>
      <c r="E2326">
        <v>3.66666666666667</v>
      </c>
      <c r="F2326">
        <v>0</v>
      </c>
    </row>
    <row r="2327" hidden="1" spans="1:6">
      <c r="A2327" s="2" t="s">
        <v>2454</v>
      </c>
      <c r="B2327" s="3">
        <v>4010601</v>
      </c>
      <c r="C2327">
        <v>3</v>
      </c>
      <c r="D2327" t="s">
        <v>46</v>
      </c>
      <c r="E2327" s="104">
        <v>9.93333333333333</v>
      </c>
      <c r="F2327">
        <v>0</v>
      </c>
    </row>
    <row r="2328" hidden="1" spans="1:6">
      <c r="A2328" s="2" t="s">
        <v>2455</v>
      </c>
      <c r="B2328" s="3">
        <v>4010601</v>
      </c>
      <c r="C2328">
        <v>3</v>
      </c>
      <c r="D2328" t="s">
        <v>86</v>
      </c>
      <c r="E2328">
        <v>10.0666666666667</v>
      </c>
      <c r="F2328">
        <v>0</v>
      </c>
    </row>
    <row r="2329" hidden="1" spans="1:6">
      <c r="A2329" s="2" t="s">
        <v>2456</v>
      </c>
      <c r="B2329" s="3">
        <v>4010601</v>
      </c>
      <c r="C2329">
        <v>3</v>
      </c>
      <c r="D2329" t="s">
        <v>50</v>
      </c>
      <c r="E2329">
        <v>13.1</v>
      </c>
      <c r="F2329">
        <v>0</v>
      </c>
    </row>
    <row r="2330" hidden="1" spans="1:11">
      <c r="A2330" s="2" t="s">
        <v>2457</v>
      </c>
      <c r="B2330" s="3">
        <v>4010601</v>
      </c>
      <c r="C2330">
        <v>3</v>
      </c>
      <c r="D2330" t="s">
        <v>57</v>
      </c>
      <c r="E2330">
        <v>6</v>
      </c>
      <c r="F2330">
        <v>0</v>
      </c>
      <c r="G2330">
        <v>0</v>
      </c>
      <c r="H2330">
        <v>2</v>
      </c>
      <c r="I2330">
        <v>3296</v>
      </c>
      <c r="J2330" t="s">
        <v>58</v>
      </c>
      <c r="K2330">
        <v>0</v>
      </c>
    </row>
    <row r="2331" hidden="1" spans="1:6">
      <c r="A2331" s="2" t="s">
        <v>2458</v>
      </c>
      <c r="B2331" s="3">
        <v>107</v>
      </c>
      <c r="C2331">
        <v>3</v>
      </c>
      <c r="D2331" t="s">
        <v>36</v>
      </c>
      <c r="E2331">
        <v>2.33333333333333</v>
      </c>
      <c r="F2331">
        <v>0</v>
      </c>
    </row>
    <row r="2332" hidden="1" spans="1:6">
      <c r="A2332" s="2" t="s">
        <v>2459</v>
      </c>
      <c r="B2332" s="3">
        <v>107</v>
      </c>
      <c r="C2332">
        <v>3</v>
      </c>
      <c r="D2332" t="s">
        <v>38</v>
      </c>
      <c r="E2332">
        <v>2.16666666666667</v>
      </c>
      <c r="F2332">
        <v>0</v>
      </c>
    </row>
    <row r="2333" hidden="1" spans="1:6">
      <c r="A2333" s="2" t="s">
        <v>2460</v>
      </c>
      <c r="B2333" s="3">
        <v>107</v>
      </c>
      <c r="C2333">
        <v>3</v>
      </c>
      <c r="D2333" t="s">
        <v>40</v>
      </c>
      <c r="E2333">
        <v>3.4</v>
      </c>
      <c r="F2333">
        <v>0</v>
      </c>
    </row>
    <row r="2334" hidden="1" spans="1:6">
      <c r="A2334" s="2" t="s">
        <v>2461</v>
      </c>
      <c r="B2334" s="3">
        <v>107</v>
      </c>
      <c r="C2334">
        <v>3</v>
      </c>
      <c r="D2334" t="s">
        <v>42</v>
      </c>
      <c r="E2334">
        <v>2.83333333333333</v>
      </c>
      <c r="F2334">
        <v>0</v>
      </c>
    </row>
    <row r="2335" hidden="1" spans="1:6">
      <c r="A2335" s="2" t="s">
        <v>2462</v>
      </c>
      <c r="B2335" s="3">
        <v>107</v>
      </c>
      <c r="C2335">
        <v>3</v>
      </c>
      <c r="D2335" t="s">
        <v>44</v>
      </c>
      <c r="E2335">
        <v>3.33333333333333</v>
      </c>
      <c r="F2335">
        <v>0</v>
      </c>
    </row>
    <row r="2336" hidden="1" spans="1:6">
      <c r="A2336" s="2" t="s">
        <v>2463</v>
      </c>
      <c r="B2336" s="3">
        <v>107</v>
      </c>
      <c r="C2336">
        <v>3</v>
      </c>
      <c r="D2336" t="s">
        <v>46</v>
      </c>
      <c r="E2336">
        <v>8.83333333333333</v>
      </c>
      <c r="F2336">
        <v>0</v>
      </c>
    </row>
    <row r="2337" hidden="1" spans="1:6">
      <c r="A2337" s="2" t="s">
        <v>2464</v>
      </c>
      <c r="B2337" s="3">
        <v>107</v>
      </c>
      <c r="C2337">
        <v>3</v>
      </c>
      <c r="D2337" t="s">
        <v>86</v>
      </c>
      <c r="E2337">
        <v>10.3333333333333</v>
      </c>
      <c r="F2337">
        <v>0</v>
      </c>
    </row>
    <row r="2338" hidden="1" spans="1:6">
      <c r="A2338" s="2" t="s">
        <v>2465</v>
      </c>
      <c r="B2338" s="3">
        <v>107</v>
      </c>
      <c r="C2338">
        <v>3</v>
      </c>
      <c r="D2338" t="s">
        <v>50</v>
      </c>
      <c r="E2338">
        <v>7</v>
      </c>
      <c r="F2338">
        <v>0</v>
      </c>
    </row>
    <row r="2339" hidden="1" spans="1:6">
      <c r="A2339" s="2" t="s">
        <v>2466</v>
      </c>
      <c r="B2339" s="3">
        <v>106</v>
      </c>
      <c r="C2339">
        <v>3</v>
      </c>
      <c r="D2339" t="s">
        <v>90</v>
      </c>
      <c r="E2339" s="104">
        <v>9.93333333333333</v>
      </c>
      <c r="F2339">
        <v>0</v>
      </c>
    </row>
    <row r="2340" hidden="1" spans="1:6">
      <c r="A2340" s="2" t="s">
        <v>2467</v>
      </c>
      <c r="B2340" s="3">
        <v>106</v>
      </c>
      <c r="C2340">
        <v>3</v>
      </c>
      <c r="D2340" t="s">
        <v>48</v>
      </c>
      <c r="E2340">
        <v>14</v>
      </c>
      <c r="F2340">
        <v>0</v>
      </c>
    </row>
    <row r="2341" hidden="1" spans="1:6">
      <c r="A2341" s="2" t="s">
        <v>2468</v>
      </c>
      <c r="B2341" s="3">
        <v>4010601</v>
      </c>
      <c r="C2341">
        <v>3</v>
      </c>
      <c r="D2341" t="s">
        <v>90</v>
      </c>
      <c r="E2341" s="104">
        <v>9.93333333333333</v>
      </c>
      <c r="F2341">
        <v>0</v>
      </c>
    </row>
    <row r="2342" hidden="1" spans="1:6">
      <c r="A2342" s="2" t="s">
        <v>2469</v>
      </c>
      <c r="B2342" s="3">
        <v>4010601</v>
      </c>
      <c r="C2342">
        <v>3</v>
      </c>
      <c r="D2342" t="s">
        <v>48</v>
      </c>
      <c r="E2342">
        <v>14</v>
      </c>
      <c r="F2342">
        <v>0</v>
      </c>
    </row>
    <row r="2343" hidden="1" spans="1:6">
      <c r="A2343" s="2" t="s">
        <v>2470</v>
      </c>
      <c r="B2343" s="3">
        <v>108</v>
      </c>
      <c r="C2343">
        <v>3</v>
      </c>
      <c r="D2343" t="s">
        <v>36</v>
      </c>
      <c r="E2343">
        <v>3.2</v>
      </c>
      <c r="F2343">
        <v>0</v>
      </c>
    </row>
    <row r="2344" hidden="1" spans="1:6">
      <c r="A2344" s="2" t="s">
        <v>2471</v>
      </c>
      <c r="B2344" s="3">
        <v>108</v>
      </c>
      <c r="C2344">
        <v>3</v>
      </c>
      <c r="D2344" t="s">
        <v>38</v>
      </c>
      <c r="E2344">
        <v>3.33333333333333</v>
      </c>
      <c r="F2344">
        <v>0</v>
      </c>
    </row>
    <row r="2345" hidden="1" spans="1:6">
      <c r="A2345" s="2" t="s">
        <v>2472</v>
      </c>
      <c r="B2345" s="3">
        <v>108</v>
      </c>
      <c r="C2345">
        <v>3</v>
      </c>
      <c r="D2345" t="s">
        <v>40</v>
      </c>
      <c r="E2345">
        <v>3.73333333333333</v>
      </c>
      <c r="F2345">
        <v>0</v>
      </c>
    </row>
    <row r="2346" hidden="1" spans="1:6">
      <c r="A2346" s="2" t="s">
        <v>2473</v>
      </c>
      <c r="B2346" s="3">
        <v>108</v>
      </c>
      <c r="C2346">
        <v>3</v>
      </c>
      <c r="D2346" t="s">
        <v>42</v>
      </c>
      <c r="E2346">
        <v>3.86666666666667</v>
      </c>
      <c r="F2346">
        <v>0</v>
      </c>
    </row>
    <row r="2347" hidden="1" spans="1:6">
      <c r="A2347" s="2" t="s">
        <v>2474</v>
      </c>
      <c r="B2347" s="3">
        <v>108</v>
      </c>
      <c r="C2347">
        <v>3</v>
      </c>
      <c r="D2347" t="s">
        <v>44</v>
      </c>
      <c r="E2347">
        <v>4.4</v>
      </c>
      <c r="F2347">
        <v>0</v>
      </c>
    </row>
    <row r="2348" hidden="1" spans="1:6">
      <c r="A2348" s="2" t="s">
        <v>2475</v>
      </c>
      <c r="B2348" s="3">
        <v>108</v>
      </c>
      <c r="C2348">
        <v>3</v>
      </c>
      <c r="D2348" t="s">
        <v>46</v>
      </c>
      <c r="E2348">
        <v>9.5</v>
      </c>
      <c r="F2348">
        <v>0</v>
      </c>
    </row>
    <row r="2349" hidden="1" spans="1:6">
      <c r="A2349" s="2" t="s">
        <v>2476</v>
      </c>
      <c r="B2349" s="3">
        <v>108</v>
      </c>
      <c r="C2349">
        <v>3</v>
      </c>
      <c r="D2349" t="s">
        <v>86</v>
      </c>
      <c r="E2349">
        <v>12</v>
      </c>
      <c r="F2349">
        <v>0</v>
      </c>
    </row>
    <row r="2350" hidden="1" spans="1:6">
      <c r="A2350" s="2" t="s">
        <v>2477</v>
      </c>
      <c r="B2350" s="3">
        <v>108</v>
      </c>
      <c r="C2350">
        <v>3</v>
      </c>
      <c r="D2350" t="s">
        <v>50</v>
      </c>
      <c r="E2350">
        <v>12.9</v>
      </c>
      <c r="F2350">
        <v>0</v>
      </c>
    </row>
    <row r="2351" hidden="1" spans="1:6">
      <c r="A2351" s="2" t="s">
        <v>2478</v>
      </c>
      <c r="B2351" s="3">
        <v>4010801</v>
      </c>
      <c r="C2351">
        <v>3</v>
      </c>
      <c r="D2351" t="s">
        <v>36</v>
      </c>
      <c r="E2351">
        <v>3.2</v>
      </c>
      <c r="F2351">
        <v>0</v>
      </c>
    </row>
    <row r="2352" hidden="1" spans="1:6">
      <c r="A2352" s="2" t="s">
        <v>2479</v>
      </c>
      <c r="B2352" s="3">
        <v>4010801</v>
      </c>
      <c r="C2352">
        <v>3</v>
      </c>
      <c r="D2352" t="s">
        <v>38</v>
      </c>
      <c r="E2352">
        <v>3.33333333333333</v>
      </c>
      <c r="F2352">
        <v>0</v>
      </c>
    </row>
    <row r="2353" hidden="1" spans="1:6">
      <c r="A2353" s="2" t="s">
        <v>2480</v>
      </c>
      <c r="B2353" s="3">
        <v>4010801</v>
      </c>
      <c r="C2353">
        <v>3</v>
      </c>
      <c r="D2353" t="s">
        <v>40</v>
      </c>
      <c r="E2353">
        <v>3.73333333333333</v>
      </c>
      <c r="F2353">
        <v>0</v>
      </c>
    </row>
    <row r="2354" hidden="1" spans="1:6">
      <c r="A2354" s="2" t="s">
        <v>2481</v>
      </c>
      <c r="B2354" s="3">
        <v>4010801</v>
      </c>
      <c r="C2354">
        <v>3</v>
      </c>
      <c r="D2354" t="s">
        <v>42</v>
      </c>
      <c r="E2354">
        <v>3.86666666666667</v>
      </c>
      <c r="F2354">
        <v>0</v>
      </c>
    </row>
    <row r="2355" hidden="1" spans="1:6">
      <c r="A2355" s="2" t="s">
        <v>2482</v>
      </c>
      <c r="B2355" s="3">
        <v>4010801</v>
      </c>
      <c r="C2355">
        <v>3</v>
      </c>
      <c r="D2355" t="s">
        <v>44</v>
      </c>
      <c r="E2355">
        <v>4.4</v>
      </c>
      <c r="F2355">
        <v>0</v>
      </c>
    </row>
    <row r="2356" hidden="1" spans="1:6">
      <c r="A2356" s="2" t="s">
        <v>2483</v>
      </c>
      <c r="B2356" s="3">
        <v>4010801</v>
      </c>
      <c r="C2356">
        <v>3</v>
      </c>
      <c r="D2356" t="s">
        <v>46</v>
      </c>
      <c r="E2356">
        <v>9.5</v>
      </c>
      <c r="F2356">
        <v>0</v>
      </c>
    </row>
    <row r="2357" hidden="1" spans="1:6">
      <c r="A2357" s="2" t="s">
        <v>2484</v>
      </c>
      <c r="B2357" s="3">
        <v>4010801</v>
      </c>
      <c r="C2357">
        <v>3</v>
      </c>
      <c r="D2357" t="s">
        <v>86</v>
      </c>
      <c r="E2357">
        <v>12</v>
      </c>
      <c r="F2357">
        <v>0</v>
      </c>
    </row>
    <row r="2358" hidden="1" spans="1:6">
      <c r="A2358" s="2" t="s">
        <v>2485</v>
      </c>
      <c r="B2358" s="3">
        <v>4010801</v>
      </c>
      <c r="C2358">
        <v>3</v>
      </c>
      <c r="D2358" t="s">
        <v>50</v>
      </c>
      <c r="E2358">
        <v>12.9</v>
      </c>
      <c r="F2358">
        <v>0</v>
      </c>
    </row>
    <row r="2359" hidden="1" spans="1:11">
      <c r="A2359" s="2" t="s">
        <v>2486</v>
      </c>
      <c r="B2359" s="3">
        <v>108</v>
      </c>
      <c r="C2359">
        <v>3</v>
      </c>
      <c r="D2359" t="s">
        <v>57</v>
      </c>
      <c r="E2359">
        <v>4</v>
      </c>
      <c r="F2359">
        <v>1</v>
      </c>
      <c r="G2359">
        <v>0</v>
      </c>
      <c r="H2359">
        <v>2</v>
      </c>
      <c r="I2359">
        <v>3320</v>
      </c>
      <c r="J2359" t="s">
        <v>58</v>
      </c>
      <c r="K2359">
        <v>0</v>
      </c>
    </row>
    <row r="2360" hidden="1" spans="1:11">
      <c r="A2360" s="2" t="s">
        <v>2487</v>
      </c>
      <c r="B2360" s="3">
        <v>4010801</v>
      </c>
      <c r="C2360">
        <v>3</v>
      </c>
      <c r="D2360" t="s">
        <v>57</v>
      </c>
      <c r="E2360">
        <v>4</v>
      </c>
      <c r="F2360">
        <v>1</v>
      </c>
      <c r="G2360">
        <v>0</v>
      </c>
      <c r="H2360">
        <v>2</v>
      </c>
      <c r="I2360">
        <v>3320</v>
      </c>
      <c r="J2360" t="s">
        <v>58</v>
      </c>
      <c r="K2360">
        <v>0</v>
      </c>
    </row>
    <row r="2361" hidden="1" spans="1:6">
      <c r="A2361" s="2" t="s">
        <v>2488</v>
      </c>
      <c r="B2361" s="3">
        <v>4010701</v>
      </c>
      <c r="C2361">
        <v>3</v>
      </c>
      <c r="D2361" t="s">
        <v>36</v>
      </c>
      <c r="E2361">
        <v>2.33333333333333</v>
      </c>
      <c r="F2361">
        <v>0</v>
      </c>
    </row>
    <row r="2362" hidden="1" spans="1:6">
      <c r="A2362" s="2" t="s">
        <v>2489</v>
      </c>
      <c r="B2362" s="3">
        <v>4010701</v>
      </c>
      <c r="C2362">
        <v>3</v>
      </c>
      <c r="D2362" t="s">
        <v>38</v>
      </c>
      <c r="E2362">
        <v>2.16666666666667</v>
      </c>
      <c r="F2362">
        <v>0</v>
      </c>
    </row>
    <row r="2363" hidden="1" spans="1:6">
      <c r="A2363" s="2" t="s">
        <v>2490</v>
      </c>
      <c r="B2363" s="3">
        <v>4010701</v>
      </c>
      <c r="C2363">
        <v>3</v>
      </c>
      <c r="D2363" t="s">
        <v>40</v>
      </c>
      <c r="E2363">
        <v>3.4</v>
      </c>
      <c r="F2363">
        <v>0</v>
      </c>
    </row>
    <row r="2364" hidden="1" spans="1:6">
      <c r="A2364" s="2" t="s">
        <v>2491</v>
      </c>
      <c r="B2364" s="3">
        <v>4010701</v>
      </c>
      <c r="C2364">
        <v>3</v>
      </c>
      <c r="D2364" t="s">
        <v>42</v>
      </c>
      <c r="E2364">
        <v>2.83333333333333</v>
      </c>
      <c r="F2364">
        <v>0</v>
      </c>
    </row>
    <row r="2365" hidden="1" spans="1:6">
      <c r="A2365" s="2" t="s">
        <v>2492</v>
      </c>
      <c r="B2365" s="3">
        <v>4010701</v>
      </c>
      <c r="C2365">
        <v>3</v>
      </c>
      <c r="D2365" t="s">
        <v>44</v>
      </c>
      <c r="E2365">
        <v>3.33333333333333</v>
      </c>
      <c r="F2365">
        <v>0</v>
      </c>
    </row>
    <row r="2366" hidden="1" spans="1:6">
      <c r="A2366" s="2" t="s">
        <v>2493</v>
      </c>
      <c r="B2366" s="3">
        <v>4010701</v>
      </c>
      <c r="C2366">
        <v>3</v>
      </c>
      <c r="D2366" t="s">
        <v>46</v>
      </c>
      <c r="E2366">
        <v>8.83333333333333</v>
      </c>
      <c r="F2366">
        <v>0</v>
      </c>
    </row>
    <row r="2367" hidden="1" spans="1:6">
      <c r="A2367" s="2" t="s">
        <v>2494</v>
      </c>
      <c r="B2367" s="3">
        <v>4010701</v>
      </c>
      <c r="C2367">
        <v>3</v>
      </c>
      <c r="D2367" t="s">
        <v>86</v>
      </c>
      <c r="E2367">
        <v>10.3333333333333</v>
      </c>
      <c r="F2367">
        <v>0</v>
      </c>
    </row>
    <row r="2368" hidden="1" spans="1:6">
      <c r="A2368" s="2" t="s">
        <v>2495</v>
      </c>
      <c r="B2368" s="3">
        <v>4010701</v>
      </c>
      <c r="C2368">
        <v>3</v>
      </c>
      <c r="D2368" t="s">
        <v>50</v>
      </c>
      <c r="E2368">
        <v>7</v>
      </c>
      <c r="F2368">
        <v>0</v>
      </c>
    </row>
    <row r="2369" hidden="1" spans="1:11">
      <c r="A2369" s="2" t="s">
        <v>2496</v>
      </c>
      <c r="B2369" s="3">
        <v>107</v>
      </c>
      <c r="C2369">
        <v>3</v>
      </c>
      <c r="D2369" t="s">
        <v>57</v>
      </c>
      <c r="E2369">
        <v>3.36666666666667</v>
      </c>
      <c r="F2369">
        <v>0</v>
      </c>
      <c r="G2369">
        <v>0</v>
      </c>
      <c r="H2369">
        <v>2</v>
      </c>
      <c r="I2369">
        <v>3329</v>
      </c>
      <c r="J2369" t="s">
        <v>58</v>
      </c>
      <c r="K2369">
        <v>0</v>
      </c>
    </row>
    <row r="2370" hidden="1" spans="1:11">
      <c r="A2370" s="2" t="s">
        <v>2497</v>
      </c>
      <c r="B2370" s="3">
        <v>4010701</v>
      </c>
      <c r="C2370">
        <v>3</v>
      </c>
      <c r="D2370" t="s">
        <v>57</v>
      </c>
      <c r="E2370">
        <v>3.36666666666667</v>
      </c>
      <c r="F2370">
        <v>0</v>
      </c>
      <c r="G2370">
        <v>0</v>
      </c>
      <c r="H2370">
        <v>2</v>
      </c>
      <c r="I2370">
        <v>3329</v>
      </c>
      <c r="J2370" t="s">
        <v>58</v>
      </c>
      <c r="K2370">
        <v>0</v>
      </c>
    </row>
    <row r="2371" hidden="1" spans="1:11">
      <c r="A2371" s="2" t="s">
        <v>2498</v>
      </c>
      <c r="B2371" s="3">
        <v>108</v>
      </c>
      <c r="C2371">
        <v>3</v>
      </c>
      <c r="D2371" t="s">
        <v>1406</v>
      </c>
      <c r="E2371">
        <v>0.933333333333333</v>
      </c>
      <c r="F2371">
        <v>0</v>
      </c>
      <c r="G2371">
        <v>0</v>
      </c>
      <c r="H2371">
        <v>2</v>
      </c>
      <c r="I2371">
        <v>3326</v>
      </c>
      <c r="J2371" t="s">
        <v>58</v>
      </c>
      <c r="K2371">
        <v>0</v>
      </c>
    </row>
    <row r="2372" hidden="1" spans="1:11">
      <c r="A2372" s="2" t="s">
        <v>2499</v>
      </c>
      <c r="B2372" s="3">
        <v>4010801</v>
      </c>
      <c r="C2372">
        <v>3</v>
      </c>
      <c r="D2372" t="s">
        <v>1406</v>
      </c>
      <c r="E2372">
        <v>0.933333333333333</v>
      </c>
      <c r="F2372">
        <v>0</v>
      </c>
      <c r="G2372">
        <v>0</v>
      </c>
      <c r="H2372">
        <v>2</v>
      </c>
      <c r="I2372">
        <v>3326</v>
      </c>
      <c r="J2372" t="s">
        <v>58</v>
      </c>
      <c r="K2372">
        <v>0</v>
      </c>
    </row>
    <row r="2373" hidden="1" spans="1:6">
      <c r="A2373" s="2" t="s">
        <v>2500</v>
      </c>
      <c r="B2373" s="3">
        <v>109</v>
      </c>
      <c r="C2373">
        <v>3</v>
      </c>
      <c r="D2373" t="s">
        <v>36</v>
      </c>
      <c r="E2373">
        <v>1.66666666666667</v>
      </c>
      <c r="F2373">
        <v>0</v>
      </c>
    </row>
    <row r="2374" hidden="1" spans="1:6">
      <c r="A2374" s="2" t="s">
        <v>2501</v>
      </c>
      <c r="B2374" s="3">
        <v>109</v>
      </c>
      <c r="C2374">
        <v>3</v>
      </c>
      <c r="D2374" t="s">
        <v>38</v>
      </c>
      <c r="E2374">
        <v>2.13333333333333</v>
      </c>
      <c r="F2374">
        <v>0</v>
      </c>
    </row>
    <row r="2375" hidden="1" spans="1:6">
      <c r="A2375" s="2" t="s">
        <v>2502</v>
      </c>
      <c r="B2375" s="3">
        <v>109</v>
      </c>
      <c r="C2375">
        <v>3</v>
      </c>
      <c r="D2375" t="s">
        <v>40</v>
      </c>
      <c r="E2375">
        <v>4.9</v>
      </c>
      <c r="F2375">
        <v>0</v>
      </c>
    </row>
    <row r="2376" hidden="1" spans="1:6">
      <c r="A2376" s="2" t="s">
        <v>2503</v>
      </c>
      <c r="B2376" s="3">
        <v>109</v>
      </c>
      <c r="C2376">
        <v>3</v>
      </c>
      <c r="D2376" t="s">
        <v>42</v>
      </c>
      <c r="E2376">
        <v>2.96666666666667</v>
      </c>
      <c r="F2376">
        <v>0</v>
      </c>
    </row>
    <row r="2377" hidden="1" spans="1:6">
      <c r="A2377" s="2" t="s">
        <v>2504</v>
      </c>
      <c r="B2377" s="3">
        <v>109</v>
      </c>
      <c r="C2377">
        <v>3</v>
      </c>
      <c r="D2377" t="s">
        <v>44</v>
      </c>
      <c r="E2377">
        <v>4.23333333333333</v>
      </c>
      <c r="F2377">
        <v>0</v>
      </c>
    </row>
    <row r="2378" hidden="1" spans="1:6">
      <c r="A2378" s="2" t="s">
        <v>2505</v>
      </c>
      <c r="B2378" s="3">
        <v>109</v>
      </c>
      <c r="C2378">
        <v>3</v>
      </c>
      <c r="D2378" t="s">
        <v>46</v>
      </c>
      <c r="E2378">
        <v>17.6666666666667</v>
      </c>
      <c r="F2378">
        <v>0</v>
      </c>
    </row>
    <row r="2379" hidden="1" spans="1:6">
      <c r="A2379" s="2" t="s">
        <v>2506</v>
      </c>
      <c r="B2379" s="3">
        <v>109</v>
      </c>
      <c r="C2379">
        <v>3</v>
      </c>
      <c r="D2379" t="s">
        <v>86</v>
      </c>
      <c r="E2379">
        <v>8.8</v>
      </c>
      <c r="F2379">
        <v>0</v>
      </c>
    </row>
    <row r="2380" hidden="1" spans="1:6">
      <c r="A2380" s="2" t="s">
        <v>2507</v>
      </c>
      <c r="B2380" s="3">
        <v>109</v>
      </c>
      <c r="C2380">
        <v>3</v>
      </c>
      <c r="D2380" t="s">
        <v>50</v>
      </c>
      <c r="E2380">
        <v>16.2</v>
      </c>
      <c r="F2380">
        <v>0</v>
      </c>
    </row>
    <row r="2381" hidden="1" spans="1:6">
      <c r="A2381" s="2" t="s">
        <v>2508</v>
      </c>
      <c r="B2381" s="3">
        <v>109</v>
      </c>
      <c r="C2381">
        <v>3</v>
      </c>
      <c r="D2381" t="s">
        <v>90</v>
      </c>
      <c r="E2381">
        <v>16.2</v>
      </c>
      <c r="F2381">
        <v>0</v>
      </c>
    </row>
    <row r="2382" hidden="1" spans="1:11">
      <c r="A2382" s="2" t="s">
        <v>2509</v>
      </c>
      <c r="B2382" s="3">
        <v>109</v>
      </c>
      <c r="C2382">
        <v>3</v>
      </c>
      <c r="D2382" t="s">
        <v>57</v>
      </c>
      <c r="E2382">
        <v>6.8</v>
      </c>
      <c r="F2382">
        <v>0</v>
      </c>
      <c r="G2382">
        <v>0</v>
      </c>
      <c r="H2382">
        <v>2</v>
      </c>
      <c r="I2382">
        <v>3349</v>
      </c>
      <c r="J2382" t="s">
        <v>58</v>
      </c>
      <c r="K2382">
        <v>0</v>
      </c>
    </row>
    <row r="2383" hidden="1" spans="1:6">
      <c r="A2383" s="2" t="s">
        <v>2510</v>
      </c>
      <c r="B2383" s="3">
        <v>4010901</v>
      </c>
      <c r="C2383">
        <v>3</v>
      </c>
      <c r="D2383" t="s">
        <v>36</v>
      </c>
      <c r="E2383">
        <v>1.66666666666667</v>
      </c>
      <c r="F2383">
        <v>0</v>
      </c>
    </row>
    <row r="2384" hidden="1" spans="1:6">
      <c r="A2384" s="2" t="s">
        <v>2511</v>
      </c>
      <c r="B2384" s="3">
        <v>4010901</v>
      </c>
      <c r="C2384">
        <v>3</v>
      </c>
      <c r="D2384" t="s">
        <v>38</v>
      </c>
      <c r="E2384">
        <v>2.13333333333333</v>
      </c>
      <c r="F2384">
        <v>0</v>
      </c>
    </row>
    <row r="2385" hidden="1" spans="1:6">
      <c r="A2385" s="2" t="s">
        <v>2512</v>
      </c>
      <c r="B2385" s="3">
        <v>4010901</v>
      </c>
      <c r="C2385">
        <v>3</v>
      </c>
      <c r="D2385" t="s">
        <v>40</v>
      </c>
      <c r="E2385">
        <v>4.9</v>
      </c>
      <c r="F2385">
        <v>0</v>
      </c>
    </row>
    <row r="2386" hidden="1" spans="1:6">
      <c r="A2386" s="2" t="s">
        <v>2513</v>
      </c>
      <c r="B2386" s="3">
        <v>4010901</v>
      </c>
      <c r="C2386">
        <v>3</v>
      </c>
      <c r="D2386" t="s">
        <v>42</v>
      </c>
      <c r="E2386">
        <v>2.96666666666667</v>
      </c>
      <c r="F2386">
        <v>0</v>
      </c>
    </row>
    <row r="2387" hidden="1" spans="1:6">
      <c r="A2387" s="2" t="s">
        <v>2514</v>
      </c>
      <c r="B2387" s="3">
        <v>4010901</v>
      </c>
      <c r="C2387">
        <v>3</v>
      </c>
      <c r="D2387" t="s">
        <v>44</v>
      </c>
      <c r="E2387">
        <v>4.23333333333333</v>
      </c>
      <c r="F2387">
        <v>0</v>
      </c>
    </row>
    <row r="2388" hidden="1" spans="1:6">
      <c r="A2388" s="2" t="s">
        <v>2515</v>
      </c>
      <c r="B2388" s="3">
        <v>4010901</v>
      </c>
      <c r="C2388">
        <v>3</v>
      </c>
      <c r="D2388" t="s">
        <v>46</v>
      </c>
      <c r="E2388">
        <v>17.6666666666667</v>
      </c>
      <c r="F2388">
        <v>0</v>
      </c>
    </row>
    <row r="2389" hidden="1" spans="1:6">
      <c r="A2389" s="2" t="s">
        <v>2516</v>
      </c>
      <c r="B2389" s="3">
        <v>4010901</v>
      </c>
      <c r="C2389">
        <v>3</v>
      </c>
      <c r="D2389" t="s">
        <v>86</v>
      </c>
      <c r="E2389">
        <v>8.8</v>
      </c>
      <c r="F2389">
        <v>0</v>
      </c>
    </row>
    <row r="2390" hidden="1" spans="1:6">
      <c r="A2390" s="2" t="s">
        <v>2517</v>
      </c>
      <c r="B2390" s="3">
        <v>4010901</v>
      </c>
      <c r="C2390">
        <v>3</v>
      </c>
      <c r="D2390" t="s">
        <v>50</v>
      </c>
      <c r="E2390">
        <v>16.2</v>
      </c>
      <c r="F2390">
        <v>0</v>
      </c>
    </row>
    <row r="2391" hidden="1" spans="1:6">
      <c r="A2391" s="2" t="s">
        <v>2518</v>
      </c>
      <c r="B2391" s="3">
        <v>4010901</v>
      </c>
      <c r="C2391">
        <v>3</v>
      </c>
      <c r="D2391" t="s">
        <v>90</v>
      </c>
      <c r="E2391">
        <v>16.2</v>
      </c>
      <c r="F2391">
        <v>0</v>
      </c>
    </row>
    <row r="2392" hidden="1" spans="1:11">
      <c r="A2392" s="2" t="s">
        <v>2519</v>
      </c>
      <c r="B2392" s="3">
        <v>4010901</v>
      </c>
      <c r="C2392">
        <v>3</v>
      </c>
      <c r="D2392" t="s">
        <v>57</v>
      </c>
      <c r="E2392">
        <v>6.8</v>
      </c>
      <c r="F2392">
        <v>0</v>
      </c>
      <c r="G2392">
        <v>0</v>
      </c>
      <c r="H2392">
        <v>2</v>
      </c>
      <c r="I2392">
        <v>3349</v>
      </c>
      <c r="J2392" t="s">
        <v>58</v>
      </c>
      <c r="K2392">
        <v>0</v>
      </c>
    </row>
    <row r="2393" hidden="1" spans="1:6">
      <c r="A2393" s="2" t="s">
        <v>2520</v>
      </c>
      <c r="B2393" s="3">
        <v>110</v>
      </c>
      <c r="C2393">
        <v>3</v>
      </c>
      <c r="D2393" t="s">
        <v>36</v>
      </c>
      <c r="E2393">
        <v>3.33333333333333</v>
      </c>
      <c r="F2393">
        <v>0</v>
      </c>
    </row>
    <row r="2394" hidden="1" spans="1:6">
      <c r="A2394" s="2" t="s">
        <v>2521</v>
      </c>
      <c r="B2394" s="3">
        <v>110</v>
      </c>
      <c r="C2394">
        <v>3</v>
      </c>
      <c r="D2394" t="s">
        <v>38</v>
      </c>
      <c r="E2394">
        <v>1.66666666666667</v>
      </c>
      <c r="F2394">
        <v>0</v>
      </c>
    </row>
    <row r="2395" hidden="1" spans="1:6">
      <c r="A2395" s="2" t="s">
        <v>2522</v>
      </c>
      <c r="B2395" s="3">
        <v>110</v>
      </c>
      <c r="C2395">
        <v>3</v>
      </c>
      <c r="D2395" t="s">
        <v>40</v>
      </c>
      <c r="E2395">
        <v>2.6</v>
      </c>
      <c r="F2395">
        <v>0</v>
      </c>
    </row>
    <row r="2396" hidden="1" spans="1:6">
      <c r="A2396" s="2" t="s">
        <v>2523</v>
      </c>
      <c r="B2396" s="3">
        <v>110</v>
      </c>
      <c r="C2396">
        <v>3</v>
      </c>
      <c r="D2396" t="s">
        <v>42</v>
      </c>
      <c r="E2396">
        <v>2.8</v>
      </c>
      <c r="F2396">
        <v>0</v>
      </c>
    </row>
    <row r="2397" hidden="1" spans="1:6">
      <c r="A2397" s="2" t="s">
        <v>2524</v>
      </c>
      <c r="B2397" s="3">
        <v>110</v>
      </c>
      <c r="C2397">
        <v>3</v>
      </c>
      <c r="D2397" t="s">
        <v>44</v>
      </c>
      <c r="E2397">
        <v>2.36666666666667</v>
      </c>
      <c r="F2397">
        <v>0</v>
      </c>
    </row>
    <row r="2398" hidden="1" spans="1:6">
      <c r="A2398" s="2" t="s">
        <v>2525</v>
      </c>
      <c r="B2398" s="3">
        <v>110</v>
      </c>
      <c r="C2398">
        <v>3</v>
      </c>
      <c r="D2398" t="s">
        <v>46</v>
      </c>
      <c r="E2398">
        <v>11</v>
      </c>
      <c r="F2398">
        <v>0</v>
      </c>
    </row>
    <row r="2399" hidden="1" spans="1:6">
      <c r="A2399" s="2" t="s">
        <v>2526</v>
      </c>
      <c r="B2399" s="3">
        <v>110</v>
      </c>
      <c r="C2399">
        <v>3</v>
      </c>
      <c r="D2399" t="s">
        <v>86</v>
      </c>
      <c r="E2399">
        <v>11.1666666666667</v>
      </c>
      <c r="F2399">
        <v>0</v>
      </c>
    </row>
    <row r="2400" hidden="1" spans="1:6">
      <c r="A2400" s="2" t="s">
        <v>2527</v>
      </c>
      <c r="B2400" s="3">
        <v>110</v>
      </c>
      <c r="C2400">
        <v>3</v>
      </c>
      <c r="D2400" t="s">
        <v>50</v>
      </c>
      <c r="E2400">
        <v>14.5</v>
      </c>
      <c r="F2400">
        <v>0</v>
      </c>
    </row>
    <row r="2401" hidden="1" spans="1:6">
      <c r="A2401" s="2" t="s">
        <v>2528</v>
      </c>
      <c r="B2401" s="3">
        <v>110</v>
      </c>
      <c r="C2401">
        <v>3</v>
      </c>
      <c r="D2401" t="s">
        <v>90</v>
      </c>
      <c r="E2401">
        <v>14.5</v>
      </c>
      <c r="F2401">
        <v>0</v>
      </c>
    </row>
    <row r="2402" s="1" customFormat="1" hidden="1" spans="1:12">
      <c r="A2402" s="5" t="s">
        <v>2529</v>
      </c>
      <c r="B2402" s="54">
        <v>110</v>
      </c>
      <c r="C2402" s="1">
        <v>3</v>
      </c>
      <c r="D2402" s="1" t="s">
        <v>57</v>
      </c>
      <c r="E2402" s="1">
        <v>3.33333333333333</v>
      </c>
      <c r="F2402" s="1">
        <v>0</v>
      </c>
      <c r="G2402" s="1">
        <v>0</v>
      </c>
      <c r="H2402" s="1">
        <v>2</v>
      </c>
      <c r="I2402" s="1">
        <v>3374</v>
      </c>
      <c r="J2402" s="1" t="s">
        <v>58</v>
      </c>
      <c r="K2402" s="1">
        <v>0</v>
      </c>
      <c r="L2402" s="7"/>
    </row>
    <row r="2403" hidden="1" spans="1:6">
      <c r="A2403" s="2" t="s">
        <v>2530</v>
      </c>
      <c r="B2403" s="3">
        <v>1248</v>
      </c>
      <c r="C2403">
        <v>3</v>
      </c>
      <c r="D2403" t="s">
        <v>36</v>
      </c>
      <c r="E2403">
        <f>69/30</f>
        <v>2.3</v>
      </c>
      <c r="F2403">
        <v>0</v>
      </c>
    </row>
    <row r="2404" hidden="1" spans="1:6">
      <c r="A2404" s="2" t="s">
        <v>2531</v>
      </c>
      <c r="B2404" s="3">
        <v>1248</v>
      </c>
      <c r="C2404">
        <v>3</v>
      </c>
      <c r="D2404" t="s">
        <v>38</v>
      </c>
      <c r="E2404">
        <f>79/30</f>
        <v>2.63333333333333</v>
      </c>
      <c r="F2404">
        <v>0</v>
      </c>
    </row>
    <row r="2405" hidden="1" spans="1:6">
      <c r="A2405" s="2" t="s">
        <v>2532</v>
      </c>
      <c r="B2405" s="3">
        <v>1251</v>
      </c>
      <c r="C2405">
        <v>3</v>
      </c>
      <c r="D2405" t="s">
        <v>36</v>
      </c>
      <c r="E2405">
        <f>56/30</f>
        <v>1.86666666666667</v>
      </c>
      <c r="F2405">
        <v>0</v>
      </c>
    </row>
    <row r="2406" hidden="1" spans="1:6">
      <c r="A2406" s="2" t="s">
        <v>2533</v>
      </c>
      <c r="B2406" s="3">
        <v>1251</v>
      </c>
      <c r="C2406">
        <v>3</v>
      </c>
      <c r="D2406" t="s">
        <v>38</v>
      </c>
      <c r="E2406">
        <f>58/30</f>
        <v>1.93333333333333</v>
      </c>
      <c r="F2406">
        <v>0</v>
      </c>
    </row>
    <row r="2407" hidden="1" spans="1:6">
      <c r="A2407" s="2" t="s">
        <v>2534</v>
      </c>
      <c r="B2407" s="3">
        <v>1251</v>
      </c>
      <c r="C2407">
        <v>3</v>
      </c>
      <c r="D2407" t="s">
        <v>40</v>
      </c>
      <c r="E2407">
        <f>64/30</f>
        <v>2.13333333333333</v>
      </c>
      <c r="F2407">
        <v>0</v>
      </c>
    </row>
    <row r="2408" hidden="1" spans="1:6">
      <c r="A2408" s="2" t="s">
        <v>2535</v>
      </c>
      <c r="B2408" s="3">
        <v>1249</v>
      </c>
      <c r="C2408">
        <v>3</v>
      </c>
      <c r="D2408" t="s">
        <v>36</v>
      </c>
      <c r="E2408">
        <f>98/30</f>
        <v>3.26666666666667</v>
      </c>
      <c r="F2408">
        <v>0</v>
      </c>
    </row>
    <row r="2409" hidden="1" spans="1:6">
      <c r="A2409" s="2" t="s">
        <v>2536</v>
      </c>
      <c r="B2409" s="3">
        <v>1250</v>
      </c>
      <c r="C2409">
        <v>3</v>
      </c>
      <c r="D2409" t="s">
        <v>36</v>
      </c>
      <c r="E2409">
        <f>61/30</f>
        <v>2.03333333333333</v>
      </c>
      <c r="F2409">
        <v>0</v>
      </c>
    </row>
    <row r="2410" hidden="1" spans="1:6">
      <c r="A2410" s="2" t="s">
        <v>2537</v>
      </c>
      <c r="B2410" s="3">
        <v>1252</v>
      </c>
      <c r="C2410">
        <v>3</v>
      </c>
      <c r="D2410" t="s">
        <v>36</v>
      </c>
      <c r="E2410">
        <v>2.7</v>
      </c>
      <c r="F2410">
        <v>0</v>
      </c>
    </row>
    <row r="2411" hidden="1" spans="1:6">
      <c r="A2411" s="2" t="s">
        <v>2538</v>
      </c>
      <c r="B2411" s="3">
        <v>1253</v>
      </c>
      <c r="C2411">
        <v>3</v>
      </c>
      <c r="D2411" t="s">
        <v>36</v>
      </c>
      <c r="E2411">
        <v>2.26666666666667</v>
      </c>
      <c r="F2411">
        <v>0</v>
      </c>
    </row>
    <row r="2412" hidden="1" spans="1:6">
      <c r="A2412" s="2" t="s">
        <v>2539</v>
      </c>
      <c r="B2412" s="3">
        <v>1254</v>
      </c>
      <c r="C2412">
        <v>3</v>
      </c>
      <c r="D2412" t="s">
        <v>36</v>
      </c>
      <c r="E2412">
        <v>2.43333333333333</v>
      </c>
      <c r="F2412">
        <v>0</v>
      </c>
    </row>
    <row r="2413" hidden="1" spans="1:6">
      <c r="A2413" s="2" t="s">
        <v>2540</v>
      </c>
      <c r="B2413" s="3">
        <v>1254</v>
      </c>
      <c r="C2413">
        <v>3</v>
      </c>
      <c r="D2413" t="s">
        <v>38</v>
      </c>
      <c r="E2413">
        <v>3.06666666666667</v>
      </c>
      <c r="F2413">
        <v>0</v>
      </c>
    </row>
    <row r="2414" hidden="1" spans="1:6">
      <c r="A2414" s="2" t="s">
        <v>2541</v>
      </c>
      <c r="B2414" s="3">
        <v>1254</v>
      </c>
      <c r="C2414">
        <v>3</v>
      </c>
      <c r="D2414" t="s">
        <v>40</v>
      </c>
      <c r="E2414">
        <v>4.06666666666667</v>
      </c>
      <c r="F2414">
        <v>0</v>
      </c>
    </row>
    <row r="2415" hidden="1" spans="1:6">
      <c r="A2415" s="2" t="s">
        <v>2542</v>
      </c>
      <c r="B2415" s="3">
        <v>1255</v>
      </c>
      <c r="C2415">
        <v>3</v>
      </c>
      <c r="D2415" t="s">
        <v>36</v>
      </c>
      <c r="E2415">
        <v>2.7</v>
      </c>
      <c r="F2415">
        <v>0</v>
      </c>
    </row>
    <row r="2416" hidden="1" spans="1:6">
      <c r="A2416" s="2" t="s">
        <v>2543</v>
      </c>
      <c r="B2416" s="3">
        <v>1255</v>
      </c>
      <c r="C2416">
        <v>3</v>
      </c>
      <c r="D2416" t="s">
        <v>38</v>
      </c>
      <c r="E2416">
        <v>3.33333333333333</v>
      </c>
      <c r="F2416">
        <v>0</v>
      </c>
    </row>
    <row r="2417" hidden="1" spans="1:6">
      <c r="A2417" s="2" t="s">
        <v>2544</v>
      </c>
      <c r="B2417" s="3">
        <v>1255</v>
      </c>
      <c r="C2417">
        <v>3</v>
      </c>
      <c r="D2417" t="s">
        <v>40</v>
      </c>
      <c r="E2417">
        <v>3.93333333333333</v>
      </c>
      <c r="F2417">
        <v>0</v>
      </c>
    </row>
    <row r="2418" hidden="1" spans="1:6">
      <c r="A2418" s="2" t="s">
        <v>2545</v>
      </c>
      <c r="B2418" s="3">
        <v>1256</v>
      </c>
      <c r="C2418">
        <v>3</v>
      </c>
      <c r="D2418" t="s">
        <v>36</v>
      </c>
      <c r="E2418">
        <v>2.16666666666667</v>
      </c>
      <c r="F2418">
        <v>0</v>
      </c>
    </row>
    <row r="2419" hidden="1" spans="1:6">
      <c r="A2419" s="2" t="s">
        <v>2546</v>
      </c>
      <c r="B2419" s="3">
        <v>1257</v>
      </c>
      <c r="C2419">
        <v>3</v>
      </c>
      <c r="D2419" t="s">
        <v>36</v>
      </c>
      <c r="E2419">
        <v>2.13333333333333</v>
      </c>
      <c r="F2419">
        <v>0</v>
      </c>
    </row>
    <row r="2420" hidden="1" spans="1:6">
      <c r="A2420" s="2" t="s">
        <v>2547</v>
      </c>
      <c r="B2420" s="3">
        <v>1260</v>
      </c>
      <c r="C2420">
        <v>3</v>
      </c>
      <c r="D2420" t="s">
        <v>36</v>
      </c>
      <c r="E2420">
        <f>103/30</f>
        <v>3.43333333333333</v>
      </c>
      <c r="F2420">
        <v>0</v>
      </c>
    </row>
    <row r="2421" hidden="1" spans="1:6">
      <c r="A2421" s="2" t="s">
        <v>2548</v>
      </c>
      <c r="B2421" s="3">
        <v>1260</v>
      </c>
      <c r="C2421">
        <v>3</v>
      </c>
      <c r="D2421" t="s">
        <v>38</v>
      </c>
      <c r="E2421">
        <f>99/30</f>
        <v>3.3</v>
      </c>
      <c r="F2421">
        <v>0</v>
      </c>
    </row>
    <row r="2422" hidden="1" spans="1:6">
      <c r="A2422" s="2" t="s">
        <v>2549</v>
      </c>
      <c r="B2422" s="3">
        <v>1258</v>
      </c>
      <c r="C2422">
        <v>3</v>
      </c>
      <c r="D2422" t="s">
        <v>36</v>
      </c>
      <c r="E2422">
        <f>132/30</f>
        <v>4.4</v>
      </c>
      <c r="F2422">
        <v>0</v>
      </c>
    </row>
    <row r="2423" hidden="1" spans="1:6">
      <c r="A2423" s="2" t="s">
        <v>2550</v>
      </c>
      <c r="B2423" s="3">
        <v>1258</v>
      </c>
      <c r="C2423">
        <v>3</v>
      </c>
      <c r="D2423" t="s">
        <v>38</v>
      </c>
      <c r="E2423">
        <f>144/30</f>
        <v>4.8</v>
      </c>
      <c r="F2423">
        <v>0</v>
      </c>
    </row>
    <row r="2424" hidden="1" spans="1:6">
      <c r="A2424" s="2" t="s">
        <v>2551</v>
      </c>
      <c r="B2424" s="3">
        <v>1259</v>
      </c>
      <c r="C2424">
        <v>3</v>
      </c>
      <c r="D2424" t="s">
        <v>36</v>
      </c>
      <c r="E2424">
        <f>89/30</f>
        <v>2.96666666666667</v>
      </c>
      <c r="F2424">
        <v>0</v>
      </c>
    </row>
    <row r="2425" hidden="1" spans="1:6">
      <c r="A2425" s="2" t="s">
        <v>2552</v>
      </c>
      <c r="B2425" s="3">
        <v>1259</v>
      </c>
      <c r="C2425">
        <v>3</v>
      </c>
      <c r="D2425" t="s">
        <v>38</v>
      </c>
      <c r="E2425">
        <f>125/30</f>
        <v>4.16666666666667</v>
      </c>
      <c r="F2425">
        <v>0</v>
      </c>
    </row>
    <row r="2426" hidden="1" spans="1:6">
      <c r="A2426" s="2" t="s">
        <v>2553</v>
      </c>
      <c r="B2426" s="3">
        <v>1259</v>
      </c>
      <c r="C2426">
        <v>3</v>
      </c>
      <c r="D2426" t="s">
        <v>40</v>
      </c>
      <c r="E2426">
        <f>103/30</f>
        <v>3.43333333333333</v>
      </c>
      <c r="F2426">
        <v>0</v>
      </c>
    </row>
    <row r="2427" hidden="1" spans="1:6">
      <c r="A2427" s="2" t="s">
        <v>2554</v>
      </c>
      <c r="B2427" s="3">
        <v>1259</v>
      </c>
      <c r="C2427">
        <v>3</v>
      </c>
      <c r="D2427" t="s">
        <v>42</v>
      </c>
      <c r="E2427">
        <f>150/30</f>
        <v>5</v>
      </c>
      <c r="F2427">
        <v>0</v>
      </c>
    </row>
    <row r="2428" hidden="1" spans="1:6">
      <c r="A2428" s="2" t="s">
        <v>2555</v>
      </c>
      <c r="B2428" s="3">
        <v>111</v>
      </c>
      <c r="C2428">
        <v>3</v>
      </c>
      <c r="D2428" t="s">
        <v>36</v>
      </c>
      <c r="E2428">
        <f>62/30</f>
        <v>2.06666666666667</v>
      </c>
      <c r="F2428">
        <v>0</v>
      </c>
    </row>
    <row r="2429" hidden="1" spans="1:6">
      <c r="A2429" s="2" t="s">
        <v>2556</v>
      </c>
      <c r="B2429" s="3">
        <v>111</v>
      </c>
      <c r="C2429">
        <v>3</v>
      </c>
      <c r="D2429" t="s">
        <v>38</v>
      </c>
      <c r="E2429">
        <f>80/30</f>
        <v>2.66666666666667</v>
      </c>
      <c r="F2429">
        <v>0</v>
      </c>
    </row>
    <row r="2430" hidden="1" spans="1:6">
      <c r="A2430" s="2" t="s">
        <v>2557</v>
      </c>
      <c r="B2430" s="3">
        <v>111</v>
      </c>
      <c r="C2430">
        <v>3</v>
      </c>
      <c r="D2430" t="s">
        <v>40</v>
      </c>
      <c r="E2430">
        <f>80/30</f>
        <v>2.66666666666667</v>
      </c>
      <c r="F2430">
        <v>0</v>
      </c>
    </row>
    <row r="2431" hidden="1" spans="1:6">
      <c r="A2431" s="2" t="s">
        <v>2558</v>
      </c>
      <c r="B2431" s="3">
        <v>111</v>
      </c>
      <c r="C2431">
        <v>3</v>
      </c>
      <c r="D2431" t="s">
        <v>42</v>
      </c>
      <c r="E2431">
        <f>112/30</f>
        <v>3.73333333333333</v>
      </c>
      <c r="F2431">
        <v>0</v>
      </c>
    </row>
    <row r="2432" hidden="1" spans="1:6">
      <c r="A2432" s="2" t="s">
        <v>2559</v>
      </c>
      <c r="B2432" s="3">
        <v>111</v>
      </c>
      <c r="C2432">
        <v>3</v>
      </c>
      <c r="D2432" t="s">
        <v>44</v>
      </c>
      <c r="E2432">
        <f>70/30</f>
        <v>2.33333333333333</v>
      </c>
      <c r="F2432">
        <v>0</v>
      </c>
    </row>
    <row r="2433" hidden="1" spans="1:6">
      <c r="A2433" s="2" t="s">
        <v>2560</v>
      </c>
      <c r="B2433" s="3">
        <v>111</v>
      </c>
      <c r="C2433">
        <v>3</v>
      </c>
      <c r="D2433" t="s">
        <v>46</v>
      </c>
      <c r="E2433">
        <f>235/30</f>
        <v>7.83333333333333</v>
      </c>
      <c r="F2433">
        <v>0</v>
      </c>
    </row>
    <row r="2434" hidden="1" spans="1:6">
      <c r="A2434" s="2" t="s">
        <v>2561</v>
      </c>
      <c r="B2434" s="3">
        <v>111</v>
      </c>
      <c r="C2434">
        <v>3</v>
      </c>
      <c r="D2434" t="s">
        <v>86</v>
      </c>
      <c r="E2434">
        <f>350/30</f>
        <v>11.6666666666667</v>
      </c>
      <c r="F2434">
        <v>0</v>
      </c>
    </row>
    <row r="2435" hidden="1" spans="1:6">
      <c r="A2435" s="2" t="s">
        <v>2562</v>
      </c>
      <c r="B2435" s="3">
        <v>111</v>
      </c>
      <c r="C2435">
        <v>3</v>
      </c>
      <c r="D2435" t="s">
        <v>50</v>
      </c>
      <c r="E2435">
        <f>450/30</f>
        <v>15</v>
      </c>
      <c r="F2435">
        <v>0</v>
      </c>
    </row>
    <row r="2436" hidden="1" spans="1:11">
      <c r="A2436" s="2" t="s">
        <v>2563</v>
      </c>
      <c r="B2436" s="3">
        <v>111</v>
      </c>
      <c r="C2436">
        <v>3</v>
      </c>
      <c r="D2436" t="s">
        <v>57</v>
      </c>
      <c r="E2436">
        <f>85/30</f>
        <v>2.83333333333333</v>
      </c>
      <c r="F2436">
        <v>0</v>
      </c>
      <c r="G2436" t="s">
        <v>61</v>
      </c>
      <c r="H2436" t="s">
        <v>62</v>
      </c>
      <c r="I2436" t="s">
        <v>2564</v>
      </c>
      <c r="J2436" t="s">
        <v>2565</v>
      </c>
      <c r="K2436" t="s">
        <v>61</v>
      </c>
    </row>
    <row r="2437" hidden="1" spans="1:6">
      <c r="A2437" s="2" t="s">
        <v>2566</v>
      </c>
      <c r="B2437" s="3">
        <v>112</v>
      </c>
      <c r="C2437">
        <v>3</v>
      </c>
      <c r="D2437" t="s">
        <v>36</v>
      </c>
      <c r="E2437">
        <f>111/30</f>
        <v>3.7</v>
      </c>
      <c r="F2437">
        <v>0</v>
      </c>
    </row>
    <row r="2438" hidden="1" spans="1:6">
      <c r="A2438" s="2" t="s">
        <v>2567</v>
      </c>
      <c r="B2438" s="3">
        <v>112</v>
      </c>
      <c r="C2438">
        <v>3</v>
      </c>
      <c r="D2438" t="s">
        <v>38</v>
      </c>
      <c r="E2438">
        <f>63/30</f>
        <v>2.1</v>
      </c>
      <c r="F2438">
        <v>0</v>
      </c>
    </row>
    <row r="2439" hidden="1" spans="1:6">
      <c r="A2439" s="2" t="s">
        <v>2568</v>
      </c>
      <c r="B2439" s="3">
        <v>112</v>
      </c>
      <c r="C2439">
        <v>3</v>
      </c>
      <c r="D2439" t="s">
        <v>40</v>
      </c>
      <c r="E2439">
        <f>89/30</f>
        <v>2.96666666666667</v>
      </c>
      <c r="F2439">
        <v>0</v>
      </c>
    </row>
    <row r="2440" hidden="1" spans="1:6">
      <c r="A2440" s="2" t="s">
        <v>2569</v>
      </c>
      <c r="B2440" s="3">
        <v>112</v>
      </c>
      <c r="C2440">
        <v>3</v>
      </c>
      <c r="D2440" t="s">
        <v>42</v>
      </c>
      <c r="E2440">
        <f>87/30</f>
        <v>2.9</v>
      </c>
      <c r="F2440">
        <v>0</v>
      </c>
    </row>
    <row r="2441" hidden="1" spans="1:6">
      <c r="A2441" s="2" t="s">
        <v>2570</v>
      </c>
      <c r="B2441" s="3">
        <v>112</v>
      </c>
      <c r="C2441">
        <v>3</v>
      </c>
      <c r="D2441" t="s">
        <v>86</v>
      </c>
      <c r="E2441">
        <f>331/30</f>
        <v>11.0333333333333</v>
      </c>
      <c r="F2441">
        <v>0</v>
      </c>
    </row>
    <row r="2442" hidden="1" spans="1:6">
      <c r="A2442" s="2" t="s">
        <v>2571</v>
      </c>
      <c r="B2442" s="3">
        <v>112</v>
      </c>
      <c r="C2442">
        <v>3</v>
      </c>
      <c r="D2442" t="s">
        <v>50</v>
      </c>
      <c r="E2442">
        <f>150/30</f>
        <v>5</v>
      </c>
      <c r="F2442">
        <v>0</v>
      </c>
    </row>
    <row r="2443" hidden="1" spans="1:11">
      <c r="A2443" s="2" t="s">
        <v>2572</v>
      </c>
      <c r="B2443" s="3">
        <v>112</v>
      </c>
      <c r="C2443">
        <v>3</v>
      </c>
      <c r="D2443" t="s">
        <v>57</v>
      </c>
      <c r="E2443">
        <f>90/30</f>
        <v>3</v>
      </c>
      <c r="F2443">
        <v>0</v>
      </c>
      <c r="G2443">
        <v>0</v>
      </c>
      <c r="H2443">
        <v>2</v>
      </c>
      <c r="I2443">
        <v>3510</v>
      </c>
      <c r="J2443" t="s">
        <v>58</v>
      </c>
      <c r="K2443">
        <v>0</v>
      </c>
    </row>
    <row r="2444" hidden="1" spans="1:6">
      <c r="A2444" s="2" t="s">
        <v>2573</v>
      </c>
      <c r="B2444" s="3">
        <v>30056</v>
      </c>
      <c r="C2444">
        <v>3</v>
      </c>
      <c r="D2444" t="s">
        <v>44</v>
      </c>
      <c r="E2444">
        <f>82/30</f>
        <v>2.73333333333333</v>
      </c>
      <c r="F2444">
        <v>0</v>
      </c>
    </row>
    <row r="2445" hidden="1" spans="1:6">
      <c r="A2445" s="2" t="s">
        <v>2574</v>
      </c>
      <c r="B2445" s="3">
        <v>30056</v>
      </c>
      <c r="C2445">
        <v>3</v>
      </c>
      <c r="D2445" t="s">
        <v>46</v>
      </c>
      <c r="E2445">
        <f>107/30</f>
        <v>3.56666666666667</v>
      </c>
      <c r="F2445">
        <v>0</v>
      </c>
    </row>
    <row r="2446" hidden="1" spans="1:11">
      <c r="A2446" s="2" t="s">
        <v>2575</v>
      </c>
      <c r="B2446" s="3">
        <v>30056</v>
      </c>
      <c r="C2446">
        <v>3</v>
      </c>
      <c r="D2446" t="s">
        <v>50</v>
      </c>
      <c r="E2446">
        <f>(410-150)/30</f>
        <v>8.66666666666667</v>
      </c>
      <c r="F2446">
        <v>0</v>
      </c>
      <c r="G2446" t="s">
        <v>61</v>
      </c>
      <c r="H2446" t="s">
        <v>95</v>
      </c>
      <c r="I2446" t="s">
        <v>2576</v>
      </c>
      <c r="J2446" t="s">
        <v>2577</v>
      </c>
      <c r="K2446" t="s">
        <v>61</v>
      </c>
    </row>
    <row r="2447" hidden="1" spans="1:6">
      <c r="A2447" s="2" t="s">
        <v>2578</v>
      </c>
      <c r="B2447" s="3">
        <v>30056</v>
      </c>
      <c r="C2447">
        <v>3</v>
      </c>
      <c r="D2447" t="s">
        <v>90</v>
      </c>
      <c r="E2447">
        <f>380/30</f>
        <v>12.6666666666667</v>
      </c>
      <c r="F2447">
        <v>0</v>
      </c>
    </row>
    <row r="2448" hidden="1" spans="1:6">
      <c r="A2448" s="2" t="s">
        <v>2579</v>
      </c>
      <c r="B2448" s="3">
        <v>113</v>
      </c>
      <c r="C2448">
        <v>3</v>
      </c>
      <c r="D2448" t="s">
        <v>36</v>
      </c>
      <c r="E2448">
        <f>90/30</f>
        <v>3</v>
      </c>
      <c r="F2448">
        <v>0</v>
      </c>
    </row>
    <row r="2449" hidden="1" spans="1:6">
      <c r="A2449" s="2" t="s">
        <v>2580</v>
      </c>
      <c r="B2449" s="3">
        <v>113</v>
      </c>
      <c r="C2449">
        <v>3</v>
      </c>
      <c r="D2449" t="s">
        <v>38</v>
      </c>
      <c r="E2449">
        <f>102/30</f>
        <v>3.4</v>
      </c>
      <c r="F2449">
        <v>0</v>
      </c>
    </row>
    <row r="2450" hidden="1" spans="1:6">
      <c r="A2450" s="2" t="s">
        <v>2581</v>
      </c>
      <c r="B2450" s="3">
        <v>113</v>
      </c>
      <c r="C2450">
        <v>3</v>
      </c>
      <c r="D2450" t="s">
        <v>40</v>
      </c>
      <c r="E2450">
        <f>76/30</f>
        <v>2.53333333333333</v>
      </c>
      <c r="F2450">
        <v>0</v>
      </c>
    </row>
    <row r="2451" hidden="1" spans="1:6">
      <c r="A2451" s="2" t="s">
        <v>2582</v>
      </c>
      <c r="B2451" s="3">
        <v>30057</v>
      </c>
      <c r="C2451">
        <v>3</v>
      </c>
      <c r="D2451" t="s">
        <v>42</v>
      </c>
      <c r="E2451">
        <f>79/30</f>
        <v>2.63333333333333</v>
      </c>
      <c r="F2451">
        <v>0</v>
      </c>
    </row>
    <row r="2452" hidden="1" spans="1:6">
      <c r="A2452" s="2" t="s">
        <v>2583</v>
      </c>
      <c r="B2452" s="3">
        <v>30057</v>
      </c>
      <c r="C2452">
        <v>3</v>
      </c>
      <c r="D2452" t="s">
        <v>44</v>
      </c>
      <c r="E2452">
        <f>80/30</f>
        <v>2.66666666666667</v>
      </c>
      <c r="F2452">
        <v>0</v>
      </c>
    </row>
    <row r="2453" hidden="1" spans="1:6">
      <c r="A2453" s="2" t="s">
        <v>2584</v>
      </c>
      <c r="B2453" s="3">
        <v>30057</v>
      </c>
      <c r="C2453">
        <v>3</v>
      </c>
      <c r="D2453" t="s">
        <v>46</v>
      </c>
      <c r="E2453">
        <f>68/30</f>
        <v>2.26666666666667</v>
      </c>
      <c r="F2453">
        <v>0</v>
      </c>
    </row>
    <row r="2454" hidden="1" spans="1:6">
      <c r="A2454" s="2" t="s">
        <v>2585</v>
      </c>
      <c r="B2454" s="3">
        <v>113</v>
      </c>
      <c r="C2454">
        <v>3</v>
      </c>
      <c r="D2454" t="s">
        <v>86</v>
      </c>
      <c r="E2454">
        <f>400/30</f>
        <v>13.3333333333333</v>
      </c>
      <c r="F2454">
        <v>0</v>
      </c>
    </row>
    <row r="2455" hidden="1" spans="1:6">
      <c r="A2455" s="2" t="s">
        <v>2586</v>
      </c>
      <c r="B2455" s="3">
        <v>113</v>
      </c>
      <c r="C2455">
        <v>3</v>
      </c>
      <c r="D2455" t="s">
        <v>50</v>
      </c>
      <c r="E2455">
        <f>136/30</f>
        <v>4.53333333333333</v>
      </c>
      <c r="F2455">
        <v>0</v>
      </c>
    </row>
    <row r="2456" hidden="1" spans="1:6">
      <c r="A2456" s="2" t="s">
        <v>2587</v>
      </c>
      <c r="B2456" s="3">
        <v>30057</v>
      </c>
      <c r="C2456">
        <v>3</v>
      </c>
      <c r="D2456" t="s">
        <v>50</v>
      </c>
      <c r="E2456">
        <f>(287-136)/30</f>
        <v>5.03333333333333</v>
      </c>
      <c r="F2456">
        <v>0</v>
      </c>
    </row>
    <row r="2457" hidden="1" spans="1:6">
      <c r="A2457" s="2" t="s">
        <v>2588</v>
      </c>
      <c r="B2457" s="3">
        <v>30057</v>
      </c>
      <c r="C2457">
        <v>3</v>
      </c>
      <c r="D2457" t="s">
        <v>90</v>
      </c>
      <c r="E2457">
        <f>340/30</f>
        <v>11.3333333333333</v>
      </c>
      <c r="F2457">
        <v>0</v>
      </c>
    </row>
    <row r="2458" hidden="1" spans="1:11">
      <c r="A2458" s="2" t="s">
        <v>2589</v>
      </c>
      <c r="B2458" s="3">
        <v>113</v>
      </c>
      <c r="C2458">
        <v>3</v>
      </c>
      <c r="D2458" t="s">
        <v>57</v>
      </c>
      <c r="E2458">
        <f>80/30</f>
        <v>2.66666666666667</v>
      </c>
      <c r="F2458">
        <v>0</v>
      </c>
      <c r="G2458">
        <v>0</v>
      </c>
      <c r="H2458">
        <v>2</v>
      </c>
      <c r="I2458">
        <v>3521</v>
      </c>
      <c r="J2458" t="s">
        <v>58</v>
      </c>
      <c r="K2458">
        <v>0</v>
      </c>
    </row>
    <row r="2459" hidden="1" spans="1:6">
      <c r="A2459" s="2" t="s">
        <v>2590</v>
      </c>
      <c r="B2459" s="3">
        <v>114</v>
      </c>
      <c r="C2459">
        <v>3</v>
      </c>
      <c r="D2459" t="s">
        <v>36</v>
      </c>
      <c r="E2459">
        <f>69/30</f>
        <v>2.3</v>
      </c>
      <c r="F2459">
        <v>0</v>
      </c>
    </row>
    <row r="2460" hidden="1" spans="1:6">
      <c r="A2460" s="2" t="s">
        <v>2591</v>
      </c>
      <c r="B2460" s="3">
        <v>114</v>
      </c>
      <c r="C2460">
        <v>3</v>
      </c>
      <c r="D2460" t="s">
        <v>38</v>
      </c>
      <c r="E2460">
        <f>81/30</f>
        <v>2.7</v>
      </c>
      <c r="F2460">
        <v>0</v>
      </c>
    </row>
    <row r="2461" hidden="1" spans="1:6">
      <c r="A2461" s="2" t="s">
        <v>2592</v>
      </c>
      <c r="B2461" s="3">
        <v>114</v>
      </c>
      <c r="C2461">
        <v>3</v>
      </c>
      <c r="D2461" t="s">
        <v>40</v>
      </c>
      <c r="E2461">
        <f>77/30</f>
        <v>2.56666666666667</v>
      </c>
      <c r="F2461">
        <v>0</v>
      </c>
    </row>
    <row r="2462" hidden="1" spans="1:6">
      <c r="A2462" s="2" t="s">
        <v>2593</v>
      </c>
      <c r="B2462" s="3">
        <v>114</v>
      </c>
      <c r="C2462">
        <v>3</v>
      </c>
      <c r="D2462" t="s">
        <v>42</v>
      </c>
      <c r="E2462">
        <f>77/30</f>
        <v>2.56666666666667</v>
      </c>
      <c r="F2462">
        <v>0</v>
      </c>
    </row>
    <row r="2463" hidden="1" spans="1:6">
      <c r="A2463" s="2" t="s">
        <v>2594</v>
      </c>
      <c r="B2463" s="3">
        <v>114</v>
      </c>
      <c r="C2463">
        <v>3</v>
      </c>
      <c r="D2463" t="s">
        <v>44</v>
      </c>
      <c r="E2463">
        <f>303/30</f>
        <v>10.1</v>
      </c>
      <c r="F2463">
        <v>0</v>
      </c>
    </row>
    <row r="2464" hidden="1" spans="1:6">
      <c r="A2464" s="2" t="s">
        <v>2595</v>
      </c>
      <c r="B2464" s="3">
        <v>114</v>
      </c>
      <c r="C2464">
        <v>3</v>
      </c>
      <c r="D2464" t="s">
        <v>46</v>
      </c>
      <c r="E2464">
        <f>395/30</f>
        <v>13.1666666666667</v>
      </c>
      <c r="F2464">
        <v>0</v>
      </c>
    </row>
    <row r="2465" hidden="1" spans="1:6">
      <c r="A2465" s="2" t="s">
        <v>2596</v>
      </c>
      <c r="B2465" s="3">
        <v>114</v>
      </c>
      <c r="C2465">
        <v>3</v>
      </c>
      <c r="D2465" t="s">
        <v>86</v>
      </c>
      <c r="E2465">
        <f>385/30</f>
        <v>12.8333333333333</v>
      </c>
      <c r="F2465">
        <v>0</v>
      </c>
    </row>
    <row r="2466" hidden="1" spans="1:11">
      <c r="A2466" s="2" t="s">
        <v>2597</v>
      </c>
      <c r="B2466" s="3">
        <v>114</v>
      </c>
      <c r="C2466">
        <v>3</v>
      </c>
      <c r="D2466" t="s">
        <v>57</v>
      </c>
      <c r="E2466">
        <f>132/30</f>
        <v>4.4</v>
      </c>
      <c r="F2466">
        <v>0</v>
      </c>
      <c r="G2466" t="s">
        <v>942</v>
      </c>
      <c r="H2466" t="s">
        <v>943</v>
      </c>
      <c r="I2466" t="s">
        <v>2598</v>
      </c>
      <c r="J2466" t="s">
        <v>2440</v>
      </c>
      <c r="K2466" t="s">
        <v>942</v>
      </c>
    </row>
    <row r="2467" hidden="1" spans="1:6">
      <c r="A2467" s="2" t="s">
        <v>2599</v>
      </c>
      <c r="B2467" s="3">
        <v>114</v>
      </c>
      <c r="C2467">
        <v>3</v>
      </c>
      <c r="D2467" t="s">
        <v>1047</v>
      </c>
      <c r="E2467">
        <f>58/30</f>
        <v>1.93333333333333</v>
      </c>
      <c r="F2467">
        <v>0</v>
      </c>
    </row>
    <row r="2468" hidden="1" spans="1:6">
      <c r="A2468" s="2" t="s">
        <v>2600</v>
      </c>
      <c r="B2468" s="3">
        <v>114</v>
      </c>
      <c r="C2468">
        <v>3</v>
      </c>
      <c r="D2468" t="s">
        <v>60</v>
      </c>
      <c r="E2468">
        <f>66/30</f>
        <v>2.2</v>
      </c>
      <c r="F2468">
        <v>0</v>
      </c>
    </row>
    <row r="2469" hidden="1" spans="1:6">
      <c r="A2469" s="2" t="s">
        <v>2601</v>
      </c>
      <c r="B2469" s="3">
        <v>114</v>
      </c>
      <c r="C2469">
        <v>3</v>
      </c>
      <c r="D2469" t="s">
        <v>2198</v>
      </c>
      <c r="E2469">
        <f>60/30</f>
        <v>2</v>
      </c>
      <c r="F2469">
        <v>0</v>
      </c>
    </row>
    <row r="2470" hidden="1" spans="1:6">
      <c r="A2470" s="2" t="s">
        <v>2602</v>
      </c>
      <c r="B2470" s="3">
        <v>114</v>
      </c>
      <c r="C2470">
        <v>3</v>
      </c>
      <c r="D2470" t="s">
        <v>2182</v>
      </c>
      <c r="E2470">
        <f>40/30</f>
        <v>1.33333333333333</v>
      </c>
      <c r="F2470">
        <v>0</v>
      </c>
    </row>
    <row r="2471" hidden="1" spans="1:6">
      <c r="A2471" s="2" t="s">
        <v>2603</v>
      </c>
      <c r="B2471" s="3">
        <v>114</v>
      </c>
      <c r="C2471">
        <v>3</v>
      </c>
      <c r="D2471" t="s">
        <v>2184</v>
      </c>
      <c r="E2471">
        <f>60/30</f>
        <v>2</v>
      </c>
      <c r="F2471">
        <v>0</v>
      </c>
    </row>
    <row r="2472" hidden="1" spans="1:6">
      <c r="A2472" s="2" t="s">
        <v>2604</v>
      </c>
      <c r="B2472" s="3">
        <v>114</v>
      </c>
      <c r="C2472">
        <v>3</v>
      </c>
      <c r="D2472" t="s">
        <v>2186</v>
      </c>
      <c r="E2472">
        <f>40/30</f>
        <v>1.33333333333333</v>
      </c>
      <c r="F2472">
        <v>0</v>
      </c>
    </row>
    <row r="2473" hidden="1" spans="1:6">
      <c r="A2473" s="2" t="s">
        <v>2605</v>
      </c>
      <c r="B2473" s="3">
        <v>114</v>
      </c>
      <c r="C2473">
        <v>3</v>
      </c>
      <c r="D2473" t="s">
        <v>2188</v>
      </c>
      <c r="E2473">
        <f t="shared" ref="E2473:E2478" si="7">24/30</f>
        <v>0.8</v>
      </c>
      <c r="F2473">
        <v>0</v>
      </c>
    </row>
    <row r="2474" hidden="1" spans="1:6">
      <c r="A2474" s="2" t="s">
        <v>2606</v>
      </c>
      <c r="B2474" s="3">
        <v>114</v>
      </c>
      <c r="C2474">
        <v>3</v>
      </c>
      <c r="D2474" t="s">
        <v>2190</v>
      </c>
      <c r="E2474">
        <f t="shared" si="7"/>
        <v>0.8</v>
      </c>
      <c r="F2474">
        <v>0</v>
      </c>
    </row>
    <row r="2475" hidden="1" spans="1:6">
      <c r="A2475" s="2" t="s">
        <v>2607</v>
      </c>
      <c r="B2475" s="3">
        <v>114</v>
      </c>
      <c r="C2475">
        <v>3</v>
      </c>
      <c r="D2475" t="s">
        <v>2192</v>
      </c>
      <c r="E2475">
        <f t="shared" si="7"/>
        <v>0.8</v>
      </c>
      <c r="F2475">
        <v>0</v>
      </c>
    </row>
    <row r="2476" hidden="1" spans="1:6">
      <c r="A2476" s="2" t="s">
        <v>2608</v>
      </c>
      <c r="B2476" s="3">
        <v>114</v>
      </c>
      <c r="C2476">
        <v>3</v>
      </c>
      <c r="D2476" t="s">
        <v>2194</v>
      </c>
      <c r="E2476">
        <f t="shared" si="7"/>
        <v>0.8</v>
      </c>
      <c r="F2476">
        <v>0</v>
      </c>
    </row>
    <row r="2477" hidden="1" spans="1:6">
      <c r="A2477" s="2" t="s">
        <v>2609</v>
      </c>
      <c r="B2477" s="3">
        <v>114</v>
      </c>
      <c r="C2477">
        <v>3</v>
      </c>
      <c r="D2477" t="s">
        <v>300</v>
      </c>
      <c r="E2477">
        <f t="shared" si="7"/>
        <v>0.8</v>
      </c>
      <c r="F2477">
        <v>0</v>
      </c>
    </row>
    <row r="2478" hidden="1" spans="1:6">
      <c r="A2478" s="2" t="s">
        <v>2610</v>
      </c>
      <c r="B2478" s="3">
        <v>114</v>
      </c>
      <c r="C2478">
        <v>3</v>
      </c>
      <c r="D2478" t="s">
        <v>2178</v>
      </c>
      <c r="E2478">
        <f t="shared" si="7"/>
        <v>0.8</v>
      </c>
      <c r="F2478">
        <v>0</v>
      </c>
    </row>
    <row r="2479" hidden="1" spans="1:6">
      <c r="A2479" s="2" t="s">
        <v>2611</v>
      </c>
      <c r="B2479" s="3">
        <v>114</v>
      </c>
      <c r="C2479">
        <v>3</v>
      </c>
      <c r="D2479" t="s">
        <v>2196</v>
      </c>
      <c r="E2479">
        <f>50/30</f>
        <v>1.66666666666667</v>
      </c>
      <c r="F2479">
        <v>0</v>
      </c>
    </row>
    <row r="2480" hidden="1" spans="1:6">
      <c r="A2480" s="2" t="s">
        <v>2612</v>
      </c>
      <c r="B2480" s="3">
        <v>114</v>
      </c>
      <c r="C2480">
        <v>3</v>
      </c>
      <c r="D2480" t="s">
        <v>92</v>
      </c>
      <c r="E2480">
        <f>125/30</f>
        <v>4.16666666666667</v>
      </c>
      <c r="F2480">
        <v>0</v>
      </c>
    </row>
    <row r="2481" hidden="1" spans="1:6">
      <c r="A2481" s="2" t="s">
        <v>2613</v>
      </c>
      <c r="B2481" s="3">
        <v>114</v>
      </c>
      <c r="C2481">
        <v>3</v>
      </c>
      <c r="D2481" t="s">
        <v>109</v>
      </c>
      <c r="E2481">
        <f>125/30</f>
        <v>4.16666666666667</v>
      </c>
      <c r="F2481">
        <v>0</v>
      </c>
    </row>
    <row r="2482" hidden="1" spans="1:6">
      <c r="A2482" s="2" t="s">
        <v>2614</v>
      </c>
      <c r="B2482" s="3">
        <v>114</v>
      </c>
      <c r="C2482">
        <v>3</v>
      </c>
      <c r="D2482" t="s">
        <v>97</v>
      </c>
      <c r="E2482">
        <f>65/30</f>
        <v>2.16666666666667</v>
      </c>
      <c r="F2482">
        <v>0</v>
      </c>
    </row>
    <row r="2483" hidden="1" spans="1:6">
      <c r="A2483" s="2" t="s">
        <v>2615</v>
      </c>
      <c r="B2483" s="3">
        <v>114</v>
      </c>
      <c r="C2483">
        <v>3</v>
      </c>
      <c r="D2483" t="s">
        <v>77</v>
      </c>
      <c r="E2483">
        <f>105/30</f>
        <v>3.5</v>
      </c>
      <c r="F2483">
        <v>0</v>
      </c>
    </row>
    <row r="2484" hidden="1" spans="1:6">
      <c r="A2484" s="2" t="s">
        <v>2616</v>
      </c>
      <c r="B2484" s="3">
        <v>114</v>
      </c>
      <c r="C2484">
        <v>3</v>
      </c>
      <c r="D2484" t="s">
        <v>54</v>
      </c>
      <c r="E2484">
        <f>115/30</f>
        <v>3.83333333333333</v>
      </c>
      <c r="F2484">
        <v>0</v>
      </c>
    </row>
    <row r="2485" hidden="1" spans="1:6">
      <c r="A2485" s="2" t="s">
        <v>2617</v>
      </c>
      <c r="B2485" s="3">
        <v>114</v>
      </c>
      <c r="C2485">
        <v>3</v>
      </c>
      <c r="D2485" t="s">
        <v>2618</v>
      </c>
      <c r="E2485">
        <f>60/30</f>
        <v>2</v>
      </c>
      <c r="F2485">
        <v>0</v>
      </c>
    </row>
    <row r="2486" hidden="1" spans="1:6">
      <c r="A2486" s="2" t="s">
        <v>2619</v>
      </c>
      <c r="B2486" s="3">
        <v>114</v>
      </c>
      <c r="C2486">
        <v>3</v>
      </c>
      <c r="D2486" t="s">
        <v>1788</v>
      </c>
      <c r="E2486">
        <f>65/30</f>
        <v>2.16666666666667</v>
      </c>
      <c r="F2486">
        <v>0</v>
      </c>
    </row>
    <row r="2487" hidden="1" spans="1:6">
      <c r="A2487" s="2" t="s">
        <v>2620</v>
      </c>
      <c r="B2487" s="3">
        <v>114</v>
      </c>
      <c r="C2487">
        <v>3</v>
      </c>
      <c r="D2487" t="s">
        <v>2621</v>
      </c>
      <c r="E2487">
        <f>30/30</f>
        <v>1</v>
      </c>
      <c r="F2487">
        <v>0</v>
      </c>
    </row>
    <row r="2488" hidden="1" spans="1:6">
      <c r="A2488" s="2" t="s">
        <v>2622</v>
      </c>
      <c r="B2488" s="3">
        <v>114</v>
      </c>
      <c r="C2488">
        <v>3</v>
      </c>
      <c r="D2488" t="s">
        <v>2623</v>
      </c>
      <c r="E2488">
        <f>60/30</f>
        <v>2</v>
      </c>
      <c r="F2488">
        <v>0</v>
      </c>
    </row>
    <row r="2489" hidden="1" spans="1:6">
      <c r="A2489" s="2" t="s">
        <v>2624</v>
      </c>
      <c r="B2489" s="3">
        <v>114</v>
      </c>
      <c r="C2489">
        <v>3</v>
      </c>
      <c r="D2489" t="s">
        <v>261</v>
      </c>
      <c r="E2489">
        <f>24/30</f>
        <v>0.8</v>
      </c>
      <c r="F2489">
        <v>0</v>
      </c>
    </row>
    <row r="2490" hidden="1" spans="1:6">
      <c r="A2490" s="2" t="s">
        <v>2625</v>
      </c>
      <c r="B2490" s="3">
        <v>114</v>
      </c>
      <c r="C2490">
        <v>3</v>
      </c>
      <c r="D2490" t="s">
        <v>236</v>
      </c>
      <c r="E2490">
        <f>80/30</f>
        <v>2.66666666666667</v>
      </c>
      <c r="F2490">
        <v>0</v>
      </c>
    </row>
    <row r="2491" hidden="1" spans="1:6">
      <c r="A2491" s="2" t="s">
        <v>2626</v>
      </c>
      <c r="B2491" s="3">
        <v>114</v>
      </c>
      <c r="C2491">
        <v>3</v>
      </c>
      <c r="D2491" t="s">
        <v>264</v>
      </c>
      <c r="E2491">
        <f>60/30</f>
        <v>2</v>
      </c>
      <c r="F2491">
        <v>0</v>
      </c>
    </row>
    <row r="2492" hidden="1" spans="1:6">
      <c r="A2492" s="2" t="s">
        <v>2627</v>
      </c>
      <c r="B2492" s="3">
        <v>114</v>
      </c>
      <c r="C2492">
        <v>3</v>
      </c>
      <c r="D2492" t="s">
        <v>130</v>
      </c>
      <c r="E2492">
        <f>60/30</f>
        <v>2</v>
      </c>
      <c r="F2492">
        <v>0</v>
      </c>
    </row>
    <row r="2493" hidden="1" spans="1:6">
      <c r="A2493" s="2" t="s">
        <v>2628</v>
      </c>
      <c r="B2493" s="3">
        <v>114</v>
      </c>
      <c r="C2493">
        <v>3</v>
      </c>
      <c r="D2493" t="s">
        <v>2629</v>
      </c>
      <c r="E2493">
        <f>80/30</f>
        <v>2.66666666666667</v>
      </c>
      <c r="F2493">
        <v>0</v>
      </c>
    </row>
    <row r="2494" hidden="1" spans="1:6">
      <c r="A2494" s="2" t="s">
        <v>2630</v>
      </c>
      <c r="B2494" s="3">
        <v>114</v>
      </c>
      <c r="C2494">
        <v>3</v>
      </c>
      <c r="D2494" t="s">
        <v>268</v>
      </c>
      <c r="E2494">
        <f>69/30</f>
        <v>2.3</v>
      </c>
      <c r="F2494">
        <v>0</v>
      </c>
    </row>
    <row r="2495" hidden="1" spans="1:6">
      <c r="A2495" s="2" t="s">
        <v>2631</v>
      </c>
      <c r="B2495" s="3">
        <v>114</v>
      </c>
      <c r="C2495">
        <v>3</v>
      </c>
      <c r="D2495" t="s">
        <v>266</v>
      </c>
      <c r="E2495">
        <f>40/30</f>
        <v>1.33333333333333</v>
      </c>
      <c r="F2495">
        <v>0</v>
      </c>
    </row>
    <row r="2496" hidden="1" spans="1:6">
      <c r="A2496" s="2" t="s">
        <v>2632</v>
      </c>
      <c r="B2496" s="3">
        <v>114</v>
      </c>
      <c r="C2496">
        <v>3</v>
      </c>
      <c r="D2496" t="s">
        <v>2633</v>
      </c>
      <c r="E2496">
        <f>36/30</f>
        <v>1.2</v>
      </c>
      <c r="F2496">
        <v>0</v>
      </c>
    </row>
    <row r="2497" hidden="1" spans="1:6">
      <c r="A2497" s="2" t="s">
        <v>2634</v>
      </c>
      <c r="B2497" s="3">
        <v>114</v>
      </c>
      <c r="C2497">
        <v>3</v>
      </c>
      <c r="D2497" t="s">
        <v>204</v>
      </c>
      <c r="E2497">
        <f>43/30</f>
        <v>1.43333333333333</v>
      </c>
      <c r="F2497">
        <v>0</v>
      </c>
    </row>
    <row r="2498" hidden="1" spans="1:6">
      <c r="A2498" s="2" t="s">
        <v>2635</v>
      </c>
      <c r="B2498" s="3">
        <v>4011401</v>
      </c>
      <c r="C2498">
        <v>3</v>
      </c>
      <c r="D2498" t="s">
        <v>36</v>
      </c>
      <c r="E2498">
        <f>69/30</f>
        <v>2.3</v>
      </c>
      <c r="F2498">
        <v>0</v>
      </c>
    </row>
    <row r="2499" hidden="1" spans="1:6">
      <c r="A2499" s="2" t="s">
        <v>2636</v>
      </c>
      <c r="B2499" s="3">
        <v>4011401</v>
      </c>
      <c r="C2499">
        <v>3</v>
      </c>
      <c r="D2499" t="s">
        <v>38</v>
      </c>
      <c r="E2499">
        <f>81/30</f>
        <v>2.7</v>
      </c>
      <c r="F2499">
        <v>0</v>
      </c>
    </row>
    <row r="2500" hidden="1" spans="1:6">
      <c r="A2500" s="2" t="s">
        <v>2637</v>
      </c>
      <c r="B2500" s="3">
        <v>4011401</v>
      </c>
      <c r="C2500">
        <v>3</v>
      </c>
      <c r="D2500" t="s">
        <v>40</v>
      </c>
      <c r="E2500">
        <f>77/30</f>
        <v>2.56666666666667</v>
      </c>
      <c r="F2500">
        <v>0</v>
      </c>
    </row>
    <row r="2501" hidden="1" spans="1:6">
      <c r="A2501" s="2" t="s">
        <v>2638</v>
      </c>
      <c r="B2501" s="3">
        <v>4011401</v>
      </c>
      <c r="C2501">
        <v>3</v>
      </c>
      <c r="D2501" t="s">
        <v>42</v>
      </c>
      <c r="E2501">
        <f>77/30</f>
        <v>2.56666666666667</v>
      </c>
      <c r="F2501">
        <v>0</v>
      </c>
    </row>
    <row r="2502" hidden="1" spans="1:6">
      <c r="A2502" s="2" t="s">
        <v>2639</v>
      </c>
      <c r="B2502" s="3">
        <v>4011401</v>
      </c>
      <c r="C2502">
        <v>3</v>
      </c>
      <c r="D2502" t="s">
        <v>44</v>
      </c>
      <c r="E2502">
        <f>303/30</f>
        <v>10.1</v>
      </c>
      <c r="F2502">
        <v>0</v>
      </c>
    </row>
    <row r="2503" hidden="1" spans="1:6">
      <c r="A2503" s="2" t="s">
        <v>2640</v>
      </c>
      <c r="B2503" s="3">
        <v>4011401</v>
      </c>
      <c r="C2503">
        <v>3</v>
      </c>
      <c r="D2503" t="s">
        <v>46</v>
      </c>
      <c r="E2503">
        <f>395/30</f>
        <v>13.1666666666667</v>
      </c>
      <c r="F2503">
        <v>0</v>
      </c>
    </row>
    <row r="2504" hidden="1" spans="1:6">
      <c r="A2504" s="2" t="s">
        <v>2641</v>
      </c>
      <c r="B2504" s="3">
        <v>4011401</v>
      </c>
      <c r="C2504">
        <v>3</v>
      </c>
      <c r="D2504" t="s">
        <v>86</v>
      </c>
      <c r="E2504">
        <f>385/30</f>
        <v>12.8333333333333</v>
      </c>
      <c r="F2504">
        <v>0</v>
      </c>
    </row>
    <row r="2505" hidden="1" spans="1:11">
      <c r="A2505" s="2" t="s">
        <v>2642</v>
      </c>
      <c r="B2505" s="3">
        <v>4011401</v>
      </c>
      <c r="C2505">
        <v>3</v>
      </c>
      <c r="D2505" t="s">
        <v>57</v>
      </c>
      <c r="E2505">
        <f>132/30</f>
        <v>4.4</v>
      </c>
      <c r="F2505">
        <v>0</v>
      </c>
      <c r="G2505" t="s">
        <v>942</v>
      </c>
      <c r="H2505" t="s">
        <v>943</v>
      </c>
      <c r="I2505" t="s">
        <v>2598</v>
      </c>
      <c r="J2505" t="s">
        <v>2440</v>
      </c>
      <c r="K2505" t="s">
        <v>942</v>
      </c>
    </row>
    <row r="2506" hidden="1" spans="1:6">
      <c r="A2506" s="2" t="s">
        <v>2643</v>
      </c>
      <c r="B2506" s="3">
        <v>1261</v>
      </c>
      <c r="C2506">
        <v>3</v>
      </c>
      <c r="D2506" t="s">
        <v>36</v>
      </c>
      <c r="E2506">
        <f>48/30</f>
        <v>1.6</v>
      </c>
      <c r="F2506">
        <v>0</v>
      </c>
    </row>
    <row r="2507" hidden="1" spans="1:6">
      <c r="A2507" s="2" t="s">
        <v>2644</v>
      </c>
      <c r="B2507" s="3">
        <v>1261</v>
      </c>
      <c r="C2507">
        <v>3</v>
      </c>
      <c r="D2507" t="s">
        <v>38</v>
      </c>
      <c r="E2507">
        <f>82/30</f>
        <v>2.73333333333333</v>
      </c>
      <c r="F2507">
        <v>0</v>
      </c>
    </row>
    <row r="2508" hidden="1" spans="1:6">
      <c r="A2508" s="2" t="s">
        <v>2645</v>
      </c>
      <c r="B2508" s="3">
        <v>1261</v>
      </c>
      <c r="C2508">
        <v>3</v>
      </c>
      <c r="D2508" t="s">
        <v>40</v>
      </c>
      <c r="E2508">
        <f>170/30</f>
        <v>5.66666666666667</v>
      </c>
      <c r="F2508">
        <v>0</v>
      </c>
    </row>
    <row r="2509" hidden="1" spans="1:6">
      <c r="A2509" s="2" t="s">
        <v>2646</v>
      </c>
      <c r="B2509" s="3">
        <v>1262</v>
      </c>
      <c r="C2509">
        <v>3</v>
      </c>
      <c r="D2509" t="s">
        <v>36</v>
      </c>
      <c r="E2509">
        <f>30/30</f>
        <v>1</v>
      </c>
      <c r="F2509">
        <v>0</v>
      </c>
    </row>
    <row r="2510" hidden="1" spans="1:6">
      <c r="A2510" s="2" t="s">
        <v>2647</v>
      </c>
      <c r="B2510" s="3">
        <v>1262</v>
      </c>
      <c r="C2510">
        <v>3</v>
      </c>
      <c r="D2510" t="s">
        <v>38</v>
      </c>
      <c r="E2510">
        <f>55/30</f>
        <v>1.83333333333333</v>
      </c>
      <c r="F2510">
        <v>0</v>
      </c>
    </row>
    <row r="2511" hidden="1" spans="1:6">
      <c r="A2511" s="2" t="s">
        <v>2648</v>
      </c>
      <c r="B2511" s="3">
        <v>1262</v>
      </c>
      <c r="C2511">
        <v>3</v>
      </c>
      <c r="D2511" t="s">
        <v>40</v>
      </c>
      <c r="E2511">
        <f>70/30</f>
        <v>2.33333333333333</v>
      </c>
      <c r="F2511">
        <v>0</v>
      </c>
    </row>
    <row r="2512" hidden="1" spans="1:6">
      <c r="A2512" s="2" t="s">
        <v>2649</v>
      </c>
      <c r="B2512" s="3">
        <v>1263</v>
      </c>
      <c r="C2512">
        <v>3</v>
      </c>
      <c r="D2512" t="s">
        <v>36</v>
      </c>
      <c r="E2512">
        <f>42/30</f>
        <v>1.4</v>
      </c>
      <c r="F2512">
        <v>0</v>
      </c>
    </row>
    <row r="2513" hidden="1" spans="1:6">
      <c r="A2513" s="2" t="s">
        <v>2650</v>
      </c>
      <c r="B2513" s="3">
        <v>1263</v>
      </c>
      <c r="C2513">
        <v>3</v>
      </c>
      <c r="D2513" t="s">
        <v>38</v>
      </c>
      <c r="E2513">
        <f>72/30</f>
        <v>2.4</v>
      </c>
      <c r="F2513">
        <v>0</v>
      </c>
    </row>
    <row r="2514" hidden="1" spans="1:6">
      <c r="A2514" s="2" t="s">
        <v>2651</v>
      </c>
      <c r="B2514" s="3">
        <v>1263</v>
      </c>
      <c r="C2514">
        <v>3</v>
      </c>
      <c r="D2514" t="s">
        <v>40</v>
      </c>
      <c r="E2514">
        <f>90/30</f>
        <v>3</v>
      </c>
      <c r="F2514">
        <v>0</v>
      </c>
    </row>
    <row r="2515" hidden="1" spans="1:6">
      <c r="A2515" s="2" t="s">
        <v>2652</v>
      </c>
      <c r="B2515" s="3">
        <v>1264</v>
      </c>
      <c r="C2515">
        <v>3</v>
      </c>
      <c r="D2515" t="s">
        <v>36</v>
      </c>
      <c r="E2515">
        <f>100/30</f>
        <v>3.33333333333333</v>
      </c>
      <c r="F2515">
        <v>0</v>
      </c>
    </row>
    <row r="2516" hidden="1" spans="1:6">
      <c r="A2516" s="2" t="s">
        <v>2653</v>
      </c>
      <c r="B2516" s="3">
        <v>1264</v>
      </c>
      <c r="C2516">
        <v>3</v>
      </c>
      <c r="D2516" t="s">
        <v>38</v>
      </c>
      <c r="E2516">
        <f>73/30</f>
        <v>2.43333333333333</v>
      </c>
      <c r="F2516">
        <v>0</v>
      </c>
    </row>
    <row r="2517" hidden="1" spans="1:6">
      <c r="A2517" s="2" t="s">
        <v>2654</v>
      </c>
      <c r="B2517" s="3">
        <v>1264</v>
      </c>
      <c r="C2517">
        <v>3</v>
      </c>
      <c r="D2517" t="s">
        <v>40</v>
      </c>
      <c r="E2517">
        <f>105/30</f>
        <v>3.5</v>
      </c>
      <c r="F2517">
        <v>0</v>
      </c>
    </row>
    <row r="2518" hidden="1" spans="1:6">
      <c r="A2518" s="2" t="s">
        <v>2655</v>
      </c>
      <c r="B2518" s="3">
        <v>1264</v>
      </c>
      <c r="C2518">
        <v>3</v>
      </c>
      <c r="D2518" t="s">
        <v>42</v>
      </c>
      <c r="E2518">
        <f>270/30</f>
        <v>9</v>
      </c>
      <c r="F2518">
        <v>0</v>
      </c>
    </row>
    <row r="2519" hidden="1" spans="1:6">
      <c r="A2519" s="2" t="s">
        <v>2656</v>
      </c>
      <c r="B2519" s="3">
        <v>1265</v>
      </c>
      <c r="C2519">
        <v>3</v>
      </c>
      <c r="D2519" t="s">
        <v>36</v>
      </c>
      <c r="E2519">
        <f>87/30</f>
        <v>2.9</v>
      </c>
      <c r="F2519">
        <v>0</v>
      </c>
    </row>
    <row r="2520" hidden="1" spans="1:6">
      <c r="A2520" s="2" t="s">
        <v>2657</v>
      </c>
      <c r="B2520" s="3">
        <v>1265</v>
      </c>
      <c r="C2520">
        <v>3</v>
      </c>
      <c r="D2520" t="s">
        <v>38</v>
      </c>
      <c r="E2520">
        <f>64/30</f>
        <v>2.13333333333333</v>
      </c>
      <c r="F2520">
        <v>0</v>
      </c>
    </row>
    <row r="2521" hidden="1" spans="1:6">
      <c r="A2521" s="2" t="s">
        <v>2658</v>
      </c>
      <c r="B2521" s="3">
        <v>1265</v>
      </c>
      <c r="C2521">
        <v>3</v>
      </c>
      <c r="D2521" t="s">
        <v>40</v>
      </c>
      <c r="E2521">
        <f>215/30</f>
        <v>7.16666666666667</v>
      </c>
      <c r="F2521">
        <v>0</v>
      </c>
    </row>
    <row r="2522" hidden="1" spans="1:6">
      <c r="A2522" s="2" t="s">
        <v>2659</v>
      </c>
      <c r="B2522" s="3">
        <v>1266</v>
      </c>
      <c r="C2522">
        <v>3</v>
      </c>
      <c r="D2522" t="s">
        <v>36</v>
      </c>
      <c r="E2522">
        <f>63/30</f>
        <v>2.1</v>
      </c>
      <c r="F2522">
        <v>0</v>
      </c>
    </row>
    <row r="2523" hidden="1" spans="1:6">
      <c r="A2523" s="2" t="s">
        <v>2660</v>
      </c>
      <c r="B2523" s="3">
        <v>1266</v>
      </c>
      <c r="C2523">
        <v>3</v>
      </c>
      <c r="D2523" t="s">
        <v>38</v>
      </c>
      <c r="E2523">
        <f>65/30</f>
        <v>2.16666666666667</v>
      </c>
      <c r="F2523">
        <v>0</v>
      </c>
    </row>
    <row r="2524" hidden="1" spans="1:6">
      <c r="A2524" s="2" t="s">
        <v>2661</v>
      </c>
      <c r="B2524" s="3">
        <v>1266</v>
      </c>
      <c r="C2524">
        <v>3</v>
      </c>
      <c r="D2524" t="s">
        <v>40</v>
      </c>
      <c r="E2524">
        <f>190/30</f>
        <v>6.33333333333333</v>
      </c>
      <c r="F2524">
        <v>0</v>
      </c>
    </row>
    <row r="2525" hidden="1" spans="1:6">
      <c r="A2525" s="2" t="s">
        <v>2662</v>
      </c>
      <c r="B2525" s="3">
        <v>1267</v>
      </c>
      <c r="C2525">
        <v>3</v>
      </c>
      <c r="D2525" t="s">
        <v>36</v>
      </c>
      <c r="E2525">
        <f>52/30</f>
        <v>1.73333333333333</v>
      </c>
      <c r="F2525">
        <v>0</v>
      </c>
    </row>
    <row r="2526" hidden="1" spans="1:6">
      <c r="A2526" s="2" t="s">
        <v>2663</v>
      </c>
      <c r="B2526" s="3">
        <v>1267</v>
      </c>
      <c r="C2526">
        <v>3</v>
      </c>
      <c r="D2526" t="s">
        <v>38</v>
      </c>
      <c r="E2526">
        <f>52/30</f>
        <v>1.73333333333333</v>
      </c>
      <c r="F2526">
        <v>0</v>
      </c>
    </row>
    <row r="2527" hidden="1" spans="1:6">
      <c r="A2527" s="2" t="s">
        <v>2664</v>
      </c>
      <c r="B2527" s="3">
        <v>1267</v>
      </c>
      <c r="C2527">
        <v>3</v>
      </c>
      <c r="D2527" t="s">
        <v>40</v>
      </c>
      <c r="E2527">
        <f>193/30</f>
        <v>6.43333333333333</v>
      </c>
      <c r="F2527">
        <v>0</v>
      </c>
    </row>
    <row r="2528" hidden="1" spans="1:6">
      <c r="A2528" s="2" t="s">
        <v>2665</v>
      </c>
      <c r="B2528" s="3">
        <v>1268</v>
      </c>
      <c r="C2528">
        <v>3</v>
      </c>
      <c r="D2528" t="s">
        <v>36</v>
      </c>
      <c r="E2528">
        <f>55/30</f>
        <v>1.83333333333333</v>
      </c>
      <c r="F2528">
        <v>0</v>
      </c>
    </row>
    <row r="2529" hidden="1" spans="1:6">
      <c r="A2529" s="2" t="s">
        <v>2666</v>
      </c>
      <c r="B2529" s="3">
        <v>1268</v>
      </c>
      <c r="C2529">
        <v>3</v>
      </c>
      <c r="D2529" t="s">
        <v>38</v>
      </c>
      <c r="E2529">
        <f>67/30</f>
        <v>2.23333333333333</v>
      </c>
      <c r="F2529">
        <v>0</v>
      </c>
    </row>
    <row r="2530" hidden="1" spans="1:6">
      <c r="A2530" s="2" t="s">
        <v>2667</v>
      </c>
      <c r="B2530" s="3">
        <v>1269</v>
      </c>
      <c r="C2530">
        <v>3</v>
      </c>
      <c r="D2530" t="s">
        <v>36</v>
      </c>
      <c r="E2530">
        <f>46/30</f>
        <v>1.53333333333333</v>
      </c>
      <c r="F2530">
        <v>0</v>
      </c>
    </row>
    <row r="2531" hidden="1" spans="1:6">
      <c r="A2531" s="2" t="s">
        <v>2668</v>
      </c>
      <c r="B2531" s="3">
        <v>1270</v>
      </c>
      <c r="C2531">
        <v>3</v>
      </c>
      <c r="D2531" t="s">
        <v>36</v>
      </c>
      <c r="E2531">
        <f>42/30</f>
        <v>1.4</v>
      </c>
      <c r="F2531">
        <v>0</v>
      </c>
    </row>
    <row r="2532" hidden="1" spans="1:6">
      <c r="A2532" s="2" t="s">
        <v>2669</v>
      </c>
      <c r="B2532" s="3">
        <v>1271</v>
      </c>
      <c r="C2532">
        <v>3</v>
      </c>
      <c r="D2532" t="s">
        <v>36</v>
      </c>
      <c r="E2532">
        <f>54/30</f>
        <v>1.8</v>
      </c>
      <c r="F2532">
        <v>0</v>
      </c>
    </row>
    <row r="2533" hidden="1" spans="1:6">
      <c r="A2533" s="2" t="s">
        <v>2670</v>
      </c>
      <c r="B2533" s="3">
        <v>1272</v>
      </c>
      <c r="C2533">
        <v>3</v>
      </c>
      <c r="D2533" t="s">
        <v>36</v>
      </c>
      <c r="E2533">
        <f>58/30</f>
        <v>1.93333333333333</v>
      </c>
      <c r="F2533">
        <v>0</v>
      </c>
    </row>
    <row r="2534" hidden="1" spans="1:6">
      <c r="A2534" s="2" t="s">
        <v>2671</v>
      </c>
      <c r="B2534" s="3">
        <v>1273</v>
      </c>
      <c r="C2534">
        <v>3</v>
      </c>
      <c r="D2534" t="s">
        <v>36</v>
      </c>
      <c r="E2534">
        <f>54/30</f>
        <v>1.8</v>
      </c>
      <c r="F2534">
        <v>0</v>
      </c>
    </row>
    <row r="2535" hidden="1" spans="1:6">
      <c r="A2535" s="2" t="s">
        <v>2672</v>
      </c>
      <c r="B2535" s="3">
        <v>1273</v>
      </c>
      <c r="C2535">
        <v>3</v>
      </c>
      <c r="D2535" t="s">
        <v>38</v>
      </c>
      <c r="E2535">
        <f>88/30</f>
        <v>2.93333333333333</v>
      </c>
      <c r="F2535">
        <v>0</v>
      </c>
    </row>
    <row r="2536" hidden="1" spans="1:6">
      <c r="A2536" s="2" t="s">
        <v>2673</v>
      </c>
      <c r="B2536" s="3">
        <v>1274</v>
      </c>
      <c r="C2536">
        <v>3</v>
      </c>
      <c r="D2536" t="s">
        <v>36</v>
      </c>
      <c r="E2536">
        <f>37/30</f>
        <v>1.23333333333333</v>
      </c>
      <c r="F2536">
        <v>0</v>
      </c>
    </row>
    <row r="2537" hidden="1" spans="1:6">
      <c r="A2537" s="2" t="s">
        <v>2674</v>
      </c>
      <c r="B2537" s="3">
        <v>1275</v>
      </c>
      <c r="C2537">
        <v>3</v>
      </c>
      <c r="D2537" t="s">
        <v>36</v>
      </c>
      <c r="E2537">
        <f>28/30</f>
        <v>0.933333333333333</v>
      </c>
      <c r="F2537">
        <v>0</v>
      </c>
    </row>
    <row r="2538" hidden="1" spans="1:6">
      <c r="A2538" s="2" t="s">
        <v>2675</v>
      </c>
      <c r="B2538" s="3">
        <v>1276</v>
      </c>
      <c r="C2538">
        <v>3</v>
      </c>
      <c r="D2538" t="s">
        <v>36</v>
      </c>
      <c r="E2538">
        <f>43/30</f>
        <v>1.43333333333333</v>
      </c>
      <c r="F2538">
        <v>0</v>
      </c>
    </row>
    <row r="2539" hidden="1" spans="1:6">
      <c r="A2539" s="2" t="s">
        <v>2676</v>
      </c>
      <c r="B2539" s="3">
        <v>1277</v>
      </c>
      <c r="C2539">
        <v>3</v>
      </c>
      <c r="D2539" t="s">
        <v>36</v>
      </c>
      <c r="E2539">
        <f>43/30</f>
        <v>1.43333333333333</v>
      </c>
      <c r="F2539">
        <v>0</v>
      </c>
    </row>
    <row r="2540" hidden="1" spans="1:6">
      <c r="A2540" s="2" t="s">
        <v>2677</v>
      </c>
      <c r="B2540" s="3">
        <v>1278</v>
      </c>
      <c r="C2540">
        <v>3</v>
      </c>
      <c r="D2540" t="s">
        <v>36</v>
      </c>
      <c r="E2540">
        <f>49/30</f>
        <v>1.63333333333333</v>
      </c>
      <c r="F2540">
        <v>0</v>
      </c>
    </row>
    <row r="2541" hidden="1" spans="1:6">
      <c r="A2541" s="2" t="s">
        <v>2678</v>
      </c>
      <c r="B2541" s="3">
        <v>1278</v>
      </c>
      <c r="C2541">
        <v>3</v>
      </c>
      <c r="D2541" t="s">
        <v>38</v>
      </c>
      <c r="E2541">
        <f>50/30</f>
        <v>1.66666666666667</v>
      </c>
      <c r="F2541">
        <v>0</v>
      </c>
    </row>
    <row r="2542" hidden="1" spans="1:6">
      <c r="A2542" s="2" t="s">
        <v>2679</v>
      </c>
      <c r="B2542" s="3">
        <v>1278</v>
      </c>
      <c r="C2542">
        <v>3</v>
      </c>
      <c r="D2542" t="s">
        <v>40</v>
      </c>
      <c r="E2542">
        <f>141/30</f>
        <v>4.7</v>
      </c>
      <c r="F2542">
        <v>0</v>
      </c>
    </row>
    <row r="2543" hidden="1" spans="1:6">
      <c r="A2543" s="2" t="s">
        <v>2680</v>
      </c>
      <c r="B2543" s="3">
        <v>1279</v>
      </c>
      <c r="C2543">
        <v>3</v>
      </c>
      <c r="D2543" t="s">
        <v>36</v>
      </c>
      <c r="E2543">
        <f>40/30</f>
        <v>1.33333333333333</v>
      </c>
      <c r="F2543">
        <v>0</v>
      </c>
    </row>
    <row r="2544" hidden="1" spans="1:6">
      <c r="A2544" s="2" t="s">
        <v>2681</v>
      </c>
      <c r="B2544" s="3">
        <v>1279</v>
      </c>
      <c r="C2544">
        <v>3</v>
      </c>
      <c r="D2544" t="s">
        <v>38</v>
      </c>
      <c r="E2544">
        <f>72/30</f>
        <v>2.4</v>
      </c>
      <c r="F2544">
        <v>0</v>
      </c>
    </row>
    <row r="2545" hidden="1" spans="1:6">
      <c r="A2545" s="2" t="s">
        <v>2682</v>
      </c>
      <c r="B2545" s="3">
        <v>1279</v>
      </c>
      <c r="C2545">
        <v>3</v>
      </c>
      <c r="D2545" t="s">
        <v>40</v>
      </c>
      <c r="E2545">
        <f>154/30</f>
        <v>5.13333333333333</v>
      </c>
      <c r="F2545">
        <v>0</v>
      </c>
    </row>
    <row r="2546" hidden="1" spans="1:6">
      <c r="A2546" s="2" t="s">
        <v>2683</v>
      </c>
      <c r="B2546" s="3">
        <v>4011402</v>
      </c>
      <c r="C2546">
        <v>3</v>
      </c>
      <c r="D2546" t="s">
        <v>36</v>
      </c>
      <c r="E2546">
        <f>69/30</f>
        <v>2.3</v>
      </c>
      <c r="F2546">
        <v>0</v>
      </c>
    </row>
    <row r="2547" hidden="1" spans="1:6">
      <c r="A2547" s="2" t="s">
        <v>2684</v>
      </c>
      <c r="B2547" s="3">
        <v>4011402</v>
      </c>
      <c r="C2547">
        <v>3</v>
      </c>
      <c r="D2547" t="s">
        <v>38</v>
      </c>
      <c r="E2547">
        <f>81/30</f>
        <v>2.7</v>
      </c>
      <c r="F2547">
        <v>0</v>
      </c>
    </row>
    <row r="2548" hidden="1" spans="1:6">
      <c r="A2548" s="2" t="s">
        <v>2685</v>
      </c>
      <c r="B2548" s="3">
        <v>4011402</v>
      </c>
      <c r="C2548">
        <v>3</v>
      </c>
      <c r="D2548" t="s">
        <v>40</v>
      </c>
      <c r="E2548">
        <f>77/30</f>
        <v>2.56666666666667</v>
      </c>
      <c r="F2548">
        <v>0</v>
      </c>
    </row>
    <row r="2549" hidden="1" spans="1:6">
      <c r="A2549" s="2" t="s">
        <v>2686</v>
      </c>
      <c r="B2549" s="3">
        <v>4011402</v>
      </c>
      <c r="C2549">
        <v>3</v>
      </c>
      <c r="D2549" t="s">
        <v>42</v>
      </c>
      <c r="E2549">
        <f>77/30</f>
        <v>2.56666666666667</v>
      </c>
      <c r="F2549">
        <v>0</v>
      </c>
    </row>
    <row r="2550" hidden="1" spans="1:6">
      <c r="A2550" s="2" t="s">
        <v>2687</v>
      </c>
      <c r="B2550" s="3">
        <v>4011402</v>
      </c>
      <c r="C2550">
        <v>3</v>
      </c>
      <c r="D2550" t="s">
        <v>44</v>
      </c>
      <c r="E2550">
        <f>303/30</f>
        <v>10.1</v>
      </c>
      <c r="F2550">
        <v>0</v>
      </c>
    </row>
    <row r="2551" hidden="1" spans="1:6">
      <c r="A2551" s="2" t="s">
        <v>2688</v>
      </c>
      <c r="B2551" s="3">
        <v>4011402</v>
      </c>
      <c r="C2551">
        <v>3</v>
      </c>
      <c r="D2551" t="s">
        <v>46</v>
      </c>
      <c r="E2551">
        <f>395/30</f>
        <v>13.1666666666667</v>
      </c>
      <c r="F2551">
        <v>0</v>
      </c>
    </row>
    <row r="2552" hidden="1" spans="1:6">
      <c r="A2552" s="2" t="s">
        <v>2689</v>
      </c>
      <c r="B2552" s="3">
        <v>4011402</v>
      </c>
      <c r="C2552">
        <v>3</v>
      </c>
      <c r="D2552" t="s">
        <v>86</v>
      </c>
      <c r="E2552">
        <f>385/30</f>
        <v>12.8333333333333</v>
      </c>
      <c r="F2552">
        <v>0</v>
      </c>
    </row>
    <row r="2553" hidden="1" spans="1:11">
      <c r="A2553" s="2" t="s">
        <v>2690</v>
      </c>
      <c r="B2553" s="3">
        <v>4011402</v>
      </c>
      <c r="C2553">
        <v>3</v>
      </c>
      <c r="D2553" t="s">
        <v>57</v>
      </c>
      <c r="E2553">
        <f>132/30</f>
        <v>4.4</v>
      </c>
      <c r="F2553">
        <v>0</v>
      </c>
      <c r="G2553" t="s">
        <v>942</v>
      </c>
      <c r="H2553" t="s">
        <v>943</v>
      </c>
      <c r="I2553" t="s">
        <v>2598</v>
      </c>
      <c r="J2553" t="s">
        <v>2440</v>
      </c>
      <c r="K2553" t="s">
        <v>942</v>
      </c>
    </row>
    <row r="2554" hidden="1" spans="1:6">
      <c r="A2554" s="2" t="s">
        <v>2691</v>
      </c>
      <c r="B2554" s="3">
        <v>4011402</v>
      </c>
      <c r="C2554">
        <v>3</v>
      </c>
      <c r="D2554" t="s">
        <v>1047</v>
      </c>
      <c r="E2554">
        <f>58/30</f>
        <v>1.93333333333333</v>
      </c>
      <c r="F2554">
        <v>0</v>
      </c>
    </row>
    <row r="2555" hidden="1" spans="1:6">
      <c r="A2555" s="2" t="s">
        <v>2692</v>
      </c>
      <c r="B2555" s="3">
        <v>4011402</v>
      </c>
      <c r="C2555">
        <v>3</v>
      </c>
      <c r="D2555" t="s">
        <v>60</v>
      </c>
      <c r="E2555">
        <f>66/30</f>
        <v>2.2</v>
      </c>
      <c r="F2555">
        <v>0</v>
      </c>
    </row>
    <row r="2556" hidden="1" spans="1:6">
      <c r="A2556" s="2" t="s">
        <v>2693</v>
      </c>
      <c r="B2556" s="3">
        <v>4011402</v>
      </c>
      <c r="C2556">
        <v>3</v>
      </c>
      <c r="D2556" t="s">
        <v>2198</v>
      </c>
      <c r="E2556">
        <f>60/30</f>
        <v>2</v>
      </c>
      <c r="F2556">
        <v>0</v>
      </c>
    </row>
    <row r="2557" hidden="1" spans="1:6">
      <c r="A2557" s="2" t="s">
        <v>2694</v>
      </c>
      <c r="B2557" s="3">
        <v>4011402</v>
      </c>
      <c r="C2557">
        <v>3</v>
      </c>
      <c r="D2557" t="s">
        <v>2182</v>
      </c>
      <c r="E2557">
        <f>40/30</f>
        <v>1.33333333333333</v>
      </c>
      <c r="F2557">
        <v>0</v>
      </c>
    </row>
    <row r="2558" hidden="1" spans="1:6">
      <c r="A2558" s="2" t="s">
        <v>2695</v>
      </c>
      <c r="B2558" s="3">
        <v>4011402</v>
      </c>
      <c r="C2558">
        <v>3</v>
      </c>
      <c r="D2558" t="s">
        <v>2184</v>
      </c>
      <c r="E2558">
        <f>60/30</f>
        <v>2</v>
      </c>
      <c r="F2558">
        <v>0</v>
      </c>
    </row>
    <row r="2559" hidden="1" spans="1:6">
      <c r="A2559" s="2" t="s">
        <v>2696</v>
      </c>
      <c r="B2559" s="3">
        <v>4011402</v>
      </c>
      <c r="C2559">
        <v>3</v>
      </c>
      <c r="D2559" t="s">
        <v>2186</v>
      </c>
      <c r="E2559">
        <f>40/30</f>
        <v>1.33333333333333</v>
      </c>
      <c r="F2559">
        <v>0</v>
      </c>
    </row>
    <row r="2560" hidden="1" spans="1:6">
      <c r="A2560" s="2" t="s">
        <v>2697</v>
      </c>
      <c r="B2560" s="3">
        <v>4011402</v>
      </c>
      <c r="C2560">
        <v>3</v>
      </c>
      <c r="D2560" t="s">
        <v>2188</v>
      </c>
      <c r="E2560">
        <f t="shared" ref="E2560:E2565" si="8">24/30</f>
        <v>0.8</v>
      </c>
      <c r="F2560">
        <v>0</v>
      </c>
    </row>
    <row r="2561" hidden="1" spans="1:6">
      <c r="A2561" s="2" t="s">
        <v>2698</v>
      </c>
      <c r="B2561" s="3">
        <v>4011402</v>
      </c>
      <c r="C2561">
        <v>3</v>
      </c>
      <c r="D2561" t="s">
        <v>2190</v>
      </c>
      <c r="E2561">
        <f t="shared" si="8"/>
        <v>0.8</v>
      </c>
      <c r="F2561">
        <v>0</v>
      </c>
    </row>
    <row r="2562" hidden="1" spans="1:6">
      <c r="A2562" s="2" t="s">
        <v>2699</v>
      </c>
      <c r="B2562" s="3">
        <v>4011402</v>
      </c>
      <c r="C2562">
        <v>3</v>
      </c>
      <c r="D2562" t="s">
        <v>2192</v>
      </c>
      <c r="E2562">
        <f t="shared" si="8"/>
        <v>0.8</v>
      </c>
      <c r="F2562">
        <v>0</v>
      </c>
    </row>
    <row r="2563" hidden="1" spans="1:6">
      <c r="A2563" s="2" t="s">
        <v>2700</v>
      </c>
      <c r="B2563" s="3">
        <v>4011402</v>
      </c>
      <c r="C2563">
        <v>3</v>
      </c>
      <c r="D2563" t="s">
        <v>2194</v>
      </c>
      <c r="E2563">
        <f t="shared" si="8"/>
        <v>0.8</v>
      </c>
      <c r="F2563">
        <v>0</v>
      </c>
    </row>
    <row r="2564" hidden="1" spans="1:6">
      <c r="A2564" s="2" t="s">
        <v>2701</v>
      </c>
      <c r="B2564" s="3">
        <v>4011402</v>
      </c>
      <c r="C2564">
        <v>3</v>
      </c>
      <c r="D2564" t="s">
        <v>300</v>
      </c>
      <c r="E2564">
        <f t="shared" si="8"/>
        <v>0.8</v>
      </c>
      <c r="F2564">
        <v>0</v>
      </c>
    </row>
    <row r="2565" hidden="1" spans="1:6">
      <c r="A2565" s="2" t="s">
        <v>2702</v>
      </c>
      <c r="B2565" s="3">
        <v>4011402</v>
      </c>
      <c r="C2565">
        <v>3</v>
      </c>
      <c r="D2565" t="s">
        <v>2178</v>
      </c>
      <c r="E2565">
        <f t="shared" si="8"/>
        <v>0.8</v>
      </c>
      <c r="F2565">
        <v>0</v>
      </c>
    </row>
    <row r="2566" hidden="1" spans="1:6">
      <c r="A2566" s="2" t="s">
        <v>2703</v>
      </c>
      <c r="B2566" s="3">
        <v>4011402</v>
      </c>
      <c r="C2566">
        <v>3</v>
      </c>
      <c r="D2566" t="s">
        <v>2196</v>
      </c>
      <c r="E2566">
        <f>50/30</f>
        <v>1.66666666666667</v>
      </c>
      <c r="F2566">
        <v>0</v>
      </c>
    </row>
    <row r="2567" hidden="1" spans="1:6">
      <c r="A2567" s="2" t="s">
        <v>2704</v>
      </c>
      <c r="B2567" s="3">
        <v>4011402</v>
      </c>
      <c r="C2567">
        <v>3</v>
      </c>
      <c r="D2567" t="s">
        <v>92</v>
      </c>
      <c r="E2567">
        <f>125/30</f>
        <v>4.16666666666667</v>
      </c>
      <c r="F2567">
        <v>0</v>
      </c>
    </row>
    <row r="2568" hidden="1" spans="1:6">
      <c r="A2568" s="2" t="s">
        <v>2705</v>
      </c>
      <c r="B2568" s="3">
        <v>4011402</v>
      </c>
      <c r="C2568">
        <v>3</v>
      </c>
      <c r="D2568" t="s">
        <v>109</v>
      </c>
      <c r="E2568">
        <f>125/30</f>
        <v>4.16666666666667</v>
      </c>
      <c r="F2568">
        <v>0</v>
      </c>
    </row>
    <row r="2569" hidden="1" spans="1:6">
      <c r="A2569" s="2" t="s">
        <v>2706</v>
      </c>
      <c r="B2569" s="3">
        <v>4011402</v>
      </c>
      <c r="C2569">
        <v>3</v>
      </c>
      <c r="D2569" t="s">
        <v>97</v>
      </c>
      <c r="E2569">
        <f>65/30</f>
        <v>2.16666666666667</v>
      </c>
      <c r="F2569">
        <v>0</v>
      </c>
    </row>
    <row r="2570" hidden="1" spans="1:6">
      <c r="A2570" s="2" t="s">
        <v>2707</v>
      </c>
      <c r="B2570" s="3">
        <v>4011402</v>
      </c>
      <c r="C2570">
        <v>3</v>
      </c>
      <c r="D2570" t="s">
        <v>77</v>
      </c>
      <c r="E2570">
        <f>105/30</f>
        <v>3.5</v>
      </c>
      <c r="F2570">
        <v>0</v>
      </c>
    </row>
    <row r="2571" hidden="1" spans="1:6">
      <c r="A2571" s="2" t="s">
        <v>2708</v>
      </c>
      <c r="B2571" s="3">
        <v>4011402</v>
      </c>
      <c r="C2571">
        <v>3</v>
      </c>
      <c r="D2571" t="s">
        <v>54</v>
      </c>
      <c r="E2571">
        <f>115/30</f>
        <v>3.83333333333333</v>
      </c>
      <c r="F2571">
        <v>0</v>
      </c>
    </row>
    <row r="2572" hidden="1" spans="1:6">
      <c r="A2572" s="2" t="s">
        <v>2709</v>
      </c>
      <c r="B2572" s="3">
        <v>4011402</v>
      </c>
      <c r="C2572">
        <v>3</v>
      </c>
      <c r="D2572" t="s">
        <v>2618</v>
      </c>
      <c r="E2572">
        <f>60/30</f>
        <v>2</v>
      </c>
      <c r="F2572">
        <v>0</v>
      </c>
    </row>
    <row r="2573" hidden="1" spans="1:6">
      <c r="A2573" s="2" t="s">
        <v>2710</v>
      </c>
      <c r="B2573" s="3">
        <v>4011402</v>
      </c>
      <c r="C2573">
        <v>3</v>
      </c>
      <c r="D2573" t="s">
        <v>1788</v>
      </c>
      <c r="E2573">
        <f>65/30</f>
        <v>2.16666666666667</v>
      </c>
      <c r="F2573">
        <v>0</v>
      </c>
    </row>
    <row r="2574" hidden="1" spans="1:6">
      <c r="A2574" s="2" t="s">
        <v>2711</v>
      </c>
      <c r="B2574" s="3">
        <v>4011402</v>
      </c>
      <c r="C2574">
        <v>3</v>
      </c>
      <c r="D2574" t="s">
        <v>2621</v>
      </c>
      <c r="E2574">
        <f>30/30</f>
        <v>1</v>
      </c>
      <c r="F2574">
        <v>0</v>
      </c>
    </row>
    <row r="2575" hidden="1" spans="1:6">
      <c r="A2575" s="2" t="s">
        <v>2712</v>
      </c>
      <c r="B2575" s="3">
        <v>4011402</v>
      </c>
      <c r="C2575">
        <v>3</v>
      </c>
      <c r="D2575" t="s">
        <v>2623</v>
      </c>
      <c r="E2575">
        <f t="shared" ref="E2575:E2579" si="9">60/30</f>
        <v>2</v>
      </c>
      <c r="F2575">
        <v>0</v>
      </c>
    </row>
    <row r="2576" hidden="1" spans="1:6">
      <c r="A2576" s="2" t="s">
        <v>2713</v>
      </c>
      <c r="B2576" s="3">
        <v>4011402</v>
      </c>
      <c r="C2576">
        <v>3</v>
      </c>
      <c r="D2576" t="s">
        <v>261</v>
      </c>
      <c r="E2576">
        <f>24/30</f>
        <v>0.8</v>
      </c>
      <c r="F2576">
        <v>0</v>
      </c>
    </row>
    <row r="2577" hidden="1" spans="1:6">
      <c r="A2577" s="2" t="s">
        <v>2714</v>
      </c>
      <c r="B2577" s="3">
        <v>4011402</v>
      </c>
      <c r="C2577">
        <v>3</v>
      </c>
      <c r="D2577" t="s">
        <v>236</v>
      </c>
      <c r="E2577">
        <f>80/30</f>
        <v>2.66666666666667</v>
      </c>
      <c r="F2577">
        <v>0</v>
      </c>
    </row>
    <row r="2578" hidden="1" spans="1:6">
      <c r="A2578" s="2" t="s">
        <v>2715</v>
      </c>
      <c r="B2578" s="3">
        <v>4011402</v>
      </c>
      <c r="C2578">
        <v>3</v>
      </c>
      <c r="D2578" t="s">
        <v>264</v>
      </c>
      <c r="E2578">
        <f t="shared" si="9"/>
        <v>2</v>
      </c>
      <c r="F2578">
        <v>0</v>
      </c>
    </row>
    <row r="2579" hidden="1" spans="1:6">
      <c r="A2579" s="2" t="s">
        <v>2716</v>
      </c>
      <c r="B2579" s="3">
        <v>4011402</v>
      </c>
      <c r="C2579">
        <v>3</v>
      </c>
      <c r="D2579" t="s">
        <v>2717</v>
      </c>
      <c r="E2579">
        <f t="shared" si="9"/>
        <v>2</v>
      </c>
      <c r="F2579">
        <v>0</v>
      </c>
    </row>
    <row r="2580" hidden="1" spans="1:6">
      <c r="A2580" s="2" t="s">
        <v>2718</v>
      </c>
      <c r="B2580" s="3">
        <v>4011402</v>
      </c>
      <c r="C2580">
        <v>3</v>
      </c>
      <c r="D2580" t="s">
        <v>2629</v>
      </c>
      <c r="E2580">
        <f>80/30</f>
        <v>2.66666666666667</v>
      </c>
      <c r="F2580">
        <v>0</v>
      </c>
    </row>
    <row r="2581" hidden="1" spans="1:6">
      <c r="A2581" s="2" t="s">
        <v>2719</v>
      </c>
      <c r="B2581" s="3">
        <v>4011402</v>
      </c>
      <c r="C2581">
        <v>3</v>
      </c>
      <c r="D2581" t="s">
        <v>268</v>
      </c>
      <c r="E2581">
        <f>69/30</f>
        <v>2.3</v>
      </c>
      <c r="F2581">
        <v>0</v>
      </c>
    </row>
    <row r="2582" hidden="1" spans="1:6">
      <c r="A2582" s="2" t="s">
        <v>2720</v>
      </c>
      <c r="B2582" s="3">
        <v>4011402</v>
      </c>
      <c r="C2582">
        <v>3</v>
      </c>
      <c r="D2582" t="s">
        <v>266</v>
      </c>
      <c r="E2582">
        <f>40/30</f>
        <v>1.33333333333333</v>
      </c>
      <c r="F2582">
        <v>0</v>
      </c>
    </row>
    <row r="2583" hidden="1" spans="1:6">
      <c r="A2583" s="2" t="s">
        <v>2721</v>
      </c>
      <c r="B2583" s="3">
        <v>4011402</v>
      </c>
      <c r="C2583">
        <v>3</v>
      </c>
      <c r="D2583" t="s">
        <v>2633</v>
      </c>
      <c r="E2583">
        <f>36/30</f>
        <v>1.2</v>
      </c>
      <c r="F2583">
        <v>0</v>
      </c>
    </row>
    <row r="2584" hidden="1" spans="1:6">
      <c r="A2584" s="2" t="s">
        <v>2722</v>
      </c>
      <c r="B2584" s="3">
        <v>4011402</v>
      </c>
      <c r="C2584">
        <v>3</v>
      </c>
      <c r="D2584" t="s">
        <v>204</v>
      </c>
      <c r="E2584">
        <f>43/30</f>
        <v>1.43333333333333</v>
      </c>
      <c r="F2584">
        <v>0</v>
      </c>
    </row>
    <row r="2585" hidden="1" spans="1:6">
      <c r="A2585" s="2" t="s">
        <v>2723</v>
      </c>
      <c r="B2585" s="3">
        <v>4011403</v>
      </c>
      <c r="C2585">
        <v>3</v>
      </c>
      <c r="D2585" t="s">
        <v>36</v>
      </c>
      <c r="E2585">
        <f>69/30</f>
        <v>2.3</v>
      </c>
      <c r="F2585">
        <v>0</v>
      </c>
    </row>
    <row r="2586" hidden="1" spans="1:6">
      <c r="A2586" s="2" t="s">
        <v>2724</v>
      </c>
      <c r="B2586" s="3">
        <v>4011403</v>
      </c>
      <c r="C2586">
        <v>3</v>
      </c>
      <c r="D2586" t="s">
        <v>38</v>
      </c>
      <c r="E2586">
        <f>81/30</f>
        <v>2.7</v>
      </c>
      <c r="F2586">
        <v>0</v>
      </c>
    </row>
    <row r="2587" hidden="1" spans="1:6">
      <c r="A2587" s="2" t="s">
        <v>2725</v>
      </c>
      <c r="B2587" s="3">
        <v>4011403</v>
      </c>
      <c r="C2587">
        <v>3</v>
      </c>
      <c r="D2587" t="s">
        <v>40</v>
      </c>
      <c r="E2587">
        <f>77/30</f>
        <v>2.56666666666667</v>
      </c>
      <c r="F2587">
        <v>0</v>
      </c>
    </row>
    <row r="2588" hidden="1" spans="1:6">
      <c r="A2588" s="2" t="s">
        <v>2726</v>
      </c>
      <c r="B2588" s="3">
        <v>4011403</v>
      </c>
      <c r="C2588">
        <v>3</v>
      </c>
      <c r="D2588" t="s">
        <v>42</v>
      </c>
      <c r="E2588">
        <f>77/30</f>
        <v>2.56666666666667</v>
      </c>
      <c r="F2588">
        <v>0</v>
      </c>
    </row>
    <row r="2589" hidden="1" spans="1:6">
      <c r="A2589" s="2" t="s">
        <v>2727</v>
      </c>
      <c r="B2589" s="3">
        <v>4011403</v>
      </c>
      <c r="C2589">
        <v>3</v>
      </c>
      <c r="D2589" t="s">
        <v>44</v>
      </c>
      <c r="E2589">
        <f>303/30</f>
        <v>10.1</v>
      </c>
      <c r="F2589">
        <v>0</v>
      </c>
    </row>
    <row r="2590" hidden="1" spans="1:6">
      <c r="A2590" s="2" t="s">
        <v>2728</v>
      </c>
      <c r="B2590" s="3">
        <v>4011403</v>
      </c>
      <c r="C2590">
        <v>3</v>
      </c>
      <c r="D2590" t="s">
        <v>46</v>
      </c>
      <c r="E2590">
        <f>395/30</f>
        <v>13.1666666666667</v>
      </c>
      <c r="F2590">
        <v>0</v>
      </c>
    </row>
    <row r="2591" hidden="1" spans="1:6">
      <c r="A2591" s="2" t="s">
        <v>2729</v>
      </c>
      <c r="B2591" s="3">
        <v>4011403</v>
      </c>
      <c r="C2591">
        <v>3</v>
      </c>
      <c r="D2591" t="s">
        <v>86</v>
      </c>
      <c r="E2591">
        <f>385/30</f>
        <v>12.8333333333333</v>
      </c>
      <c r="F2591">
        <v>0</v>
      </c>
    </row>
    <row r="2592" hidden="1" spans="1:11">
      <c r="A2592" s="2" t="s">
        <v>2730</v>
      </c>
      <c r="B2592" s="3">
        <v>4011403</v>
      </c>
      <c r="C2592">
        <v>3</v>
      </c>
      <c r="D2592" t="s">
        <v>57</v>
      </c>
      <c r="E2592">
        <f>132/30</f>
        <v>4.4</v>
      </c>
      <c r="F2592">
        <v>0</v>
      </c>
      <c r="G2592" t="s">
        <v>942</v>
      </c>
      <c r="H2592" t="s">
        <v>943</v>
      </c>
      <c r="I2592" t="s">
        <v>2598</v>
      </c>
      <c r="J2592" t="s">
        <v>2440</v>
      </c>
      <c r="K2592" t="s">
        <v>942</v>
      </c>
    </row>
    <row r="2593" hidden="1" spans="1:6">
      <c r="A2593" s="2" t="s">
        <v>2731</v>
      </c>
      <c r="B2593" s="3">
        <v>115</v>
      </c>
      <c r="C2593">
        <v>3</v>
      </c>
      <c r="D2593" t="s">
        <v>36</v>
      </c>
      <c r="E2593">
        <f>117/30</f>
        <v>3.9</v>
      </c>
      <c r="F2593">
        <v>0</v>
      </c>
    </row>
    <row r="2594" hidden="1" spans="1:6">
      <c r="A2594" s="2" t="s">
        <v>2732</v>
      </c>
      <c r="B2594" s="3">
        <v>115</v>
      </c>
      <c r="C2594">
        <v>3</v>
      </c>
      <c r="D2594" t="s">
        <v>38</v>
      </c>
      <c r="E2594">
        <f>88/30</f>
        <v>2.93333333333333</v>
      </c>
      <c r="F2594">
        <v>0</v>
      </c>
    </row>
    <row r="2595" hidden="1" spans="1:6">
      <c r="A2595" s="2" t="s">
        <v>2733</v>
      </c>
      <c r="B2595" s="3">
        <v>115</v>
      </c>
      <c r="C2595">
        <v>3</v>
      </c>
      <c r="D2595" t="s">
        <v>40</v>
      </c>
      <c r="E2595">
        <f>176/30</f>
        <v>5.86666666666667</v>
      </c>
      <c r="F2595">
        <v>0</v>
      </c>
    </row>
    <row r="2596" hidden="1" spans="1:6">
      <c r="A2596" s="2" t="s">
        <v>2734</v>
      </c>
      <c r="B2596" s="3">
        <v>115</v>
      </c>
      <c r="C2596">
        <v>3</v>
      </c>
      <c r="D2596" t="s">
        <v>42</v>
      </c>
      <c r="E2596">
        <f>139/30</f>
        <v>4.63333333333333</v>
      </c>
      <c r="F2596">
        <v>0</v>
      </c>
    </row>
    <row r="2597" hidden="1" spans="1:6">
      <c r="A2597" s="2" t="s">
        <v>2735</v>
      </c>
      <c r="B2597" s="3">
        <v>115</v>
      </c>
      <c r="C2597">
        <v>3</v>
      </c>
      <c r="D2597" t="s">
        <v>44</v>
      </c>
      <c r="E2597">
        <f>63/30</f>
        <v>2.1</v>
      </c>
      <c r="F2597">
        <v>0</v>
      </c>
    </row>
    <row r="2598" hidden="1" spans="1:6">
      <c r="A2598" s="2" t="s">
        <v>2736</v>
      </c>
      <c r="B2598" s="3">
        <v>115</v>
      </c>
      <c r="C2598">
        <v>3</v>
      </c>
      <c r="D2598" t="s">
        <v>46</v>
      </c>
      <c r="E2598">
        <f>71/60</f>
        <v>1.18333333333333</v>
      </c>
      <c r="F2598">
        <v>0</v>
      </c>
    </row>
    <row r="2599" hidden="1" spans="1:6">
      <c r="A2599" s="2" t="s">
        <v>2737</v>
      </c>
      <c r="B2599" s="3">
        <v>115</v>
      </c>
      <c r="C2599">
        <v>3</v>
      </c>
      <c r="D2599" t="s">
        <v>86</v>
      </c>
      <c r="E2599">
        <f>63/30</f>
        <v>2.1</v>
      </c>
      <c r="F2599">
        <v>0</v>
      </c>
    </row>
    <row r="2600" hidden="1" spans="1:6">
      <c r="A2600" s="2" t="s">
        <v>2738</v>
      </c>
      <c r="B2600" s="3">
        <v>115</v>
      </c>
      <c r="C2600">
        <v>3</v>
      </c>
      <c r="D2600" t="s">
        <v>50</v>
      </c>
      <c r="E2600">
        <f>77/30</f>
        <v>2.56666666666667</v>
      </c>
      <c r="F2600">
        <v>0</v>
      </c>
    </row>
    <row r="2601" hidden="1" spans="1:6">
      <c r="A2601" s="2" t="s">
        <v>2739</v>
      </c>
      <c r="B2601" s="3">
        <v>115</v>
      </c>
      <c r="C2601">
        <v>3</v>
      </c>
      <c r="D2601" t="s">
        <v>90</v>
      </c>
      <c r="E2601">
        <f>270/30</f>
        <v>9</v>
      </c>
      <c r="F2601">
        <v>0</v>
      </c>
    </row>
    <row r="2602" hidden="1" spans="1:6">
      <c r="A2602" s="2" t="s">
        <v>2740</v>
      </c>
      <c r="B2602" s="3">
        <v>115</v>
      </c>
      <c r="C2602">
        <v>3</v>
      </c>
      <c r="D2602" t="s">
        <v>48</v>
      </c>
      <c r="E2602">
        <f>414/30</f>
        <v>13.8</v>
      </c>
      <c r="F2602">
        <v>0</v>
      </c>
    </row>
    <row r="2603" hidden="1" spans="1:6">
      <c r="A2603" s="2" t="s">
        <v>2741</v>
      </c>
      <c r="B2603" s="3">
        <v>115</v>
      </c>
      <c r="C2603">
        <v>3</v>
      </c>
      <c r="D2603" t="s">
        <v>52</v>
      </c>
      <c r="E2603">
        <f>350/30</f>
        <v>11.6666666666667</v>
      </c>
      <c r="F2603">
        <v>0</v>
      </c>
    </row>
    <row r="2604" hidden="1" spans="1:11">
      <c r="A2604" s="2" t="s">
        <v>2742</v>
      </c>
      <c r="B2604" s="3">
        <v>115</v>
      </c>
      <c r="C2604">
        <v>3</v>
      </c>
      <c r="D2604" t="s">
        <v>57</v>
      </c>
      <c r="E2604">
        <f>182/30</f>
        <v>6.06666666666667</v>
      </c>
      <c r="F2604">
        <v>0</v>
      </c>
      <c r="G2604">
        <v>0</v>
      </c>
      <c r="H2604">
        <v>2</v>
      </c>
      <c r="I2604">
        <v>3651</v>
      </c>
      <c r="J2604" t="s">
        <v>58</v>
      </c>
      <c r="K2604">
        <v>1</v>
      </c>
    </row>
    <row r="2605" hidden="1" spans="1:6">
      <c r="A2605" s="2" t="s">
        <v>2743</v>
      </c>
      <c r="B2605" s="3">
        <v>115</v>
      </c>
      <c r="C2605">
        <v>3</v>
      </c>
      <c r="D2605" t="s">
        <v>92</v>
      </c>
      <c r="E2605">
        <f>130/30</f>
        <v>4.33333333333333</v>
      </c>
      <c r="F2605">
        <v>0</v>
      </c>
    </row>
    <row r="2606" hidden="1" spans="1:6">
      <c r="A2606" s="2" t="s">
        <v>2744</v>
      </c>
      <c r="B2606" s="3">
        <v>115</v>
      </c>
      <c r="C2606">
        <v>3</v>
      </c>
      <c r="D2606" t="s">
        <v>109</v>
      </c>
      <c r="E2606">
        <f>98/30</f>
        <v>3.26666666666667</v>
      </c>
      <c r="F2606">
        <v>0</v>
      </c>
    </row>
    <row r="2607" hidden="1" spans="1:6">
      <c r="A2607" s="2" t="s">
        <v>2745</v>
      </c>
      <c r="B2607" s="3">
        <v>115</v>
      </c>
      <c r="C2607">
        <v>3</v>
      </c>
      <c r="D2607" t="s">
        <v>97</v>
      </c>
      <c r="E2607">
        <f>99/30</f>
        <v>3.3</v>
      </c>
      <c r="F2607">
        <v>0</v>
      </c>
    </row>
    <row r="2608" hidden="1" spans="1:6">
      <c r="A2608" s="2" t="s">
        <v>2746</v>
      </c>
      <c r="B2608" s="3">
        <v>115</v>
      </c>
      <c r="C2608">
        <v>3</v>
      </c>
      <c r="D2608" t="s">
        <v>77</v>
      </c>
      <c r="E2608">
        <f>100/30</f>
        <v>3.33333333333333</v>
      </c>
      <c r="F2608">
        <v>0</v>
      </c>
    </row>
    <row r="2609" hidden="1" spans="1:6">
      <c r="A2609" s="2" t="s">
        <v>2747</v>
      </c>
      <c r="B2609" s="3">
        <v>115</v>
      </c>
      <c r="C2609">
        <v>3</v>
      </c>
      <c r="D2609" t="s">
        <v>54</v>
      </c>
      <c r="E2609">
        <f>154/30</f>
        <v>5.13333333333333</v>
      </c>
      <c r="F2609">
        <v>0</v>
      </c>
    </row>
    <row r="2610" hidden="1" spans="1:6">
      <c r="A2610" s="2" t="s">
        <v>2748</v>
      </c>
      <c r="B2610" s="3">
        <v>115</v>
      </c>
      <c r="C2610">
        <v>3</v>
      </c>
      <c r="D2610" t="s">
        <v>2618</v>
      </c>
      <c r="E2610">
        <f>80/30</f>
        <v>2.66666666666667</v>
      </c>
      <c r="F2610">
        <v>1</v>
      </c>
    </row>
    <row r="2611" hidden="1" spans="1:6">
      <c r="A2611" s="2" t="s">
        <v>2749</v>
      </c>
      <c r="B2611" s="3">
        <v>115</v>
      </c>
      <c r="C2611">
        <v>3</v>
      </c>
      <c r="D2611" t="s">
        <v>2621</v>
      </c>
      <c r="E2611">
        <f>20/30</f>
        <v>0.666666666666667</v>
      </c>
      <c r="F2611">
        <v>1</v>
      </c>
    </row>
    <row r="2612" hidden="1" spans="1:6">
      <c r="A2612" s="2" t="s">
        <v>2750</v>
      </c>
      <c r="B2612" s="3">
        <v>115</v>
      </c>
      <c r="C2612">
        <v>3</v>
      </c>
      <c r="D2612" t="s">
        <v>2623</v>
      </c>
      <c r="E2612">
        <f>80/30</f>
        <v>2.66666666666667</v>
      </c>
      <c r="F2612">
        <v>1</v>
      </c>
    </row>
    <row r="2613" hidden="1" spans="1:6">
      <c r="A2613" s="2" t="s">
        <v>2751</v>
      </c>
      <c r="B2613" s="3">
        <v>115</v>
      </c>
      <c r="C2613">
        <v>3</v>
      </c>
      <c r="D2613" t="s">
        <v>236</v>
      </c>
      <c r="E2613">
        <f>62/30</f>
        <v>2.06666666666667</v>
      </c>
      <c r="F2613">
        <v>0</v>
      </c>
    </row>
    <row r="2614" hidden="1" spans="1:6">
      <c r="A2614" s="2" t="s">
        <v>2752</v>
      </c>
      <c r="B2614" s="3">
        <v>115</v>
      </c>
      <c r="C2614">
        <v>3</v>
      </c>
      <c r="D2614" t="s">
        <v>264</v>
      </c>
      <c r="E2614">
        <f>80/30</f>
        <v>2.66666666666667</v>
      </c>
      <c r="F2614">
        <v>0</v>
      </c>
    </row>
    <row r="2615" hidden="1" spans="1:6">
      <c r="A2615" s="2" t="s">
        <v>2753</v>
      </c>
      <c r="B2615" s="3">
        <v>115</v>
      </c>
      <c r="C2615">
        <v>3</v>
      </c>
      <c r="D2615" t="s">
        <v>266</v>
      </c>
      <c r="E2615">
        <f>36/30</f>
        <v>1.2</v>
      </c>
      <c r="F2615">
        <v>0</v>
      </c>
    </row>
    <row r="2616" hidden="1" spans="1:6">
      <c r="A2616" s="2" t="s">
        <v>2754</v>
      </c>
      <c r="B2616" s="3">
        <v>115</v>
      </c>
      <c r="C2616">
        <v>3</v>
      </c>
      <c r="D2616" t="s">
        <v>2629</v>
      </c>
      <c r="E2616">
        <f>80/30</f>
        <v>2.66666666666667</v>
      </c>
      <c r="F2616">
        <v>0</v>
      </c>
    </row>
    <row r="2617" hidden="1" spans="1:6">
      <c r="A2617" s="2" t="s">
        <v>2755</v>
      </c>
      <c r="B2617" s="3">
        <v>115</v>
      </c>
      <c r="C2617">
        <v>3</v>
      </c>
      <c r="D2617" t="s">
        <v>2633</v>
      </c>
      <c r="E2617">
        <f>36/30</f>
        <v>1.2</v>
      </c>
      <c r="F2617">
        <v>1</v>
      </c>
    </row>
    <row r="2618" hidden="1" spans="1:6">
      <c r="A2618" s="2" t="s">
        <v>2756</v>
      </c>
      <c r="B2618" s="3">
        <v>115</v>
      </c>
      <c r="C2618">
        <v>3</v>
      </c>
      <c r="D2618" t="s">
        <v>204</v>
      </c>
      <c r="E2618">
        <f>73/30</f>
        <v>2.43333333333333</v>
      </c>
      <c r="F2618">
        <v>0</v>
      </c>
    </row>
    <row r="2619" hidden="1" spans="1:6">
      <c r="A2619" s="2" t="s">
        <v>2757</v>
      </c>
      <c r="B2619" s="3">
        <v>115</v>
      </c>
      <c r="C2619">
        <v>3</v>
      </c>
      <c r="D2619" t="s">
        <v>130</v>
      </c>
      <c r="E2619">
        <f>80/30</f>
        <v>2.66666666666667</v>
      </c>
      <c r="F2619">
        <v>1</v>
      </c>
    </row>
    <row r="2620" hidden="1" spans="1:6">
      <c r="A2620" s="2" t="s">
        <v>2758</v>
      </c>
      <c r="B2620" s="3">
        <v>115</v>
      </c>
      <c r="C2620">
        <v>3</v>
      </c>
      <c r="D2620" t="s">
        <v>1047</v>
      </c>
      <c r="E2620">
        <f>58/30</f>
        <v>1.93333333333333</v>
      </c>
      <c r="F2620">
        <v>0</v>
      </c>
    </row>
    <row r="2621" hidden="1" spans="1:6">
      <c r="A2621" s="2" t="s">
        <v>2759</v>
      </c>
      <c r="B2621" s="3">
        <v>115</v>
      </c>
      <c r="C2621">
        <v>3</v>
      </c>
      <c r="D2621" t="s">
        <v>272</v>
      </c>
      <c r="E2621">
        <f>36/30</f>
        <v>1.2</v>
      </c>
      <c r="F2621">
        <v>0</v>
      </c>
    </row>
    <row r="2622" hidden="1" spans="1:6">
      <c r="A2622" s="2" t="s">
        <v>2760</v>
      </c>
      <c r="B2622" s="3">
        <v>115</v>
      </c>
      <c r="C2622">
        <v>3</v>
      </c>
      <c r="D2622" t="s">
        <v>60</v>
      </c>
      <c r="E2622">
        <f>106/30</f>
        <v>3.53333333333333</v>
      </c>
      <c r="F2622">
        <v>0</v>
      </c>
    </row>
    <row r="2623" hidden="1" spans="1:6">
      <c r="A2623" s="2" t="s">
        <v>2761</v>
      </c>
      <c r="B2623" s="3">
        <v>115</v>
      </c>
      <c r="C2623">
        <v>3</v>
      </c>
      <c r="D2623" t="s">
        <v>300</v>
      </c>
      <c r="E2623">
        <v>0.8</v>
      </c>
      <c r="F2623">
        <v>0</v>
      </c>
    </row>
    <row r="2624" hidden="1" spans="1:6">
      <c r="A2624" s="2" t="s">
        <v>2762</v>
      </c>
      <c r="B2624" s="3">
        <v>115</v>
      </c>
      <c r="C2624">
        <v>3</v>
      </c>
      <c r="D2624" t="s">
        <v>2178</v>
      </c>
      <c r="E2624">
        <v>0.8</v>
      </c>
      <c r="F2624">
        <v>0</v>
      </c>
    </row>
    <row r="2625" hidden="1" spans="1:6">
      <c r="A2625" s="2" t="s">
        <v>2763</v>
      </c>
      <c r="B2625" s="3">
        <v>115</v>
      </c>
      <c r="C2625">
        <v>3</v>
      </c>
      <c r="D2625" t="s">
        <v>2188</v>
      </c>
      <c r="E2625">
        <f>24/30</f>
        <v>0.8</v>
      </c>
      <c r="F2625">
        <v>0</v>
      </c>
    </row>
    <row r="2626" hidden="1" spans="1:6">
      <c r="A2626" s="2" t="s">
        <v>2764</v>
      </c>
      <c r="B2626" s="3">
        <v>115</v>
      </c>
      <c r="C2626">
        <v>3</v>
      </c>
      <c r="D2626" t="s">
        <v>2190</v>
      </c>
      <c r="E2626">
        <f>24/30</f>
        <v>0.8</v>
      </c>
      <c r="F2626">
        <v>0</v>
      </c>
    </row>
    <row r="2627" hidden="1" spans="1:6">
      <c r="A2627" s="2" t="s">
        <v>2765</v>
      </c>
      <c r="B2627" s="3">
        <v>115</v>
      </c>
      <c r="C2627">
        <v>3</v>
      </c>
      <c r="D2627" t="s">
        <v>2192</v>
      </c>
      <c r="E2627">
        <f>24/30</f>
        <v>0.8</v>
      </c>
      <c r="F2627">
        <v>0</v>
      </c>
    </row>
    <row r="2628" hidden="1" spans="1:6">
      <c r="A2628" s="2" t="s">
        <v>2766</v>
      </c>
      <c r="B2628" s="3">
        <v>115</v>
      </c>
      <c r="C2628">
        <v>3</v>
      </c>
      <c r="D2628" t="s">
        <v>2194</v>
      </c>
      <c r="E2628">
        <f>24/30</f>
        <v>0.8</v>
      </c>
      <c r="F2628">
        <v>0</v>
      </c>
    </row>
    <row r="2629" hidden="1" spans="1:6">
      <c r="A2629" s="2" t="s">
        <v>2767</v>
      </c>
      <c r="B2629" s="3">
        <v>115</v>
      </c>
      <c r="C2629">
        <v>3</v>
      </c>
      <c r="D2629" t="s">
        <v>2182</v>
      </c>
      <c r="E2629">
        <f>40/30</f>
        <v>1.33333333333333</v>
      </c>
      <c r="F2629">
        <v>0</v>
      </c>
    </row>
    <row r="2630" hidden="1" spans="1:6">
      <c r="A2630" s="2" t="s">
        <v>2768</v>
      </c>
      <c r="B2630" s="3">
        <v>115</v>
      </c>
      <c r="C2630">
        <v>3</v>
      </c>
      <c r="D2630" t="s">
        <v>2184</v>
      </c>
      <c r="E2630">
        <f>2</f>
        <v>2</v>
      </c>
      <c r="F2630">
        <v>1</v>
      </c>
    </row>
    <row r="2631" hidden="1" spans="1:6">
      <c r="A2631" s="2" t="s">
        <v>2769</v>
      </c>
      <c r="B2631" s="3">
        <v>115</v>
      </c>
      <c r="C2631">
        <v>3</v>
      </c>
      <c r="D2631" t="s">
        <v>2186</v>
      </c>
      <c r="E2631">
        <f>40/30</f>
        <v>1.33333333333333</v>
      </c>
      <c r="F2631">
        <v>0</v>
      </c>
    </row>
    <row r="2632" hidden="1" spans="1:6">
      <c r="A2632" s="2" t="s">
        <v>2770</v>
      </c>
      <c r="B2632" s="3">
        <v>115</v>
      </c>
      <c r="C2632">
        <v>3</v>
      </c>
      <c r="D2632" t="s">
        <v>2198</v>
      </c>
      <c r="E2632">
        <v>2</v>
      </c>
      <c r="F2632">
        <v>1</v>
      </c>
    </row>
    <row r="2633" hidden="1" spans="1:6">
      <c r="A2633" s="2" t="s">
        <v>2771</v>
      </c>
      <c r="B2633" s="3">
        <v>115</v>
      </c>
      <c r="C2633">
        <v>3</v>
      </c>
      <c r="D2633" t="s">
        <v>2196</v>
      </c>
      <c r="E2633">
        <f>50/30</f>
        <v>1.66666666666667</v>
      </c>
      <c r="F2633">
        <v>0</v>
      </c>
    </row>
    <row r="2634" hidden="1" spans="1:6">
      <c r="A2634" s="5" t="s">
        <v>2772</v>
      </c>
      <c r="B2634" s="54">
        <v>98</v>
      </c>
      <c r="C2634" s="1">
        <v>3</v>
      </c>
      <c r="D2634" s="1" t="s">
        <v>48</v>
      </c>
      <c r="E2634" s="107">
        <f>102/30</f>
        <v>3.4</v>
      </c>
      <c r="F2634" s="1">
        <v>0</v>
      </c>
    </row>
    <row r="2635" hidden="1" spans="1:6">
      <c r="A2635" s="2" t="s">
        <v>2773</v>
      </c>
      <c r="B2635" s="3">
        <v>4011501</v>
      </c>
      <c r="C2635">
        <v>3</v>
      </c>
      <c r="D2635" t="s">
        <v>36</v>
      </c>
      <c r="E2635">
        <v>3.9</v>
      </c>
      <c r="F2635">
        <v>0</v>
      </c>
    </row>
    <row r="2636" hidden="1" spans="1:6">
      <c r="A2636" s="2" t="s">
        <v>2774</v>
      </c>
      <c r="B2636" s="3">
        <v>4011501</v>
      </c>
      <c r="C2636">
        <v>3</v>
      </c>
      <c r="D2636" t="s">
        <v>38</v>
      </c>
      <c r="E2636">
        <v>2.93333333333333</v>
      </c>
      <c r="F2636">
        <v>0</v>
      </c>
    </row>
    <row r="2637" hidden="1" spans="1:6">
      <c r="A2637" s="2" t="s">
        <v>2775</v>
      </c>
      <c r="B2637" s="3">
        <v>4011501</v>
      </c>
      <c r="C2637">
        <v>3</v>
      </c>
      <c r="D2637" t="s">
        <v>40</v>
      </c>
      <c r="E2637">
        <v>5.86666666666667</v>
      </c>
      <c r="F2637">
        <v>0</v>
      </c>
    </row>
    <row r="2638" hidden="1" spans="1:6">
      <c r="A2638" s="2" t="s">
        <v>2776</v>
      </c>
      <c r="B2638" s="3">
        <v>4011501</v>
      </c>
      <c r="C2638">
        <v>3</v>
      </c>
      <c r="D2638" t="s">
        <v>42</v>
      </c>
      <c r="E2638">
        <v>4.63333333333333</v>
      </c>
      <c r="F2638">
        <v>0</v>
      </c>
    </row>
    <row r="2639" hidden="1" spans="1:6">
      <c r="A2639" s="2" t="s">
        <v>2777</v>
      </c>
      <c r="B2639" s="3">
        <v>4011501</v>
      </c>
      <c r="C2639">
        <v>3</v>
      </c>
      <c r="D2639" t="s">
        <v>44</v>
      </c>
      <c r="E2639">
        <v>2.1</v>
      </c>
      <c r="F2639">
        <v>0</v>
      </c>
    </row>
    <row r="2640" hidden="1" spans="1:6">
      <c r="A2640" s="2" t="s">
        <v>2778</v>
      </c>
      <c r="B2640" s="3">
        <v>4011501</v>
      </c>
      <c r="C2640">
        <v>3</v>
      </c>
      <c r="D2640" t="s">
        <v>46</v>
      </c>
      <c r="E2640">
        <v>1.18333333333333</v>
      </c>
      <c r="F2640">
        <v>0</v>
      </c>
    </row>
    <row r="2641" hidden="1" spans="1:6">
      <c r="A2641" s="2" t="s">
        <v>2779</v>
      </c>
      <c r="B2641" s="3">
        <v>4011501</v>
      </c>
      <c r="C2641">
        <v>3</v>
      </c>
      <c r="D2641" t="s">
        <v>86</v>
      </c>
      <c r="E2641">
        <v>2.1</v>
      </c>
      <c r="F2641">
        <v>0</v>
      </c>
    </row>
    <row r="2642" hidden="1" spans="1:6">
      <c r="A2642" s="2" t="s">
        <v>2780</v>
      </c>
      <c r="B2642" s="3">
        <v>4011501</v>
      </c>
      <c r="C2642">
        <v>3</v>
      </c>
      <c r="D2642" t="s">
        <v>50</v>
      </c>
      <c r="E2642">
        <v>2.56666666666667</v>
      </c>
      <c r="F2642">
        <v>0</v>
      </c>
    </row>
    <row r="2643" hidden="1" spans="1:6">
      <c r="A2643" s="2" t="s">
        <v>2781</v>
      </c>
      <c r="B2643" s="3">
        <v>4011501</v>
      </c>
      <c r="C2643">
        <v>3</v>
      </c>
      <c r="D2643" t="s">
        <v>90</v>
      </c>
      <c r="E2643">
        <v>9</v>
      </c>
      <c r="F2643">
        <v>0</v>
      </c>
    </row>
    <row r="2644" hidden="1" spans="1:6">
      <c r="A2644" s="2" t="s">
        <v>2782</v>
      </c>
      <c r="B2644" s="3">
        <v>4011501</v>
      </c>
      <c r="C2644">
        <v>3</v>
      </c>
      <c r="D2644" t="s">
        <v>48</v>
      </c>
      <c r="E2644">
        <v>13.8</v>
      </c>
      <c r="F2644">
        <v>0</v>
      </c>
    </row>
    <row r="2645" hidden="1" spans="1:6">
      <c r="A2645" s="2" t="s">
        <v>2783</v>
      </c>
      <c r="B2645" s="3">
        <v>4011501</v>
      </c>
      <c r="C2645">
        <v>3</v>
      </c>
      <c r="D2645" t="s">
        <v>52</v>
      </c>
      <c r="E2645">
        <v>11.6666666666667</v>
      </c>
      <c r="F2645">
        <v>0</v>
      </c>
    </row>
    <row r="2646" hidden="1" spans="1:11">
      <c r="A2646" s="2" t="s">
        <v>2784</v>
      </c>
      <c r="B2646" s="3">
        <v>4011501</v>
      </c>
      <c r="C2646">
        <v>3</v>
      </c>
      <c r="D2646" t="s">
        <v>57</v>
      </c>
      <c r="E2646">
        <v>6.06666666666667</v>
      </c>
      <c r="F2646">
        <v>0</v>
      </c>
      <c r="G2646">
        <v>0</v>
      </c>
      <c r="H2646">
        <v>2</v>
      </c>
      <c r="I2646">
        <v>3651</v>
      </c>
      <c r="J2646" t="s">
        <v>58</v>
      </c>
      <c r="K2646">
        <v>1</v>
      </c>
    </row>
    <row r="2647" hidden="1" spans="1:6">
      <c r="A2647" s="2" t="s">
        <v>2785</v>
      </c>
      <c r="B2647" s="3">
        <v>4011501</v>
      </c>
      <c r="C2647">
        <v>3</v>
      </c>
      <c r="D2647" t="s">
        <v>92</v>
      </c>
      <c r="E2647">
        <v>4.33333333333333</v>
      </c>
      <c r="F2647">
        <v>0</v>
      </c>
    </row>
    <row r="2648" hidden="1" spans="1:6">
      <c r="A2648" s="2" t="s">
        <v>2786</v>
      </c>
      <c r="B2648" s="3">
        <v>4011501</v>
      </c>
      <c r="C2648">
        <v>3</v>
      </c>
      <c r="D2648" t="s">
        <v>109</v>
      </c>
      <c r="E2648">
        <v>3.26666666666667</v>
      </c>
      <c r="F2648">
        <v>0</v>
      </c>
    </row>
    <row r="2649" hidden="1" spans="1:6">
      <c r="A2649" s="2" t="s">
        <v>2787</v>
      </c>
      <c r="B2649" s="3">
        <v>4011501</v>
      </c>
      <c r="C2649">
        <v>3</v>
      </c>
      <c r="D2649" t="s">
        <v>97</v>
      </c>
      <c r="E2649">
        <v>3.3</v>
      </c>
      <c r="F2649">
        <v>0</v>
      </c>
    </row>
    <row r="2650" hidden="1" spans="1:6">
      <c r="A2650" s="2" t="s">
        <v>2788</v>
      </c>
      <c r="B2650" s="3">
        <v>4011501</v>
      </c>
      <c r="C2650">
        <v>3</v>
      </c>
      <c r="D2650" t="s">
        <v>77</v>
      </c>
      <c r="E2650">
        <v>3.33333333333333</v>
      </c>
      <c r="F2650">
        <v>0</v>
      </c>
    </row>
    <row r="2651" hidden="1" spans="1:6">
      <c r="A2651" s="2" t="s">
        <v>2789</v>
      </c>
      <c r="B2651" s="3">
        <v>4011501</v>
      </c>
      <c r="C2651">
        <v>3</v>
      </c>
      <c r="D2651" t="s">
        <v>54</v>
      </c>
      <c r="E2651">
        <v>5.13333333333333</v>
      </c>
      <c r="F2651">
        <v>0</v>
      </c>
    </row>
    <row r="2652" hidden="1" spans="1:6">
      <c r="A2652" s="2" t="s">
        <v>2790</v>
      </c>
      <c r="B2652" s="3">
        <v>4011501</v>
      </c>
      <c r="C2652">
        <v>3</v>
      </c>
      <c r="D2652" t="s">
        <v>2618</v>
      </c>
      <c r="E2652">
        <v>2.66666666666667</v>
      </c>
      <c r="F2652">
        <v>1</v>
      </c>
    </row>
    <row r="2653" hidden="1" spans="1:6">
      <c r="A2653" s="2" t="s">
        <v>2791</v>
      </c>
      <c r="B2653" s="3">
        <v>4011501</v>
      </c>
      <c r="C2653">
        <v>3</v>
      </c>
      <c r="D2653" t="s">
        <v>2621</v>
      </c>
      <c r="E2653">
        <v>0.666666666666667</v>
      </c>
      <c r="F2653">
        <v>1</v>
      </c>
    </row>
    <row r="2654" hidden="1" spans="1:6">
      <c r="A2654" s="2" t="s">
        <v>2792</v>
      </c>
      <c r="B2654" s="3">
        <v>4011501</v>
      </c>
      <c r="C2654">
        <v>3</v>
      </c>
      <c r="D2654" t="s">
        <v>2623</v>
      </c>
      <c r="E2654">
        <v>2.66666666666667</v>
      </c>
      <c r="F2654">
        <v>1</v>
      </c>
    </row>
    <row r="2655" hidden="1" spans="1:6">
      <c r="A2655" s="2" t="s">
        <v>2793</v>
      </c>
      <c r="B2655" s="3">
        <v>4011501</v>
      </c>
      <c r="C2655">
        <v>3</v>
      </c>
      <c r="D2655" t="s">
        <v>236</v>
      </c>
      <c r="E2655">
        <v>2.06666666666667</v>
      </c>
      <c r="F2655">
        <v>0</v>
      </c>
    </row>
    <row r="2656" hidden="1" spans="1:6">
      <c r="A2656" s="2" t="s">
        <v>2794</v>
      </c>
      <c r="B2656" s="3">
        <v>4011501</v>
      </c>
      <c r="C2656">
        <v>3</v>
      </c>
      <c r="D2656" t="s">
        <v>264</v>
      </c>
      <c r="E2656">
        <v>2.66666666666667</v>
      </c>
      <c r="F2656">
        <v>0</v>
      </c>
    </row>
    <row r="2657" hidden="1" spans="1:6">
      <c r="A2657" s="2" t="s">
        <v>2795</v>
      </c>
      <c r="B2657" s="3">
        <v>4011501</v>
      </c>
      <c r="C2657">
        <v>3</v>
      </c>
      <c r="D2657" t="s">
        <v>266</v>
      </c>
      <c r="E2657">
        <v>1.2</v>
      </c>
      <c r="F2657">
        <v>0</v>
      </c>
    </row>
    <row r="2658" hidden="1" spans="1:6">
      <c r="A2658" s="2" t="s">
        <v>2796</v>
      </c>
      <c r="B2658" s="3">
        <v>4011501</v>
      </c>
      <c r="C2658">
        <v>3</v>
      </c>
      <c r="D2658" t="s">
        <v>2629</v>
      </c>
      <c r="E2658">
        <v>2.66666666666667</v>
      </c>
      <c r="F2658">
        <v>0</v>
      </c>
    </row>
    <row r="2659" hidden="1" spans="1:6">
      <c r="A2659" s="2" t="s">
        <v>2797</v>
      </c>
      <c r="B2659" s="3">
        <v>4011501</v>
      </c>
      <c r="C2659">
        <v>3</v>
      </c>
      <c r="D2659" t="s">
        <v>2633</v>
      </c>
      <c r="E2659">
        <v>1.2</v>
      </c>
      <c r="F2659">
        <v>1</v>
      </c>
    </row>
    <row r="2660" hidden="1" spans="1:6">
      <c r="A2660" s="2" t="s">
        <v>2798</v>
      </c>
      <c r="B2660" s="3">
        <v>4011501</v>
      </c>
      <c r="C2660">
        <v>3</v>
      </c>
      <c r="D2660" t="s">
        <v>204</v>
      </c>
      <c r="E2660">
        <v>2.43333333333333</v>
      </c>
      <c r="F2660">
        <v>0</v>
      </c>
    </row>
    <row r="2661" hidden="1" spans="1:6">
      <c r="A2661" s="2" t="s">
        <v>2799</v>
      </c>
      <c r="B2661" s="3">
        <v>4011501</v>
      </c>
      <c r="C2661">
        <v>3</v>
      </c>
      <c r="D2661" t="s">
        <v>130</v>
      </c>
      <c r="E2661">
        <v>2.66666666666667</v>
      </c>
      <c r="F2661">
        <v>1</v>
      </c>
    </row>
    <row r="2662" hidden="1" spans="1:6">
      <c r="A2662" s="2" t="s">
        <v>2800</v>
      </c>
      <c r="B2662" s="3">
        <v>4011501</v>
      </c>
      <c r="C2662">
        <v>3</v>
      </c>
      <c r="D2662" t="s">
        <v>1047</v>
      </c>
      <c r="E2662">
        <v>1.93333333333333</v>
      </c>
      <c r="F2662">
        <v>0</v>
      </c>
    </row>
    <row r="2663" hidden="1" spans="1:6">
      <c r="A2663" s="2" t="s">
        <v>2801</v>
      </c>
      <c r="B2663" s="3">
        <v>4011501</v>
      </c>
      <c r="C2663">
        <v>3</v>
      </c>
      <c r="D2663" t="s">
        <v>272</v>
      </c>
      <c r="E2663">
        <v>1.2</v>
      </c>
      <c r="F2663">
        <v>0</v>
      </c>
    </row>
    <row r="2664" hidden="1" spans="1:6">
      <c r="A2664" s="2" t="s">
        <v>2802</v>
      </c>
      <c r="B2664" s="3">
        <v>4011501</v>
      </c>
      <c r="C2664">
        <v>3</v>
      </c>
      <c r="D2664" t="s">
        <v>60</v>
      </c>
      <c r="E2664">
        <v>3.53333333333333</v>
      </c>
      <c r="F2664">
        <v>0</v>
      </c>
    </row>
    <row r="2665" hidden="1" spans="1:6">
      <c r="A2665" s="2" t="s">
        <v>2803</v>
      </c>
      <c r="B2665" s="3">
        <v>4011501</v>
      </c>
      <c r="C2665">
        <v>3</v>
      </c>
      <c r="D2665" t="s">
        <v>300</v>
      </c>
      <c r="E2665">
        <v>0.8</v>
      </c>
      <c r="F2665">
        <v>0</v>
      </c>
    </row>
    <row r="2666" hidden="1" spans="1:6">
      <c r="A2666" s="2" t="s">
        <v>2804</v>
      </c>
      <c r="B2666" s="3">
        <v>4011501</v>
      </c>
      <c r="C2666">
        <v>3</v>
      </c>
      <c r="D2666" t="s">
        <v>2178</v>
      </c>
      <c r="E2666">
        <v>0.8</v>
      </c>
      <c r="F2666">
        <v>0</v>
      </c>
    </row>
    <row r="2667" hidden="1" spans="1:6">
      <c r="A2667" s="2" t="s">
        <v>2805</v>
      </c>
      <c r="B2667" s="3">
        <v>4011501</v>
      </c>
      <c r="C2667">
        <v>3</v>
      </c>
      <c r="D2667" t="s">
        <v>2188</v>
      </c>
      <c r="E2667">
        <v>0.8</v>
      </c>
      <c r="F2667">
        <v>0</v>
      </c>
    </row>
    <row r="2668" hidden="1" spans="1:6">
      <c r="A2668" s="2" t="s">
        <v>2806</v>
      </c>
      <c r="B2668" s="3">
        <v>4011501</v>
      </c>
      <c r="C2668">
        <v>3</v>
      </c>
      <c r="D2668" t="s">
        <v>2190</v>
      </c>
      <c r="E2668">
        <v>0.8</v>
      </c>
      <c r="F2668">
        <v>0</v>
      </c>
    </row>
    <row r="2669" hidden="1" spans="1:6">
      <c r="A2669" s="2" t="s">
        <v>2807</v>
      </c>
      <c r="B2669" s="3">
        <v>4011501</v>
      </c>
      <c r="C2669">
        <v>3</v>
      </c>
      <c r="D2669" t="s">
        <v>2192</v>
      </c>
      <c r="E2669">
        <v>0.8</v>
      </c>
      <c r="F2669">
        <v>0</v>
      </c>
    </row>
    <row r="2670" hidden="1" spans="1:6">
      <c r="A2670" s="2" t="s">
        <v>2808</v>
      </c>
      <c r="B2670" s="3">
        <v>4011501</v>
      </c>
      <c r="C2670">
        <v>3</v>
      </c>
      <c r="D2670" t="s">
        <v>2194</v>
      </c>
      <c r="E2670">
        <v>0.8</v>
      </c>
      <c r="F2670">
        <v>0</v>
      </c>
    </row>
    <row r="2671" hidden="1" spans="1:6">
      <c r="A2671" s="2" t="s">
        <v>2809</v>
      </c>
      <c r="B2671" s="3">
        <v>4011501</v>
      </c>
      <c r="C2671">
        <v>3</v>
      </c>
      <c r="D2671" t="s">
        <v>2182</v>
      </c>
      <c r="E2671">
        <v>1.33333333333333</v>
      </c>
      <c r="F2671">
        <v>0</v>
      </c>
    </row>
    <row r="2672" hidden="1" spans="1:6">
      <c r="A2672" s="2" t="s">
        <v>2810</v>
      </c>
      <c r="B2672" s="3">
        <v>4011501</v>
      </c>
      <c r="C2672">
        <v>3</v>
      </c>
      <c r="D2672" t="s">
        <v>2184</v>
      </c>
      <c r="E2672">
        <v>2</v>
      </c>
      <c r="F2672">
        <v>1</v>
      </c>
    </row>
    <row r="2673" hidden="1" spans="1:6">
      <c r="A2673" s="2" t="s">
        <v>2811</v>
      </c>
      <c r="B2673" s="3">
        <v>4011501</v>
      </c>
      <c r="C2673">
        <v>3</v>
      </c>
      <c r="D2673" t="s">
        <v>2186</v>
      </c>
      <c r="E2673">
        <v>1.33333333333333</v>
      </c>
      <c r="F2673">
        <v>0</v>
      </c>
    </row>
    <row r="2674" hidden="1" spans="1:6">
      <c r="A2674" s="2" t="s">
        <v>2812</v>
      </c>
      <c r="B2674" s="3">
        <v>4011501</v>
      </c>
      <c r="C2674">
        <v>3</v>
      </c>
      <c r="D2674" t="s">
        <v>2198</v>
      </c>
      <c r="E2674">
        <v>2</v>
      </c>
      <c r="F2674">
        <v>1</v>
      </c>
    </row>
    <row r="2675" hidden="1" spans="1:6">
      <c r="A2675" s="2" t="s">
        <v>2813</v>
      </c>
      <c r="B2675" s="3">
        <v>4011501</v>
      </c>
      <c r="C2675">
        <v>3</v>
      </c>
      <c r="D2675" t="s">
        <v>2196</v>
      </c>
      <c r="E2675">
        <v>1.66666666666667</v>
      </c>
      <c r="F2675">
        <v>0</v>
      </c>
    </row>
    <row r="2676" hidden="1" spans="1:6">
      <c r="A2676" s="2" t="s">
        <v>2814</v>
      </c>
      <c r="B2676" s="3">
        <v>4011501</v>
      </c>
      <c r="C2676">
        <v>3</v>
      </c>
      <c r="D2676" t="s">
        <v>1788</v>
      </c>
      <c r="E2676">
        <f>160/30</f>
        <v>5.33333333333333</v>
      </c>
      <c r="F2676">
        <v>0</v>
      </c>
    </row>
    <row r="2677" hidden="1" spans="1:6">
      <c r="A2677" s="2" t="s">
        <v>2815</v>
      </c>
      <c r="B2677" s="3">
        <v>30060</v>
      </c>
      <c r="C2677">
        <v>3</v>
      </c>
      <c r="D2677" t="s">
        <v>2816</v>
      </c>
      <c r="E2677">
        <f>70/30</f>
        <v>2.33333333333333</v>
      </c>
      <c r="F2677">
        <v>1</v>
      </c>
    </row>
    <row r="2678" hidden="1" spans="1:6">
      <c r="A2678" s="2" t="s">
        <v>2817</v>
      </c>
      <c r="B2678" s="3">
        <v>30060</v>
      </c>
      <c r="C2678">
        <v>3</v>
      </c>
      <c r="D2678" t="s">
        <v>2818</v>
      </c>
      <c r="E2678">
        <v>2</v>
      </c>
      <c r="F2678">
        <v>0</v>
      </c>
    </row>
    <row r="2679" hidden="1" spans="1:6">
      <c r="A2679" s="2" t="s">
        <v>2819</v>
      </c>
      <c r="B2679" s="3">
        <v>30060</v>
      </c>
      <c r="C2679">
        <v>3</v>
      </c>
      <c r="D2679" t="s">
        <v>1047</v>
      </c>
      <c r="E2679">
        <v>3</v>
      </c>
      <c r="F2679">
        <v>0</v>
      </c>
    </row>
    <row r="2680" hidden="1" spans="1:6">
      <c r="A2680" s="2" t="s">
        <v>2820</v>
      </c>
      <c r="B2680" s="3">
        <v>30060</v>
      </c>
      <c r="C2680">
        <v>3</v>
      </c>
      <c r="D2680" t="s">
        <v>130</v>
      </c>
      <c r="E2680">
        <f>70/30</f>
        <v>2.33333333333333</v>
      </c>
      <c r="F2680">
        <v>1</v>
      </c>
    </row>
    <row r="2681" hidden="1" spans="1:6">
      <c r="A2681" s="2" t="s">
        <v>2821</v>
      </c>
      <c r="B2681" s="3">
        <v>409801</v>
      </c>
      <c r="C2681">
        <v>3</v>
      </c>
      <c r="D2681" t="s">
        <v>48</v>
      </c>
      <c r="E2681" s="107">
        <f>102/30</f>
        <v>3.4</v>
      </c>
      <c r="F2681">
        <v>0</v>
      </c>
    </row>
    <row r="2682" hidden="1" spans="1:6">
      <c r="A2682" s="2" t="s">
        <v>2822</v>
      </c>
      <c r="B2682" s="3">
        <v>30061</v>
      </c>
      <c r="C2682">
        <v>3</v>
      </c>
      <c r="D2682" t="s">
        <v>36</v>
      </c>
      <c r="E2682">
        <f>73/30</f>
        <v>2.43333333333333</v>
      </c>
      <c r="F2682">
        <v>0</v>
      </c>
    </row>
    <row r="2683" hidden="1" spans="1:6">
      <c r="A2683" s="2" t="s">
        <v>2823</v>
      </c>
      <c r="B2683" s="3">
        <v>116</v>
      </c>
      <c r="C2683">
        <v>3</v>
      </c>
      <c r="D2683" t="s">
        <v>36</v>
      </c>
      <c r="E2683">
        <f>50/30</f>
        <v>1.66666666666667</v>
      </c>
      <c r="F2683">
        <v>0</v>
      </c>
    </row>
    <row r="2684" hidden="1" spans="1:6">
      <c r="A2684" s="2" t="s">
        <v>2824</v>
      </c>
      <c r="B2684" s="3">
        <v>116</v>
      </c>
      <c r="C2684">
        <v>3</v>
      </c>
      <c r="D2684" t="s">
        <v>38</v>
      </c>
      <c r="E2684">
        <f>74/30</f>
        <v>2.46666666666667</v>
      </c>
      <c r="F2684">
        <v>0</v>
      </c>
    </row>
    <row r="2685" hidden="1" spans="1:6">
      <c r="A2685" s="2" t="s">
        <v>2825</v>
      </c>
      <c r="B2685" s="3">
        <v>116</v>
      </c>
      <c r="C2685">
        <v>3</v>
      </c>
      <c r="D2685" t="s">
        <v>40</v>
      </c>
      <c r="E2685">
        <f>111/30</f>
        <v>3.7</v>
      </c>
      <c r="F2685">
        <v>0</v>
      </c>
    </row>
    <row r="2686" hidden="1" spans="1:6">
      <c r="A2686" s="2" t="s">
        <v>2826</v>
      </c>
      <c r="B2686" s="3">
        <v>116</v>
      </c>
      <c r="C2686">
        <v>3</v>
      </c>
      <c r="D2686" t="s">
        <v>42</v>
      </c>
      <c r="E2686">
        <f>83/30</f>
        <v>2.76666666666667</v>
      </c>
      <c r="F2686">
        <v>0</v>
      </c>
    </row>
    <row r="2687" hidden="1" spans="1:6">
      <c r="A2687" s="2" t="s">
        <v>2827</v>
      </c>
      <c r="B2687" s="3">
        <v>116</v>
      </c>
      <c r="C2687">
        <v>3</v>
      </c>
      <c r="D2687" t="s">
        <v>44</v>
      </c>
      <c r="E2687">
        <f>310/30</f>
        <v>10.3333333333333</v>
      </c>
      <c r="F2687">
        <v>0</v>
      </c>
    </row>
    <row r="2688" hidden="1" spans="1:6">
      <c r="A2688" s="2" t="s">
        <v>2828</v>
      </c>
      <c r="B2688" s="3">
        <v>116</v>
      </c>
      <c r="C2688">
        <v>3</v>
      </c>
      <c r="D2688" t="s">
        <v>46</v>
      </c>
      <c r="E2688">
        <f>71/30</f>
        <v>2.36666666666667</v>
      </c>
      <c r="F2688">
        <v>0</v>
      </c>
    </row>
    <row r="2689" hidden="1" spans="1:6">
      <c r="A2689" s="2" t="s">
        <v>2829</v>
      </c>
      <c r="B2689" s="3">
        <v>30063</v>
      </c>
      <c r="C2689">
        <v>3</v>
      </c>
      <c r="D2689" t="s">
        <v>46</v>
      </c>
      <c r="E2689">
        <f>299/30</f>
        <v>9.96666666666667</v>
      </c>
      <c r="F2689">
        <v>0</v>
      </c>
    </row>
    <row r="2690" hidden="1" spans="1:6">
      <c r="A2690" s="2" t="s">
        <v>2830</v>
      </c>
      <c r="B2690" s="3">
        <v>30062</v>
      </c>
      <c r="C2690">
        <v>3</v>
      </c>
      <c r="D2690" t="s">
        <v>86</v>
      </c>
      <c r="E2690">
        <f>117/30</f>
        <v>3.9</v>
      </c>
      <c r="F2690">
        <v>0</v>
      </c>
    </row>
    <row r="2691" hidden="1" spans="1:6">
      <c r="A2691" s="2" t="s">
        <v>2831</v>
      </c>
      <c r="B2691" s="3">
        <v>30062</v>
      </c>
      <c r="C2691">
        <v>3</v>
      </c>
      <c r="D2691" t="s">
        <v>50</v>
      </c>
      <c r="E2691">
        <f>114/30</f>
        <v>3.8</v>
      </c>
      <c r="F2691">
        <v>0</v>
      </c>
    </row>
    <row r="2692" hidden="1" spans="1:6">
      <c r="A2692" s="2" t="s">
        <v>2832</v>
      </c>
      <c r="B2692" s="3">
        <v>30062</v>
      </c>
      <c r="C2692">
        <v>3</v>
      </c>
      <c r="D2692" t="s">
        <v>90</v>
      </c>
      <c r="E2692">
        <f>232/30</f>
        <v>7.73333333333333</v>
      </c>
      <c r="F2692">
        <v>0</v>
      </c>
    </row>
    <row r="2693" hidden="1" spans="1:11">
      <c r="A2693" s="2" t="s">
        <v>2833</v>
      </c>
      <c r="B2693" s="3">
        <v>116</v>
      </c>
      <c r="C2693">
        <v>3</v>
      </c>
      <c r="D2693" t="s">
        <v>57</v>
      </c>
      <c r="E2693">
        <f>120/30</f>
        <v>4</v>
      </c>
      <c r="F2693">
        <v>1</v>
      </c>
      <c r="G2693">
        <v>0</v>
      </c>
      <c r="H2693">
        <v>2</v>
      </c>
      <c r="I2693">
        <v>3700</v>
      </c>
      <c r="J2693" t="s">
        <v>58</v>
      </c>
      <c r="K2693">
        <v>1</v>
      </c>
    </row>
    <row r="2694" hidden="1" spans="1:6">
      <c r="A2694" s="2" t="s">
        <v>2834</v>
      </c>
      <c r="B2694" s="3">
        <v>4011601</v>
      </c>
      <c r="C2694">
        <v>3</v>
      </c>
      <c r="D2694" t="s">
        <v>36</v>
      </c>
      <c r="E2694">
        <f>50/30</f>
        <v>1.66666666666667</v>
      </c>
      <c r="F2694">
        <v>0</v>
      </c>
    </row>
    <row r="2695" hidden="1" spans="1:6">
      <c r="A2695" s="2" t="s">
        <v>2835</v>
      </c>
      <c r="B2695" s="3">
        <v>4011601</v>
      </c>
      <c r="C2695">
        <v>3</v>
      </c>
      <c r="D2695" t="s">
        <v>38</v>
      </c>
      <c r="E2695">
        <f>74/30</f>
        <v>2.46666666666667</v>
      </c>
      <c r="F2695">
        <v>0</v>
      </c>
    </row>
    <row r="2696" hidden="1" spans="1:6">
      <c r="A2696" s="2" t="s">
        <v>2836</v>
      </c>
      <c r="B2696" s="3">
        <v>4011601</v>
      </c>
      <c r="C2696">
        <v>3</v>
      </c>
      <c r="D2696" t="s">
        <v>40</v>
      </c>
      <c r="E2696">
        <f>111/30</f>
        <v>3.7</v>
      </c>
      <c r="F2696">
        <v>0</v>
      </c>
    </row>
    <row r="2697" hidden="1" spans="1:6">
      <c r="A2697" s="2" t="s">
        <v>2837</v>
      </c>
      <c r="B2697" s="3">
        <v>4011601</v>
      </c>
      <c r="C2697">
        <v>3</v>
      </c>
      <c r="D2697" t="s">
        <v>42</v>
      </c>
      <c r="E2697">
        <f>83/30</f>
        <v>2.76666666666667</v>
      </c>
      <c r="F2697">
        <v>0</v>
      </c>
    </row>
    <row r="2698" hidden="1" spans="1:6">
      <c r="A2698" s="2" t="s">
        <v>2838</v>
      </c>
      <c r="B2698" s="3">
        <v>4011601</v>
      </c>
      <c r="C2698">
        <v>3</v>
      </c>
      <c r="D2698" t="s">
        <v>44</v>
      </c>
      <c r="E2698">
        <f>310/30</f>
        <v>10.3333333333333</v>
      </c>
      <c r="F2698">
        <v>0</v>
      </c>
    </row>
    <row r="2699" hidden="1" spans="1:6">
      <c r="A2699" s="2" t="s">
        <v>2839</v>
      </c>
      <c r="B2699" s="3">
        <v>4011601</v>
      </c>
      <c r="C2699">
        <v>3</v>
      </c>
      <c r="D2699" t="s">
        <v>46</v>
      </c>
      <c r="E2699">
        <f>71/30</f>
        <v>2.36666666666667</v>
      </c>
      <c r="F2699">
        <v>0</v>
      </c>
    </row>
    <row r="2700" hidden="1" spans="1:11">
      <c r="A2700" s="2" t="s">
        <v>2840</v>
      </c>
      <c r="B2700" s="3">
        <v>4011601</v>
      </c>
      <c r="C2700">
        <v>3</v>
      </c>
      <c r="D2700" t="s">
        <v>57</v>
      </c>
      <c r="E2700">
        <f>120/30</f>
        <v>4</v>
      </c>
      <c r="F2700">
        <v>1</v>
      </c>
      <c r="G2700">
        <v>0</v>
      </c>
      <c r="H2700">
        <v>2</v>
      </c>
      <c r="I2700">
        <v>3700</v>
      </c>
      <c r="J2700" t="s">
        <v>58</v>
      </c>
      <c r="K2700">
        <v>1</v>
      </c>
    </row>
    <row r="2701" hidden="1" spans="1:6">
      <c r="A2701" s="2" t="s">
        <v>2841</v>
      </c>
      <c r="B2701" s="3">
        <v>117</v>
      </c>
      <c r="C2701">
        <v>3</v>
      </c>
      <c r="D2701" t="s">
        <v>36</v>
      </c>
      <c r="E2701">
        <f>117/30</f>
        <v>3.9</v>
      </c>
      <c r="F2701">
        <v>0</v>
      </c>
    </row>
    <row r="2702" hidden="1" spans="1:6">
      <c r="A2702" s="2" t="s">
        <v>2842</v>
      </c>
      <c r="B2702" s="3">
        <v>117</v>
      </c>
      <c r="C2702">
        <v>3</v>
      </c>
      <c r="D2702" t="s">
        <v>38</v>
      </c>
      <c r="E2702">
        <f>150/30</f>
        <v>5</v>
      </c>
      <c r="F2702">
        <v>0</v>
      </c>
    </row>
    <row r="2703" hidden="1" spans="1:6">
      <c r="A2703" s="2" t="s">
        <v>2843</v>
      </c>
      <c r="B2703" s="3">
        <v>117</v>
      </c>
      <c r="C2703">
        <v>3</v>
      </c>
      <c r="D2703" t="s">
        <v>40</v>
      </c>
      <c r="E2703">
        <f>175/30</f>
        <v>5.83333333333333</v>
      </c>
      <c r="F2703">
        <v>0</v>
      </c>
    </row>
    <row r="2704" hidden="1" spans="1:6">
      <c r="A2704" s="2" t="s">
        <v>2844</v>
      </c>
      <c r="B2704" s="3">
        <v>117</v>
      </c>
      <c r="C2704">
        <v>3</v>
      </c>
      <c r="D2704" t="s">
        <v>42</v>
      </c>
      <c r="E2704">
        <f>149/30</f>
        <v>4.96666666666667</v>
      </c>
      <c r="F2704">
        <v>0</v>
      </c>
    </row>
    <row r="2705" hidden="1" spans="1:6">
      <c r="A2705" s="2" t="s">
        <v>2845</v>
      </c>
      <c r="B2705" s="3">
        <v>117</v>
      </c>
      <c r="C2705">
        <v>3</v>
      </c>
      <c r="D2705" t="s">
        <v>44</v>
      </c>
      <c r="E2705">
        <f>173/30</f>
        <v>5.76666666666667</v>
      </c>
      <c r="F2705">
        <v>0</v>
      </c>
    </row>
    <row r="2706" hidden="1" spans="1:6">
      <c r="A2706" s="2" t="s">
        <v>2846</v>
      </c>
      <c r="B2706" s="3">
        <v>117</v>
      </c>
      <c r="C2706">
        <v>3</v>
      </c>
      <c r="D2706" t="s">
        <v>46</v>
      </c>
      <c r="E2706">
        <f>280/30</f>
        <v>9.33333333333333</v>
      </c>
      <c r="F2706">
        <v>0</v>
      </c>
    </row>
    <row r="2707" hidden="1" spans="1:6">
      <c r="A2707" s="2" t="s">
        <v>2847</v>
      </c>
      <c r="B2707" s="3">
        <v>117</v>
      </c>
      <c r="C2707">
        <v>3</v>
      </c>
      <c r="D2707" t="s">
        <v>86</v>
      </c>
      <c r="E2707">
        <f>350/30</f>
        <v>11.6666666666667</v>
      </c>
      <c r="F2707">
        <v>0</v>
      </c>
    </row>
    <row r="2708" hidden="1" spans="1:6">
      <c r="A2708" s="2" t="s">
        <v>2848</v>
      </c>
      <c r="B2708" s="3">
        <v>117</v>
      </c>
      <c r="C2708">
        <v>3</v>
      </c>
      <c r="D2708" t="s">
        <v>50</v>
      </c>
      <c r="E2708">
        <f>410/30</f>
        <v>13.6666666666667</v>
      </c>
      <c r="F2708">
        <v>0</v>
      </c>
    </row>
    <row r="2709" hidden="1" spans="1:6">
      <c r="A2709" s="2" t="s">
        <v>2849</v>
      </c>
      <c r="B2709" s="3">
        <v>117</v>
      </c>
      <c r="C2709">
        <v>3</v>
      </c>
      <c r="D2709" t="s">
        <v>90</v>
      </c>
      <c r="E2709">
        <f>280/30</f>
        <v>9.33333333333333</v>
      </c>
      <c r="F2709">
        <v>0</v>
      </c>
    </row>
    <row r="2710" hidden="1" spans="1:6">
      <c r="A2710" s="2" t="s">
        <v>2850</v>
      </c>
      <c r="B2710" s="3">
        <v>117</v>
      </c>
      <c r="C2710">
        <v>3</v>
      </c>
      <c r="D2710" t="s">
        <v>48</v>
      </c>
      <c r="E2710">
        <f>350/30</f>
        <v>11.6666666666667</v>
      </c>
      <c r="F2710">
        <v>0</v>
      </c>
    </row>
    <row r="2711" hidden="1" spans="1:6">
      <c r="A2711" s="2" t="s">
        <v>2851</v>
      </c>
      <c r="B2711" s="3">
        <v>117</v>
      </c>
      <c r="C2711">
        <v>3</v>
      </c>
      <c r="D2711" t="s">
        <v>52</v>
      </c>
      <c r="E2711">
        <f>410/30</f>
        <v>13.6666666666667</v>
      </c>
      <c r="F2711">
        <v>0</v>
      </c>
    </row>
    <row r="2712" hidden="1" spans="1:11">
      <c r="A2712" s="2" t="s">
        <v>2852</v>
      </c>
      <c r="B2712" s="3">
        <v>117</v>
      </c>
      <c r="C2712">
        <v>3</v>
      </c>
      <c r="D2712" t="s">
        <v>57</v>
      </c>
      <c r="E2712">
        <f>113/30</f>
        <v>3.76666666666667</v>
      </c>
      <c r="F2712">
        <v>1</v>
      </c>
      <c r="G2712">
        <v>0</v>
      </c>
      <c r="H2712">
        <v>2</v>
      </c>
      <c r="I2712">
        <v>3723</v>
      </c>
      <c r="J2712" t="s">
        <v>58</v>
      </c>
      <c r="K2712">
        <v>1</v>
      </c>
    </row>
    <row r="2713" hidden="1" spans="1:6">
      <c r="A2713" s="2" t="s">
        <v>2853</v>
      </c>
      <c r="B2713" s="3">
        <v>97</v>
      </c>
      <c r="C2713">
        <v>3</v>
      </c>
      <c r="D2713" t="s">
        <v>48</v>
      </c>
      <c r="E2713">
        <f>123/30</f>
        <v>4.1</v>
      </c>
      <c r="F2713">
        <v>0</v>
      </c>
    </row>
    <row r="2714" hidden="1" spans="1:6">
      <c r="A2714" s="2" t="s">
        <v>2854</v>
      </c>
      <c r="B2714" s="3">
        <v>409701</v>
      </c>
      <c r="C2714">
        <v>3</v>
      </c>
      <c r="D2714" t="s">
        <v>48</v>
      </c>
      <c r="E2714">
        <f>123/30</f>
        <v>4.1</v>
      </c>
      <c r="F2714">
        <v>0</v>
      </c>
    </row>
    <row r="2715" hidden="1" spans="1:6">
      <c r="A2715" s="2" t="s">
        <v>2855</v>
      </c>
      <c r="B2715" s="3">
        <v>409702</v>
      </c>
      <c r="C2715">
        <v>3</v>
      </c>
      <c r="D2715" t="s">
        <v>1788</v>
      </c>
      <c r="E2715">
        <f>107/30</f>
        <v>3.56666666666667</v>
      </c>
      <c r="F2715">
        <v>0</v>
      </c>
    </row>
    <row r="2716" hidden="1" spans="1:6">
      <c r="A2716" s="2" t="s">
        <v>2856</v>
      </c>
      <c r="B2716" s="3">
        <v>409702</v>
      </c>
      <c r="C2716">
        <v>3</v>
      </c>
      <c r="D2716" t="s">
        <v>2621</v>
      </c>
      <c r="E2716">
        <f>24/30</f>
        <v>0.8</v>
      </c>
      <c r="F2716">
        <v>1</v>
      </c>
    </row>
    <row r="2717" hidden="1" spans="1:6">
      <c r="A2717" s="2" t="s">
        <v>2857</v>
      </c>
      <c r="B2717" s="3">
        <v>409702</v>
      </c>
      <c r="C2717">
        <v>3</v>
      </c>
      <c r="D2717" t="s">
        <v>2623</v>
      </c>
      <c r="E2717">
        <f>68/30</f>
        <v>2.26666666666667</v>
      </c>
      <c r="F2717">
        <v>1</v>
      </c>
    </row>
    <row r="2718" hidden="1" spans="1:6">
      <c r="A2718" s="2" t="s">
        <v>2858</v>
      </c>
      <c r="B2718" s="3">
        <v>119</v>
      </c>
      <c r="C2718">
        <v>3</v>
      </c>
      <c r="D2718" t="s">
        <v>44</v>
      </c>
      <c r="E2718">
        <f>116/30</f>
        <v>3.86666666666667</v>
      </c>
      <c r="F2718">
        <v>0</v>
      </c>
    </row>
    <row r="2719" hidden="1" spans="1:6">
      <c r="A2719" s="2" t="s">
        <v>2859</v>
      </c>
      <c r="B2719" s="3">
        <v>118</v>
      </c>
      <c r="C2719">
        <v>3</v>
      </c>
      <c r="D2719" t="s">
        <v>48</v>
      </c>
      <c r="E2719">
        <f>157/30</f>
        <v>5.23333333333333</v>
      </c>
      <c r="F2719">
        <v>0</v>
      </c>
    </row>
    <row r="2720" hidden="1" spans="1:6">
      <c r="A2720" s="2" t="s">
        <v>2860</v>
      </c>
      <c r="B2720" s="3">
        <v>118</v>
      </c>
      <c r="C2720">
        <v>3</v>
      </c>
      <c r="D2720" t="s">
        <v>52</v>
      </c>
      <c r="E2720">
        <f>220/30</f>
        <v>7.33333333333333</v>
      </c>
      <c r="F2720">
        <v>0</v>
      </c>
    </row>
    <row r="2721" hidden="1" spans="1:6">
      <c r="A2721" s="2" t="s">
        <v>2861</v>
      </c>
      <c r="B2721" s="3">
        <v>409702</v>
      </c>
      <c r="D2721" t="s">
        <v>36</v>
      </c>
      <c r="E2721">
        <f>106/30</f>
        <v>3.53333333333333</v>
      </c>
      <c r="F2721">
        <v>0</v>
      </c>
    </row>
    <row r="2722" hidden="1" spans="1:6">
      <c r="A2722" s="2" t="s">
        <v>2862</v>
      </c>
      <c r="B2722" s="3">
        <v>409702</v>
      </c>
      <c r="D2722" t="s">
        <v>38</v>
      </c>
      <c r="E2722">
        <f>81/30</f>
        <v>2.7</v>
      </c>
      <c r="F2722">
        <v>0</v>
      </c>
    </row>
    <row r="2723" hidden="1" spans="1:6">
      <c r="A2723" s="2" t="s">
        <v>2863</v>
      </c>
      <c r="B2723" s="3">
        <v>409702</v>
      </c>
      <c r="D2723" t="s">
        <v>40</v>
      </c>
      <c r="E2723">
        <f>93/30</f>
        <v>3.1</v>
      </c>
      <c r="F2723">
        <v>0</v>
      </c>
    </row>
    <row r="2724" hidden="1" spans="1:6">
      <c r="A2724" s="2" t="s">
        <v>2864</v>
      </c>
      <c r="B2724" s="3">
        <v>409702</v>
      </c>
      <c r="D2724" t="s">
        <v>42</v>
      </c>
      <c r="E2724">
        <f>92/30</f>
        <v>3.06666666666667</v>
      </c>
      <c r="F2724">
        <v>0</v>
      </c>
    </row>
    <row r="2725" hidden="1" spans="1:6">
      <c r="A2725" s="2" t="s">
        <v>2865</v>
      </c>
      <c r="B2725" s="3">
        <v>409702</v>
      </c>
      <c r="D2725" t="s">
        <v>44</v>
      </c>
      <c r="E2725">
        <f>96/30</f>
        <v>3.2</v>
      </c>
      <c r="F2725">
        <v>0</v>
      </c>
    </row>
    <row r="2726" hidden="1" spans="1:6">
      <c r="A2726" s="2" t="s">
        <v>2866</v>
      </c>
      <c r="B2726" s="3">
        <v>409702</v>
      </c>
      <c r="D2726" t="s">
        <v>46</v>
      </c>
      <c r="E2726">
        <f>181/30</f>
        <v>6.03333333333333</v>
      </c>
      <c r="F2726">
        <v>0</v>
      </c>
    </row>
    <row r="2727" hidden="1" spans="1:6">
      <c r="A2727" s="2" t="s">
        <v>2867</v>
      </c>
      <c r="B2727" s="3">
        <v>409702</v>
      </c>
      <c r="D2727" t="s">
        <v>48</v>
      </c>
      <c r="E2727">
        <f>123/30</f>
        <v>4.1</v>
      </c>
      <c r="F2727">
        <v>0</v>
      </c>
    </row>
    <row r="2728" hidden="1" spans="1:6">
      <c r="A2728" s="2" t="s">
        <v>2868</v>
      </c>
      <c r="B2728" s="3">
        <v>30065</v>
      </c>
      <c r="D2728" t="s">
        <v>46</v>
      </c>
      <c r="E2728">
        <f>181/30</f>
        <v>6.03333333333333</v>
      </c>
      <c r="F2728">
        <v>0</v>
      </c>
    </row>
    <row r="2729" hidden="1" spans="1:6">
      <c r="A2729" s="2" t="s">
        <v>2869</v>
      </c>
      <c r="B2729" s="3">
        <v>30065</v>
      </c>
      <c r="D2729" t="s">
        <v>86</v>
      </c>
      <c r="E2729">
        <f>193/30</f>
        <v>6.43333333333333</v>
      </c>
      <c r="F2729">
        <v>0</v>
      </c>
    </row>
    <row r="2730" hidden="1" spans="1:6">
      <c r="A2730" s="2" t="s">
        <v>2870</v>
      </c>
      <c r="B2730" s="3">
        <v>30065</v>
      </c>
      <c r="D2730" t="s">
        <v>50</v>
      </c>
      <c r="E2730">
        <f>328/30</f>
        <v>10.9333333333333</v>
      </c>
      <c r="F2730">
        <v>0</v>
      </c>
    </row>
    <row r="2731" hidden="1" spans="1:6">
      <c r="A2731" s="2" t="s">
        <v>2871</v>
      </c>
      <c r="B2731" s="3">
        <v>30065</v>
      </c>
      <c r="D2731" t="s">
        <v>90</v>
      </c>
      <c r="E2731">
        <f>193/30</f>
        <v>6.43333333333333</v>
      </c>
      <c r="F2731">
        <v>0</v>
      </c>
    </row>
    <row r="2732" hidden="1" spans="1:6">
      <c r="A2732" s="2" t="s">
        <v>2872</v>
      </c>
      <c r="B2732" s="3">
        <v>120</v>
      </c>
      <c r="D2732" t="s">
        <v>36</v>
      </c>
      <c r="E2732">
        <f>92/30</f>
        <v>3.06666666666667</v>
      </c>
      <c r="F2732">
        <v>0</v>
      </c>
    </row>
    <row r="2733" hidden="1" spans="1:6">
      <c r="A2733" s="2" t="s">
        <v>2873</v>
      </c>
      <c r="B2733" s="3">
        <v>120</v>
      </c>
      <c r="D2733" t="s">
        <v>38</v>
      </c>
      <c r="E2733">
        <f>75/30</f>
        <v>2.5</v>
      </c>
      <c r="F2733">
        <v>0</v>
      </c>
    </row>
    <row r="2734" hidden="1" spans="1:6">
      <c r="A2734" s="2" t="s">
        <v>2874</v>
      </c>
      <c r="B2734" s="3">
        <v>120</v>
      </c>
      <c r="D2734" t="s">
        <v>40</v>
      </c>
      <c r="E2734">
        <f>75/30</f>
        <v>2.5</v>
      </c>
      <c r="F2734">
        <v>0</v>
      </c>
    </row>
    <row r="2735" hidden="1" spans="1:6">
      <c r="A2735" s="2" t="s">
        <v>2875</v>
      </c>
      <c r="B2735" s="3">
        <v>120</v>
      </c>
      <c r="D2735" t="s">
        <v>42</v>
      </c>
      <c r="E2735">
        <f>76/30</f>
        <v>2.53333333333333</v>
      </c>
      <c r="F2735">
        <v>0</v>
      </c>
    </row>
    <row r="2736" hidden="1" spans="1:6">
      <c r="A2736" s="2" t="s">
        <v>2876</v>
      </c>
      <c r="B2736" s="3">
        <v>120</v>
      </c>
      <c r="D2736" t="s">
        <v>44</v>
      </c>
      <c r="E2736">
        <f>400/30</f>
        <v>13.3333333333333</v>
      </c>
      <c r="F2736">
        <v>0</v>
      </c>
    </row>
    <row r="2737" hidden="1" spans="1:6">
      <c r="A2737" s="2" t="s">
        <v>2877</v>
      </c>
      <c r="B2737" s="3">
        <v>120</v>
      </c>
      <c r="D2737" t="s">
        <v>46</v>
      </c>
      <c r="E2737">
        <f>180/30</f>
        <v>6</v>
      </c>
      <c r="F2737">
        <v>0</v>
      </c>
    </row>
    <row r="2738" hidden="1" spans="1:6">
      <c r="A2738" s="2" t="s">
        <v>2878</v>
      </c>
      <c r="B2738" s="3">
        <v>30067</v>
      </c>
      <c r="D2738" t="s">
        <v>46</v>
      </c>
      <c r="E2738">
        <f>240/30</f>
        <v>8</v>
      </c>
      <c r="F2738">
        <v>0</v>
      </c>
    </row>
    <row r="2739" hidden="1" spans="1:6">
      <c r="A2739" s="2" t="s">
        <v>2879</v>
      </c>
      <c r="B2739" s="3">
        <v>30067</v>
      </c>
      <c r="D2739" t="s">
        <v>86</v>
      </c>
      <c r="E2739">
        <f>93/30</f>
        <v>3.1</v>
      </c>
      <c r="F2739">
        <v>0</v>
      </c>
    </row>
    <row r="2740" hidden="1" spans="1:6">
      <c r="A2740" s="2" t="s">
        <v>2880</v>
      </c>
      <c r="B2740" s="3">
        <v>30067</v>
      </c>
      <c r="D2740" t="s">
        <v>50</v>
      </c>
      <c r="E2740">
        <f>86/30</f>
        <v>2.86666666666667</v>
      </c>
      <c r="F2740">
        <v>0</v>
      </c>
    </row>
    <row r="2741" hidden="1" spans="1:6">
      <c r="A2741" s="2" t="s">
        <v>2881</v>
      </c>
      <c r="B2741" s="3">
        <v>30067</v>
      </c>
      <c r="D2741" t="s">
        <v>90</v>
      </c>
      <c r="E2741">
        <f>290/30</f>
        <v>9.66666666666667</v>
      </c>
      <c r="F2741">
        <v>0</v>
      </c>
    </row>
    <row r="2742" hidden="1" spans="1:11">
      <c r="A2742" s="2" t="s">
        <v>2882</v>
      </c>
      <c r="B2742" s="3">
        <v>120</v>
      </c>
      <c r="D2742" t="s">
        <v>57</v>
      </c>
      <c r="E2742">
        <f>86/30</f>
        <v>2.86666666666667</v>
      </c>
      <c r="F2742">
        <v>0</v>
      </c>
      <c r="G2742">
        <v>0</v>
      </c>
      <c r="H2742">
        <v>2</v>
      </c>
      <c r="I2742">
        <v>3773</v>
      </c>
      <c r="J2742" t="s">
        <v>58</v>
      </c>
      <c r="K2742">
        <v>1</v>
      </c>
    </row>
    <row r="2743" hidden="1" spans="1:6">
      <c r="A2743" s="2" t="s">
        <v>2883</v>
      </c>
      <c r="B2743" s="3">
        <v>77</v>
      </c>
      <c r="D2743" t="s">
        <v>264</v>
      </c>
      <c r="E2743">
        <f>2</f>
        <v>2</v>
      </c>
      <c r="F2743">
        <v>1</v>
      </c>
    </row>
    <row r="2744" hidden="1" spans="1:6">
      <c r="A2744" s="2" t="s">
        <v>2884</v>
      </c>
      <c r="B2744" s="3">
        <v>77</v>
      </c>
      <c r="D2744" t="s">
        <v>92</v>
      </c>
      <c r="E2744">
        <f>66/30</f>
        <v>2.2</v>
      </c>
      <c r="F2744">
        <v>0</v>
      </c>
    </row>
    <row r="2745" hidden="1" spans="1:6">
      <c r="A2745" s="2" t="s">
        <v>2885</v>
      </c>
      <c r="B2745" s="3">
        <v>77</v>
      </c>
      <c r="D2745" t="s">
        <v>109</v>
      </c>
      <c r="E2745">
        <f>74/30</f>
        <v>2.46666666666667</v>
      </c>
      <c r="F2745">
        <v>0</v>
      </c>
    </row>
    <row r="2746" hidden="1" spans="1:6">
      <c r="A2746" s="2" t="s">
        <v>2886</v>
      </c>
      <c r="B2746" s="3">
        <v>77</v>
      </c>
      <c r="D2746" t="s">
        <v>97</v>
      </c>
      <c r="E2746">
        <f>75/30</f>
        <v>2.5</v>
      </c>
      <c r="F2746">
        <v>0</v>
      </c>
    </row>
    <row r="2747" hidden="1" spans="1:6">
      <c r="A2747" s="2" t="s">
        <v>2887</v>
      </c>
      <c r="B2747" s="3">
        <v>77</v>
      </c>
      <c r="D2747" t="s">
        <v>77</v>
      </c>
      <c r="E2747">
        <f>120/30</f>
        <v>4</v>
      </c>
      <c r="F2747">
        <v>0</v>
      </c>
    </row>
    <row r="2748" hidden="1" spans="1:6">
      <c r="A2748" s="2" t="s">
        <v>2888</v>
      </c>
      <c r="B2748" s="3">
        <v>77</v>
      </c>
      <c r="D2748" t="s">
        <v>261</v>
      </c>
      <c r="E2748">
        <f>22/30</f>
        <v>0.733333333333333</v>
      </c>
      <c r="F2748">
        <v>1</v>
      </c>
    </row>
    <row r="2749" hidden="1" spans="1:6">
      <c r="A2749" s="2" t="s">
        <v>2889</v>
      </c>
      <c r="B2749" s="3">
        <v>77</v>
      </c>
      <c r="D2749" t="s">
        <v>270</v>
      </c>
      <c r="E2749">
        <v>2</v>
      </c>
      <c r="F2749">
        <v>0</v>
      </c>
    </row>
    <row r="2750" hidden="1" spans="1:6">
      <c r="A2750" s="2" t="s">
        <v>2890</v>
      </c>
      <c r="B2750" s="3">
        <v>1282</v>
      </c>
      <c r="D2750" t="s">
        <v>36</v>
      </c>
      <c r="E2750">
        <f>103/30</f>
        <v>3.43333333333333</v>
      </c>
      <c r="F2750">
        <v>0</v>
      </c>
    </row>
    <row r="2751" hidden="1" spans="1:6">
      <c r="A2751" s="2" t="s">
        <v>2891</v>
      </c>
      <c r="B2751" s="3">
        <v>1282</v>
      </c>
      <c r="D2751" t="s">
        <v>38</v>
      </c>
      <c r="E2751">
        <f>56/30</f>
        <v>1.86666666666667</v>
      </c>
      <c r="F2751">
        <v>0</v>
      </c>
    </row>
    <row r="2752" hidden="1" spans="1:6">
      <c r="A2752" s="2" t="s">
        <v>2892</v>
      </c>
      <c r="B2752" s="3">
        <v>1282</v>
      </c>
      <c r="D2752" t="s">
        <v>40</v>
      </c>
      <c r="E2752">
        <f>61/30</f>
        <v>2.03333333333333</v>
      </c>
      <c r="F2752">
        <v>0</v>
      </c>
    </row>
    <row r="2753" hidden="1" spans="1:6">
      <c r="A2753" s="2" t="s">
        <v>2893</v>
      </c>
      <c r="B2753" s="3">
        <v>1282</v>
      </c>
      <c r="D2753" t="s">
        <v>42</v>
      </c>
      <c r="E2753">
        <f>174/30</f>
        <v>5.8</v>
      </c>
      <c r="F2753">
        <v>0</v>
      </c>
    </row>
    <row r="2754" hidden="1" spans="1:6">
      <c r="A2754" s="2" t="s">
        <v>2894</v>
      </c>
      <c r="B2754" s="3">
        <v>119</v>
      </c>
      <c r="D2754" t="s">
        <v>36</v>
      </c>
      <c r="E2754">
        <f>117/30</f>
        <v>3.9</v>
      </c>
      <c r="F2754">
        <v>0</v>
      </c>
    </row>
    <row r="2755" hidden="1" spans="1:6">
      <c r="A2755" s="2" t="s">
        <v>2895</v>
      </c>
      <c r="B2755" s="3">
        <v>119</v>
      </c>
      <c r="D2755" t="s">
        <v>38</v>
      </c>
      <c r="E2755">
        <f>155/30</f>
        <v>5.16666666666667</v>
      </c>
      <c r="F2755">
        <v>0</v>
      </c>
    </row>
    <row r="2756" hidden="1" spans="1:6">
      <c r="A2756" s="2" t="s">
        <v>2896</v>
      </c>
      <c r="B2756" s="3">
        <v>119</v>
      </c>
      <c r="D2756" t="s">
        <v>40</v>
      </c>
      <c r="E2756">
        <f>165/30</f>
        <v>5.5</v>
      </c>
      <c r="F2756">
        <v>0</v>
      </c>
    </row>
    <row r="2757" hidden="1" spans="1:6">
      <c r="A2757" s="2" t="s">
        <v>2897</v>
      </c>
      <c r="B2757" s="3">
        <v>119</v>
      </c>
      <c r="D2757" t="s">
        <v>42</v>
      </c>
      <c r="E2757">
        <f>142/30</f>
        <v>4.73333333333333</v>
      </c>
      <c r="F2757">
        <v>0</v>
      </c>
    </row>
    <row r="2758" hidden="1" spans="1:6">
      <c r="A2758" s="2" t="s">
        <v>2898</v>
      </c>
      <c r="B2758" s="3">
        <v>30066</v>
      </c>
      <c r="D2758" t="s">
        <v>44</v>
      </c>
      <c r="E2758">
        <f>116/30</f>
        <v>3.86666666666667</v>
      </c>
      <c r="F2758">
        <v>0</v>
      </c>
    </row>
    <row r="2759" hidden="1" spans="1:6">
      <c r="A2759" s="2" t="s">
        <v>2899</v>
      </c>
      <c r="B2759" s="3">
        <v>30066</v>
      </c>
      <c r="D2759" t="s">
        <v>86</v>
      </c>
      <c r="E2759">
        <f>150/30</f>
        <v>5</v>
      </c>
      <c r="F2759">
        <v>0</v>
      </c>
    </row>
    <row r="2760" hidden="1" spans="1:6">
      <c r="A2760" s="2" t="s">
        <v>2900</v>
      </c>
      <c r="B2760" s="3">
        <v>30066</v>
      </c>
      <c r="D2760" t="s">
        <v>90</v>
      </c>
      <c r="E2760">
        <f>433/30</f>
        <v>14.4333333333333</v>
      </c>
      <c r="F2760">
        <v>0</v>
      </c>
    </row>
    <row r="2761" hidden="1" spans="1:6">
      <c r="A2761" s="2" t="s">
        <v>2901</v>
      </c>
      <c r="B2761" s="3">
        <v>30066</v>
      </c>
      <c r="D2761" t="s">
        <v>412</v>
      </c>
      <c r="E2761">
        <f>187/30</f>
        <v>6.23333333333333</v>
      </c>
      <c r="F2761">
        <v>0</v>
      </c>
    </row>
    <row r="2762" hidden="1" spans="1:6">
      <c r="A2762" s="2" t="s">
        <v>2902</v>
      </c>
      <c r="B2762" s="3">
        <v>118</v>
      </c>
      <c r="D2762" t="s">
        <v>42</v>
      </c>
      <c r="E2762">
        <f>187/30</f>
        <v>6.23333333333333</v>
      </c>
      <c r="F2762">
        <v>0</v>
      </c>
    </row>
    <row r="2763" hidden="1" spans="1:6">
      <c r="A2763" s="2" t="s">
        <v>2903</v>
      </c>
      <c r="B2763" s="3">
        <v>118</v>
      </c>
      <c r="D2763" t="s">
        <v>48</v>
      </c>
      <c r="E2763">
        <f>157/30</f>
        <v>5.23333333333333</v>
      </c>
      <c r="F2763">
        <v>0</v>
      </c>
    </row>
    <row r="2764" hidden="1" spans="1:6">
      <c r="A2764" s="2" t="s">
        <v>2904</v>
      </c>
      <c r="B2764" s="3">
        <v>118</v>
      </c>
      <c r="D2764" t="s">
        <v>52</v>
      </c>
      <c r="E2764">
        <f>220/30</f>
        <v>7.33333333333333</v>
      </c>
      <c r="F2764">
        <v>0</v>
      </c>
    </row>
    <row r="2765" hidden="1" spans="1:6">
      <c r="A2765" s="2" t="s">
        <v>2905</v>
      </c>
      <c r="B2765" s="3">
        <v>118</v>
      </c>
      <c r="D2765" t="s">
        <v>140</v>
      </c>
      <c r="E2765">
        <f>190/30</f>
        <v>6.33333333333333</v>
      </c>
      <c r="F2765">
        <v>0</v>
      </c>
    </row>
    <row r="2766" hidden="1" spans="1:6">
      <c r="A2766" s="2" t="s">
        <v>2906</v>
      </c>
      <c r="B2766" s="3">
        <v>118</v>
      </c>
      <c r="D2766" t="s">
        <v>133</v>
      </c>
      <c r="E2766">
        <f>466/30</f>
        <v>15.5333333333333</v>
      </c>
      <c r="F2766">
        <v>0</v>
      </c>
    </row>
    <row r="2767" hidden="1" spans="1:11">
      <c r="A2767" s="2" t="s">
        <v>2907</v>
      </c>
      <c r="B2767" s="3">
        <v>119</v>
      </c>
      <c r="D2767" t="s">
        <v>57</v>
      </c>
      <c r="E2767">
        <f>111/30</f>
        <v>3.7</v>
      </c>
      <c r="F2767">
        <v>0</v>
      </c>
      <c r="G2767">
        <v>0</v>
      </c>
      <c r="H2767">
        <v>2</v>
      </c>
      <c r="I2767">
        <v>3853</v>
      </c>
      <c r="J2767" t="s">
        <v>58</v>
      </c>
      <c r="K2767">
        <v>1</v>
      </c>
    </row>
    <row r="2768" hidden="1" spans="1:6">
      <c r="A2768" s="2" t="s">
        <v>2908</v>
      </c>
      <c r="B2768" s="3">
        <v>118</v>
      </c>
      <c r="D2768" t="s">
        <v>1826</v>
      </c>
      <c r="E2768">
        <f>330/30</f>
        <v>11</v>
      </c>
      <c r="F2768">
        <v>0</v>
      </c>
    </row>
    <row r="2769" hidden="1" spans="1:6">
      <c r="A2769" s="2" t="s">
        <v>2909</v>
      </c>
      <c r="B2769" s="3">
        <v>1283</v>
      </c>
      <c r="D2769" t="s">
        <v>36</v>
      </c>
      <c r="E2769">
        <f>77/30</f>
        <v>2.56666666666667</v>
      </c>
      <c r="F2769">
        <v>0</v>
      </c>
    </row>
    <row r="2770" hidden="1" spans="1:6">
      <c r="A2770" s="2" t="s">
        <v>2910</v>
      </c>
      <c r="B2770" s="3">
        <v>1283</v>
      </c>
      <c r="D2770" t="s">
        <v>38</v>
      </c>
      <c r="E2770">
        <f>82/30</f>
        <v>2.73333333333333</v>
      </c>
      <c r="F2770">
        <v>0</v>
      </c>
    </row>
    <row r="2771" hidden="1" spans="1:6">
      <c r="A2771" s="2" t="s">
        <v>2911</v>
      </c>
      <c r="B2771" s="3">
        <v>1283</v>
      </c>
      <c r="D2771" t="s">
        <v>40</v>
      </c>
      <c r="E2771">
        <f>100/30</f>
        <v>3.33333333333333</v>
      </c>
      <c r="F2771">
        <v>0</v>
      </c>
    </row>
    <row r="2772" hidden="1" spans="1:6">
      <c r="A2772" s="2" t="s">
        <v>2912</v>
      </c>
      <c r="B2772" s="3">
        <v>1283</v>
      </c>
      <c r="D2772" t="s">
        <v>42</v>
      </c>
      <c r="E2772">
        <f>85/30</f>
        <v>2.83333333333333</v>
      </c>
      <c r="F2772">
        <v>0</v>
      </c>
    </row>
    <row r="2773" hidden="1" spans="1:6">
      <c r="A2773" s="2" t="s">
        <v>2913</v>
      </c>
      <c r="B2773" s="3">
        <v>1283</v>
      </c>
      <c r="D2773" t="s">
        <v>44</v>
      </c>
      <c r="E2773">
        <f>80/30</f>
        <v>2.66666666666667</v>
      </c>
      <c r="F2773">
        <v>0</v>
      </c>
    </row>
    <row r="2774" hidden="1" spans="1:6">
      <c r="A2774" s="2" t="s">
        <v>2914</v>
      </c>
      <c r="B2774" s="3">
        <v>1283</v>
      </c>
      <c r="D2774" t="s">
        <v>46</v>
      </c>
      <c r="E2774">
        <f>210/30</f>
        <v>7</v>
      </c>
      <c r="F2774">
        <v>0</v>
      </c>
    </row>
    <row r="2775" hidden="1" spans="1:6">
      <c r="A2775" s="2" t="s">
        <v>2915</v>
      </c>
      <c r="B2775" s="3">
        <v>1283</v>
      </c>
      <c r="D2775" t="s">
        <v>86</v>
      </c>
      <c r="E2775">
        <f>260/30</f>
        <v>8.66666666666667</v>
      </c>
      <c r="F2775">
        <v>0</v>
      </c>
    </row>
    <row r="2776" hidden="1" spans="1:6">
      <c r="A2776" s="2" t="s">
        <v>2916</v>
      </c>
      <c r="B2776" s="3">
        <v>1283</v>
      </c>
      <c r="D2776" t="s">
        <v>50</v>
      </c>
      <c r="E2776">
        <f>205/30</f>
        <v>6.83333333333333</v>
      </c>
      <c r="F2776">
        <v>0</v>
      </c>
    </row>
    <row r="2777" hidden="1" spans="1:6">
      <c r="A2777" s="2" t="s">
        <v>2917</v>
      </c>
      <c r="B2777" s="3">
        <v>4011901</v>
      </c>
      <c r="D2777" t="s">
        <v>36</v>
      </c>
      <c r="E2777">
        <f>117/30</f>
        <v>3.9</v>
      </c>
      <c r="F2777">
        <v>0</v>
      </c>
    </row>
    <row r="2778" hidden="1" spans="1:6">
      <c r="A2778" s="2" t="s">
        <v>2918</v>
      </c>
      <c r="B2778" s="3">
        <v>4011901</v>
      </c>
      <c r="D2778" t="s">
        <v>38</v>
      </c>
      <c r="E2778">
        <f>155/30</f>
        <v>5.16666666666667</v>
      </c>
      <c r="F2778">
        <v>0</v>
      </c>
    </row>
    <row r="2779" hidden="1" spans="1:6">
      <c r="A2779" s="2" t="s">
        <v>2919</v>
      </c>
      <c r="B2779" s="3">
        <v>4011901</v>
      </c>
      <c r="D2779" t="s">
        <v>40</v>
      </c>
      <c r="E2779">
        <f>165/30</f>
        <v>5.5</v>
      </c>
      <c r="F2779">
        <v>0</v>
      </c>
    </row>
    <row r="2780" hidden="1" spans="1:6">
      <c r="A2780" s="2" t="s">
        <v>2920</v>
      </c>
      <c r="B2780" s="3">
        <v>4011901</v>
      </c>
      <c r="D2780" t="s">
        <v>42</v>
      </c>
      <c r="E2780">
        <f>142/30</f>
        <v>4.73333333333333</v>
      </c>
      <c r="F2780">
        <v>0</v>
      </c>
    </row>
    <row r="2781" hidden="1" spans="1:11">
      <c r="A2781" s="2" t="s">
        <v>2921</v>
      </c>
      <c r="B2781" s="3">
        <v>4011901</v>
      </c>
      <c r="D2781" t="s">
        <v>57</v>
      </c>
      <c r="E2781">
        <f>111/30</f>
        <v>3.7</v>
      </c>
      <c r="F2781">
        <v>0</v>
      </c>
      <c r="G2781">
        <v>0</v>
      </c>
      <c r="H2781">
        <v>2</v>
      </c>
      <c r="I2781">
        <v>3853</v>
      </c>
      <c r="J2781" t="s">
        <v>58</v>
      </c>
      <c r="K2781">
        <v>1</v>
      </c>
    </row>
    <row r="2782" hidden="1" spans="1:6">
      <c r="A2782" s="2" t="s">
        <v>2922</v>
      </c>
      <c r="B2782" s="3">
        <v>30068</v>
      </c>
      <c r="D2782" t="s">
        <v>1788</v>
      </c>
      <c r="E2782">
        <f>145/30</f>
        <v>4.83333333333333</v>
      </c>
      <c r="F2782">
        <v>0</v>
      </c>
    </row>
    <row r="2783" hidden="1" spans="1:6">
      <c r="A2783" s="2" t="s">
        <v>2923</v>
      </c>
      <c r="B2783" s="3">
        <v>84</v>
      </c>
      <c r="C2783">
        <v>3</v>
      </c>
      <c r="D2783" t="s">
        <v>90</v>
      </c>
      <c r="E2783">
        <f t="shared" ref="E2783:E2787" si="10">155/30</f>
        <v>5.16666666666667</v>
      </c>
      <c r="F2783">
        <v>0</v>
      </c>
    </row>
    <row r="2784" hidden="1" spans="1:6">
      <c r="A2784" s="108" t="s">
        <v>2924</v>
      </c>
      <c r="B2784" s="3">
        <v>84</v>
      </c>
      <c r="C2784">
        <v>3</v>
      </c>
      <c r="D2784" t="s">
        <v>48</v>
      </c>
      <c r="E2784">
        <f t="shared" ref="E2784:E2788" si="11">308/30</f>
        <v>10.2666666666667</v>
      </c>
      <c r="F2784">
        <v>0</v>
      </c>
    </row>
    <row r="2785" hidden="1" spans="1:6">
      <c r="A2785" s="2">
        <v>40840109</v>
      </c>
      <c r="B2785" s="3">
        <v>408401</v>
      </c>
      <c r="C2785">
        <v>3</v>
      </c>
      <c r="D2785" t="s">
        <v>90</v>
      </c>
      <c r="E2785">
        <f t="shared" si="10"/>
        <v>5.16666666666667</v>
      </c>
      <c r="F2785">
        <v>0</v>
      </c>
    </row>
    <row r="2786" hidden="1" spans="1:6">
      <c r="A2786" s="2">
        <v>40840110</v>
      </c>
      <c r="B2786" s="3">
        <v>408401</v>
      </c>
      <c r="C2786">
        <v>3</v>
      </c>
      <c r="D2786" t="s">
        <v>48</v>
      </c>
      <c r="E2786">
        <f t="shared" si="11"/>
        <v>10.2666666666667</v>
      </c>
      <c r="F2786">
        <v>0</v>
      </c>
    </row>
    <row r="2787" hidden="1" spans="1:6">
      <c r="A2787" s="2" t="s">
        <v>2925</v>
      </c>
      <c r="B2787" s="3">
        <v>408402</v>
      </c>
      <c r="C2787">
        <v>3</v>
      </c>
      <c r="D2787" t="s">
        <v>90</v>
      </c>
      <c r="E2787">
        <f t="shared" si="10"/>
        <v>5.16666666666667</v>
      </c>
      <c r="F2787">
        <v>0</v>
      </c>
    </row>
    <row r="2788" hidden="1" spans="1:6">
      <c r="A2788" s="2" t="s">
        <v>2926</v>
      </c>
      <c r="B2788" s="3">
        <v>408402</v>
      </c>
      <c r="C2788">
        <v>3</v>
      </c>
      <c r="D2788" t="s">
        <v>48</v>
      </c>
      <c r="E2788">
        <f t="shared" si="11"/>
        <v>10.2666666666667</v>
      </c>
      <c r="F2788">
        <v>0</v>
      </c>
    </row>
    <row r="2789" hidden="1" spans="1:6">
      <c r="A2789" s="2" t="s">
        <v>2927</v>
      </c>
      <c r="B2789" s="3">
        <v>4011901</v>
      </c>
      <c r="C2789">
        <v>3</v>
      </c>
      <c r="D2789" t="s">
        <v>1788</v>
      </c>
      <c r="E2789">
        <f>145/30</f>
        <v>4.83333333333333</v>
      </c>
      <c r="F2789">
        <v>0</v>
      </c>
    </row>
    <row r="2790" hidden="1" spans="1:11">
      <c r="A2790" s="2" t="s">
        <v>2928</v>
      </c>
      <c r="B2790" s="3">
        <v>4011901</v>
      </c>
      <c r="C2790">
        <v>3</v>
      </c>
      <c r="D2790" t="s">
        <v>2929</v>
      </c>
      <c r="E2790">
        <f>111/30</f>
        <v>3.7</v>
      </c>
      <c r="F2790">
        <v>0</v>
      </c>
      <c r="K2790">
        <v>1</v>
      </c>
    </row>
    <row r="2791" hidden="1" spans="1:6">
      <c r="A2791" s="2" t="s">
        <v>2930</v>
      </c>
      <c r="B2791" s="3">
        <v>30068</v>
      </c>
      <c r="D2791" t="s">
        <v>2929</v>
      </c>
      <c r="E2791">
        <f>111/30</f>
        <v>3.7</v>
      </c>
      <c r="F2791">
        <v>0</v>
      </c>
    </row>
    <row r="2792" hidden="1" spans="1:6">
      <c r="A2792" s="2" t="s">
        <v>2931</v>
      </c>
      <c r="B2792" s="3">
        <v>121</v>
      </c>
      <c r="C2792">
        <v>3</v>
      </c>
      <c r="D2792" t="s">
        <v>36</v>
      </c>
      <c r="E2792">
        <f>110/30</f>
        <v>3.66666666666667</v>
      </c>
      <c r="F2792">
        <v>0</v>
      </c>
    </row>
    <row r="2793" hidden="1" spans="1:6">
      <c r="A2793" s="2" t="s">
        <v>2932</v>
      </c>
      <c r="B2793" s="3">
        <v>121</v>
      </c>
      <c r="C2793">
        <v>3</v>
      </c>
      <c r="D2793" t="s">
        <v>38</v>
      </c>
      <c r="E2793">
        <f>130/30</f>
        <v>4.33333333333333</v>
      </c>
      <c r="F2793">
        <v>0</v>
      </c>
    </row>
    <row r="2794" hidden="1" spans="1:6">
      <c r="A2794" s="2" t="s">
        <v>2933</v>
      </c>
      <c r="B2794" s="3">
        <v>121</v>
      </c>
      <c r="C2794">
        <v>3</v>
      </c>
      <c r="D2794" t="s">
        <v>40</v>
      </c>
      <c r="E2794">
        <f>64/30</f>
        <v>2.13333333333333</v>
      </c>
      <c r="F2794">
        <v>0</v>
      </c>
    </row>
    <row r="2795" hidden="1" spans="1:6">
      <c r="A2795" s="2" t="s">
        <v>2934</v>
      </c>
      <c r="B2795" s="3">
        <v>121</v>
      </c>
      <c r="C2795">
        <v>3</v>
      </c>
      <c r="D2795" t="s">
        <v>42</v>
      </c>
      <c r="E2795">
        <f>150/30</f>
        <v>5</v>
      </c>
      <c r="F2795">
        <v>0</v>
      </c>
    </row>
    <row r="2796" hidden="1" spans="1:6">
      <c r="A2796" s="2" t="s">
        <v>2935</v>
      </c>
      <c r="B2796" s="3">
        <v>121</v>
      </c>
      <c r="C2796">
        <v>3</v>
      </c>
      <c r="D2796" t="s">
        <v>44</v>
      </c>
      <c r="E2796">
        <f>370/30</f>
        <v>12.3333333333333</v>
      </c>
      <c r="F2796">
        <v>0</v>
      </c>
    </row>
    <row r="2797" hidden="1" spans="1:6">
      <c r="A2797" s="2" t="s">
        <v>2936</v>
      </c>
      <c r="B2797" s="3">
        <v>121</v>
      </c>
      <c r="C2797">
        <v>3</v>
      </c>
      <c r="D2797" t="s">
        <v>46</v>
      </c>
      <c r="E2797">
        <f>81/30</f>
        <v>2.7</v>
      </c>
      <c r="F2797">
        <v>0</v>
      </c>
    </row>
    <row r="2798" hidden="1" spans="1:6">
      <c r="A2798" s="2" t="s">
        <v>2937</v>
      </c>
      <c r="B2798" s="3">
        <v>121</v>
      </c>
      <c r="C2798">
        <v>3</v>
      </c>
      <c r="D2798" t="s">
        <v>86</v>
      </c>
      <c r="E2798">
        <v>4</v>
      </c>
      <c r="F2798">
        <v>0</v>
      </c>
    </row>
    <row r="2799" s="1" customFormat="1" hidden="1" spans="1:12">
      <c r="A2799" s="5" t="s">
        <v>2938</v>
      </c>
      <c r="B2799" s="54">
        <v>121</v>
      </c>
      <c r="C2799" s="1">
        <v>3</v>
      </c>
      <c r="D2799" s="1" t="s">
        <v>50</v>
      </c>
      <c r="E2799" s="1">
        <f>66/30</f>
        <v>2.2</v>
      </c>
      <c r="F2799" s="1">
        <v>0</v>
      </c>
      <c r="L2799" s="7"/>
    </row>
    <row r="2800" s="1" customFormat="1" hidden="1" spans="1:12">
      <c r="A2800" s="5" t="s">
        <v>2939</v>
      </c>
      <c r="B2800" s="54">
        <v>121</v>
      </c>
      <c r="C2800" s="1">
        <v>3</v>
      </c>
      <c r="D2800" s="1" t="s">
        <v>90</v>
      </c>
      <c r="E2800" s="1">
        <f>114/30</f>
        <v>3.8</v>
      </c>
      <c r="F2800" s="1">
        <v>0</v>
      </c>
      <c r="L2800" s="7"/>
    </row>
    <row r="2801" s="1" customFormat="1" hidden="1" spans="1:12">
      <c r="A2801" s="5" t="s">
        <v>2940</v>
      </c>
      <c r="B2801" s="54">
        <v>121</v>
      </c>
      <c r="C2801" s="1">
        <v>3</v>
      </c>
      <c r="D2801" s="1" t="s">
        <v>48</v>
      </c>
      <c r="E2801" s="1">
        <f>306/30</f>
        <v>10.2</v>
      </c>
      <c r="F2801" s="1">
        <v>0</v>
      </c>
      <c r="L2801" s="7"/>
    </row>
    <row r="2802" hidden="1" spans="1:6">
      <c r="A2802" s="2" t="s">
        <v>2941</v>
      </c>
      <c r="B2802" s="3">
        <v>121</v>
      </c>
      <c r="C2802">
        <v>3</v>
      </c>
      <c r="D2802" t="s">
        <v>92</v>
      </c>
      <c r="E2802">
        <f>59/30</f>
        <v>1.96666666666667</v>
      </c>
      <c r="F2802">
        <v>0</v>
      </c>
    </row>
    <row r="2803" hidden="1" spans="1:6">
      <c r="A2803" s="2" t="s">
        <v>2942</v>
      </c>
      <c r="B2803" s="3">
        <v>121</v>
      </c>
      <c r="C2803">
        <v>3</v>
      </c>
      <c r="D2803" t="s">
        <v>109</v>
      </c>
      <c r="E2803">
        <f>115/30</f>
        <v>3.83333333333333</v>
      </c>
      <c r="F2803">
        <v>0</v>
      </c>
    </row>
    <row r="2804" hidden="1" spans="1:6">
      <c r="A2804" s="2" t="s">
        <v>2943</v>
      </c>
      <c r="B2804" s="3">
        <v>121</v>
      </c>
      <c r="C2804">
        <v>3</v>
      </c>
      <c r="D2804" t="s">
        <v>97</v>
      </c>
      <c r="E2804">
        <f>69/30</f>
        <v>2.3</v>
      </c>
      <c r="F2804">
        <v>0</v>
      </c>
    </row>
    <row r="2805" hidden="1" spans="1:6">
      <c r="A2805" s="2" t="s">
        <v>2944</v>
      </c>
      <c r="B2805" s="3">
        <v>121</v>
      </c>
      <c r="C2805">
        <v>3</v>
      </c>
      <c r="D2805" t="s">
        <v>77</v>
      </c>
      <c r="E2805">
        <f>66/30</f>
        <v>2.2</v>
      </c>
      <c r="F2805">
        <v>0</v>
      </c>
    </row>
    <row r="2806" hidden="1" spans="1:6">
      <c r="A2806" s="2" t="s">
        <v>2945</v>
      </c>
      <c r="B2806" s="3">
        <v>121</v>
      </c>
      <c r="C2806">
        <v>3</v>
      </c>
      <c r="D2806" t="s">
        <v>54</v>
      </c>
      <c r="E2806">
        <f>100/30</f>
        <v>3.33333333333333</v>
      </c>
      <c r="F2806">
        <v>0</v>
      </c>
    </row>
    <row r="2807" hidden="1" spans="1:11">
      <c r="A2807" s="2" t="s">
        <v>2946</v>
      </c>
      <c r="B2807" s="3">
        <v>121</v>
      </c>
      <c r="C2807">
        <v>3</v>
      </c>
      <c r="D2807" t="s">
        <v>57</v>
      </c>
      <c r="E2807">
        <f>71/30</f>
        <v>2.36666666666667</v>
      </c>
      <c r="F2807">
        <v>0</v>
      </c>
      <c r="G2807">
        <v>0</v>
      </c>
      <c r="H2807">
        <v>2</v>
      </c>
      <c r="I2807">
        <v>3922</v>
      </c>
      <c r="J2807" t="s">
        <v>58</v>
      </c>
      <c r="K2807">
        <v>1</v>
      </c>
    </row>
    <row r="2808" s="1" customFormat="1" hidden="1" spans="1:12">
      <c r="A2808" s="5" t="s">
        <v>2947</v>
      </c>
      <c r="B2808" s="54">
        <v>121</v>
      </c>
      <c r="C2808" s="1">
        <v>3</v>
      </c>
      <c r="D2808" s="1" t="s">
        <v>1776</v>
      </c>
      <c r="E2808" s="1">
        <f>61/30</f>
        <v>2.03333333333333</v>
      </c>
      <c r="F2808" s="1">
        <v>0</v>
      </c>
      <c r="G2808" s="1">
        <v>0</v>
      </c>
      <c r="H2808" s="1">
        <v>2</v>
      </c>
      <c r="I2808" s="1">
        <v>4745</v>
      </c>
      <c r="J2808" s="1" t="s">
        <v>58</v>
      </c>
      <c r="K2808" s="1">
        <v>1</v>
      </c>
      <c r="L2808" s="7"/>
    </row>
    <row r="2809" hidden="1" spans="1:11">
      <c r="A2809" s="2" t="s">
        <v>2948</v>
      </c>
      <c r="B2809" s="3">
        <v>30069</v>
      </c>
      <c r="C2809">
        <v>3</v>
      </c>
      <c r="D2809" t="s">
        <v>46</v>
      </c>
      <c r="E2809">
        <f>340/30</f>
        <v>11.3333333333333</v>
      </c>
      <c r="F2809">
        <v>0</v>
      </c>
      <c r="G2809" s="1">
        <v>0</v>
      </c>
      <c r="H2809" s="1">
        <v>2</v>
      </c>
      <c r="I2809" s="1">
        <v>3924</v>
      </c>
      <c r="J2809" s="1" t="s">
        <v>473</v>
      </c>
      <c r="K2809" s="1">
        <v>1</v>
      </c>
    </row>
    <row r="2810" hidden="1" spans="1:6">
      <c r="A2810" s="2" t="s">
        <v>2949</v>
      </c>
      <c r="B2810" s="3">
        <v>30069</v>
      </c>
      <c r="C2810">
        <v>3</v>
      </c>
      <c r="D2810" t="s">
        <v>86</v>
      </c>
      <c r="E2810">
        <f>250/30</f>
        <v>8.33333333333333</v>
      </c>
      <c r="F2810">
        <v>0</v>
      </c>
    </row>
    <row r="2811" s="1" customFormat="1" hidden="1" spans="1:12">
      <c r="A2811" s="5" t="s">
        <v>2950</v>
      </c>
      <c r="B2811" s="54">
        <v>30094</v>
      </c>
      <c r="C2811" s="1">
        <v>3</v>
      </c>
      <c r="D2811" s="1" t="s">
        <v>48</v>
      </c>
      <c r="E2811" s="1">
        <f>306/30</f>
        <v>10.2</v>
      </c>
      <c r="F2811" s="1">
        <v>0</v>
      </c>
      <c r="G2811" s="26">
        <v>0</v>
      </c>
      <c r="H2811" s="26">
        <v>2</v>
      </c>
      <c r="I2811" s="26">
        <v>4747</v>
      </c>
      <c r="J2811" s="26" t="s">
        <v>2951</v>
      </c>
      <c r="K2811" s="26">
        <v>1</v>
      </c>
      <c r="L2811" s="7"/>
    </row>
    <row r="2812" hidden="1" spans="1:6">
      <c r="A2812" s="2" t="s">
        <v>2952</v>
      </c>
      <c r="B2812" s="3">
        <v>407304</v>
      </c>
      <c r="C2812">
        <v>3</v>
      </c>
      <c r="D2812" t="s">
        <v>36</v>
      </c>
      <c r="E2812">
        <f>77/30</f>
        <v>2.56666666666667</v>
      </c>
      <c r="F2812">
        <v>0</v>
      </c>
    </row>
    <row r="2813" hidden="1" spans="1:6">
      <c r="A2813" s="2" t="s">
        <v>2953</v>
      </c>
      <c r="B2813" s="3">
        <v>407304</v>
      </c>
      <c r="C2813">
        <v>3</v>
      </c>
      <c r="D2813" t="s">
        <v>38</v>
      </c>
      <c r="E2813">
        <f>82/30</f>
        <v>2.73333333333333</v>
      </c>
      <c r="F2813">
        <v>0</v>
      </c>
    </row>
    <row r="2814" hidden="1" spans="1:6">
      <c r="A2814" s="2" t="s">
        <v>2954</v>
      </c>
      <c r="B2814" s="3">
        <v>407304</v>
      </c>
      <c r="C2814">
        <v>3</v>
      </c>
      <c r="D2814" t="s">
        <v>40</v>
      </c>
      <c r="E2814">
        <f>112/30</f>
        <v>3.73333333333333</v>
      </c>
      <c r="F2814">
        <v>0</v>
      </c>
    </row>
    <row r="2815" hidden="1" spans="1:6">
      <c r="A2815" s="2" t="s">
        <v>2955</v>
      </c>
      <c r="B2815" s="3">
        <v>407304</v>
      </c>
      <c r="C2815">
        <v>3</v>
      </c>
      <c r="D2815" t="s">
        <v>42</v>
      </c>
      <c r="E2815">
        <f>85/30</f>
        <v>2.83333333333333</v>
      </c>
      <c r="F2815">
        <v>0</v>
      </c>
    </row>
    <row r="2816" hidden="1" spans="1:6">
      <c r="A2816" s="2" t="s">
        <v>2956</v>
      </c>
      <c r="B2816" s="3">
        <v>407304</v>
      </c>
      <c r="C2816">
        <v>3</v>
      </c>
      <c r="D2816" t="s">
        <v>44</v>
      </c>
      <c r="E2816">
        <f>80/30</f>
        <v>2.66666666666667</v>
      </c>
      <c r="F2816">
        <v>0</v>
      </c>
    </row>
    <row r="2817" hidden="1" spans="1:6">
      <c r="A2817" s="2" t="s">
        <v>2957</v>
      </c>
      <c r="B2817" s="3">
        <v>407304</v>
      </c>
      <c r="C2817">
        <v>3</v>
      </c>
      <c r="D2817" t="s">
        <v>46</v>
      </c>
      <c r="E2817">
        <f>210/30</f>
        <v>7</v>
      </c>
      <c r="F2817">
        <v>0</v>
      </c>
    </row>
    <row r="2818" hidden="1" spans="1:6">
      <c r="A2818" s="2" t="s">
        <v>2958</v>
      </c>
      <c r="B2818" s="3">
        <v>407304</v>
      </c>
      <c r="C2818">
        <v>3</v>
      </c>
      <c r="D2818" t="s">
        <v>86</v>
      </c>
      <c r="E2818">
        <f>260/30</f>
        <v>8.66666666666667</v>
      </c>
      <c r="F2818">
        <v>0</v>
      </c>
    </row>
    <row r="2819" hidden="1" spans="1:6">
      <c r="A2819" s="2" t="s">
        <v>2959</v>
      </c>
      <c r="B2819" s="3">
        <v>407304</v>
      </c>
      <c r="C2819">
        <v>3</v>
      </c>
      <c r="D2819" t="s">
        <v>50</v>
      </c>
      <c r="E2819">
        <f>205/30</f>
        <v>6.83333333333333</v>
      </c>
      <c r="F2819">
        <v>0</v>
      </c>
    </row>
    <row r="2820" hidden="1" spans="1:11">
      <c r="A2820" s="2" t="s">
        <v>2960</v>
      </c>
      <c r="B2820" s="3">
        <v>407304</v>
      </c>
      <c r="C2820">
        <v>3</v>
      </c>
      <c r="D2820" t="s">
        <v>57</v>
      </c>
      <c r="E2820">
        <v>5</v>
      </c>
      <c r="F2820">
        <v>0</v>
      </c>
      <c r="G2820">
        <v>0</v>
      </c>
      <c r="H2820">
        <v>2</v>
      </c>
      <c r="I2820">
        <v>2128</v>
      </c>
      <c r="J2820" t="s">
        <v>58</v>
      </c>
      <c r="K2820">
        <v>1</v>
      </c>
    </row>
    <row r="2821" hidden="1" spans="1:10">
      <c r="A2821" s="2" t="s">
        <v>2961</v>
      </c>
      <c r="B2821" s="3">
        <v>407304</v>
      </c>
      <c r="C2821">
        <v>3</v>
      </c>
      <c r="D2821" t="s">
        <v>92</v>
      </c>
      <c r="E2821">
        <f>100/30</f>
        <v>3.33333333333333</v>
      </c>
      <c r="F2821">
        <v>0</v>
      </c>
      <c r="G2821">
        <v>0</v>
      </c>
      <c r="H2821">
        <v>2</v>
      </c>
      <c r="I2821">
        <v>2137</v>
      </c>
      <c r="J2821" t="s">
        <v>473</v>
      </c>
    </row>
    <row r="2822" hidden="1" spans="1:6">
      <c r="A2822" s="2" t="s">
        <v>2962</v>
      </c>
      <c r="B2822" s="3">
        <v>52</v>
      </c>
      <c r="C2822">
        <v>3</v>
      </c>
      <c r="D2822" t="s">
        <v>48</v>
      </c>
      <c r="E2822">
        <f>460/30</f>
        <v>15.3333333333333</v>
      </c>
      <c r="F2822">
        <v>0</v>
      </c>
    </row>
    <row r="2823" hidden="1" spans="1:6">
      <c r="A2823" s="2" t="s">
        <v>2963</v>
      </c>
      <c r="B2823" s="3">
        <v>52</v>
      </c>
      <c r="C2823">
        <v>3</v>
      </c>
      <c r="D2823" t="s">
        <v>90</v>
      </c>
      <c r="E2823">
        <f>90/30</f>
        <v>3</v>
      </c>
      <c r="F2823">
        <v>0</v>
      </c>
    </row>
    <row r="2824" hidden="1" spans="1:6">
      <c r="A2824" s="2" t="s">
        <v>2964</v>
      </c>
      <c r="B2824" s="3">
        <v>4012101</v>
      </c>
      <c r="C2824">
        <v>3</v>
      </c>
      <c r="D2824" t="s">
        <v>36</v>
      </c>
      <c r="E2824">
        <f>110/30</f>
        <v>3.66666666666667</v>
      </c>
      <c r="F2824">
        <v>0</v>
      </c>
    </row>
    <row r="2825" hidden="1" spans="1:6">
      <c r="A2825" s="2" t="s">
        <v>2965</v>
      </c>
      <c r="B2825" s="3">
        <v>4012101</v>
      </c>
      <c r="C2825">
        <v>3</v>
      </c>
      <c r="D2825" t="s">
        <v>38</v>
      </c>
      <c r="E2825">
        <f>130/30</f>
        <v>4.33333333333333</v>
      </c>
      <c r="F2825">
        <v>0</v>
      </c>
    </row>
    <row r="2826" hidden="1" spans="1:6">
      <c r="A2826" s="2" t="s">
        <v>2966</v>
      </c>
      <c r="B2826" s="3">
        <v>4012101</v>
      </c>
      <c r="C2826">
        <v>3</v>
      </c>
      <c r="D2826" t="s">
        <v>40</v>
      </c>
      <c r="E2826">
        <f>64/30</f>
        <v>2.13333333333333</v>
      </c>
      <c r="F2826">
        <v>0</v>
      </c>
    </row>
    <row r="2827" hidden="1" spans="1:6">
      <c r="A2827" s="2" t="s">
        <v>2967</v>
      </c>
      <c r="B2827" s="3">
        <v>4012101</v>
      </c>
      <c r="C2827">
        <v>3</v>
      </c>
      <c r="D2827" t="s">
        <v>42</v>
      </c>
      <c r="E2827">
        <f>150/30</f>
        <v>5</v>
      </c>
      <c r="F2827">
        <v>0</v>
      </c>
    </row>
    <row r="2828" hidden="1" spans="1:6">
      <c r="A2828" s="2" t="s">
        <v>2968</v>
      </c>
      <c r="B2828" s="3">
        <v>4012101</v>
      </c>
      <c r="C2828">
        <v>3</v>
      </c>
      <c r="D2828" t="s">
        <v>44</v>
      </c>
      <c r="E2828">
        <f>370/30</f>
        <v>12.3333333333333</v>
      </c>
      <c r="F2828">
        <v>0</v>
      </c>
    </row>
    <row r="2829" hidden="1" spans="1:6">
      <c r="A2829" s="2" t="s">
        <v>2969</v>
      </c>
      <c r="B2829" s="3">
        <v>4012101</v>
      </c>
      <c r="C2829">
        <v>3</v>
      </c>
      <c r="D2829" t="s">
        <v>46</v>
      </c>
      <c r="E2829">
        <f>81/30</f>
        <v>2.7</v>
      </c>
      <c r="F2829">
        <v>0</v>
      </c>
    </row>
    <row r="2830" hidden="1" spans="1:6">
      <c r="A2830" s="2" t="s">
        <v>2970</v>
      </c>
      <c r="B2830" s="3">
        <v>4012101</v>
      </c>
      <c r="C2830">
        <v>3</v>
      </c>
      <c r="D2830" t="s">
        <v>86</v>
      </c>
      <c r="E2830">
        <v>4</v>
      </c>
      <c r="F2830">
        <v>0</v>
      </c>
    </row>
    <row r="2831" s="1" customFormat="1" hidden="1" spans="1:12">
      <c r="A2831" s="5" t="s">
        <v>2971</v>
      </c>
      <c r="B2831" s="54">
        <v>4012101</v>
      </c>
      <c r="C2831" s="1">
        <v>3</v>
      </c>
      <c r="D2831" s="1" t="s">
        <v>50</v>
      </c>
      <c r="E2831" s="1">
        <f>66/30</f>
        <v>2.2</v>
      </c>
      <c r="F2831" s="1">
        <v>0</v>
      </c>
      <c r="L2831" s="7"/>
    </row>
    <row r="2832" s="1" customFormat="1" hidden="1" spans="1:12">
      <c r="A2832" s="5" t="s">
        <v>2972</v>
      </c>
      <c r="B2832" s="54">
        <v>4012101</v>
      </c>
      <c r="C2832" s="1">
        <v>3</v>
      </c>
      <c r="D2832" s="1" t="s">
        <v>90</v>
      </c>
      <c r="E2832" s="1">
        <f>114/30</f>
        <v>3.8</v>
      </c>
      <c r="F2832" s="1">
        <v>0</v>
      </c>
      <c r="L2832" s="7"/>
    </row>
    <row r="2833" s="1" customFormat="1" hidden="1" spans="1:12">
      <c r="A2833" s="5" t="s">
        <v>2973</v>
      </c>
      <c r="B2833" s="54">
        <v>4012101</v>
      </c>
      <c r="C2833" s="1">
        <v>3</v>
      </c>
      <c r="D2833" s="1" t="s">
        <v>48</v>
      </c>
      <c r="E2833" s="1">
        <f>306/30</f>
        <v>10.2</v>
      </c>
      <c r="F2833" s="1">
        <v>0</v>
      </c>
      <c r="L2833" s="7"/>
    </row>
    <row r="2834" hidden="1" spans="1:6">
      <c r="A2834" s="2" t="s">
        <v>2974</v>
      </c>
      <c r="B2834" s="3">
        <v>4012101</v>
      </c>
      <c r="C2834">
        <v>3</v>
      </c>
      <c r="D2834" t="s">
        <v>92</v>
      </c>
      <c r="E2834">
        <f>59/30</f>
        <v>1.96666666666667</v>
      </c>
      <c r="F2834">
        <v>0</v>
      </c>
    </row>
    <row r="2835" hidden="1" spans="1:6">
      <c r="A2835" s="2" t="s">
        <v>2975</v>
      </c>
      <c r="B2835" s="3">
        <v>4012101</v>
      </c>
      <c r="C2835">
        <v>3</v>
      </c>
      <c r="D2835" t="s">
        <v>109</v>
      </c>
      <c r="E2835">
        <f>115/30</f>
        <v>3.83333333333333</v>
      </c>
      <c r="F2835">
        <v>0</v>
      </c>
    </row>
    <row r="2836" hidden="1" spans="1:6">
      <c r="A2836" s="2" t="s">
        <v>2976</v>
      </c>
      <c r="B2836" s="3">
        <v>4012101</v>
      </c>
      <c r="C2836">
        <v>3</v>
      </c>
      <c r="D2836" t="s">
        <v>97</v>
      </c>
      <c r="E2836">
        <f>69/30</f>
        <v>2.3</v>
      </c>
      <c r="F2836">
        <v>0</v>
      </c>
    </row>
    <row r="2837" hidden="1" spans="1:6">
      <c r="A2837" s="2" t="s">
        <v>2977</v>
      </c>
      <c r="B2837" s="3">
        <v>4012101</v>
      </c>
      <c r="C2837">
        <v>3</v>
      </c>
      <c r="D2837" t="s">
        <v>77</v>
      </c>
      <c r="E2837">
        <f>66/30</f>
        <v>2.2</v>
      </c>
      <c r="F2837">
        <v>0</v>
      </c>
    </row>
    <row r="2838" hidden="1" spans="1:6">
      <c r="A2838" s="2" t="s">
        <v>2978</v>
      </c>
      <c r="B2838" s="3">
        <v>4012101</v>
      </c>
      <c r="C2838">
        <v>3</v>
      </c>
      <c r="D2838" t="s">
        <v>54</v>
      </c>
      <c r="E2838">
        <f>100/30</f>
        <v>3.33333333333333</v>
      </c>
      <c r="F2838">
        <v>0</v>
      </c>
    </row>
    <row r="2839" hidden="1" spans="1:11">
      <c r="A2839" s="2" t="s">
        <v>2979</v>
      </c>
      <c r="B2839" s="3">
        <v>4012101</v>
      </c>
      <c r="C2839">
        <v>3</v>
      </c>
      <c r="D2839" t="s">
        <v>57</v>
      </c>
      <c r="E2839">
        <f>71/30</f>
        <v>2.36666666666667</v>
      </c>
      <c r="F2839">
        <v>0</v>
      </c>
      <c r="G2839">
        <v>0</v>
      </c>
      <c r="H2839">
        <v>2</v>
      </c>
      <c r="I2839">
        <v>3922</v>
      </c>
      <c r="J2839" t="s">
        <v>58</v>
      </c>
      <c r="K2839">
        <v>1</v>
      </c>
    </row>
    <row r="2840" hidden="1" spans="1:6">
      <c r="A2840" s="2" t="s">
        <v>2980</v>
      </c>
      <c r="B2840" s="3">
        <v>4012101</v>
      </c>
      <c r="C2840">
        <v>3</v>
      </c>
      <c r="D2840" t="s">
        <v>1788</v>
      </c>
      <c r="E2840">
        <f>90/30</f>
        <v>3</v>
      </c>
      <c r="F2840">
        <v>0</v>
      </c>
    </row>
    <row r="2841" s="1" customFormat="1" hidden="1" spans="1:12">
      <c r="A2841" s="5" t="s">
        <v>2981</v>
      </c>
      <c r="B2841" s="54">
        <v>4012101</v>
      </c>
      <c r="C2841" s="1">
        <v>3</v>
      </c>
      <c r="D2841" s="1" t="s">
        <v>1776</v>
      </c>
      <c r="E2841" s="1">
        <f>61/30</f>
        <v>2.03333333333333</v>
      </c>
      <c r="F2841" s="1">
        <v>0</v>
      </c>
      <c r="G2841" s="1">
        <v>0</v>
      </c>
      <c r="H2841" s="1">
        <v>2</v>
      </c>
      <c r="I2841" s="1">
        <v>4745</v>
      </c>
      <c r="J2841" s="1" t="s">
        <v>58</v>
      </c>
      <c r="K2841" s="1">
        <v>1</v>
      </c>
      <c r="L2841" s="7"/>
    </row>
    <row r="2842" hidden="1" spans="1:6">
      <c r="A2842" s="2" t="s">
        <v>2982</v>
      </c>
      <c r="B2842" s="3">
        <v>30069</v>
      </c>
      <c r="C2842">
        <v>3</v>
      </c>
      <c r="D2842" t="s">
        <v>1788</v>
      </c>
      <c r="E2842">
        <f>90/30</f>
        <v>3</v>
      </c>
      <c r="F2842">
        <v>0</v>
      </c>
    </row>
    <row r="2843" hidden="1" spans="1:6">
      <c r="A2843" s="2" t="s">
        <v>2983</v>
      </c>
      <c r="B2843" s="3">
        <v>1284</v>
      </c>
      <c r="C2843">
        <v>3</v>
      </c>
      <c r="D2843" t="s">
        <v>36</v>
      </c>
      <c r="E2843">
        <v>2</v>
      </c>
      <c r="F2843">
        <v>0</v>
      </c>
    </row>
    <row r="2844" hidden="1" spans="1:6">
      <c r="A2844" s="2">
        <v>128101</v>
      </c>
      <c r="B2844" s="3">
        <v>1281</v>
      </c>
      <c r="C2844">
        <v>3</v>
      </c>
      <c r="D2844" t="s">
        <v>36</v>
      </c>
      <c r="E2844">
        <v>2</v>
      </c>
      <c r="F2844">
        <v>0</v>
      </c>
    </row>
    <row r="2845" hidden="1" spans="1:6">
      <c r="A2845" s="2">
        <v>128501</v>
      </c>
      <c r="B2845" s="3">
        <v>1285</v>
      </c>
      <c r="C2845">
        <v>3</v>
      </c>
      <c r="D2845" t="s">
        <v>36</v>
      </c>
      <c r="E2845">
        <f>65/30</f>
        <v>2.16666666666667</v>
      </c>
      <c r="F2845">
        <v>0</v>
      </c>
    </row>
    <row r="2846" hidden="1" spans="1:6">
      <c r="A2846" s="2">
        <v>128601</v>
      </c>
      <c r="B2846" s="3">
        <v>1286</v>
      </c>
      <c r="C2846">
        <v>3</v>
      </c>
      <c r="D2846" t="s">
        <v>36</v>
      </c>
      <c r="E2846">
        <v>2</v>
      </c>
      <c r="F2846">
        <v>0</v>
      </c>
    </row>
    <row r="2847" hidden="1" spans="1:6">
      <c r="A2847" s="2">
        <v>128701</v>
      </c>
      <c r="B2847" s="3">
        <v>1287</v>
      </c>
      <c r="C2847">
        <v>3</v>
      </c>
      <c r="D2847" t="s">
        <v>36</v>
      </c>
      <c r="E2847">
        <f>90/30</f>
        <v>3</v>
      </c>
      <c r="F2847">
        <v>0</v>
      </c>
    </row>
    <row r="2848" hidden="1" spans="1:6">
      <c r="A2848" s="2">
        <v>128702</v>
      </c>
      <c r="B2848" s="3">
        <v>1287</v>
      </c>
      <c r="C2848">
        <v>3</v>
      </c>
      <c r="D2848" t="s">
        <v>38</v>
      </c>
      <c r="E2848">
        <f>100/30</f>
        <v>3.33333333333333</v>
      </c>
      <c r="F2848">
        <v>0</v>
      </c>
    </row>
    <row r="2849" hidden="1" spans="1:6">
      <c r="A2849" s="2">
        <v>128703</v>
      </c>
      <c r="B2849" s="3">
        <v>1287</v>
      </c>
      <c r="C2849">
        <v>3</v>
      </c>
      <c r="D2849" t="s">
        <v>40</v>
      </c>
      <c r="E2849">
        <f>92/30</f>
        <v>3.06666666666667</v>
      </c>
      <c r="F2849">
        <v>0</v>
      </c>
    </row>
    <row r="2850" hidden="1" spans="1:6">
      <c r="A2850" s="2">
        <v>128704</v>
      </c>
      <c r="B2850" s="3">
        <v>1287</v>
      </c>
      <c r="C2850">
        <v>3</v>
      </c>
      <c r="D2850" t="s">
        <v>42</v>
      </c>
      <c r="E2850">
        <f>260/30</f>
        <v>8.66666666666667</v>
      </c>
      <c r="F2850">
        <v>0</v>
      </c>
    </row>
    <row r="2851" hidden="1" spans="1:6">
      <c r="A2851" s="2">
        <v>128801</v>
      </c>
      <c r="B2851" s="3">
        <v>1288</v>
      </c>
      <c r="C2851">
        <v>3</v>
      </c>
      <c r="D2851" t="s">
        <v>36</v>
      </c>
      <c r="E2851">
        <f>101/30</f>
        <v>3.36666666666667</v>
      </c>
      <c r="F2851">
        <v>0</v>
      </c>
    </row>
    <row r="2852" hidden="1" spans="1:6">
      <c r="A2852" s="2">
        <v>128802</v>
      </c>
      <c r="B2852" s="3">
        <v>1288</v>
      </c>
      <c r="C2852">
        <v>3</v>
      </c>
      <c r="D2852" t="s">
        <v>38</v>
      </c>
      <c r="E2852">
        <f>80/30</f>
        <v>2.66666666666667</v>
      </c>
      <c r="F2852">
        <v>0</v>
      </c>
    </row>
    <row r="2853" hidden="1" spans="1:6">
      <c r="A2853" s="2">
        <v>128803</v>
      </c>
      <c r="B2853" s="3">
        <v>1288</v>
      </c>
      <c r="C2853">
        <v>3</v>
      </c>
      <c r="D2853" t="s">
        <v>40</v>
      </c>
      <c r="E2853">
        <f>79/30</f>
        <v>2.63333333333333</v>
      </c>
      <c r="F2853">
        <v>0</v>
      </c>
    </row>
    <row r="2854" hidden="1" spans="1:6">
      <c r="A2854" s="2">
        <v>128804</v>
      </c>
      <c r="B2854" s="3">
        <v>1288</v>
      </c>
      <c r="C2854">
        <v>3</v>
      </c>
      <c r="D2854" t="s">
        <v>42</v>
      </c>
      <c r="E2854">
        <f>225/30</f>
        <v>7.5</v>
      </c>
      <c r="F2854">
        <v>0</v>
      </c>
    </row>
    <row r="2855" hidden="1" spans="1:6">
      <c r="A2855" s="2">
        <v>128901</v>
      </c>
      <c r="B2855" s="3">
        <v>1289</v>
      </c>
      <c r="C2855">
        <v>3</v>
      </c>
      <c r="D2855" t="s">
        <v>36</v>
      </c>
      <c r="E2855">
        <f>63/30</f>
        <v>2.1</v>
      </c>
      <c r="F2855">
        <v>0</v>
      </c>
    </row>
    <row r="2856" hidden="1" spans="1:6">
      <c r="A2856" s="2">
        <v>128902</v>
      </c>
      <c r="B2856" s="3">
        <v>1289</v>
      </c>
      <c r="C2856">
        <v>3</v>
      </c>
      <c r="D2856" t="s">
        <v>38</v>
      </c>
      <c r="E2856">
        <f>67/30</f>
        <v>2.23333333333333</v>
      </c>
      <c r="F2856">
        <v>0</v>
      </c>
    </row>
    <row r="2857" hidden="1" spans="1:6">
      <c r="A2857" s="2">
        <v>128903</v>
      </c>
      <c r="B2857" s="3">
        <v>1289</v>
      </c>
      <c r="C2857">
        <v>3</v>
      </c>
      <c r="D2857" t="s">
        <v>40</v>
      </c>
      <c r="E2857">
        <f>77/30</f>
        <v>2.56666666666667</v>
      </c>
      <c r="F2857">
        <v>0</v>
      </c>
    </row>
    <row r="2858" hidden="1" spans="1:6">
      <c r="A2858" s="2">
        <v>128904</v>
      </c>
      <c r="B2858" s="3">
        <v>1289</v>
      </c>
      <c r="C2858">
        <v>3</v>
      </c>
      <c r="D2858" t="s">
        <v>42</v>
      </c>
      <c r="E2858">
        <f>285/30</f>
        <v>9.5</v>
      </c>
      <c r="F2858">
        <v>0</v>
      </c>
    </row>
    <row r="2859" hidden="1" spans="1:6">
      <c r="A2859" s="2">
        <v>129001</v>
      </c>
      <c r="B2859" s="3">
        <v>1290</v>
      </c>
      <c r="C2859">
        <v>3</v>
      </c>
      <c r="D2859" t="s">
        <v>36</v>
      </c>
      <c r="E2859">
        <f>59/30</f>
        <v>1.96666666666667</v>
      </c>
      <c r="F2859">
        <v>0</v>
      </c>
    </row>
    <row r="2860" hidden="1" spans="1:6">
      <c r="A2860" s="2" t="s">
        <v>2984</v>
      </c>
      <c r="B2860" s="3">
        <v>122</v>
      </c>
      <c r="C2860">
        <v>3</v>
      </c>
      <c r="D2860" t="s">
        <v>36</v>
      </c>
      <c r="E2860">
        <f>92/30</f>
        <v>3.06666666666667</v>
      </c>
      <c r="F2860">
        <v>0</v>
      </c>
    </row>
    <row r="2861" hidden="1" spans="1:6">
      <c r="A2861" s="2" t="s">
        <v>2985</v>
      </c>
      <c r="B2861" s="3">
        <v>122</v>
      </c>
      <c r="C2861">
        <v>3</v>
      </c>
      <c r="D2861" t="s">
        <v>38</v>
      </c>
      <c r="E2861">
        <f>112/30</f>
        <v>3.73333333333333</v>
      </c>
      <c r="F2861">
        <v>0</v>
      </c>
    </row>
    <row r="2862" hidden="1" spans="1:6">
      <c r="A2862" s="2" t="s">
        <v>2986</v>
      </c>
      <c r="B2862" s="3">
        <v>122</v>
      </c>
      <c r="C2862">
        <v>3</v>
      </c>
      <c r="D2862" t="s">
        <v>40</v>
      </c>
      <c r="E2862">
        <f>88/30</f>
        <v>2.93333333333333</v>
      </c>
      <c r="F2862">
        <v>0</v>
      </c>
    </row>
    <row r="2863" hidden="1" spans="1:6">
      <c r="A2863" s="2" t="s">
        <v>2987</v>
      </c>
      <c r="B2863" s="3">
        <v>122</v>
      </c>
      <c r="C2863">
        <v>3</v>
      </c>
      <c r="D2863" t="s">
        <v>42</v>
      </c>
      <c r="E2863">
        <f>112/30</f>
        <v>3.73333333333333</v>
      </c>
      <c r="F2863">
        <v>0</v>
      </c>
    </row>
    <row r="2864" hidden="1" spans="1:6">
      <c r="A2864" s="2" t="s">
        <v>2988</v>
      </c>
      <c r="B2864" s="3">
        <v>122</v>
      </c>
      <c r="C2864">
        <v>3</v>
      </c>
      <c r="D2864" t="s">
        <v>44</v>
      </c>
      <c r="E2864">
        <f>435/30</f>
        <v>14.5</v>
      </c>
      <c r="F2864">
        <v>0</v>
      </c>
    </row>
    <row r="2865" hidden="1" spans="1:6">
      <c r="A2865" s="2" t="s">
        <v>2989</v>
      </c>
      <c r="B2865" s="3">
        <v>122</v>
      </c>
      <c r="C2865">
        <v>3</v>
      </c>
      <c r="D2865" t="s">
        <v>46</v>
      </c>
      <c r="E2865">
        <f>370/30</f>
        <v>12.3333333333333</v>
      </c>
      <c r="F2865">
        <v>0</v>
      </c>
    </row>
    <row r="2866" hidden="1" spans="1:6">
      <c r="A2866" s="2" t="s">
        <v>2990</v>
      </c>
      <c r="B2866" s="3">
        <v>122</v>
      </c>
      <c r="C2866">
        <v>3</v>
      </c>
      <c r="D2866" t="s">
        <v>86</v>
      </c>
      <c r="E2866">
        <f>218/30</f>
        <v>7.26666666666667</v>
      </c>
      <c r="F2866">
        <v>0</v>
      </c>
    </row>
    <row r="2867" hidden="1" spans="1:6">
      <c r="A2867" s="2" t="s">
        <v>2991</v>
      </c>
      <c r="B2867" s="3">
        <v>122</v>
      </c>
      <c r="C2867">
        <v>3</v>
      </c>
      <c r="D2867" t="s">
        <v>92</v>
      </c>
      <c r="E2867">
        <f>145/30</f>
        <v>4.83333333333333</v>
      </c>
      <c r="F2867">
        <v>0</v>
      </c>
    </row>
    <row r="2868" hidden="1" spans="1:6">
      <c r="A2868" s="2" t="s">
        <v>2992</v>
      </c>
      <c r="B2868" s="3">
        <v>122</v>
      </c>
      <c r="C2868">
        <v>3</v>
      </c>
      <c r="D2868" t="s">
        <v>109</v>
      </c>
      <c r="E2868">
        <f>185/30</f>
        <v>6.16666666666667</v>
      </c>
      <c r="F2868">
        <v>0</v>
      </c>
    </row>
    <row r="2869" hidden="1" spans="1:6">
      <c r="A2869" s="2" t="s">
        <v>2993</v>
      </c>
      <c r="B2869" s="3">
        <v>122</v>
      </c>
      <c r="C2869">
        <v>3</v>
      </c>
      <c r="D2869" t="s">
        <v>97</v>
      </c>
      <c r="E2869">
        <f>178/30</f>
        <v>5.93333333333333</v>
      </c>
      <c r="F2869">
        <v>0</v>
      </c>
    </row>
    <row r="2870" hidden="1" spans="1:6">
      <c r="A2870" s="2" t="s">
        <v>2994</v>
      </c>
      <c r="B2870" s="3">
        <v>122</v>
      </c>
      <c r="C2870">
        <v>3</v>
      </c>
      <c r="D2870" t="s">
        <v>77</v>
      </c>
      <c r="E2870">
        <f>60/30</f>
        <v>2</v>
      </c>
      <c r="F2870">
        <v>0</v>
      </c>
    </row>
    <row r="2871" hidden="1" spans="1:6">
      <c r="A2871" s="2" t="s">
        <v>2995</v>
      </c>
      <c r="B2871" s="3">
        <v>122</v>
      </c>
      <c r="C2871">
        <v>3</v>
      </c>
      <c r="D2871" t="s">
        <v>54</v>
      </c>
      <c r="E2871">
        <f>71/30</f>
        <v>2.36666666666667</v>
      </c>
      <c r="F2871">
        <v>0</v>
      </c>
    </row>
    <row r="2872" hidden="1" spans="1:11">
      <c r="A2872" s="2" t="s">
        <v>2996</v>
      </c>
      <c r="B2872" s="3">
        <v>122</v>
      </c>
      <c r="C2872">
        <v>3</v>
      </c>
      <c r="D2872" t="s">
        <v>57</v>
      </c>
      <c r="E2872">
        <f>230/30</f>
        <v>7.66666666666667</v>
      </c>
      <c r="F2872">
        <v>0</v>
      </c>
      <c r="G2872">
        <v>0</v>
      </c>
      <c r="H2872">
        <v>2</v>
      </c>
      <c r="I2872">
        <v>3970</v>
      </c>
      <c r="J2872" t="s">
        <v>58</v>
      </c>
      <c r="K2872">
        <v>1</v>
      </c>
    </row>
    <row r="2873" hidden="1" spans="1:11">
      <c r="A2873" s="2" t="s">
        <v>2997</v>
      </c>
      <c r="B2873" s="3">
        <v>30070</v>
      </c>
      <c r="C2873">
        <v>3</v>
      </c>
      <c r="D2873" t="s">
        <v>86</v>
      </c>
      <c r="E2873">
        <f>450/30</f>
        <v>15</v>
      </c>
      <c r="F2873">
        <v>0</v>
      </c>
      <c r="G2873">
        <v>0</v>
      </c>
      <c r="H2873">
        <v>2</v>
      </c>
      <c r="I2873" s="109">
        <v>3977</v>
      </c>
      <c r="J2873" s="35" t="s">
        <v>2998</v>
      </c>
      <c r="K2873">
        <v>1</v>
      </c>
    </row>
    <row r="2874" hidden="1" spans="1:6">
      <c r="A2874" s="2" t="s">
        <v>2999</v>
      </c>
      <c r="B2874" s="3">
        <v>30070</v>
      </c>
      <c r="C2874">
        <v>3</v>
      </c>
      <c r="D2874" t="s">
        <v>1788</v>
      </c>
      <c r="E2874">
        <f>88/30</f>
        <v>2.93333333333333</v>
      </c>
      <c r="F2874">
        <v>0</v>
      </c>
    </row>
    <row r="2875" hidden="1" spans="1:6">
      <c r="A2875" s="2" t="s">
        <v>3000</v>
      </c>
      <c r="B2875" s="3">
        <v>4012201</v>
      </c>
      <c r="C2875">
        <v>3</v>
      </c>
      <c r="D2875" t="s">
        <v>36</v>
      </c>
      <c r="E2875">
        <f>92/30</f>
        <v>3.06666666666667</v>
      </c>
      <c r="F2875">
        <v>0</v>
      </c>
    </row>
    <row r="2876" hidden="1" spans="1:6">
      <c r="A2876" s="2" t="s">
        <v>3001</v>
      </c>
      <c r="B2876" s="3">
        <v>4012201</v>
      </c>
      <c r="C2876">
        <v>3</v>
      </c>
      <c r="D2876" t="s">
        <v>38</v>
      </c>
      <c r="E2876">
        <f>112/30</f>
        <v>3.73333333333333</v>
      </c>
      <c r="F2876">
        <v>0</v>
      </c>
    </row>
    <row r="2877" hidden="1" spans="1:6">
      <c r="A2877" s="2" t="s">
        <v>3002</v>
      </c>
      <c r="B2877" s="3">
        <v>4012201</v>
      </c>
      <c r="C2877">
        <v>3</v>
      </c>
      <c r="D2877" t="s">
        <v>40</v>
      </c>
      <c r="E2877">
        <f>88/30</f>
        <v>2.93333333333333</v>
      </c>
      <c r="F2877">
        <v>0</v>
      </c>
    </row>
    <row r="2878" hidden="1" spans="1:6">
      <c r="A2878" s="2" t="s">
        <v>3003</v>
      </c>
      <c r="B2878" s="3">
        <v>4012201</v>
      </c>
      <c r="C2878">
        <v>3</v>
      </c>
      <c r="D2878" t="s">
        <v>42</v>
      </c>
      <c r="E2878">
        <f>112/30</f>
        <v>3.73333333333333</v>
      </c>
      <c r="F2878">
        <v>0</v>
      </c>
    </row>
    <row r="2879" hidden="1" spans="1:6">
      <c r="A2879" s="2" t="s">
        <v>3004</v>
      </c>
      <c r="B2879" s="3">
        <v>4012201</v>
      </c>
      <c r="C2879">
        <v>3</v>
      </c>
      <c r="D2879" t="s">
        <v>44</v>
      </c>
      <c r="E2879">
        <f>435/30</f>
        <v>14.5</v>
      </c>
      <c r="F2879">
        <v>0</v>
      </c>
    </row>
    <row r="2880" hidden="1" spans="1:6">
      <c r="A2880" s="2" t="s">
        <v>3005</v>
      </c>
      <c r="B2880" s="3">
        <v>4012201</v>
      </c>
      <c r="C2880">
        <v>3</v>
      </c>
      <c r="D2880" t="s">
        <v>46</v>
      </c>
      <c r="E2880">
        <f>370/30</f>
        <v>12.3333333333333</v>
      </c>
      <c r="F2880">
        <v>0</v>
      </c>
    </row>
    <row r="2881" hidden="1" spans="1:6">
      <c r="A2881" s="2" t="s">
        <v>3006</v>
      </c>
      <c r="B2881" s="3">
        <v>4012201</v>
      </c>
      <c r="C2881">
        <v>3</v>
      </c>
      <c r="D2881" t="s">
        <v>86</v>
      </c>
      <c r="E2881">
        <f>218/30</f>
        <v>7.26666666666667</v>
      </c>
      <c r="F2881">
        <v>0</v>
      </c>
    </row>
    <row r="2882" hidden="1" spans="1:6">
      <c r="A2882" s="2" t="s">
        <v>3007</v>
      </c>
      <c r="B2882" s="3">
        <v>4012201</v>
      </c>
      <c r="C2882">
        <v>3</v>
      </c>
      <c r="D2882" t="s">
        <v>92</v>
      </c>
      <c r="E2882">
        <f>145/30</f>
        <v>4.83333333333333</v>
      </c>
      <c r="F2882">
        <v>0</v>
      </c>
    </row>
    <row r="2883" hidden="1" spans="1:6">
      <c r="A2883" s="2" t="s">
        <v>3008</v>
      </c>
      <c r="B2883" s="3">
        <v>4012201</v>
      </c>
      <c r="C2883">
        <v>3</v>
      </c>
      <c r="D2883" t="s">
        <v>109</v>
      </c>
      <c r="E2883">
        <f>185/30</f>
        <v>6.16666666666667</v>
      </c>
      <c r="F2883">
        <v>0</v>
      </c>
    </row>
    <row r="2884" hidden="1" spans="1:6">
      <c r="A2884" s="2" t="s">
        <v>3009</v>
      </c>
      <c r="B2884" s="3">
        <v>4012201</v>
      </c>
      <c r="C2884">
        <v>3</v>
      </c>
      <c r="D2884" t="s">
        <v>97</v>
      </c>
      <c r="E2884">
        <f>178/30</f>
        <v>5.93333333333333</v>
      </c>
      <c r="F2884">
        <v>0</v>
      </c>
    </row>
    <row r="2885" hidden="1" spans="1:6">
      <c r="A2885" s="2" t="s">
        <v>3010</v>
      </c>
      <c r="B2885" s="3">
        <v>4012201</v>
      </c>
      <c r="C2885">
        <v>3</v>
      </c>
      <c r="D2885" t="s">
        <v>77</v>
      </c>
      <c r="E2885">
        <f>60/30</f>
        <v>2</v>
      </c>
      <c r="F2885">
        <v>0</v>
      </c>
    </row>
    <row r="2886" hidden="1" spans="1:6">
      <c r="A2886" s="2" t="s">
        <v>3011</v>
      </c>
      <c r="B2886" s="3">
        <v>4012201</v>
      </c>
      <c r="C2886">
        <v>3</v>
      </c>
      <c r="D2886" t="s">
        <v>54</v>
      </c>
      <c r="E2886">
        <f>71/30</f>
        <v>2.36666666666667</v>
      </c>
      <c r="F2886">
        <v>0</v>
      </c>
    </row>
    <row r="2887" hidden="1" spans="1:11">
      <c r="A2887" s="2" t="s">
        <v>3012</v>
      </c>
      <c r="B2887" s="3">
        <v>4012201</v>
      </c>
      <c r="C2887">
        <v>3</v>
      </c>
      <c r="D2887" t="s">
        <v>57</v>
      </c>
      <c r="E2887">
        <f>230/30</f>
        <v>7.66666666666667</v>
      </c>
      <c r="F2887">
        <v>0</v>
      </c>
      <c r="G2887">
        <v>0</v>
      </c>
      <c r="H2887">
        <v>2</v>
      </c>
      <c r="I2887">
        <v>3970</v>
      </c>
      <c r="J2887" t="s">
        <v>58</v>
      </c>
      <c r="K2887">
        <v>1</v>
      </c>
    </row>
    <row r="2888" hidden="1" spans="1:10">
      <c r="A2888" s="2" t="s">
        <v>3013</v>
      </c>
      <c r="B2888" s="3">
        <v>4012201</v>
      </c>
      <c r="C2888">
        <v>3</v>
      </c>
      <c r="D2888" t="s">
        <v>1788</v>
      </c>
      <c r="E2888">
        <f>88/30</f>
        <v>2.93333333333333</v>
      </c>
      <c r="F2888">
        <v>0</v>
      </c>
      <c r="G2888">
        <v>0</v>
      </c>
      <c r="H2888">
        <v>2</v>
      </c>
      <c r="I2888">
        <v>3979</v>
      </c>
      <c r="J2888" t="s">
        <v>473</v>
      </c>
    </row>
    <row r="2889" hidden="1" spans="1:6">
      <c r="A2889" s="2" t="s">
        <v>3014</v>
      </c>
      <c r="B2889" s="3">
        <v>39</v>
      </c>
      <c r="C2889">
        <v>3</v>
      </c>
      <c r="D2889" t="s">
        <v>140</v>
      </c>
      <c r="E2889">
        <f>264/30</f>
        <v>8.8</v>
      </c>
      <c r="F2889">
        <v>0</v>
      </c>
    </row>
    <row r="2890" s="10" customFormat="1" hidden="1" spans="1:12">
      <c r="A2890" s="2" t="s">
        <v>3015</v>
      </c>
      <c r="B2890" s="10">
        <v>407104</v>
      </c>
      <c r="C2890" s="10">
        <v>3</v>
      </c>
      <c r="D2890" s="10" t="s">
        <v>36</v>
      </c>
      <c r="E2890" s="10">
        <v>2.5</v>
      </c>
      <c r="F2890" s="10">
        <v>0</v>
      </c>
      <c r="L2890" s="4"/>
    </row>
    <row r="2891" s="10" customFormat="1" hidden="1" spans="1:12">
      <c r="A2891" s="2" t="s">
        <v>3016</v>
      </c>
      <c r="B2891" s="10">
        <v>407104</v>
      </c>
      <c r="C2891" s="10">
        <v>3</v>
      </c>
      <c r="D2891" s="10" t="s">
        <v>38</v>
      </c>
      <c r="E2891" s="10">
        <v>1.93333333333333</v>
      </c>
      <c r="F2891" s="10">
        <v>0</v>
      </c>
      <c r="L2891" s="4"/>
    </row>
    <row r="2892" s="10" customFormat="1" hidden="1" spans="1:12">
      <c r="A2892" s="2" t="s">
        <v>3017</v>
      </c>
      <c r="B2892" s="10">
        <v>407104</v>
      </c>
      <c r="C2892" s="10">
        <v>3</v>
      </c>
      <c r="D2892" s="10" t="s">
        <v>40</v>
      </c>
      <c r="E2892" s="10">
        <v>3</v>
      </c>
      <c r="F2892" s="10">
        <v>0</v>
      </c>
      <c r="L2892" s="4"/>
    </row>
    <row r="2893" s="10" customFormat="1" hidden="1" spans="1:12">
      <c r="A2893" s="2" t="s">
        <v>3018</v>
      </c>
      <c r="B2893" s="10">
        <v>407104</v>
      </c>
      <c r="C2893" s="10">
        <v>3</v>
      </c>
      <c r="D2893" s="10" t="s">
        <v>42</v>
      </c>
      <c r="E2893" s="10">
        <v>2.5</v>
      </c>
      <c r="F2893" s="10">
        <v>0</v>
      </c>
      <c r="L2893" s="4"/>
    </row>
    <row r="2894" s="10" customFormat="1" hidden="1" spans="1:12">
      <c r="A2894" s="2" t="s">
        <v>3019</v>
      </c>
      <c r="B2894" s="10">
        <v>407104</v>
      </c>
      <c r="C2894" s="10">
        <v>3</v>
      </c>
      <c r="D2894" s="10" t="s">
        <v>44</v>
      </c>
      <c r="E2894" s="10">
        <v>6.16666666666667</v>
      </c>
      <c r="F2894" s="10">
        <v>0</v>
      </c>
      <c r="L2894" s="4"/>
    </row>
    <row r="2895" s="10" customFormat="1" hidden="1" spans="1:12">
      <c r="A2895" s="2" t="s">
        <v>3020</v>
      </c>
      <c r="B2895" s="10">
        <v>407104</v>
      </c>
      <c r="C2895" s="10">
        <v>3</v>
      </c>
      <c r="D2895" s="10" t="s">
        <v>46</v>
      </c>
      <c r="E2895" s="10">
        <v>1.33333333333333</v>
      </c>
      <c r="F2895" s="10">
        <v>0</v>
      </c>
      <c r="L2895" s="4"/>
    </row>
    <row r="2896" hidden="1" spans="1:13">
      <c r="A2896" s="2" t="s">
        <v>3021</v>
      </c>
      <c r="B2896" s="10">
        <v>407104</v>
      </c>
      <c r="C2896">
        <v>3</v>
      </c>
      <c r="D2896" t="s">
        <v>669</v>
      </c>
      <c r="E2896">
        <v>1.66666666666667</v>
      </c>
      <c r="F2896">
        <v>1</v>
      </c>
      <c r="G2896">
        <v>0</v>
      </c>
      <c r="H2896">
        <v>2</v>
      </c>
      <c r="I2896">
        <v>2059</v>
      </c>
      <c r="J2896" t="s">
        <v>1562</v>
      </c>
      <c r="K2896">
        <v>0</v>
      </c>
      <c r="L2896" s="4" t="s">
        <v>1563</v>
      </c>
      <c r="M2896" t="s">
        <v>1564</v>
      </c>
    </row>
    <row r="2897" s="10" customFormat="1" hidden="1" spans="1:12">
      <c r="A2897" s="2" t="s">
        <v>3022</v>
      </c>
      <c r="B2897" s="10">
        <v>407104</v>
      </c>
      <c r="C2897" s="10">
        <v>3</v>
      </c>
      <c r="D2897" s="10" t="s">
        <v>57</v>
      </c>
      <c r="E2897" s="10">
        <v>4</v>
      </c>
      <c r="F2897" s="10">
        <v>0</v>
      </c>
      <c r="G2897" s="10">
        <v>0</v>
      </c>
      <c r="H2897" s="10">
        <v>2</v>
      </c>
      <c r="I2897" s="10">
        <v>2036</v>
      </c>
      <c r="J2897" s="10" t="s">
        <v>58</v>
      </c>
      <c r="K2897" s="10">
        <v>1</v>
      </c>
      <c r="L2897" s="4"/>
    </row>
    <row r="2898" hidden="1" spans="1:6">
      <c r="A2898" s="2" t="s">
        <v>3023</v>
      </c>
      <c r="B2898" s="3">
        <v>123</v>
      </c>
      <c r="C2898">
        <v>3</v>
      </c>
      <c r="D2898" t="s">
        <v>36</v>
      </c>
      <c r="E2898">
        <f>108/30</f>
        <v>3.6</v>
      </c>
      <c r="F2898">
        <v>0</v>
      </c>
    </row>
    <row r="2899" hidden="1" spans="1:6">
      <c r="A2899" s="2" t="s">
        <v>3024</v>
      </c>
      <c r="B2899" s="3">
        <v>123</v>
      </c>
      <c r="C2899">
        <v>3</v>
      </c>
      <c r="D2899" t="s">
        <v>38</v>
      </c>
      <c r="E2899">
        <f>78/30</f>
        <v>2.6</v>
      </c>
      <c r="F2899">
        <v>0</v>
      </c>
    </row>
    <row r="2900" hidden="1" spans="1:6">
      <c r="A2900" s="2" t="s">
        <v>3025</v>
      </c>
      <c r="B2900" s="3">
        <v>123</v>
      </c>
      <c r="C2900">
        <v>3</v>
      </c>
      <c r="D2900" t="s">
        <v>40</v>
      </c>
      <c r="E2900">
        <f>83/30</f>
        <v>2.76666666666667</v>
      </c>
      <c r="F2900">
        <v>0</v>
      </c>
    </row>
    <row r="2901" hidden="1" spans="1:6">
      <c r="A2901" s="2" t="s">
        <v>3026</v>
      </c>
      <c r="B2901" s="3">
        <v>123</v>
      </c>
      <c r="C2901">
        <v>3</v>
      </c>
      <c r="D2901" t="s">
        <v>42</v>
      </c>
      <c r="E2901">
        <f>83/30</f>
        <v>2.76666666666667</v>
      </c>
      <c r="F2901">
        <v>0</v>
      </c>
    </row>
    <row r="2902" hidden="1" spans="1:6">
      <c r="A2902" s="2" t="s">
        <v>3027</v>
      </c>
      <c r="B2902" s="3">
        <v>123</v>
      </c>
      <c r="C2902">
        <v>3</v>
      </c>
      <c r="D2902" t="s">
        <v>44</v>
      </c>
      <c r="E2902">
        <f>145/30</f>
        <v>4.83333333333333</v>
      </c>
      <c r="F2902">
        <v>0</v>
      </c>
    </row>
    <row r="2903" hidden="1" spans="1:6">
      <c r="A2903" s="2" t="s">
        <v>3028</v>
      </c>
      <c r="B2903" s="3">
        <v>123</v>
      </c>
      <c r="C2903">
        <v>3</v>
      </c>
      <c r="D2903" t="s">
        <v>46</v>
      </c>
      <c r="E2903">
        <f>334/30</f>
        <v>11.1333333333333</v>
      </c>
      <c r="F2903">
        <v>0</v>
      </c>
    </row>
    <row r="2904" hidden="1" spans="1:6">
      <c r="A2904" s="2" t="s">
        <v>3029</v>
      </c>
      <c r="B2904" s="3">
        <v>123</v>
      </c>
      <c r="C2904">
        <v>3</v>
      </c>
      <c r="D2904" t="s">
        <v>86</v>
      </c>
      <c r="E2904">
        <f>286/30</f>
        <v>9.53333333333333</v>
      </c>
      <c r="F2904">
        <v>0</v>
      </c>
    </row>
    <row r="2905" hidden="1" spans="1:6">
      <c r="A2905" s="2" t="s">
        <v>3030</v>
      </c>
      <c r="B2905" s="3">
        <v>123</v>
      </c>
      <c r="C2905">
        <v>3</v>
      </c>
      <c r="D2905" t="s">
        <v>50</v>
      </c>
      <c r="E2905">
        <f>351/30</f>
        <v>11.7</v>
      </c>
      <c r="F2905">
        <v>0</v>
      </c>
    </row>
    <row r="2906" hidden="1" spans="1:6">
      <c r="A2906" s="2" t="s">
        <v>3031</v>
      </c>
      <c r="B2906" s="3">
        <v>123</v>
      </c>
      <c r="C2906">
        <v>3</v>
      </c>
      <c r="D2906" t="s">
        <v>92</v>
      </c>
      <c r="E2906">
        <f>77/30</f>
        <v>2.56666666666667</v>
      </c>
      <c r="F2906">
        <v>0</v>
      </c>
    </row>
    <row r="2907" hidden="1" spans="1:6">
      <c r="A2907" s="2" t="s">
        <v>3032</v>
      </c>
      <c r="B2907" s="3">
        <v>123</v>
      </c>
      <c r="C2907">
        <v>3</v>
      </c>
      <c r="D2907" t="s">
        <v>109</v>
      </c>
      <c r="E2907">
        <f>79/30</f>
        <v>2.63333333333333</v>
      </c>
      <c r="F2907">
        <v>0</v>
      </c>
    </row>
    <row r="2908" hidden="1" spans="1:6">
      <c r="A2908" s="2" t="s">
        <v>3033</v>
      </c>
      <c r="B2908" s="3">
        <v>123</v>
      </c>
      <c r="C2908">
        <v>3</v>
      </c>
      <c r="D2908" t="s">
        <v>97</v>
      </c>
      <c r="E2908">
        <f>96/30</f>
        <v>3.2</v>
      </c>
      <c r="F2908">
        <v>0</v>
      </c>
    </row>
    <row r="2909" hidden="1" spans="1:6">
      <c r="A2909" s="2" t="s">
        <v>3034</v>
      </c>
      <c r="B2909" s="3">
        <v>123</v>
      </c>
      <c r="C2909">
        <v>3</v>
      </c>
      <c r="D2909" t="s">
        <v>77</v>
      </c>
      <c r="E2909">
        <f>120/30</f>
        <v>4</v>
      </c>
      <c r="F2909">
        <v>0</v>
      </c>
    </row>
    <row r="2910" hidden="1" spans="1:6">
      <c r="A2910" s="2" t="s">
        <v>3035</v>
      </c>
      <c r="B2910" s="3">
        <v>123</v>
      </c>
      <c r="C2910">
        <v>3</v>
      </c>
      <c r="D2910" t="s">
        <v>54</v>
      </c>
      <c r="E2910">
        <f>87/30</f>
        <v>2.9</v>
      </c>
      <c r="F2910">
        <v>0</v>
      </c>
    </row>
    <row r="2911" hidden="1" spans="1:11">
      <c r="A2911" s="2" t="s">
        <v>3036</v>
      </c>
      <c r="B2911" s="3">
        <v>123</v>
      </c>
      <c r="C2911">
        <v>3</v>
      </c>
      <c r="D2911" t="s">
        <v>57</v>
      </c>
      <c r="E2911">
        <f>91/30</f>
        <v>3.03333333333333</v>
      </c>
      <c r="F2911">
        <v>0</v>
      </c>
      <c r="G2911">
        <v>0</v>
      </c>
      <c r="H2911">
        <v>2</v>
      </c>
      <c r="I2911">
        <v>4002</v>
      </c>
      <c r="J2911" t="s">
        <v>58</v>
      </c>
      <c r="K2911">
        <v>1</v>
      </c>
    </row>
    <row r="2912" hidden="1" spans="1:6">
      <c r="A2912" s="2" t="s">
        <v>3037</v>
      </c>
      <c r="B2912" s="3">
        <v>4012301</v>
      </c>
      <c r="C2912">
        <v>3</v>
      </c>
      <c r="D2912" t="s">
        <v>36</v>
      </c>
      <c r="E2912">
        <f>108/30</f>
        <v>3.6</v>
      </c>
      <c r="F2912">
        <v>0</v>
      </c>
    </row>
    <row r="2913" hidden="1" spans="1:6">
      <c r="A2913" s="2" t="s">
        <v>3038</v>
      </c>
      <c r="B2913" s="3">
        <v>4012301</v>
      </c>
      <c r="C2913">
        <v>3</v>
      </c>
      <c r="D2913" t="s">
        <v>38</v>
      </c>
      <c r="E2913">
        <f>78/30</f>
        <v>2.6</v>
      </c>
      <c r="F2913">
        <v>0</v>
      </c>
    </row>
    <row r="2914" hidden="1" spans="1:6">
      <c r="A2914" s="2" t="s">
        <v>3039</v>
      </c>
      <c r="B2914" s="3">
        <v>4012301</v>
      </c>
      <c r="C2914">
        <v>3</v>
      </c>
      <c r="D2914" t="s">
        <v>40</v>
      </c>
      <c r="E2914">
        <f>83/30</f>
        <v>2.76666666666667</v>
      </c>
      <c r="F2914">
        <v>0</v>
      </c>
    </row>
    <row r="2915" hidden="1" spans="1:6">
      <c r="A2915" s="2" t="s">
        <v>3040</v>
      </c>
      <c r="B2915" s="3">
        <v>4012301</v>
      </c>
      <c r="C2915">
        <v>3</v>
      </c>
      <c r="D2915" t="s">
        <v>42</v>
      </c>
      <c r="E2915">
        <f>83/30</f>
        <v>2.76666666666667</v>
      </c>
      <c r="F2915">
        <v>0</v>
      </c>
    </row>
    <row r="2916" hidden="1" spans="1:6">
      <c r="A2916" s="2" t="s">
        <v>3041</v>
      </c>
      <c r="B2916" s="3">
        <v>4012301</v>
      </c>
      <c r="C2916">
        <v>3</v>
      </c>
      <c r="D2916" t="s">
        <v>44</v>
      </c>
      <c r="E2916">
        <f>145/30</f>
        <v>4.83333333333333</v>
      </c>
      <c r="F2916">
        <v>0</v>
      </c>
    </row>
    <row r="2917" hidden="1" spans="1:6">
      <c r="A2917" s="2" t="s">
        <v>3042</v>
      </c>
      <c r="B2917" s="3">
        <v>4012301</v>
      </c>
      <c r="C2917">
        <v>3</v>
      </c>
      <c r="D2917" t="s">
        <v>46</v>
      </c>
      <c r="E2917">
        <f>334/30</f>
        <v>11.1333333333333</v>
      </c>
      <c r="F2917">
        <v>0</v>
      </c>
    </row>
    <row r="2918" hidden="1" spans="1:6">
      <c r="A2918" s="2" t="s">
        <v>3043</v>
      </c>
      <c r="B2918" s="3">
        <v>4012301</v>
      </c>
      <c r="C2918">
        <v>3</v>
      </c>
      <c r="D2918" t="s">
        <v>86</v>
      </c>
      <c r="E2918">
        <f>286/30</f>
        <v>9.53333333333333</v>
      </c>
      <c r="F2918">
        <v>0</v>
      </c>
    </row>
    <row r="2919" hidden="1" spans="1:6">
      <c r="A2919" s="2" t="s">
        <v>3044</v>
      </c>
      <c r="B2919" s="3">
        <v>4012301</v>
      </c>
      <c r="C2919">
        <v>3</v>
      </c>
      <c r="D2919" t="s">
        <v>50</v>
      </c>
      <c r="E2919">
        <f>351/30</f>
        <v>11.7</v>
      </c>
      <c r="F2919">
        <v>0</v>
      </c>
    </row>
    <row r="2920" hidden="1" spans="1:6">
      <c r="A2920" s="2" t="s">
        <v>3045</v>
      </c>
      <c r="B2920" s="3">
        <v>4012301</v>
      </c>
      <c r="C2920">
        <v>3</v>
      </c>
      <c r="D2920" t="s">
        <v>92</v>
      </c>
      <c r="E2920">
        <f>77/30</f>
        <v>2.56666666666667</v>
      </c>
      <c r="F2920">
        <v>0</v>
      </c>
    </row>
    <row r="2921" hidden="1" spans="1:6">
      <c r="A2921" s="2" t="s">
        <v>3046</v>
      </c>
      <c r="B2921" s="3">
        <v>4012301</v>
      </c>
      <c r="C2921">
        <v>3</v>
      </c>
      <c r="D2921" t="s">
        <v>109</v>
      </c>
      <c r="E2921">
        <f>79/30</f>
        <v>2.63333333333333</v>
      </c>
      <c r="F2921">
        <v>0</v>
      </c>
    </row>
    <row r="2922" hidden="1" spans="1:6">
      <c r="A2922" s="2" t="s">
        <v>3047</v>
      </c>
      <c r="B2922" s="3">
        <v>4012301</v>
      </c>
      <c r="C2922">
        <v>3</v>
      </c>
      <c r="D2922" t="s">
        <v>97</v>
      </c>
      <c r="E2922">
        <f>96/30</f>
        <v>3.2</v>
      </c>
      <c r="F2922">
        <v>0</v>
      </c>
    </row>
    <row r="2923" hidden="1" spans="1:6">
      <c r="A2923" s="2" t="s">
        <v>3048</v>
      </c>
      <c r="B2923" s="3">
        <v>4012301</v>
      </c>
      <c r="C2923">
        <v>3</v>
      </c>
      <c r="D2923" t="s">
        <v>77</v>
      </c>
      <c r="E2923">
        <f>120/30</f>
        <v>4</v>
      </c>
      <c r="F2923">
        <v>0</v>
      </c>
    </row>
    <row r="2924" hidden="1" spans="1:6">
      <c r="A2924" s="2" t="s">
        <v>3049</v>
      </c>
      <c r="B2924" s="3">
        <v>4012301</v>
      </c>
      <c r="C2924">
        <v>3</v>
      </c>
      <c r="D2924" t="s">
        <v>54</v>
      </c>
      <c r="E2924">
        <f>87/30</f>
        <v>2.9</v>
      </c>
      <c r="F2924">
        <v>0</v>
      </c>
    </row>
    <row r="2925" hidden="1" spans="1:11">
      <c r="A2925" s="2" t="s">
        <v>3050</v>
      </c>
      <c r="B2925" s="3">
        <v>4012301</v>
      </c>
      <c r="C2925">
        <v>3</v>
      </c>
      <c r="D2925" t="s">
        <v>57</v>
      </c>
      <c r="E2925">
        <f>91/30</f>
        <v>3.03333333333333</v>
      </c>
      <c r="F2925">
        <v>0</v>
      </c>
      <c r="G2925">
        <v>0</v>
      </c>
      <c r="H2925">
        <v>2</v>
      </c>
      <c r="I2925">
        <v>4002</v>
      </c>
      <c r="J2925" t="s">
        <v>58</v>
      </c>
      <c r="K2925">
        <v>1</v>
      </c>
    </row>
    <row r="2926" hidden="1" spans="1:6">
      <c r="A2926" s="2" t="s">
        <v>3051</v>
      </c>
      <c r="B2926" s="3">
        <v>124</v>
      </c>
      <c r="C2926">
        <v>3</v>
      </c>
      <c r="D2926" t="s">
        <v>36</v>
      </c>
      <c r="E2926">
        <f>91/30</f>
        <v>3.03333333333333</v>
      </c>
      <c r="F2926">
        <v>0</v>
      </c>
    </row>
    <row r="2927" hidden="1" spans="1:6">
      <c r="A2927" s="2" t="s">
        <v>3052</v>
      </c>
      <c r="B2927" s="3">
        <v>124</v>
      </c>
      <c r="C2927">
        <v>3</v>
      </c>
      <c r="D2927" t="s">
        <v>38</v>
      </c>
      <c r="E2927">
        <f>96/30</f>
        <v>3.2</v>
      </c>
      <c r="F2927">
        <v>0</v>
      </c>
    </row>
    <row r="2928" hidden="1" spans="1:6">
      <c r="A2928" s="2" t="s">
        <v>3053</v>
      </c>
      <c r="B2928" s="3">
        <v>124</v>
      </c>
      <c r="C2928">
        <v>3</v>
      </c>
      <c r="D2928" t="s">
        <v>40</v>
      </c>
      <c r="E2928">
        <f>106/30</f>
        <v>3.53333333333333</v>
      </c>
      <c r="F2928">
        <v>0</v>
      </c>
    </row>
    <row r="2929" hidden="1" spans="1:6">
      <c r="A2929" s="2" t="s">
        <v>3054</v>
      </c>
      <c r="B2929" s="3">
        <v>124</v>
      </c>
      <c r="C2929">
        <v>3</v>
      </c>
      <c r="D2929" t="s">
        <v>42</v>
      </c>
      <c r="E2929">
        <f>64/30</f>
        <v>2.13333333333333</v>
      </c>
      <c r="F2929">
        <v>0</v>
      </c>
    </row>
    <row r="2930" hidden="1" spans="1:6">
      <c r="A2930" s="2" t="s">
        <v>3055</v>
      </c>
      <c r="B2930" s="3">
        <v>124</v>
      </c>
      <c r="C2930">
        <v>3</v>
      </c>
      <c r="D2930" t="s">
        <v>44</v>
      </c>
      <c r="E2930">
        <f>100/30</f>
        <v>3.33333333333333</v>
      </c>
      <c r="F2930">
        <v>0</v>
      </c>
    </row>
    <row r="2931" hidden="1" spans="1:6">
      <c r="A2931" s="2" t="s">
        <v>3056</v>
      </c>
      <c r="B2931" s="3">
        <v>124</v>
      </c>
      <c r="C2931">
        <v>3</v>
      </c>
      <c r="D2931" t="s">
        <v>46</v>
      </c>
      <c r="E2931">
        <f>450/30</f>
        <v>15</v>
      </c>
      <c r="F2931">
        <v>0</v>
      </c>
    </row>
    <row r="2932" hidden="1" spans="1:6">
      <c r="A2932" s="2" t="s">
        <v>3057</v>
      </c>
      <c r="B2932" s="3">
        <v>124</v>
      </c>
      <c r="C2932">
        <v>3</v>
      </c>
      <c r="D2932" t="s">
        <v>86</v>
      </c>
      <c r="E2932">
        <f>448/30</f>
        <v>14.9333333333333</v>
      </c>
      <c r="F2932">
        <v>0</v>
      </c>
    </row>
    <row r="2933" hidden="1" spans="1:6">
      <c r="A2933" s="2" t="s">
        <v>3058</v>
      </c>
      <c r="B2933" s="3">
        <v>124</v>
      </c>
      <c r="C2933">
        <v>3</v>
      </c>
      <c r="D2933" t="s">
        <v>50</v>
      </c>
      <c r="E2933">
        <f>124/30</f>
        <v>4.13333333333333</v>
      </c>
      <c r="F2933">
        <v>0</v>
      </c>
    </row>
    <row r="2934" hidden="1" spans="1:6">
      <c r="A2934" s="2" t="s">
        <v>3059</v>
      </c>
      <c r="B2934" s="3">
        <v>124</v>
      </c>
      <c r="C2934">
        <v>3</v>
      </c>
      <c r="D2934" t="s">
        <v>92</v>
      </c>
      <c r="E2934">
        <f>93/30</f>
        <v>3.1</v>
      </c>
      <c r="F2934">
        <v>0</v>
      </c>
    </row>
    <row r="2935" hidden="1" spans="1:6">
      <c r="A2935" s="2" t="s">
        <v>3060</v>
      </c>
      <c r="B2935" s="3">
        <v>124</v>
      </c>
      <c r="C2935">
        <v>3</v>
      </c>
      <c r="D2935" t="s">
        <v>109</v>
      </c>
      <c r="E2935">
        <f>78/30</f>
        <v>2.6</v>
      </c>
      <c r="F2935">
        <v>0</v>
      </c>
    </row>
    <row r="2936" hidden="1" spans="1:6">
      <c r="A2936" s="2" t="s">
        <v>3061</v>
      </c>
      <c r="B2936" s="3">
        <v>124</v>
      </c>
      <c r="C2936">
        <v>3</v>
      </c>
      <c r="D2936" t="s">
        <v>97</v>
      </c>
      <c r="E2936">
        <f>95/30</f>
        <v>3.16666666666667</v>
      </c>
      <c r="F2936">
        <v>0</v>
      </c>
    </row>
    <row r="2937" hidden="1" spans="1:6">
      <c r="A2937" s="2" t="s">
        <v>3062</v>
      </c>
      <c r="B2937" s="3">
        <v>124</v>
      </c>
      <c r="C2937">
        <v>3</v>
      </c>
      <c r="D2937" t="s">
        <v>77</v>
      </c>
      <c r="E2937">
        <f>84/30</f>
        <v>2.8</v>
      </c>
      <c r="F2937">
        <v>0</v>
      </c>
    </row>
    <row r="2938" hidden="1" spans="1:6">
      <c r="A2938" s="2" t="s">
        <v>3063</v>
      </c>
      <c r="B2938" s="3">
        <v>124</v>
      </c>
      <c r="C2938">
        <v>3</v>
      </c>
      <c r="D2938" t="s">
        <v>54</v>
      </c>
      <c r="E2938">
        <f>100/30</f>
        <v>3.33333333333333</v>
      </c>
      <c r="F2938">
        <v>0</v>
      </c>
    </row>
    <row r="2939" hidden="1" spans="1:11">
      <c r="A2939" s="2" t="s">
        <v>3064</v>
      </c>
      <c r="B2939" s="3">
        <v>124</v>
      </c>
      <c r="C2939">
        <v>3</v>
      </c>
      <c r="D2939" t="s">
        <v>57</v>
      </c>
      <c r="E2939">
        <f>156/30</f>
        <v>5.2</v>
      </c>
      <c r="F2939">
        <v>0</v>
      </c>
      <c r="G2939">
        <v>0</v>
      </c>
      <c r="H2939">
        <v>2</v>
      </c>
      <c r="I2939">
        <v>4032</v>
      </c>
      <c r="J2939" t="s">
        <v>58</v>
      </c>
      <c r="K2939">
        <v>1</v>
      </c>
    </row>
    <row r="2940" hidden="1" spans="1:6">
      <c r="A2940" s="2" t="s">
        <v>3065</v>
      </c>
      <c r="B2940" s="3">
        <v>30071</v>
      </c>
      <c r="C2940">
        <v>3</v>
      </c>
      <c r="D2940" t="s">
        <v>38</v>
      </c>
      <c r="E2940">
        <f>130/30</f>
        <v>4.33333333333333</v>
      </c>
      <c r="F2940">
        <v>0</v>
      </c>
    </row>
    <row r="2941" hidden="1" spans="1:10">
      <c r="A2941" s="2" t="s">
        <v>3066</v>
      </c>
      <c r="B2941" s="3">
        <v>30071</v>
      </c>
      <c r="C2941">
        <v>3</v>
      </c>
      <c r="D2941" t="s">
        <v>86</v>
      </c>
      <c r="E2941">
        <f>449/30</f>
        <v>14.9666666666667</v>
      </c>
      <c r="F2941">
        <v>0</v>
      </c>
      <c r="I2941" s="107"/>
      <c r="J2941" s="1"/>
    </row>
    <row r="2942" hidden="1" spans="1:11">
      <c r="A2942" s="2" t="s">
        <v>3067</v>
      </c>
      <c r="B2942" s="3">
        <v>30071</v>
      </c>
      <c r="C2942">
        <v>3</v>
      </c>
      <c r="D2942" t="s">
        <v>50</v>
      </c>
      <c r="E2942">
        <f>490/30</f>
        <v>16.3333333333333</v>
      </c>
      <c r="F2942">
        <v>0</v>
      </c>
      <c r="G2942" t="s">
        <v>2245</v>
      </c>
      <c r="H2942" t="s">
        <v>2246</v>
      </c>
      <c r="I2942" t="s">
        <v>3068</v>
      </c>
      <c r="J2942" s="1" t="s">
        <v>3069</v>
      </c>
      <c r="K2942" t="s">
        <v>2249</v>
      </c>
    </row>
    <row r="2943" hidden="1" spans="1:6">
      <c r="A2943" s="2" t="s">
        <v>3070</v>
      </c>
      <c r="B2943" s="3">
        <v>30071</v>
      </c>
      <c r="C2943">
        <v>3</v>
      </c>
      <c r="D2943" t="s">
        <v>1788</v>
      </c>
      <c r="E2943">
        <f>102/30</f>
        <v>3.4</v>
      </c>
      <c r="F2943">
        <v>0</v>
      </c>
    </row>
    <row r="2944" hidden="1" spans="1:6">
      <c r="A2944" s="2" t="s">
        <v>3071</v>
      </c>
      <c r="B2944" s="3">
        <v>30071</v>
      </c>
      <c r="C2944">
        <v>3</v>
      </c>
      <c r="D2944" t="s">
        <v>2621</v>
      </c>
      <c r="E2944">
        <f>26/30</f>
        <v>0.866666666666667</v>
      </c>
      <c r="F2944">
        <v>0</v>
      </c>
    </row>
    <row r="2945" hidden="1" spans="1:6">
      <c r="A2945" s="2" t="s">
        <v>3072</v>
      </c>
      <c r="B2945" s="3">
        <v>30071</v>
      </c>
      <c r="C2945">
        <v>3</v>
      </c>
      <c r="D2945" t="s">
        <v>2623</v>
      </c>
      <c r="E2945">
        <f>70/30</f>
        <v>2.33333333333333</v>
      </c>
      <c r="F2945">
        <v>0</v>
      </c>
    </row>
    <row r="2946" hidden="1" spans="1:6">
      <c r="A2946" s="2" t="s">
        <v>3073</v>
      </c>
      <c r="B2946" s="3">
        <v>4012401</v>
      </c>
      <c r="C2946">
        <v>3</v>
      </c>
      <c r="D2946" t="s">
        <v>36</v>
      </c>
      <c r="E2946">
        <f>91/30</f>
        <v>3.03333333333333</v>
      </c>
      <c r="F2946">
        <v>0</v>
      </c>
    </row>
    <row r="2947" hidden="1" spans="1:6">
      <c r="A2947" s="2" t="s">
        <v>3074</v>
      </c>
      <c r="B2947" s="3">
        <v>4012401</v>
      </c>
      <c r="C2947">
        <v>3</v>
      </c>
      <c r="D2947" t="s">
        <v>38</v>
      </c>
      <c r="E2947">
        <f>96/30</f>
        <v>3.2</v>
      </c>
      <c r="F2947">
        <v>0</v>
      </c>
    </row>
    <row r="2948" hidden="1" spans="1:6">
      <c r="A2948" s="2" t="s">
        <v>3075</v>
      </c>
      <c r="B2948" s="3">
        <v>4012401</v>
      </c>
      <c r="C2948">
        <v>3</v>
      </c>
      <c r="D2948" t="s">
        <v>40</v>
      </c>
      <c r="E2948">
        <f>106/30</f>
        <v>3.53333333333333</v>
      </c>
      <c r="F2948">
        <v>0</v>
      </c>
    </row>
    <row r="2949" hidden="1" spans="1:6">
      <c r="A2949" s="2" t="s">
        <v>3076</v>
      </c>
      <c r="B2949" s="3">
        <v>4012401</v>
      </c>
      <c r="C2949">
        <v>3</v>
      </c>
      <c r="D2949" t="s">
        <v>42</v>
      </c>
      <c r="E2949">
        <f>64/30</f>
        <v>2.13333333333333</v>
      </c>
      <c r="F2949">
        <v>0</v>
      </c>
    </row>
    <row r="2950" hidden="1" spans="1:6">
      <c r="A2950" s="2" t="s">
        <v>3077</v>
      </c>
      <c r="B2950" s="3">
        <v>4012401</v>
      </c>
      <c r="C2950">
        <v>3</v>
      </c>
      <c r="D2950" t="s">
        <v>44</v>
      </c>
      <c r="E2950">
        <f>100/30</f>
        <v>3.33333333333333</v>
      </c>
      <c r="F2950">
        <v>0</v>
      </c>
    </row>
    <row r="2951" hidden="1" spans="1:6">
      <c r="A2951" s="2" t="s">
        <v>3078</v>
      </c>
      <c r="B2951" s="3">
        <v>4012401</v>
      </c>
      <c r="C2951">
        <v>3</v>
      </c>
      <c r="D2951" t="s">
        <v>46</v>
      </c>
      <c r="E2951">
        <f>450/30</f>
        <v>15</v>
      </c>
      <c r="F2951">
        <v>0</v>
      </c>
    </row>
    <row r="2952" hidden="1" spans="1:6">
      <c r="A2952" s="2" t="s">
        <v>3079</v>
      </c>
      <c r="B2952" s="3">
        <v>4012401</v>
      </c>
      <c r="C2952">
        <v>3</v>
      </c>
      <c r="D2952" t="s">
        <v>86</v>
      </c>
      <c r="E2952">
        <f>448/30</f>
        <v>14.9333333333333</v>
      </c>
      <c r="F2952">
        <v>0</v>
      </c>
    </row>
    <row r="2953" hidden="1" spans="1:6">
      <c r="A2953" s="2" t="s">
        <v>3080</v>
      </c>
      <c r="B2953" s="3">
        <v>4012401</v>
      </c>
      <c r="C2953">
        <v>3</v>
      </c>
      <c r="D2953" t="s">
        <v>50</v>
      </c>
      <c r="E2953">
        <f>124/30</f>
        <v>4.13333333333333</v>
      </c>
      <c r="F2953">
        <v>0</v>
      </c>
    </row>
    <row r="2954" hidden="1" spans="1:6">
      <c r="A2954" s="2" t="s">
        <v>3081</v>
      </c>
      <c r="B2954" s="3">
        <v>4012401</v>
      </c>
      <c r="C2954">
        <v>3</v>
      </c>
      <c r="D2954" t="s">
        <v>92</v>
      </c>
      <c r="E2954">
        <f>93/30</f>
        <v>3.1</v>
      </c>
      <c r="F2954">
        <v>0</v>
      </c>
    </row>
    <row r="2955" hidden="1" spans="1:6">
      <c r="A2955" s="2" t="s">
        <v>3082</v>
      </c>
      <c r="B2955" s="3">
        <v>4012401</v>
      </c>
      <c r="C2955">
        <v>3</v>
      </c>
      <c r="D2955" t="s">
        <v>109</v>
      </c>
      <c r="E2955">
        <f>78/30</f>
        <v>2.6</v>
      </c>
      <c r="F2955">
        <v>0</v>
      </c>
    </row>
    <row r="2956" hidden="1" spans="1:6">
      <c r="A2956" s="2" t="s">
        <v>3083</v>
      </c>
      <c r="B2956" s="3">
        <v>4012401</v>
      </c>
      <c r="C2956">
        <v>3</v>
      </c>
      <c r="D2956" t="s">
        <v>97</v>
      </c>
      <c r="E2956">
        <f>95/30</f>
        <v>3.16666666666667</v>
      </c>
      <c r="F2956">
        <v>0</v>
      </c>
    </row>
    <row r="2957" hidden="1" spans="1:6">
      <c r="A2957" s="2" t="s">
        <v>3084</v>
      </c>
      <c r="B2957" s="3">
        <v>4012401</v>
      </c>
      <c r="C2957">
        <v>3</v>
      </c>
      <c r="D2957" t="s">
        <v>77</v>
      </c>
      <c r="E2957">
        <f>84/30</f>
        <v>2.8</v>
      </c>
      <c r="F2957">
        <v>0</v>
      </c>
    </row>
    <row r="2958" hidden="1" spans="1:6">
      <c r="A2958" s="2" t="s">
        <v>3085</v>
      </c>
      <c r="B2958" s="3">
        <v>4012401</v>
      </c>
      <c r="C2958">
        <v>3</v>
      </c>
      <c r="D2958" t="s">
        <v>54</v>
      </c>
      <c r="E2958">
        <f>100/30</f>
        <v>3.33333333333333</v>
      </c>
      <c r="F2958">
        <v>0</v>
      </c>
    </row>
    <row r="2959" hidden="1" spans="1:11">
      <c r="A2959" s="2" t="s">
        <v>3086</v>
      </c>
      <c r="B2959" s="3">
        <v>4012401</v>
      </c>
      <c r="C2959">
        <v>3</v>
      </c>
      <c r="D2959" t="s">
        <v>57</v>
      </c>
      <c r="E2959">
        <f>156/30</f>
        <v>5.2</v>
      </c>
      <c r="F2959">
        <v>0</v>
      </c>
      <c r="G2959">
        <v>0</v>
      </c>
      <c r="H2959">
        <v>2</v>
      </c>
      <c r="I2959">
        <v>4032</v>
      </c>
      <c r="J2959" t="s">
        <v>58</v>
      </c>
      <c r="K2959">
        <v>1</v>
      </c>
    </row>
    <row r="2960" hidden="1" spans="1:11">
      <c r="A2960" s="2" t="s">
        <v>3087</v>
      </c>
      <c r="B2960" s="3">
        <v>4012401</v>
      </c>
      <c r="C2960">
        <v>3</v>
      </c>
      <c r="D2960" t="s">
        <v>1776</v>
      </c>
      <c r="E2960">
        <f>93/30</f>
        <v>3.1</v>
      </c>
      <c r="F2960">
        <v>0</v>
      </c>
      <c r="G2960">
        <v>0</v>
      </c>
      <c r="H2960">
        <v>2</v>
      </c>
      <c r="I2960">
        <v>4050</v>
      </c>
      <c r="J2960" t="s">
        <v>58</v>
      </c>
      <c r="K2960">
        <v>1</v>
      </c>
    </row>
    <row r="2961" hidden="1" spans="1:6">
      <c r="A2961" s="2" t="s">
        <v>3088</v>
      </c>
      <c r="B2961" s="3">
        <v>125</v>
      </c>
      <c r="C2961">
        <v>3</v>
      </c>
      <c r="D2961" t="s">
        <v>36</v>
      </c>
      <c r="E2961">
        <f>123/30</f>
        <v>4.1</v>
      </c>
      <c r="F2961">
        <v>0</v>
      </c>
    </row>
    <row r="2962" hidden="1" spans="1:6">
      <c r="A2962" s="2" t="s">
        <v>3089</v>
      </c>
      <c r="B2962" s="3">
        <v>125</v>
      </c>
      <c r="C2962">
        <v>3</v>
      </c>
      <c r="D2962" t="s">
        <v>38</v>
      </c>
      <c r="E2962">
        <f>92/30</f>
        <v>3.06666666666667</v>
      </c>
      <c r="F2962">
        <v>0</v>
      </c>
    </row>
    <row r="2963" hidden="1" spans="1:6">
      <c r="A2963" s="2" t="s">
        <v>3090</v>
      </c>
      <c r="B2963" s="3">
        <v>125</v>
      </c>
      <c r="C2963">
        <v>3</v>
      </c>
      <c r="D2963" t="s">
        <v>40</v>
      </c>
      <c r="E2963">
        <f>96/30</f>
        <v>3.2</v>
      </c>
      <c r="F2963">
        <v>0</v>
      </c>
    </row>
    <row r="2964" hidden="1" spans="1:6">
      <c r="A2964" s="2" t="s">
        <v>3091</v>
      </c>
      <c r="B2964" s="3">
        <v>125</v>
      </c>
      <c r="C2964">
        <v>3</v>
      </c>
      <c r="D2964" t="s">
        <v>42</v>
      </c>
      <c r="E2964">
        <f>115/30</f>
        <v>3.83333333333333</v>
      </c>
      <c r="F2964">
        <v>0</v>
      </c>
    </row>
    <row r="2965" hidden="1" spans="1:6">
      <c r="A2965" s="2" t="s">
        <v>3092</v>
      </c>
      <c r="B2965" s="3">
        <v>125</v>
      </c>
      <c r="C2965">
        <v>3</v>
      </c>
      <c r="D2965" t="s">
        <v>44</v>
      </c>
      <c r="E2965">
        <f>380/30</f>
        <v>12.6666666666667</v>
      </c>
      <c r="F2965">
        <v>0</v>
      </c>
    </row>
    <row r="2966" hidden="1" spans="1:6">
      <c r="A2966" s="2" t="s">
        <v>3093</v>
      </c>
      <c r="B2966" s="3">
        <v>125</v>
      </c>
      <c r="C2966">
        <v>3</v>
      </c>
      <c r="D2966" t="s">
        <v>46</v>
      </c>
      <c r="E2966">
        <f>330/30</f>
        <v>11</v>
      </c>
      <c r="F2966">
        <v>0</v>
      </c>
    </row>
    <row r="2967" hidden="1" spans="1:6">
      <c r="A2967" s="2" t="s">
        <v>3094</v>
      </c>
      <c r="B2967" s="3">
        <v>125</v>
      </c>
      <c r="C2967">
        <v>3</v>
      </c>
      <c r="D2967" t="s">
        <v>86</v>
      </c>
      <c r="E2967">
        <f>450/30</f>
        <v>15</v>
      </c>
      <c r="F2967">
        <v>0</v>
      </c>
    </row>
    <row r="2968" hidden="1" spans="1:6">
      <c r="A2968" s="2" t="s">
        <v>3095</v>
      </c>
      <c r="B2968" s="3">
        <v>125</v>
      </c>
      <c r="C2968">
        <v>3</v>
      </c>
      <c r="D2968" t="s">
        <v>92</v>
      </c>
      <c r="E2968">
        <f>91/30</f>
        <v>3.03333333333333</v>
      </c>
      <c r="F2968">
        <v>0</v>
      </c>
    </row>
    <row r="2969" hidden="1" spans="1:6">
      <c r="A2969" s="2" t="s">
        <v>3096</v>
      </c>
      <c r="B2969" s="3">
        <v>125</v>
      </c>
      <c r="C2969">
        <v>3</v>
      </c>
      <c r="D2969" t="s">
        <v>109</v>
      </c>
      <c r="E2969">
        <f>106/30</f>
        <v>3.53333333333333</v>
      </c>
      <c r="F2969">
        <v>0</v>
      </c>
    </row>
    <row r="2970" hidden="1" spans="1:6">
      <c r="A2970" s="2" t="s">
        <v>3097</v>
      </c>
      <c r="B2970" s="3">
        <v>125</v>
      </c>
      <c r="C2970">
        <v>3</v>
      </c>
      <c r="D2970" t="s">
        <v>97</v>
      </c>
      <c r="E2970">
        <f>132/30</f>
        <v>4.4</v>
      </c>
      <c r="F2970">
        <v>0</v>
      </c>
    </row>
    <row r="2971" hidden="1" spans="1:6">
      <c r="A2971" s="2" t="s">
        <v>3098</v>
      </c>
      <c r="B2971" s="3">
        <v>125</v>
      </c>
      <c r="C2971">
        <v>3</v>
      </c>
      <c r="D2971" t="s">
        <v>77</v>
      </c>
      <c r="E2971">
        <f>88/30</f>
        <v>2.93333333333333</v>
      </c>
      <c r="F2971">
        <v>0</v>
      </c>
    </row>
    <row r="2972" hidden="1" spans="1:6">
      <c r="A2972" s="2" t="s">
        <v>3099</v>
      </c>
      <c r="B2972" s="3">
        <v>125</v>
      </c>
      <c r="C2972">
        <v>3</v>
      </c>
      <c r="D2972" t="s">
        <v>54</v>
      </c>
      <c r="E2972">
        <f>140/30</f>
        <v>4.66666666666667</v>
      </c>
      <c r="F2972">
        <v>0</v>
      </c>
    </row>
    <row r="2973" hidden="1" spans="1:11">
      <c r="A2973" s="2" t="s">
        <v>3100</v>
      </c>
      <c r="B2973" s="3">
        <v>125</v>
      </c>
      <c r="C2973">
        <v>3</v>
      </c>
      <c r="D2973" t="s">
        <v>57</v>
      </c>
      <c r="E2973">
        <f>115/30</f>
        <v>3.83333333333333</v>
      </c>
      <c r="F2973">
        <v>0</v>
      </c>
      <c r="G2973">
        <v>0</v>
      </c>
      <c r="H2973">
        <v>2</v>
      </c>
      <c r="I2973">
        <v>4065</v>
      </c>
      <c r="J2973" t="s">
        <v>58</v>
      </c>
      <c r="K2973">
        <v>1</v>
      </c>
    </row>
    <row r="2974" hidden="1" spans="1:6">
      <c r="A2974" s="2" t="s">
        <v>3101</v>
      </c>
      <c r="B2974" s="3">
        <v>30073</v>
      </c>
      <c r="C2974">
        <v>3</v>
      </c>
      <c r="D2974" t="s">
        <v>86</v>
      </c>
      <c r="E2974">
        <f>450/30</f>
        <v>15</v>
      </c>
      <c r="F2974">
        <v>0</v>
      </c>
    </row>
    <row r="2975" hidden="1" spans="1:6">
      <c r="A2975" s="2" t="s">
        <v>3102</v>
      </c>
      <c r="B2975" s="3">
        <v>4012501</v>
      </c>
      <c r="C2975">
        <v>3</v>
      </c>
      <c r="D2975" t="s">
        <v>36</v>
      </c>
      <c r="E2975">
        <f>123/30</f>
        <v>4.1</v>
      </c>
      <c r="F2975">
        <v>0</v>
      </c>
    </row>
    <row r="2976" hidden="1" spans="1:6">
      <c r="A2976" s="2" t="s">
        <v>3103</v>
      </c>
      <c r="B2976" s="3">
        <v>4012501</v>
      </c>
      <c r="C2976">
        <v>3</v>
      </c>
      <c r="D2976" t="s">
        <v>38</v>
      </c>
      <c r="E2976">
        <f>92/30</f>
        <v>3.06666666666667</v>
      </c>
      <c r="F2976">
        <v>0</v>
      </c>
    </row>
    <row r="2977" hidden="1" spans="1:6">
      <c r="A2977" s="2" t="s">
        <v>3104</v>
      </c>
      <c r="B2977" s="3">
        <v>4012501</v>
      </c>
      <c r="C2977">
        <v>3</v>
      </c>
      <c r="D2977" t="s">
        <v>40</v>
      </c>
      <c r="E2977">
        <f>96/30</f>
        <v>3.2</v>
      </c>
      <c r="F2977">
        <v>0</v>
      </c>
    </row>
    <row r="2978" hidden="1" spans="1:6">
      <c r="A2978" s="2" t="s">
        <v>3105</v>
      </c>
      <c r="B2978" s="3">
        <v>4012501</v>
      </c>
      <c r="C2978">
        <v>3</v>
      </c>
      <c r="D2978" t="s">
        <v>42</v>
      </c>
      <c r="E2978">
        <f>115/30</f>
        <v>3.83333333333333</v>
      </c>
      <c r="F2978">
        <v>0</v>
      </c>
    </row>
    <row r="2979" hidden="1" spans="1:6">
      <c r="A2979" s="2" t="s">
        <v>3106</v>
      </c>
      <c r="B2979" s="3">
        <v>4012501</v>
      </c>
      <c r="C2979">
        <v>3</v>
      </c>
      <c r="D2979" t="s">
        <v>44</v>
      </c>
      <c r="E2979">
        <f>380/30</f>
        <v>12.6666666666667</v>
      </c>
      <c r="F2979">
        <v>0</v>
      </c>
    </row>
    <row r="2980" hidden="1" spans="1:6">
      <c r="A2980" s="2" t="s">
        <v>3107</v>
      </c>
      <c r="B2980" s="3">
        <v>4012501</v>
      </c>
      <c r="C2980">
        <v>3</v>
      </c>
      <c r="D2980" t="s">
        <v>46</v>
      </c>
      <c r="E2980">
        <f>330/30</f>
        <v>11</v>
      </c>
      <c r="F2980">
        <v>0</v>
      </c>
    </row>
    <row r="2981" hidden="1" spans="1:6">
      <c r="A2981" s="2" t="s">
        <v>3108</v>
      </c>
      <c r="B2981" s="3">
        <v>4012501</v>
      </c>
      <c r="C2981">
        <v>3</v>
      </c>
      <c r="D2981" t="s">
        <v>86</v>
      </c>
      <c r="E2981">
        <f>450/30</f>
        <v>15</v>
      </c>
      <c r="F2981">
        <v>0</v>
      </c>
    </row>
    <row r="2982" hidden="1" spans="1:6">
      <c r="A2982" s="2" t="s">
        <v>3109</v>
      </c>
      <c r="B2982" s="3">
        <v>4012501</v>
      </c>
      <c r="C2982">
        <v>3</v>
      </c>
      <c r="D2982" t="s">
        <v>92</v>
      </c>
      <c r="E2982">
        <f>91/30</f>
        <v>3.03333333333333</v>
      </c>
      <c r="F2982">
        <v>0</v>
      </c>
    </row>
    <row r="2983" hidden="1" spans="1:6">
      <c r="A2983" s="2" t="s">
        <v>3110</v>
      </c>
      <c r="B2983" s="3">
        <v>4012501</v>
      </c>
      <c r="C2983">
        <v>3</v>
      </c>
      <c r="D2983" t="s">
        <v>109</v>
      </c>
      <c r="E2983">
        <f>106/30</f>
        <v>3.53333333333333</v>
      </c>
      <c r="F2983">
        <v>0</v>
      </c>
    </row>
    <row r="2984" hidden="1" spans="1:6">
      <c r="A2984" s="2" t="s">
        <v>3111</v>
      </c>
      <c r="B2984" s="3">
        <v>4012501</v>
      </c>
      <c r="C2984">
        <v>3</v>
      </c>
      <c r="D2984" t="s">
        <v>97</v>
      </c>
      <c r="E2984">
        <f>132/30</f>
        <v>4.4</v>
      </c>
      <c r="F2984">
        <v>0</v>
      </c>
    </row>
    <row r="2985" hidden="1" spans="1:6">
      <c r="A2985" s="2" t="s">
        <v>3112</v>
      </c>
      <c r="B2985" s="3">
        <v>4012501</v>
      </c>
      <c r="C2985">
        <v>3</v>
      </c>
      <c r="D2985" t="s">
        <v>77</v>
      </c>
      <c r="E2985">
        <f>88/30</f>
        <v>2.93333333333333</v>
      </c>
      <c r="F2985">
        <v>0</v>
      </c>
    </row>
    <row r="2986" hidden="1" spans="1:6">
      <c r="A2986" s="2" t="s">
        <v>3113</v>
      </c>
      <c r="B2986" s="3">
        <v>4012501</v>
      </c>
      <c r="C2986">
        <v>3</v>
      </c>
      <c r="D2986" t="s">
        <v>54</v>
      </c>
      <c r="E2986">
        <f>140/30</f>
        <v>4.66666666666667</v>
      </c>
      <c r="F2986">
        <v>0</v>
      </c>
    </row>
    <row r="2987" hidden="1" spans="1:11">
      <c r="A2987" s="2" t="s">
        <v>3114</v>
      </c>
      <c r="B2987" s="3">
        <v>4012501</v>
      </c>
      <c r="C2987">
        <v>3</v>
      </c>
      <c r="D2987" t="s">
        <v>57</v>
      </c>
      <c r="E2987">
        <f>115/30</f>
        <v>3.83333333333333</v>
      </c>
      <c r="F2987">
        <v>0</v>
      </c>
      <c r="G2987">
        <v>0</v>
      </c>
      <c r="H2987">
        <v>2</v>
      </c>
      <c r="I2987">
        <v>4065</v>
      </c>
      <c r="J2987" t="s">
        <v>58</v>
      </c>
      <c r="K2987">
        <v>1</v>
      </c>
    </row>
    <row r="2988" hidden="1" spans="1:11">
      <c r="A2988" s="2" t="s">
        <v>3115</v>
      </c>
      <c r="B2988" s="3">
        <v>126</v>
      </c>
      <c r="C2988">
        <v>3</v>
      </c>
      <c r="D2988" t="s">
        <v>36</v>
      </c>
      <c r="E2988">
        <f>56/30</f>
        <v>1.86666666666667</v>
      </c>
      <c r="F2988">
        <v>0</v>
      </c>
      <c r="G2988">
        <v>0</v>
      </c>
      <c r="H2988">
        <v>2</v>
      </c>
      <c r="I2988">
        <v>4080</v>
      </c>
      <c r="J2988" t="s">
        <v>3116</v>
      </c>
      <c r="K2988">
        <v>1</v>
      </c>
    </row>
    <row r="2989" hidden="1" spans="1:11">
      <c r="A2989" s="2" t="s">
        <v>3117</v>
      </c>
      <c r="B2989" s="3">
        <v>126</v>
      </c>
      <c r="C2989">
        <v>3</v>
      </c>
      <c r="D2989" t="s">
        <v>38</v>
      </c>
      <c r="E2989">
        <f>95/30</f>
        <v>3.16666666666667</v>
      </c>
      <c r="F2989">
        <v>0</v>
      </c>
      <c r="G2989">
        <v>0</v>
      </c>
      <c r="H2989">
        <v>2</v>
      </c>
      <c r="I2989">
        <v>4080</v>
      </c>
      <c r="J2989" t="s">
        <v>3116</v>
      </c>
      <c r="K2989">
        <v>1</v>
      </c>
    </row>
    <row r="2990" hidden="1" spans="1:11">
      <c r="A2990" s="2" t="s">
        <v>3118</v>
      </c>
      <c r="B2990" s="3">
        <v>126</v>
      </c>
      <c r="C2990">
        <v>3</v>
      </c>
      <c r="D2990" t="s">
        <v>40</v>
      </c>
      <c r="E2990">
        <f>113/30</f>
        <v>3.76666666666667</v>
      </c>
      <c r="F2990">
        <v>0</v>
      </c>
      <c r="G2990">
        <v>0</v>
      </c>
      <c r="H2990">
        <v>2</v>
      </c>
      <c r="I2990">
        <v>4080</v>
      </c>
      <c r="J2990" t="s">
        <v>3116</v>
      </c>
      <c r="K2990">
        <v>1</v>
      </c>
    </row>
    <row r="2991" hidden="1" spans="1:11">
      <c r="A2991" s="2" t="s">
        <v>3119</v>
      </c>
      <c r="B2991" s="3">
        <v>126</v>
      </c>
      <c r="C2991">
        <v>3</v>
      </c>
      <c r="D2991" t="s">
        <v>42</v>
      </c>
      <c r="E2991">
        <f>76/30</f>
        <v>2.53333333333333</v>
      </c>
      <c r="F2991">
        <v>0</v>
      </c>
      <c r="G2991">
        <v>0</v>
      </c>
      <c r="H2991">
        <v>2</v>
      </c>
      <c r="I2991">
        <v>4080</v>
      </c>
      <c r="J2991" t="s">
        <v>3116</v>
      </c>
      <c r="K2991">
        <v>1</v>
      </c>
    </row>
    <row r="2992" hidden="1" spans="1:11">
      <c r="A2992" s="2" t="s">
        <v>3120</v>
      </c>
      <c r="B2992" s="3">
        <v>126</v>
      </c>
      <c r="C2992">
        <v>3</v>
      </c>
      <c r="D2992" t="s">
        <v>44</v>
      </c>
      <c r="E2992">
        <f>313/30</f>
        <v>10.4333333333333</v>
      </c>
      <c r="F2992">
        <v>0</v>
      </c>
      <c r="G2992">
        <v>0</v>
      </c>
      <c r="H2992">
        <v>2</v>
      </c>
      <c r="I2992">
        <v>4080</v>
      </c>
      <c r="J2992" t="s">
        <v>3116</v>
      </c>
      <c r="K2992">
        <v>1</v>
      </c>
    </row>
    <row r="2993" hidden="1" spans="1:11">
      <c r="A2993" s="2" t="s">
        <v>3121</v>
      </c>
      <c r="B2993" s="3">
        <v>126</v>
      </c>
      <c r="C2993">
        <v>3</v>
      </c>
      <c r="D2993" t="s">
        <v>46</v>
      </c>
      <c r="E2993">
        <f>370/30</f>
        <v>12.3333333333333</v>
      </c>
      <c r="F2993">
        <v>0</v>
      </c>
      <c r="G2993">
        <v>0</v>
      </c>
      <c r="H2993">
        <v>2</v>
      </c>
      <c r="I2993">
        <v>4080</v>
      </c>
      <c r="J2993" t="s">
        <v>3116</v>
      </c>
      <c r="K2993">
        <v>1</v>
      </c>
    </row>
    <row r="2994" hidden="1" spans="1:11">
      <c r="A2994" s="2" t="s">
        <v>3122</v>
      </c>
      <c r="B2994" s="3">
        <v>126</v>
      </c>
      <c r="C2994">
        <v>3</v>
      </c>
      <c r="D2994" t="s">
        <v>86</v>
      </c>
      <c r="E2994">
        <f>42/30</f>
        <v>1.4</v>
      </c>
      <c r="F2994">
        <v>0</v>
      </c>
      <c r="G2994">
        <v>0</v>
      </c>
      <c r="H2994">
        <v>2</v>
      </c>
      <c r="I2994">
        <v>4080</v>
      </c>
      <c r="J2994" t="s">
        <v>3116</v>
      </c>
      <c r="K2994">
        <v>1</v>
      </c>
    </row>
    <row r="2995" s="1" customFormat="1" hidden="1" spans="1:12">
      <c r="A2995" s="2" t="s">
        <v>3123</v>
      </c>
      <c r="B2995" s="54">
        <v>30089</v>
      </c>
      <c r="C2995" s="1">
        <v>3</v>
      </c>
      <c r="D2995" s="1" t="s">
        <v>50</v>
      </c>
      <c r="E2995" s="1">
        <v>4.9</v>
      </c>
      <c r="F2995" s="1">
        <v>0</v>
      </c>
      <c r="L2995" s="7"/>
    </row>
    <row r="2996" s="1" customFormat="1" hidden="1" spans="1:12">
      <c r="A2996" s="2" t="s">
        <v>3124</v>
      </c>
      <c r="B2996" s="54">
        <v>30089</v>
      </c>
      <c r="C2996" s="1">
        <v>3</v>
      </c>
      <c r="D2996" s="1" t="s">
        <v>90</v>
      </c>
      <c r="E2996" s="1">
        <f>185/30</f>
        <v>6.16666666666667</v>
      </c>
      <c r="F2996" s="1">
        <v>0</v>
      </c>
      <c r="L2996" s="7"/>
    </row>
    <row r="2997" s="1" customFormat="1" hidden="1" spans="1:12">
      <c r="A2997" s="5" t="s">
        <v>3125</v>
      </c>
      <c r="B2997" s="54">
        <v>126</v>
      </c>
      <c r="C2997" s="1">
        <v>3</v>
      </c>
      <c r="D2997" s="1" t="s">
        <v>48</v>
      </c>
      <c r="E2997" s="1">
        <f>510/30</f>
        <v>17</v>
      </c>
      <c r="F2997" s="1">
        <v>0</v>
      </c>
      <c r="L2997" s="7"/>
    </row>
    <row r="2998" hidden="1" spans="1:11">
      <c r="A2998" s="2" t="s">
        <v>3126</v>
      </c>
      <c r="B2998" s="3">
        <v>126</v>
      </c>
      <c r="C2998">
        <v>3</v>
      </c>
      <c r="D2998" t="s">
        <v>92</v>
      </c>
      <c r="E2998">
        <f>81/30</f>
        <v>2.7</v>
      </c>
      <c r="F2998">
        <v>0</v>
      </c>
      <c r="G2998">
        <v>0</v>
      </c>
      <c r="H2998">
        <v>2</v>
      </c>
      <c r="I2998">
        <v>4080</v>
      </c>
      <c r="J2998" t="s">
        <v>3116</v>
      </c>
      <c r="K2998">
        <v>1</v>
      </c>
    </row>
    <row r="2999" hidden="1" spans="1:11">
      <c r="A2999" s="2" t="s">
        <v>3127</v>
      </c>
      <c r="B2999" s="3">
        <v>126</v>
      </c>
      <c r="C2999">
        <v>3</v>
      </c>
      <c r="D2999" t="s">
        <v>109</v>
      </c>
      <c r="E2999">
        <f>93/30</f>
        <v>3.1</v>
      </c>
      <c r="F2999">
        <v>0</v>
      </c>
      <c r="G2999">
        <v>0</v>
      </c>
      <c r="H2999">
        <v>2</v>
      </c>
      <c r="I2999">
        <v>4080</v>
      </c>
      <c r="J2999" t="s">
        <v>3116</v>
      </c>
      <c r="K2999">
        <v>1</v>
      </c>
    </row>
    <row r="3000" hidden="1" spans="1:11">
      <c r="A3000" s="2" t="s">
        <v>3128</v>
      </c>
      <c r="B3000" s="3">
        <v>126</v>
      </c>
      <c r="C3000">
        <v>3</v>
      </c>
      <c r="D3000" t="s">
        <v>97</v>
      </c>
      <c r="E3000">
        <f>86/30</f>
        <v>2.86666666666667</v>
      </c>
      <c r="F3000">
        <v>0</v>
      </c>
      <c r="G3000">
        <v>0</v>
      </c>
      <c r="H3000">
        <v>2</v>
      </c>
      <c r="I3000">
        <v>4080</v>
      </c>
      <c r="J3000" t="s">
        <v>3116</v>
      </c>
      <c r="K3000">
        <v>1</v>
      </c>
    </row>
    <row r="3001" hidden="1" spans="1:11">
      <c r="A3001" s="2" t="s">
        <v>3129</v>
      </c>
      <c r="B3001" s="3">
        <v>126</v>
      </c>
      <c r="C3001">
        <v>3</v>
      </c>
      <c r="D3001" t="s">
        <v>77</v>
      </c>
      <c r="E3001">
        <f>128/30</f>
        <v>4.26666666666667</v>
      </c>
      <c r="F3001">
        <v>0</v>
      </c>
      <c r="G3001">
        <v>0</v>
      </c>
      <c r="H3001">
        <v>2</v>
      </c>
      <c r="I3001">
        <v>4080</v>
      </c>
      <c r="J3001" t="s">
        <v>3116</v>
      </c>
      <c r="K3001">
        <v>1</v>
      </c>
    </row>
    <row r="3002" hidden="1" spans="1:11">
      <c r="A3002" s="2" t="s">
        <v>3130</v>
      </c>
      <c r="B3002" s="3">
        <v>126</v>
      </c>
      <c r="C3002">
        <v>3</v>
      </c>
      <c r="D3002" t="s">
        <v>54</v>
      </c>
      <c r="E3002">
        <f>50/30</f>
        <v>1.66666666666667</v>
      </c>
      <c r="F3002">
        <v>0</v>
      </c>
      <c r="G3002">
        <v>0</v>
      </c>
      <c r="H3002">
        <v>2</v>
      </c>
      <c r="I3002">
        <v>4080</v>
      </c>
      <c r="J3002" t="s">
        <v>3116</v>
      </c>
      <c r="K3002">
        <v>1</v>
      </c>
    </row>
    <row r="3003" hidden="1" spans="1:11">
      <c r="A3003" s="2" t="s">
        <v>3131</v>
      </c>
      <c r="B3003" s="3">
        <v>126</v>
      </c>
      <c r="C3003">
        <v>3</v>
      </c>
      <c r="D3003" t="s">
        <v>57</v>
      </c>
      <c r="E3003">
        <f>121/30</f>
        <v>4.03333333333333</v>
      </c>
      <c r="F3003">
        <v>0</v>
      </c>
      <c r="G3003" t="s">
        <v>942</v>
      </c>
      <c r="H3003" t="s">
        <v>943</v>
      </c>
      <c r="I3003" t="s">
        <v>3132</v>
      </c>
      <c r="J3003" t="s">
        <v>3133</v>
      </c>
      <c r="K3003" t="s">
        <v>1869</v>
      </c>
    </row>
    <row r="3004" hidden="1" spans="1:11">
      <c r="A3004" s="2" t="s">
        <v>3134</v>
      </c>
      <c r="B3004" s="3">
        <v>30075</v>
      </c>
      <c r="C3004">
        <v>3</v>
      </c>
      <c r="D3004" t="s">
        <v>86</v>
      </c>
      <c r="E3004">
        <f>380/30</f>
        <v>12.6666666666667</v>
      </c>
      <c r="F3004">
        <v>0</v>
      </c>
      <c r="G3004" t="s">
        <v>942</v>
      </c>
      <c r="H3004" t="s">
        <v>943</v>
      </c>
      <c r="I3004" t="s">
        <v>3135</v>
      </c>
      <c r="J3004" t="s">
        <v>3136</v>
      </c>
      <c r="K3004" t="s">
        <v>942</v>
      </c>
    </row>
    <row r="3005" hidden="1" spans="1:11">
      <c r="A3005" s="2" t="s">
        <v>3137</v>
      </c>
      <c r="B3005" s="3">
        <v>4012601</v>
      </c>
      <c r="C3005">
        <v>3</v>
      </c>
      <c r="D3005" t="s">
        <v>36</v>
      </c>
      <c r="E3005">
        <f>56/30</f>
        <v>1.86666666666667</v>
      </c>
      <c r="F3005">
        <v>0</v>
      </c>
      <c r="G3005">
        <v>0</v>
      </c>
      <c r="H3005">
        <v>2</v>
      </c>
      <c r="I3005">
        <v>4080</v>
      </c>
      <c r="J3005" t="s">
        <v>3116</v>
      </c>
      <c r="K3005">
        <v>1</v>
      </c>
    </row>
    <row r="3006" hidden="1" spans="1:11">
      <c r="A3006" s="2" t="s">
        <v>3138</v>
      </c>
      <c r="B3006" s="3">
        <v>4012601</v>
      </c>
      <c r="C3006">
        <v>3</v>
      </c>
      <c r="D3006" t="s">
        <v>38</v>
      </c>
      <c r="E3006">
        <f>95/30</f>
        <v>3.16666666666667</v>
      </c>
      <c r="F3006">
        <v>0</v>
      </c>
      <c r="G3006">
        <v>0</v>
      </c>
      <c r="H3006">
        <v>2</v>
      </c>
      <c r="I3006">
        <v>4080</v>
      </c>
      <c r="J3006" t="s">
        <v>3116</v>
      </c>
      <c r="K3006">
        <v>1</v>
      </c>
    </row>
    <row r="3007" hidden="1" spans="1:11">
      <c r="A3007" s="2" t="s">
        <v>3139</v>
      </c>
      <c r="B3007" s="3">
        <v>4012601</v>
      </c>
      <c r="C3007">
        <v>3</v>
      </c>
      <c r="D3007" t="s">
        <v>40</v>
      </c>
      <c r="E3007">
        <f>113/30</f>
        <v>3.76666666666667</v>
      </c>
      <c r="F3007">
        <v>0</v>
      </c>
      <c r="G3007">
        <v>0</v>
      </c>
      <c r="H3007">
        <v>2</v>
      </c>
      <c r="I3007">
        <v>4080</v>
      </c>
      <c r="J3007" t="s">
        <v>3116</v>
      </c>
      <c r="K3007">
        <v>1</v>
      </c>
    </row>
    <row r="3008" hidden="1" spans="1:11">
      <c r="A3008" s="2" t="s">
        <v>3140</v>
      </c>
      <c r="B3008" s="3">
        <v>4012601</v>
      </c>
      <c r="C3008">
        <v>3</v>
      </c>
      <c r="D3008" t="s">
        <v>42</v>
      </c>
      <c r="E3008">
        <f>76/30</f>
        <v>2.53333333333333</v>
      </c>
      <c r="F3008">
        <v>0</v>
      </c>
      <c r="G3008">
        <v>0</v>
      </c>
      <c r="H3008">
        <v>2</v>
      </c>
      <c r="I3008">
        <v>4080</v>
      </c>
      <c r="J3008" t="s">
        <v>3116</v>
      </c>
      <c r="K3008">
        <v>1</v>
      </c>
    </row>
    <row r="3009" hidden="1" spans="1:11">
      <c r="A3009" s="2" t="s">
        <v>3141</v>
      </c>
      <c r="B3009" s="3">
        <v>4012601</v>
      </c>
      <c r="C3009">
        <v>3</v>
      </c>
      <c r="D3009" t="s">
        <v>44</v>
      </c>
      <c r="E3009">
        <f>313/30</f>
        <v>10.4333333333333</v>
      </c>
      <c r="F3009">
        <v>0</v>
      </c>
      <c r="G3009">
        <v>0</v>
      </c>
      <c r="H3009">
        <v>2</v>
      </c>
      <c r="I3009">
        <v>4080</v>
      </c>
      <c r="J3009" t="s">
        <v>3116</v>
      </c>
      <c r="K3009">
        <v>1</v>
      </c>
    </row>
    <row r="3010" hidden="1" spans="1:11">
      <c r="A3010" s="2" t="s">
        <v>3142</v>
      </c>
      <c r="B3010" s="3">
        <v>4012601</v>
      </c>
      <c r="C3010">
        <v>3</v>
      </c>
      <c r="D3010" t="s">
        <v>46</v>
      </c>
      <c r="E3010">
        <f>370/30</f>
        <v>12.3333333333333</v>
      </c>
      <c r="F3010">
        <v>0</v>
      </c>
      <c r="G3010">
        <v>0</v>
      </c>
      <c r="H3010">
        <v>2</v>
      </c>
      <c r="I3010">
        <v>4080</v>
      </c>
      <c r="J3010" t="s">
        <v>3116</v>
      </c>
      <c r="K3010">
        <v>1</v>
      </c>
    </row>
    <row r="3011" hidden="1" spans="1:11">
      <c r="A3011" s="2" t="s">
        <v>3143</v>
      </c>
      <c r="B3011" s="3">
        <v>4012601</v>
      </c>
      <c r="C3011">
        <v>3</v>
      </c>
      <c r="D3011" t="s">
        <v>86</v>
      </c>
      <c r="E3011">
        <f>42/30</f>
        <v>1.4</v>
      </c>
      <c r="F3011">
        <v>0</v>
      </c>
      <c r="G3011">
        <v>0</v>
      </c>
      <c r="H3011">
        <v>2</v>
      </c>
      <c r="I3011">
        <v>4080</v>
      </c>
      <c r="J3011" t="s">
        <v>3116</v>
      </c>
      <c r="K3011">
        <v>1</v>
      </c>
    </row>
    <row r="3012" s="1" customFormat="1" hidden="1" spans="1:12">
      <c r="A3012" s="5" t="s">
        <v>3144</v>
      </c>
      <c r="B3012" s="54">
        <v>4012601</v>
      </c>
      <c r="C3012" s="1">
        <v>3</v>
      </c>
      <c r="D3012" s="1" t="s">
        <v>48</v>
      </c>
      <c r="E3012" s="1">
        <f>510/30</f>
        <v>17</v>
      </c>
      <c r="F3012" s="1">
        <v>0</v>
      </c>
      <c r="G3012" s="1">
        <v>0</v>
      </c>
      <c r="H3012" s="1">
        <v>2</v>
      </c>
      <c r="I3012" s="1">
        <v>4080</v>
      </c>
      <c r="J3012" s="1" t="s">
        <v>3116</v>
      </c>
      <c r="K3012" s="1">
        <v>1</v>
      </c>
      <c r="L3012" s="7"/>
    </row>
    <row r="3013" hidden="1" spans="1:11">
      <c r="A3013" s="2" t="s">
        <v>3145</v>
      </c>
      <c r="B3013" s="3">
        <v>4012601</v>
      </c>
      <c r="C3013">
        <v>3</v>
      </c>
      <c r="D3013" t="s">
        <v>92</v>
      </c>
      <c r="E3013">
        <f>81/30</f>
        <v>2.7</v>
      </c>
      <c r="F3013">
        <v>0</v>
      </c>
      <c r="G3013">
        <v>0</v>
      </c>
      <c r="H3013">
        <v>2</v>
      </c>
      <c r="I3013">
        <v>4080</v>
      </c>
      <c r="J3013" t="s">
        <v>3116</v>
      </c>
      <c r="K3013">
        <v>1</v>
      </c>
    </row>
    <row r="3014" hidden="1" spans="1:11">
      <c r="A3014" s="2" t="s">
        <v>3146</v>
      </c>
      <c r="B3014" s="3">
        <v>4012601</v>
      </c>
      <c r="C3014">
        <v>3</v>
      </c>
      <c r="D3014" t="s">
        <v>109</v>
      </c>
      <c r="E3014">
        <f>93/30</f>
        <v>3.1</v>
      </c>
      <c r="F3014">
        <v>0</v>
      </c>
      <c r="G3014">
        <v>0</v>
      </c>
      <c r="H3014">
        <v>2</v>
      </c>
      <c r="I3014">
        <v>4080</v>
      </c>
      <c r="J3014" t="s">
        <v>3116</v>
      </c>
      <c r="K3014">
        <v>1</v>
      </c>
    </row>
    <row r="3015" hidden="1" spans="1:11">
      <c r="A3015" s="2" t="s">
        <v>3147</v>
      </c>
      <c r="B3015" s="3">
        <v>4012601</v>
      </c>
      <c r="C3015">
        <v>3</v>
      </c>
      <c r="D3015" t="s">
        <v>97</v>
      </c>
      <c r="E3015">
        <f>86/30</f>
        <v>2.86666666666667</v>
      </c>
      <c r="F3015">
        <v>0</v>
      </c>
      <c r="G3015">
        <v>0</v>
      </c>
      <c r="H3015">
        <v>2</v>
      </c>
      <c r="I3015">
        <v>4080</v>
      </c>
      <c r="J3015" t="s">
        <v>3116</v>
      </c>
      <c r="K3015">
        <v>1</v>
      </c>
    </row>
    <row r="3016" hidden="1" spans="1:11">
      <c r="A3016" s="2" t="s">
        <v>3148</v>
      </c>
      <c r="B3016" s="3">
        <v>4012601</v>
      </c>
      <c r="C3016">
        <v>3</v>
      </c>
      <c r="D3016" t="s">
        <v>77</v>
      </c>
      <c r="E3016">
        <f>128/30</f>
        <v>4.26666666666667</v>
      </c>
      <c r="F3016">
        <v>0</v>
      </c>
      <c r="G3016">
        <v>0</v>
      </c>
      <c r="H3016">
        <v>2</v>
      </c>
      <c r="I3016">
        <v>4080</v>
      </c>
      <c r="J3016" t="s">
        <v>3116</v>
      </c>
      <c r="K3016">
        <v>1</v>
      </c>
    </row>
    <row r="3017" hidden="1" spans="1:11">
      <c r="A3017" s="2" t="s">
        <v>3149</v>
      </c>
      <c r="B3017" s="3">
        <v>4012601</v>
      </c>
      <c r="C3017">
        <v>3</v>
      </c>
      <c r="D3017" t="s">
        <v>54</v>
      </c>
      <c r="E3017">
        <f>50/30</f>
        <v>1.66666666666667</v>
      </c>
      <c r="F3017">
        <v>0</v>
      </c>
      <c r="G3017">
        <v>0</v>
      </c>
      <c r="H3017">
        <v>2</v>
      </c>
      <c r="I3017">
        <v>4080</v>
      </c>
      <c r="J3017" t="s">
        <v>3116</v>
      </c>
      <c r="K3017">
        <v>1</v>
      </c>
    </row>
    <row r="3018" hidden="1" spans="1:11">
      <c r="A3018" s="2" t="s">
        <v>3150</v>
      </c>
      <c r="B3018" s="3">
        <v>4012601</v>
      </c>
      <c r="C3018">
        <v>3</v>
      </c>
      <c r="D3018" t="s">
        <v>57</v>
      </c>
      <c r="E3018">
        <f>121/30</f>
        <v>4.03333333333333</v>
      </c>
      <c r="F3018">
        <v>0</v>
      </c>
      <c r="G3018" t="s">
        <v>942</v>
      </c>
      <c r="H3018" t="s">
        <v>943</v>
      </c>
      <c r="I3018" t="s">
        <v>3132</v>
      </c>
      <c r="J3018" t="s">
        <v>3133</v>
      </c>
      <c r="K3018" t="s">
        <v>1869</v>
      </c>
    </row>
    <row r="3019" hidden="1" spans="1:6">
      <c r="A3019" s="2" t="s">
        <v>3151</v>
      </c>
      <c r="B3019" s="3">
        <v>4012601</v>
      </c>
      <c r="C3019">
        <v>3</v>
      </c>
      <c r="D3019" t="s">
        <v>1788</v>
      </c>
      <c r="E3019">
        <f>81/30</f>
        <v>2.7</v>
      </c>
      <c r="F3019">
        <v>0</v>
      </c>
    </row>
    <row r="3020" hidden="1" spans="1:6">
      <c r="A3020" s="2" t="s">
        <v>3152</v>
      </c>
      <c r="B3020" s="3">
        <v>30075</v>
      </c>
      <c r="C3020">
        <v>3</v>
      </c>
      <c r="D3020" t="s">
        <v>1788</v>
      </c>
      <c r="E3020">
        <f>81/30</f>
        <v>2.7</v>
      </c>
      <c r="F3020">
        <v>0</v>
      </c>
    </row>
    <row r="3021" hidden="1" spans="1:11">
      <c r="A3021" s="2" t="s">
        <v>3153</v>
      </c>
      <c r="B3021" s="3">
        <v>126</v>
      </c>
      <c r="C3021">
        <v>3</v>
      </c>
      <c r="D3021" t="s">
        <v>1047</v>
      </c>
      <c r="E3021">
        <f>71/30</f>
        <v>2.36666666666667</v>
      </c>
      <c r="F3021">
        <v>0</v>
      </c>
      <c r="G3021">
        <v>0</v>
      </c>
      <c r="H3021">
        <v>2</v>
      </c>
      <c r="I3021">
        <v>4080</v>
      </c>
      <c r="J3021" t="s">
        <v>3116</v>
      </c>
      <c r="K3021">
        <v>1</v>
      </c>
    </row>
    <row r="3022" hidden="1" spans="1:11">
      <c r="A3022" s="2" t="s">
        <v>3154</v>
      </c>
      <c r="B3022" s="3">
        <v>126</v>
      </c>
      <c r="D3022" t="s">
        <v>2198</v>
      </c>
      <c r="E3022">
        <v>2</v>
      </c>
      <c r="F3022">
        <v>1</v>
      </c>
      <c r="G3022">
        <v>0</v>
      </c>
      <c r="H3022">
        <v>2</v>
      </c>
      <c r="I3022">
        <v>4080</v>
      </c>
      <c r="J3022" t="s">
        <v>3116</v>
      </c>
      <c r="K3022">
        <v>1</v>
      </c>
    </row>
    <row r="3023" hidden="1" spans="1:11">
      <c r="A3023" s="2" t="s">
        <v>3155</v>
      </c>
      <c r="B3023" s="3">
        <v>126</v>
      </c>
      <c r="D3023" t="s">
        <v>2182</v>
      </c>
      <c r="E3023">
        <f>40/30</f>
        <v>1.33333333333333</v>
      </c>
      <c r="F3023">
        <v>0</v>
      </c>
      <c r="G3023">
        <v>0</v>
      </c>
      <c r="H3023">
        <v>2</v>
      </c>
      <c r="I3023">
        <v>4080</v>
      </c>
      <c r="J3023" t="s">
        <v>3116</v>
      </c>
      <c r="K3023">
        <v>1</v>
      </c>
    </row>
    <row r="3024" hidden="1" spans="1:11">
      <c r="A3024" s="2" t="s">
        <v>3156</v>
      </c>
      <c r="B3024" s="3">
        <v>126</v>
      </c>
      <c r="D3024" t="s">
        <v>2184</v>
      </c>
      <c r="E3024">
        <v>2</v>
      </c>
      <c r="F3024">
        <v>0</v>
      </c>
      <c r="G3024">
        <v>0</v>
      </c>
      <c r="H3024">
        <v>2</v>
      </c>
      <c r="I3024">
        <v>4080</v>
      </c>
      <c r="J3024" t="s">
        <v>3116</v>
      </c>
      <c r="K3024">
        <v>1</v>
      </c>
    </row>
    <row r="3025" hidden="1" spans="1:11">
      <c r="A3025" s="2" t="s">
        <v>3157</v>
      </c>
      <c r="B3025" s="3">
        <v>126</v>
      </c>
      <c r="D3025" t="s">
        <v>2186</v>
      </c>
      <c r="E3025">
        <f>49/30</f>
        <v>1.63333333333333</v>
      </c>
      <c r="F3025">
        <v>0</v>
      </c>
      <c r="G3025">
        <v>0</v>
      </c>
      <c r="H3025">
        <v>2</v>
      </c>
      <c r="I3025">
        <v>4080</v>
      </c>
      <c r="J3025" t="s">
        <v>3116</v>
      </c>
      <c r="K3025">
        <v>1</v>
      </c>
    </row>
    <row r="3026" hidden="1" spans="1:11">
      <c r="A3026" s="2" t="s">
        <v>3158</v>
      </c>
      <c r="B3026" s="3">
        <v>126</v>
      </c>
      <c r="D3026" t="s">
        <v>2188</v>
      </c>
      <c r="E3026">
        <f>24/30</f>
        <v>0.8</v>
      </c>
      <c r="F3026">
        <v>0</v>
      </c>
      <c r="G3026">
        <v>0</v>
      </c>
      <c r="H3026">
        <v>2</v>
      </c>
      <c r="I3026">
        <v>4080</v>
      </c>
      <c r="J3026" t="s">
        <v>3116</v>
      </c>
      <c r="K3026">
        <v>1</v>
      </c>
    </row>
    <row r="3027" hidden="1" spans="1:11">
      <c r="A3027" s="2" t="s">
        <v>3159</v>
      </c>
      <c r="B3027" s="3">
        <v>126</v>
      </c>
      <c r="D3027" t="s">
        <v>2190</v>
      </c>
      <c r="E3027">
        <f>24/30</f>
        <v>0.8</v>
      </c>
      <c r="F3027">
        <v>0</v>
      </c>
      <c r="G3027">
        <v>0</v>
      </c>
      <c r="H3027">
        <v>2</v>
      </c>
      <c r="I3027">
        <v>4080</v>
      </c>
      <c r="J3027" t="s">
        <v>3116</v>
      </c>
      <c r="K3027">
        <v>1</v>
      </c>
    </row>
    <row r="3028" hidden="1" spans="1:11">
      <c r="A3028" s="2" t="s">
        <v>3160</v>
      </c>
      <c r="B3028" s="3">
        <v>126</v>
      </c>
      <c r="D3028" t="s">
        <v>2192</v>
      </c>
      <c r="E3028">
        <f>24/30</f>
        <v>0.8</v>
      </c>
      <c r="F3028">
        <v>0</v>
      </c>
      <c r="G3028">
        <v>0</v>
      </c>
      <c r="H3028">
        <v>2</v>
      </c>
      <c r="I3028">
        <v>4080</v>
      </c>
      <c r="J3028" t="s">
        <v>3116</v>
      </c>
      <c r="K3028">
        <v>1</v>
      </c>
    </row>
    <row r="3029" hidden="1" spans="1:11">
      <c r="A3029" s="2" t="s">
        <v>3161</v>
      </c>
      <c r="B3029" s="3">
        <v>126</v>
      </c>
      <c r="D3029" t="s">
        <v>2194</v>
      </c>
      <c r="E3029">
        <f>24/30</f>
        <v>0.8</v>
      </c>
      <c r="F3029">
        <v>0</v>
      </c>
      <c r="G3029">
        <v>0</v>
      </c>
      <c r="H3029">
        <v>2</v>
      </c>
      <c r="I3029">
        <v>4080</v>
      </c>
      <c r="J3029" t="s">
        <v>3116</v>
      </c>
      <c r="K3029">
        <v>1</v>
      </c>
    </row>
    <row r="3030" hidden="1" spans="1:11">
      <c r="A3030" s="2" t="s">
        <v>3162</v>
      </c>
      <c r="B3030" s="3">
        <v>126</v>
      </c>
      <c r="D3030" t="s">
        <v>300</v>
      </c>
      <c r="E3030">
        <v>1</v>
      </c>
      <c r="F3030">
        <v>0</v>
      </c>
      <c r="G3030">
        <v>0</v>
      </c>
      <c r="H3030">
        <v>2</v>
      </c>
      <c r="I3030">
        <v>4080</v>
      </c>
      <c r="J3030" t="s">
        <v>3116</v>
      </c>
      <c r="K3030">
        <v>1</v>
      </c>
    </row>
    <row r="3031" hidden="1" spans="1:11">
      <c r="A3031" s="2" t="s">
        <v>3163</v>
      </c>
      <c r="B3031" s="3">
        <v>126</v>
      </c>
      <c r="D3031" t="s">
        <v>2178</v>
      </c>
      <c r="E3031">
        <v>1</v>
      </c>
      <c r="F3031">
        <v>0</v>
      </c>
      <c r="G3031">
        <v>0</v>
      </c>
      <c r="H3031">
        <v>2</v>
      </c>
      <c r="I3031">
        <v>4080</v>
      </c>
      <c r="J3031" t="s">
        <v>3116</v>
      </c>
      <c r="K3031">
        <v>1</v>
      </c>
    </row>
    <row r="3032" hidden="1" spans="1:11">
      <c r="A3032" s="2" t="s">
        <v>3164</v>
      </c>
      <c r="B3032" s="3">
        <v>126</v>
      </c>
      <c r="D3032" t="s">
        <v>2196</v>
      </c>
      <c r="E3032">
        <f>42/30</f>
        <v>1.4</v>
      </c>
      <c r="F3032">
        <v>0</v>
      </c>
      <c r="G3032">
        <v>0</v>
      </c>
      <c r="H3032">
        <v>2</v>
      </c>
      <c r="I3032">
        <v>4080</v>
      </c>
      <c r="J3032" t="s">
        <v>3116</v>
      </c>
      <c r="K3032">
        <v>1</v>
      </c>
    </row>
    <row r="3033" hidden="1" spans="1:11">
      <c r="A3033" s="2" t="s">
        <v>3165</v>
      </c>
      <c r="B3033" s="3">
        <v>126</v>
      </c>
      <c r="D3033" t="s">
        <v>130</v>
      </c>
      <c r="E3033">
        <v>2</v>
      </c>
      <c r="F3033">
        <v>1</v>
      </c>
      <c r="G3033">
        <v>0</v>
      </c>
      <c r="H3033">
        <v>2</v>
      </c>
      <c r="I3033">
        <v>4080</v>
      </c>
      <c r="J3033" t="s">
        <v>3116</v>
      </c>
      <c r="K3033">
        <v>1</v>
      </c>
    </row>
    <row r="3034" hidden="1" spans="1:11">
      <c r="A3034" s="2" t="s">
        <v>3166</v>
      </c>
      <c r="B3034" s="3">
        <v>4012601</v>
      </c>
      <c r="C3034">
        <v>3</v>
      </c>
      <c r="D3034" t="s">
        <v>1047</v>
      </c>
      <c r="E3034">
        <f>71/30</f>
        <v>2.36666666666667</v>
      </c>
      <c r="F3034">
        <v>0</v>
      </c>
      <c r="G3034">
        <v>0</v>
      </c>
      <c r="H3034">
        <v>2</v>
      </c>
      <c r="I3034">
        <v>4080</v>
      </c>
      <c r="J3034" t="s">
        <v>3116</v>
      </c>
      <c r="K3034">
        <v>1</v>
      </c>
    </row>
    <row r="3035" hidden="1" spans="1:11">
      <c r="A3035" s="2" t="s">
        <v>3167</v>
      </c>
      <c r="B3035" s="3">
        <v>4012601</v>
      </c>
      <c r="D3035" t="s">
        <v>2198</v>
      </c>
      <c r="E3035">
        <v>2</v>
      </c>
      <c r="F3035">
        <v>1</v>
      </c>
      <c r="G3035">
        <v>0</v>
      </c>
      <c r="H3035">
        <v>2</v>
      </c>
      <c r="I3035">
        <v>4080</v>
      </c>
      <c r="J3035" t="s">
        <v>3116</v>
      </c>
      <c r="K3035">
        <v>1</v>
      </c>
    </row>
    <row r="3036" hidden="1" spans="1:11">
      <c r="A3036" s="2" t="s">
        <v>3168</v>
      </c>
      <c r="B3036" s="3">
        <v>4012601</v>
      </c>
      <c r="D3036" t="s">
        <v>2182</v>
      </c>
      <c r="E3036">
        <f>40/30</f>
        <v>1.33333333333333</v>
      </c>
      <c r="F3036">
        <v>0</v>
      </c>
      <c r="G3036">
        <v>0</v>
      </c>
      <c r="H3036">
        <v>2</v>
      </c>
      <c r="I3036">
        <v>4080</v>
      </c>
      <c r="J3036" t="s">
        <v>3116</v>
      </c>
      <c r="K3036">
        <v>1</v>
      </c>
    </row>
    <row r="3037" hidden="1" spans="1:11">
      <c r="A3037" s="2" t="s">
        <v>3169</v>
      </c>
      <c r="B3037" s="3">
        <v>4012601</v>
      </c>
      <c r="D3037" t="s">
        <v>2184</v>
      </c>
      <c r="E3037">
        <v>2</v>
      </c>
      <c r="F3037">
        <v>0</v>
      </c>
      <c r="G3037">
        <v>0</v>
      </c>
      <c r="H3037">
        <v>2</v>
      </c>
      <c r="I3037">
        <v>4080</v>
      </c>
      <c r="J3037" t="s">
        <v>3116</v>
      </c>
      <c r="K3037">
        <v>1</v>
      </c>
    </row>
    <row r="3038" hidden="1" spans="1:11">
      <c r="A3038" s="2" t="s">
        <v>3170</v>
      </c>
      <c r="B3038" s="3">
        <v>4012601</v>
      </c>
      <c r="D3038" t="s">
        <v>2186</v>
      </c>
      <c r="E3038">
        <f>49/30</f>
        <v>1.63333333333333</v>
      </c>
      <c r="F3038">
        <v>0</v>
      </c>
      <c r="G3038">
        <v>0</v>
      </c>
      <c r="H3038">
        <v>2</v>
      </c>
      <c r="I3038">
        <v>4080</v>
      </c>
      <c r="J3038" t="s">
        <v>3116</v>
      </c>
      <c r="K3038">
        <v>1</v>
      </c>
    </row>
    <row r="3039" hidden="1" spans="1:11">
      <c r="A3039" s="2" t="s">
        <v>3171</v>
      </c>
      <c r="B3039" s="3">
        <v>4012601</v>
      </c>
      <c r="D3039" t="s">
        <v>2188</v>
      </c>
      <c r="E3039">
        <f t="shared" ref="E3039:E3042" si="12">24/30</f>
        <v>0.8</v>
      </c>
      <c r="F3039">
        <v>0</v>
      </c>
      <c r="G3039">
        <v>0</v>
      </c>
      <c r="H3039">
        <v>2</v>
      </c>
      <c r="I3039">
        <v>4080</v>
      </c>
      <c r="J3039" t="s">
        <v>3116</v>
      </c>
      <c r="K3039">
        <v>1</v>
      </c>
    </row>
    <row r="3040" hidden="1" spans="1:11">
      <c r="A3040" s="2" t="s">
        <v>3172</v>
      </c>
      <c r="B3040" s="3">
        <v>4012601</v>
      </c>
      <c r="D3040" t="s">
        <v>2190</v>
      </c>
      <c r="E3040">
        <f t="shared" si="12"/>
        <v>0.8</v>
      </c>
      <c r="F3040">
        <v>0</v>
      </c>
      <c r="G3040">
        <v>0</v>
      </c>
      <c r="H3040">
        <v>2</v>
      </c>
      <c r="I3040">
        <v>4080</v>
      </c>
      <c r="J3040" t="s">
        <v>3116</v>
      </c>
      <c r="K3040">
        <v>1</v>
      </c>
    </row>
    <row r="3041" hidden="1" spans="1:11">
      <c r="A3041" s="2" t="s">
        <v>3173</v>
      </c>
      <c r="B3041" s="3">
        <v>4012601</v>
      </c>
      <c r="D3041" t="s">
        <v>2192</v>
      </c>
      <c r="E3041">
        <f t="shared" si="12"/>
        <v>0.8</v>
      </c>
      <c r="F3041">
        <v>0</v>
      </c>
      <c r="G3041">
        <v>0</v>
      </c>
      <c r="H3041">
        <v>2</v>
      </c>
      <c r="I3041">
        <v>4080</v>
      </c>
      <c r="J3041" t="s">
        <v>3116</v>
      </c>
      <c r="K3041">
        <v>1</v>
      </c>
    </row>
    <row r="3042" hidden="1" spans="1:11">
      <c r="A3042" s="2" t="s">
        <v>3174</v>
      </c>
      <c r="B3042" s="3">
        <v>4012601</v>
      </c>
      <c r="D3042" t="s">
        <v>2194</v>
      </c>
      <c r="E3042">
        <f t="shared" si="12"/>
        <v>0.8</v>
      </c>
      <c r="F3042">
        <v>0</v>
      </c>
      <c r="G3042">
        <v>0</v>
      </c>
      <c r="H3042">
        <v>2</v>
      </c>
      <c r="I3042">
        <v>4080</v>
      </c>
      <c r="J3042" t="s">
        <v>3116</v>
      </c>
      <c r="K3042">
        <v>1</v>
      </c>
    </row>
    <row r="3043" hidden="1" spans="1:11">
      <c r="A3043" s="2" t="s">
        <v>3175</v>
      </c>
      <c r="B3043" s="3">
        <v>4012601</v>
      </c>
      <c r="D3043" t="s">
        <v>300</v>
      </c>
      <c r="E3043">
        <v>1</v>
      </c>
      <c r="F3043">
        <v>0</v>
      </c>
      <c r="G3043">
        <v>0</v>
      </c>
      <c r="H3043">
        <v>2</v>
      </c>
      <c r="I3043">
        <v>4080</v>
      </c>
      <c r="J3043" t="s">
        <v>3116</v>
      </c>
      <c r="K3043">
        <v>1</v>
      </c>
    </row>
    <row r="3044" hidden="1" spans="1:11">
      <c r="A3044" s="2" t="s">
        <v>3176</v>
      </c>
      <c r="B3044" s="3">
        <v>4012601</v>
      </c>
      <c r="D3044" t="s">
        <v>2178</v>
      </c>
      <c r="E3044">
        <v>1</v>
      </c>
      <c r="F3044">
        <v>0</v>
      </c>
      <c r="G3044">
        <v>0</v>
      </c>
      <c r="H3044">
        <v>2</v>
      </c>
      <c r="I3044">
        <v>4080</v>
      </c>
      <c r="J3044" t="s">
        <v>3116</v>
      </c>
      <c r="K3044">
        <v>1</v>
      </c>
    </row>
    <row r="3045" hidden="1" spans="1:11">
      <c r="A3045" s="2" t="s">
        <v>3177</v>
      </c>
      <c r="B3045" s="3">
        <v>4012601</v>
      </c>
      <c r="D3045" t="s">
        <v>2196</v>
      </c>
      <c r="E3045">
        <f>42/30</f>
        <v>1.4</v>
      </c>
      <c r="F3045">
        <v>0</v>
      </c>
      <c r="G3045">
        <v>0</v>
      </c>
      <c r="H3045">
        <v>2</v>
      </c>
      <c r="I3045">
        <v>4080</v>
      </c>
      <c r="J3045" t="s">
        <v>3116</v>
      </c>
      <c r="K3045">
        <v>1</v>
      </c>
    </row>
    <row r="3046" hidden="1" spans="1:11">
      <c r="A3046" s="2" t="s">
        <v>3178</v>
      </c>
      <c r="B3046" s="3">
        <v>4012601</v>
      </c>
      <c r="D3046" t="s">
        <v>130</v>
      </c>
      <c r="E3046">
        <v>2</v>
      </c>
      <c r="F3046">
        <v>1</v>
      </c>
      <c r="G3046">
        <v>0</v>
      </c>
      <c r="H3046">
        <v>2</v>
      </c>
      <c r="I3046">
        <v>4080</v>
      </c>
      <c r="J3046" t="s">
        <v>3116</v>
      </c>
      <c r="K3046">
        <v>1</v>
      </c>
    </row>
    <row r="3047" hidden="1" spans="1:11">
      <c r="A3047" s="2" t="s">
        <v>3179</v>
      </c>
      <c r="B3047" s="3">
        <v>126</v>
      </c>
      <c r="D3047" t="s">
        <v>264</v>
      </c>
      <c r="E3047">
        <v>2</v>
      </c>
      <c r="F3047">
        <v>1</v>
      </c>
      <c r="G3047">
        <v>0</v>
      </c>
      <c r="H3047">
        <v>2</v>
      </c>
      <c r="I3047">
        <v>4080</v>
      </c>
      <c r="J3047" t="s">
        <v>3116</v>
      </c>
      <c r="K3047">
        <v>1</v>
      </c>
    </row>
    <row r="3048" hidden="1" spans="1:11">
      <c r="A3048" s="2" t="s">
        <v>3180</v>
      </c>
      <c r="B3048" s="3">
        <v>126</v>
      </c>
      <c r="D3048" t="s">
        <v>270</v>
      </c>
      <c r="E3048">
        <v>2</v>
      </c>
      <c r="F3048">
        <v>1</v>
      </c>
      <c r="G3048">
        <v>0</v>
      </c>
      <c r="H3048">
        <v>2</v>
      </c>
      <c r="I3048">
        <v>4080</v>
      </c>
      <c r="J3048" t="s">
        <v>3116</v>
      </c>
      <c r="K3048">
        <v>1</v>
      </c>
    </row>
    <row r="3049" hidden="1" spans="1:11">
      <c r="A3049" s="2" t="s">
        <v>3181</v>
      </c>
      <c r="B3049" s="3">
        <v>126</v>
      </c>
      <c r="D3049" t="s">
        <v>2618</v>
      </c>
      <c r="E3049">
        <v>2</v>
      </c>
      <c r="F3049">
        <v>1</v>
      </c>
      <c r="G3049">
        <v>0</v>
      </c>
      <c r="H3049">
        <v>2</v>
      </c>
      <c r="I3049">
        <v>4080</v>
      </c>
      <c r="J3049" t="s">
        <v>3116</v>
      </c>
      <c r="K3049">
        <v>1</v>
      </c>
    </row>
    <row r="3050" hidden="1" spans="1:11">
      <c r="A3050" s="2" t="s">
        <v>3182</v>
      </c>
      <c r="B3050" s="3">
        <v>126</v>
      </c>
      <c r="D3050" t="s">
        <v>261</v>
      </c>
      <c r="E3050">
        <f>24/30</f>
        <v>0.8</v>
      </c>
      <c r="F3050">
        <v>1</v>
      </c>
      <c r="G3050">
        <v>0</v>
      </c>
      <c r="H3050">
        <v>2</v>
      </c>
      <c r="I3050">
        <v>4080</v>
      </c>
      <c r="J3050" t="s">
        <v>3116</v>
      </c>
      <c r="K3050">
        <v>1</v>
      </c>
    </row>
    <row r="3051" hidden="1" spans="1:11">
      <c r="A3051" s="2" t="s">
        <v>3183</v>
      </c>
      <c r="B3051" s="3">
        <v>126</v>
      </c>
      <c r="D3051" t="s">
        <v>236</v>
      </c>
      <c r="E3051">
        <f>42/30</f>
        <v>1.4</v>
      </c>
      <c r="F3051">
        <v>0</v>
      </c>
      <c r="G3051">
        <v>0</v>
      </c>
      <c r="H3051">
        <v>2</v>
      </c>
      <c r="I3051">
        <v>4080</v>
      </c>
      <c r="J3051" t="s">
        <v>3116</v>
      </c>
      <c r="K3051">
        <v>1</v>
      </c>
    </row>
    <row r="3052" hidden="1" spans="1:11">
      <c r="A3052" s="2" t="s">
        <v>3184</v>
      </c>
      <c r="B3052" s="3">
        <v>126</v>
      </c>
      <c r="D3052" t="s">
        <v>2629</v>
      </c>
      <c r="E3052">
        <f>75/30</f>
        <v>2.5</v>
      </c>
      <c r="F3052">
        <v>0</v>
      </c>
      <c r="G3052">
        <v>0</v>
      </c>
      <c r="H3052">
        <v>2</v>
      </c>
      <c r="I3052">
        <v>4080</v>
      </c>
      <c r="J3052" t="s">
        <v>3116</v>
      </c>
      <c r="K3052">
        <v>1</v>
      </c>
    </row>
    <row r="3053" hidden="1" spans="1:11">
      <c r="A3053" s="2" t="s">
        <v>3185</v>
      </c>
      <c r="B3053" s="3">
        <v>126</v>
      </c>
      <c r="D3053" t="s">
        <v>268</v>
      </c>
      <c r="E3053">
        <f>70/30</f>
        <v>2.33333333333333</v>
      </c>
      <c r="F3053">
        <v>1</v>
      </c>
      <c r="G3053">
        <v>0</v>
      </c>
      <c r="H3053">
        <v>2</v>
      </c>
      <c r="I3053">
        <v>4080</v>
      </c>
      <c r="J3053" t="s">
        <v>3116</v>
      </c>
      <c r="K3053">
        <v>1</v>
      </c>
    </row>
    <row r="3054" hidden="1" spans="1:11">
      <c r="A3054" s="2" t="s">
        <v>3186</v>
      </c>
      <c r="B3054" s="3">
        <v>126</v>
      </c>
      <c r="D3054" t="s">
        <v>266</v>
      </c>
      <c r="E3054">
        <f>36/30</f>
        <v>1.2</v>
      </c>
      <c r="F3054">
        <v>1</v>
      </c>
      <c r="G3054">
        <v>0</v>
      </c>
      <c r="H3054">
        <v>2</v>
      </c>
      <c r="I3054">
        <v>4080</v>
      </c>
      <c r="J3054" t="s">
        <v>3116</v>
      </c>
      <c r="K3054">
        <v>1</v>
      </c>
    </row>
    <row r="3055" hidden="1" spans="1:11">
      <c r="A3055" s="2" t="s">
        <v>3187</v>
      </c>
      <c r="B3055" s="3">
        <v>126</v>
      </c>
      <c r="D3055" t="s">
        <v>2633</v>
      </c>
      <c r="E3055">
        <f>36/30</f>
        <v>1.2</v>
      </c>
      <c r="F3055">
        <v>1</v>
      </c>
      <c r="G3055">
        <v>0</v>
      </c>
      <c r="H3055">
        <v>2</v>
      </c>
      <c r="I3055">
        <v>4080</v>
      </c>
      <c r="J3055" t="s">
        <v>3116</v>
      </c>
      <c r="K3055">
        <v>1</v>
      </c>
    </row>
    <row r="3056" hidden="1" spans="1:11">
      <c r="A3056" s="2" t="s">
        <v>3188</v>
      </c>
      <c r="B3056" s="3">
        <v>126</v>
      </c>
      <c r="D3056" t="s">
        <v>204</v>
      </c>
      <c r="E3056">
        <f>45/30</f>
        <v>1.5</v>
      </c>
      <c r="F3056">
        <v>0</v>
      </c>
      <c r="G3056">
        <v>0</v>
      </c>
      <c r="H3056">
        <v>2</v>
      </c>
      <c r="I3056">
        <v>4080</v>
      </c>
      <c r="J3056" t="s">
        <v>3116</v>
      </c>
      <c r="K3056">
        <v>1</v>
      </c>
    </row>
    <row r="3057" hidden="1" spans="1:11">
      <c r="A3057" s="2" t="s">
        <v>3189</v>
      </c>
      <c r="B3057" s="3">
        <v>126</v>
      </c>
      <c r="D3057" t="s">
        <v>1776</v>
      </c>
      <c r="E3057" s="6">
        <f>100/30</f>
        <v>3.33333333333333</v>
      </c>
      <c r="F3057">
        <v>0</v>
      </c>
      <c r="G3057" t="s">
        <v>61</v>
      </c>
      <c r="H3057" t="s">
        <v>62</v>
      </c>
      <c r="I3057" t="s">
        <v>3190</v>
      </c>
      <c r="J3057" t="s">
        <v>3191</v>
      </c>
      <c r="K3057" t="s">
        <v>95</v>
      </c>
    </row>
    <row r="3058" hidden="1" spans="1:11">
      <c r="A3058" s="2" t="s">
        <v>3192</v>
      </c>
      <c r="B3058" s="3">
        <v>4012601</v>
      </c>
      <c r="D3058" t="s">
        <v>264</v>
      </c>
      <c r="E3058">
        <v>2</v>
      </c>
      <c r="F3058">
        <v>1</v>
      </c>
      <c r="G3058">
        <v>0</v>
      </c>
      <c r="H3058">
        <v>2</v>
      </c>
      <c r="I3058">
        <v>4080</v>
      </c>
      <c r="J3058" t="s">
        <v>3116</v>
      </c>
      <c r="K3058">
        <v>1</v>
      </c>
    </row>
    <row r="3059" hidden="1" spans="1:11">
      <c r="A3059" s="2" t="s">
        <v>3193</v>
      </c>
      <c r="B3059" s="3">
        <v>4012601</v>
      </c>
      <c r="D3059" t="s">
        <v>270</v>
      </c>
      <c r="E3059">
        <v>2</v>
      </c>
      <c r="F3059">
        <v>1</v>
      </c>
      <c r="G3059">
        <v>0</v>
      </c>
      <c r="H3059">
        <v>2</v>
      </c>
      <c r="I3059">
        <v>4080</v>
      </c>
      <c r="J3059" t="s">
        <v>3116</v>
      </c>
      <c r="K3059">
        <v>1</v>
      </c>
    </row>
    <row r="3060" hidden="1" spans="1:11">
      <c r="A3060" s="2" t="s">
        <v>3194</v>
      </c>
      <c r="B3060" s="3">
        <v>4012601</v>
      </c>
      <c r="D3060" t="s">
        <v>2618</v>
      </c>
      <c r="E3060">
        <v>2</v>
      </c>
      <c r="F3060">
        <v>1</v>
      </c>
      <c r="G3060">
        <v>0</v>
      </c>
      <c r="H3060">
        <v>2</v>
      </c>
      <c r="I3060">
        <v>4080</v>
      </c>
      <c r="J3060" t="s">
        <v>3116</v>
      </c>
      <c r="K3060">
        <v>1</v>
      </c>
    </row>
    <row r="3061" hidden="1" spans="1:11">
      <c r="A3061" s="2" t="s">
        <v>3195</v>
      </c>
      <c r="B3061" s="3">
        <v>4012601</v>
      </c>
      <c r="D3061" t="s">
        <v>261</v>
      </c>
      <c r="E3061">
        <f>24/30</f>
        <v>0.8</v>
      </c>
      <c r="F3061">
        <v>1</v>
      </c>
      <c r="G3061">
        <v>0</v>
      </c>
      <c r="H3061">
        <v>2</v>
      </c>
      <c r="I3061">
        <v>4080</v>
      </c>
      <c r="J3061" t="s">
        <v>3116</v>
      </c>
      <c r="K3061">
        <v>1</v>
      </c>
    </row>
    <row r="3062" hidden="1" spans="1:11">
      <c r="A3062" s="2" t="s">
        <v>3196</v>
      </c>
      <c r="B3062" s="3">
        <v>4012601</v>
      </c>
      <c r="D3062" t="s">
        <v>236</v>
      </c>
      <c r="E3062">
        <f>42/30</f>
        <v>1.4</v>
      </c>
      <c r="F3062">
        <v>0</v>
      </c>
      <c r="G3062">
        <v>0</v>
      </c>
      <c r="H3062">
        <v>2</v>
      </c>
      <c r="I3062">
        <v>4080</v>
      </c>
      <c r="J3062" t="s">
        <v>3116</v>
      </c>
      <c r="K3062">
        <v>1</v>
      </c>
    </row>
    <row r="3063" hidden="1" spans="1:11">
      <c r="A3063" s="2" t="s">
        <v>3197</v>
      </c>
      <c r="B3063" s="3">
        <v>4012601</v>
      </c>
      <c r="D3063" t="s">
        <v>2629</v>
      </c>
      <c r="E3063">
        <f>75/30</f>
        <v>2.5</v>
      </c>
      <c r="F3063">
        <v>0</v>
      </c>
      <c r="G3063">
        <v>0</v>
      </c>
      <c r="H3063">
        <v>2</v>
      </c>
      <c r="I3063">
        <v>4080</v>
      </c>
      <c r="J3063" t="s">
        <v>3116</v>
      </c>
      <c r="K3063">
        <v>1</v>
      </c>
    </row>
    <row r="3064" hidden="1" spans="1:11">
      <c r="A3064" s="2" t="s">
        <v>3198</v>
      </c>
      <c r="B3064" s="3">
        <v>4012601</v>
      </c>
      <c r="D3064" t="s">
        <v>268</v>
      </c>
      <c r="E3064">
        <f>70/30</f>
        <v>2.33333333333333</v>
      </c>
      <c r="F3064">
        <v>1</v>
      </c>
      <c r="G3064">
        <v>0</v>
      </c>
      <c r="H3064">
        <v>2</v>
      </c>
      <c r="I3064">
        <v>4080</v>
      </c>
      <c r="J3064" t="s">
        <v>3116</v>
      </c>
      <c r="K3064">
        <v>1</v>
      </c>
    </row>
    <row r="3065" hidden="1" spans="1:11">
      <c r="A3065" s="2" t="s">
        <v>3199</v>
      </c>
      <c r="B3065" s="3">
        <v>4012601</v>
      </c>
      <c r="D3065" t="s">
        <v>266</v>
      </c>
      <c r="E3065">
        <f>36/30</f>
        <v>1.2</v>
      </c>
      <c r="F3065">
        <v>1</v>
      </c>
      <c r="G3065">
        <v>0</v>
      </c>
      <c r="H3065">
        <v>2</v>
      </c>
      <c r="I3065">
        <v>4080</v>
      </c>
      <c r="J3065" t="s">
        <v>3116</v>
      </c>
      <c r="K3065">
        <v>1</v>
      </c>
    </row>
    <row r="3066" hidden="1" spans="1:11">
      <c r="A3066" s="2" t="s">
        <v>3200</v>
      </c>
      <c r="B3066" s="3">
        <v>4012601</v>
      </c>
      <c r="D3066" t="s">
        <v>2633</v>
      </c>
      <c r="E3066">
        <f>36/30</f>
        <v>1.2</v>
      </c>
      <c r="F3066">
        <v>1</v>
      </c>
      <c r="G3066">
        <v>0</v>
      </c>
      <c r="H3066">
        <v>2</v>
      </c>
      <c r="I3066">
        <v>4080</v>
      </c>
      <c r="J3066" t="s">
        <v>3116</v>
      </c>
      <c r="K3066">
        <v>1</v>
      </c>
    </row>
    <row r="3067" hidden="1" spans="1:11">
      <c r="A3067" s="2" t="s">
        <v>3201</v>
      </c>
      <c r="B3067" s="3">
        <v>4012601</v>
      </c>
      <c r="D3067" t="s">
        <v>204</v>
      </c>
      <c r="E3067">
        <f>45/30</f>
        <v>1.5</v>
      </c>
      <c r="F3067">
        <v>0</v>
      </c>
      <c r="G3067">
        <v>0</v>
      </c>
      <c r="H3067">
        <v>2</v>
      </c>
      <c r="I3067">
        <v>4080</v>
      </c>
      <c r="J3067" t="s">
        <v>3116</v>
      </c>
      <c r="K3067">
        <v>1</v>
      </c>
    </row>
    <row r="3068" hidden="1" spans="1:11">
      <c r="A3068" s="2" t="s">
        <v>3202</v>
      </c>
      <c r="B3068" s="3">
        <v>4012601</v>
      </c>
      <c r="D3068" t="s">
        <v>1776</v>
      </c>
      <c r="E3068" s="6">
        <f>100/30</f>
        <v>3.33333333333333</v>
      </c>
      <c r="F3068">
        <v>0</v>
      </c>
      <c r="G3068" t="s">
        <v>61</v>
      </c>
      <c r="H3068" t="s">
        <v>62</v>
      </c>
      <c r="I3068" t="s">
        <v>3190</v>
      </c>
      <c r="J3068" t="s">
        <v>3191</v>
      </c>
      <c r="K3068" t="s">
        <v>95</v>
      </c>
    </row>
    <row r="3069" hidden="1" spans="1:6">
      <c r="A3069" s="2" t="s">
        <v>3203</v>
      </c>
      <c r="B3069" s="3">
        <v>127</v>
      </c>
      <c r="D3069" t="s">
        <v>36</v>
      </c>
      <c r="E3069">
        <f>71/30</f>
        <v>2.36666666666667</v>
      </c>
      <c r="F3069">
        <v>0</v>
      </c>
    </row>
    <row r="3070" hidden="1" spans="1:6">
      <c r="A3070" s="2" t="s">
        <v>3204</v>
      </c>
      <c r="B3070" s="3">
        <v>127</v>
      </c>
      <c r="D3070" t="s">
        <v>38</v>
      </c>
      <c r="E3070">
        <f>48/30</f>
        <v>1.6</v>
      </c>
      <c r="F3070">
        <v>0</v>
      </c>
    </row>
    <row r="3071" hidden="1" spans="1:6">
      <c r="A3071" s="2" t="s">
        <v>3205</v>
      </c>
      <c r="B3071" s="3">
        <v>127</v>
      </c>
      <c r="D3071" t="s">
        <v>46</v>
      </c>
      <c r="E3071">
        <f>41/30</f>
        <v>1.36666666666667</v>
      </c>
      <c r="F3071">
        <v>0</v>
      </c>
    </row>
    <row r="3072" hidden="1" spans="1:6">
      <c r="A3072" s="2" t="s">
        <v>3206</v>
      </c>
      <c r="B3072" s="3">
        <v>30076</v>
      </c>
      <c r="D3072" t="s">
        <v>40</v>
      </c>
      <c r="E3072">
        <f>97/30</f>
        <v>3.23333333333333</v>
      </c>
      <c r="F3072">
        <v>0</v>
      </c>
    </row>
    <row r="3073" hidden="1" spans="1:6">
      <c r="A3073" s="2" t="s">
        <v>3207</v>
      </c>
      <c r="B3073" s="3">
        <v>30076</v>
      </c>
      <c r="D3073" t="s">
        <v>42</v>
      </c>
      <c r="E3073">
        <f>108/30</f>
        <v>3.6</v>
      </c>
      <c r="F3073">
        <v>0</v>
      </c>
    </row>
    <row r="3074" hidden="1" spans="1:6">
      <c r="A3074" s="2" t="s">
        <v>3208</v>
      </c>
      <c r="B3074" s="3">
        <v>30076</v>
      </c>
      <c r="D3074" t="s">
        <v>44</v>
      </c>
      <c r="E3074">
        <f>83/30</f>
        <v>2.76666666666667</v>
      </c>
      <c r="F3074">
        <v>0</v>
      </c>
    </row>
    <row r="3075" hidden="1" spans="1:6">
      <c r="A3075" s="2" t="s">
        <v>3209</v>
      </c>
      <c r="B3075" s="3">
        <v>30076</v>
      </c>
      <c r="D3075" t="s">
        <v>46</v>
      </c>
      <c r="E3075">
        <f>290/30</f>
        <v>9.66666666666667</v>
      </c>
      <c r="F3075">
        <v>0</v>
      </c>
    </row>
    <row r="3076" hidden="1" spans="1:6">
      <c r="A3076" s="2" t="s">
        <v>3210</v>
      </c>
      <c r="B3076" s="3">
        <v>30076</v>
      </c>
      <c r="D3076" t="s">
        <v>86</v>
      </c>
      <c r="E3076">
        <f>385/30</f>
        <v>12.8333333333333</v>
      </c>
      <c r="F3076">
        <v>0</v>
      </c>
    </row>
    <row r="3077" hidden="1" spans="1:6">
      <c r="A3077" s="2" t="s">
        <v>3211</v>
      </c>
      <c r="B3077" s="3">
        <v>30076</v>
      </c>
      <c r="D3077" t="s">
        <v>50</v>
      </c>
      <c r="E3077">
        <v>10</v>
      </c>
      <c r="F3077">
        <v>0</v>
      </c>
    </row>
    <row r="3078" hidden="1" spans="1:6">
      <c r="A3078" s="2" t="s">
        <v>3212</v>
      </c>
      <c r="B3078" s="3">
        <v>127</v>
      </c>
      <c r="D3078" t="s">
        <v>92</v>
      </c>
      <c r="E3078">
        <f>120/30</f>
        <v>4</v>
      </c>
      <c r="F3078">
        <v>0</v>
      </c>
    </row>
    <row r="3079" hidden="1" spans="1:6">
      <c r="A3079" s="2" t="s">
        <v>3213</v>
      </c>
      <c r="B3079" s="3">
        <v>127</v>
      </c>
      <c r="D3079" t="s">
        <v>109</v>
      </c>
      <c r="E3079">
        <f>86/30</f>
        <v>2.86666666666667</v>
      </c>
      <c r="F3079">
        <v>0</v>
      </c>
    </row>
    <row r="3080" hidden="1" spans="1:6">
      <c r="A3080" s="2" t="s">
        <v>3214</v>
      </c>
      <c r="B3080" s="3">
        <v>127</v>
      </c>
      <c r="D3080" t="s">
        <v>97</v>
      </c>
      <c r="E3080">
        <f>86/30</f>
        <v>2.86666666666667</v>
      </c>
      <c r="F3080">
        <v>0</v>
      </c>
    </row>
    <row r="3081" hidden="1" spans="1:6">
      <c r="A3081" s="2" t="s">
        <v>3215</v>
      </c>
      <c r="B3081" s="3">
        <v>127</v>
      </c>
      <c r="D3081" t="s">
        <v>77</v>
      </c>
      <c r="E3081">
        <v>4</v>
      </c>
      <c r="F3081">
        <v>0</v>
      </c>
    </row>
    <row r="3082" hidden="1" spans="1:6">
      <c r="A3082" s="2" t="s">
        <v>3216</v>
      </c>
      <c r="B3082" s="3">
        <v>127</v>
      </c>
      <c r="D3082" t="s">
        <v>54</v>
      </c>
      <c r="E3082">
        <f>74/30</f>
        <v>2.46666666666667</v>
      </c>
      <c r="F3082">
        <v>0</v>
      </c>
    </row>
    <row r="3083" hidden="1" spans="1:11">
      <c r="A3083" s="2" t="s">
        <v>3217</v>
      </c>
      <c r="B3083" s="3">
        <v>127</v>
      </c>
      <c r="D3083" t="s">
        <v>57</v>
      </c>
      <c r="E3083">
        <f>95/30</f>
        <v>3.16666666666667</v>
      </c>
      <c r="F3083">
        <v>0</v>
      </c>
      <c r="G3083">
        <v>0</v>
      </c>
      <c r="H3083">
        <v>2</v>
      </c>
      <c r="I3083">
        <v>4099</v>
      </c>
      <c r="J3083" t="s">
        <v>58</v>
      </c>
      <c r="K3083">
        <v>1</v>
      </c>
    </row>
    <row r="3084" hidden="1" spans="1:6">
      <c r="A3084" s="2" t="s">
        <v>3218</v>
      </c>
      <c r="B3084" s="3">
        <v>4012701</v>
      </c>
      <c r="D3084" t="s">
        <v>36</v>
      </c>
      <c r="E3084">
        <f>71/30</f>
        <v>2.36666666666667</v>
      </c>
      <c r="F3084">
        <v>0</v>
      </c>
    </row>
    <row r="3085" hidden="1" spans="1:6">
      <c r="A3085" s="2" t="s">
        <v>3219</v>
      </c>
      <c r="B3085" s="3">
        <v>4012701</v>
      </c>
      <c r="D3085" t="s">
        <v>38</v>
      </c>
      <c r="E3085">
        <f>48/30</f>
        <v>1.6</v>
      </c>
      <c r="F3085">
        <v>0</v>
      </c>
    </row>
    <row r="3086" hidden="1" spans="1:6">
      <c r="A3086" s="2" t="s">
        <v>3220</v>
      </c>
      <c r="B3086" s="3">
        <v>4012701</v>
      </c>
      <c r="D3086" t="s">
        <v>46</v>
      </c>
      <c r="E3086">
        <f>41/30</f>
        <v>1.36666666666667</v>
      </c>
      <c r="F3086">
        <v>0</v>
      </c>
    </row>
    <row r="3087" hidden="1" spans="1:6">
      <c r="A3087" s="2" t="s">
        <v>3221</v>
      </c>
      <c r="B3087" s="3">
        <v>4012701</v>
      </c>
      <c r="D3087" t="s">
        <v>92</v>
      </c>
      <c r="E3087">
        <f>120/30</f>
        <v>4</v>
      </c>
      <c r="F3087">
        <v>0</v>
      </c>
    </row>
    <row r="3088" hidden="1" spans="1:6">
      <c r="A3088" s="2" t="s">
        <v>3222</v>
      </c>
      <c r="B3088" s="3">
        <v>4012701</v>
      </c>
      <c r="D3088" t="s">
        <v>109</v>
      </c>
      <c r="E3088">
        <f>86/30</f>
        <v>2.86666666666667</v>
      </c>
      <c r="F3088">
        <v>0</v>
      </c>
    </row>
    <row r="3089" hidden="1" spans="1:6">
      <c r="A3089" s="2" t="s">
        <v>3223</v>
      </c>
      <c r="B3089" s="3">
        <v>4012701</v>
      </c>
      <c r="D3089" t="s">
        <v>97</v>
      </c>
      <c r="E3089">
        <f>86/30</f>
        <v>2.86666666666667</v>
      </c>
      <c r="F3089">
        <v>0</v>
      </c>
    </row>
    <row r="3090" hidden="1" spans="1:6">
      <c r="A3090" s="2" t="s">
        <v>3224</v>
      </c>
      <c r="B3090" s="3">
        <v>4012701</v>
      </c>
      <c r="D3090" t="s">
        <v>77</v>
      </c>
      <c r="E3090">
        <v>4</v>
      </c>
      <c r="F3090">
        <v>0</v>
      </c>
    </row>
    <row r="3091" hidden="1" spans="1:6">
      <c r="A3091" s="2" t="s">
        <v>3225</v>
      </c>
      <c r="B3091" s="3">
        <v>4012701</v>
      </c>
      <c r="D3091" t="s">
        <v>54</v>
      </c>
      <c r="E3091">
        <f>74/30</f>
        <v>2.46666666666667</v>
      </c>
      <c r="F3091">
        <v>0</v>
      </c>
    </row>
    <row r="3092" hidden="1" spans="1:11">
      <c r="A3092" s="2" t="s">
        <v>3226</v>
      </c>
      <c r="B3092" s="3">
        <v>4012701</v>
      </c>
      <c r="D3092" t="s">
        <v>57</v>
      </c>
      <c r="E3092">
        <f>95/30</f>
        <v>3.16666666666667</v>
      </c>
      <c r="F3092">
        <v>0</v>
      </c>
      <c r="G3092">
        <v>0</v>
      </c>
      <c r="H3092">
        <v>2</v>
      </c>
      <c r="I3092">
        <v>4099</v>
      </c>
      <c r="J3092" t="s">
        <v>58</v>
      </c>
      <c r="K3092">
        <v>1</v>
      </c>
    </row>
    <row r="3093" hidden="1" spans="1:6">
      <c r="A3093" s="2" t="s">
        <v>3227</v>
      </c>
      <c r="B3093" s="3">
        <v>128</v>
      </c>
      <c r="D3093" t="s">
        <v>36</v>
      </c>
      <c r="E3093">
        <f>93/30</f>
        <v>3.1</v>
      </c>
      <c r="F3093">
        <v>0</v>
      </c>
    </row>
    <row r="3094" hidden="1" spans="1:6">
      <c r="A3094" s="2" t="s">
        <v>3228</v>
      </c>
      <c r="B3094" s="3">
        <v>128</v>
      </c>
      <c r="D3094" t="s">
        <v>38</v>
      </c>
      <c r="E3094">
        <f>125/30</f>
        <v>4.16666666666667</v>
      </c>
      <c r="F3094">
        <v>0</v>
      </c>
    </row>
    <row r="3095" hidden="1" spans="1:6">
      <c r="A3095" s="2" t="s">
        <v>3229</v>
      </c>
      <c r="B3095" s="3">
        <v>128</v>
      </c>
      <c r="D3095" t="s">
        <v>40</v>
      </c>
      <c r="E3095">
        <f>103/30</f>
        <v>3.43333333333333</v>
      </c>
      <c r="F3095">
        <v>0</v>
      </c>
    </row>
    <row r="3096" hidden="1" spans="1:6">
      <c r="A3096" s="2" t="s">
        <v>3230</v>
      </c>
      <c r="B3096" s="3">
        <v>128</v>
      </c>
      <c r="D3096" t="s">
        <v>42</v>
      </c>
      <c r="E3096">
        <f>95/30</f>
        <v>3.16666666666667</v>
      </c>
      <c r="F3096">
        <v>0</v>
      </c>
    </row>
    <row r="3097" hidden="1" spans="1:6">
      <c r="A3097" s="2" t="s">
        <v>3231</v>
      </c>
      <c r="B3097" s="3">
        <v>128</v>
      </c>
      <c r="D3097" t="s">
        <v>44</v>
      </c>
      <c r="E3097">
        <f>294/30</f>
        <v>9.8</v>
      </c>
      <c r="F3097">
        <v>0</v>
      </c>
    </row>
    <row r="3098" hidden="1" spans="1:6">
      <c r="A3098" s="2" t="s">
        <v>3232</v>
      </c>
      <c r="B3098" s="3">
        <v>128</v>
      </c>
      <c r="D3098" t="s">
        <v>46</v>
      </c>
      <c r="E3098">
        <f>304/30</f>
        <v>10.1333333333333</v>
      </c>
      <c r="F3098">
        <v>0</v>
      </c>
    </row>
    <row r="3099" hidden="1" spans="1:6">
      <c r="A3099" s="2" t="s">
        <v>3233</v>
      </c>
      <c r="B3099" s="3">
        <v>128</v>
      </c>
      <c r="D3099" t="s">
        <v>86</v>
      </c>
      <c r="E3099">
        <f>229/30</f>
        <v>7.63333333333333</v>
      </c>
      <c r="F3099">
        <v>0</v>
      </c>
    </row>
    <row r="3100" hidden="1" spans="1:6">
      <c r="A3100" s="2" t="s">
        <v>3234</v>
      </c>
      <c r="B3100" s="3">
        <v>128</v>
      </c>
      <c r="D3100" t="s">
        <v>92</v>
      </c>
      <c r="E3100">
        <f>60/30</f>
        <v>2</v>
      </c>
      <c r="F3100">
        <v>0</v>
      </c>
    </row>
    <row r="3101" hidden="1" spans="1:6">
      <c r="A3101" s="2" t="s">
        <v>3235</v>
      </c>
      <c r="B3101" s="3">
        <v>128</v>
      </c>
      <c r="D3101" t="s">
        <v>109</v>
      </c>
      <c r="E3101">
        <f>75/30</f>
        <v>2.5</v>
      </c>
      <c r="F3101">
        <v>0</v>
      </c>
    </row>
    <row r="3102" hidden="1" spans="1:6">
      <c r="A3102" s="2" t="s">
        <v>3236</v>
      </c>
      <c r="B3102" s="3">
        <v>128</v>
      </c>
      <c r="D3102" t="s">
        <v>97</v>
      </c>
      <c r="E3102">
        <f>120/30</f>
        <v>4</v>
      </c>
      <c r="F3102">
        <v>0</v>
      </c>
    </row>
    <row r="3103" hidden="1" spans="1:6">
      <c r="A3103" s="2" t="s">
        <v>3237</v>
      </c>
      <c r="B3103" s="3">
        <v>128</v>
      </c>
      <c r="D3103" t="s">
        <v>77</v>
      </c>
      <c r="E3103">
        <f>116/30</f>
        <v>3.86666666666667</v>
      </c>
      <c r="F3103">
        <v>0</v>
      </c>
    </row>
    <row r="3104" hidden="1" spans="1:6">
      <c r="A3104" s="2" t="s">
        <v>3238</v>
      </c>
      <c r="B3104" s="3">
        <v>128</v>
      </c>
      <c r="D3104" t="s">
        <v>54</v>
      </c>
      <c r="E3104">
        <f>76/30</f>
        <v>2.53333333333333</v>
      </c>
      <c r="F3104">
        <v>0</v>
      </c>
    </row>
    <row r="3105" hidden="1" spans="1:11">
      <c r="A3105" s="2" t="s">
        <v>3239</v>
      </c>
      <c r="B3105" s="3">
        <v>128</v>
      </c>
      <c r="D3105" t="s">
        <v>57</v>
      </c>
      <c r="E3105">
        <f>58/30</f>
        <v>1.93333333333333</v>
      </c>
      <c r="F3105">
        <v>1</v>
      </c>
      <c r="G3105" t="s">
        <v>2273</v>
      </c>
      <c r="H3105" t="s">
        <v>2274</v>
      </c>
      <c r="I3105" t="s">
        <v>3240</v>
      </c>
      <c r="J3105" t="s">
        <v>3241</v>
      </c>
      <c r="K3105" t="s">
        <v>3242</v>
      </c>
    </row>
    <row r="3106" hidden="1" spans="1:11">
      <c r="A3106" s="2" t="s">
        <v>3243</v>
      </c>
      <c r="B3106" s="3">
        <v>128</v>
      </c>
      <c r="D3106" t="s">
        <v>204</v>
      </c>
      <c r="E3106">
        <f>52/30</f>
        <v>1.73333333333333</v>
      </c>
      <c r="F3106">
        <v>0</v>
      </c>
      <c r="G3106" t="s">
        <v>61</v>
      </c>
      <c r="H3106" t="s">
        <v>62</v>
      </c>
      <c r="I3106" t="s">
        <v>3244</v>
      </c>
      <c r="J3106" t="s">
        <v>3245</v>
      </c>
      <c r="K3106" t="s">
        <v>61</v>
      </c>
    </row>
    <row r="3107" hidden="1" spans="1:6">
      <c r="A3107" s="2" t="s">
        <v>3246</v>
      </c>
      <c r="B3107" s="3">
        <v>129</v>
      </c>
      <c r="D3107" t="s">
        <v>36</v>
      </c>
      <c r="E3107" s="110">
        <f>67/30</f>
        <v>2.23333333333333</v>
      </c>
      <c r="F3107">
        <v>0</v>
      </c>
    </row>
    <row r="3108" hidden="1" spans="1:6">
      <c r="A3108" s="2" t="s">
        <v>3247</v>
      </c>
      <c r="B3108" s="3">
        <v>129</v>
      </c>
      <c r="D3108" t="s">
        <v>38</v>
      </c>
      <c r="E3108" s="110">
        <f>100/30</f>
        <v>3.33333333333333</v>
      </c>
      <c r="F3108">
        <v>0</v>
      </c>
    </row>
    <row r="3109" hidden="1" spans="1:6">
      <c r="A3109" s="2" t="s">
        <v>3248</v>
      </c>
      <c r="B3109" s="3">
        <v>129</v>
      </c>
      <c r="D3109" t="s">
        <v>40</v>
      </c>
      <c r="E3109" s="110">
        <f>110/30</f>
        <v>3.66666666666667</v>
      </c>
      <c r="F3109">
        <v>0</v>
      </c>
    </row>
    <row r="3110" hidden="1" spans="1:6">
      <c r="A3110" s="2" t="s">
        <v>3249</v>
      </c>
      <c r="B3110" s="3">
        <v>129</v>
      </c>
      <c r="D3110" t="s">
        <v>42</v>
      </c>
      <c r="E3110" s="110">
        <f>100/30</f>
        <v>3.33333333333333</v>
      </c>
      <c r="F3110">
        <v>0</v>
      </c>
    </row>
    <row r="3111" hidden="1" spans="1:6">
      <c r="A3111" s="2" t="s">
        <v>3250</v>
      </c>
      <c r="B3111" s="3">
        <v>129</v>
      </c>
      <c r="D3111" t="s">
        <v>44</v>
      </c>
      <c r="E3111" s="110">
        <f>82/30</f>
        <v>2.73333333333333</v>
      </c>
      <c r="F3111">
        <v>0</v>
      </c>
    </row>
    <row r="3112" hidden="1" spans="1:6">
      <c r="A3112" s="2" t="s">
        <v>3251</v>
      </c>
      <c r="B3112" s="3">
        <v>129</v>
      </c>
      <c r="D3112" t="s">
        <v>46</v>
      </c>
      <c r="E3112" s="110">
        <f>116/30</f>
        <v>3.86666666666667</v>
      </c>
      <c r="F3112">
        <v>0</v>
      </c>
    </row>
    <row r="3113" hidden="1" spans="1:11">
      <c r="A3113" s="2" t="s">
        <v>3252</v>
      </c>
      <c r="B3113" s="3">
        <v>30077</v>
      </c>
      <c r="D3113" t="s">
        <v>46</v>
      </c>
      <c r="E3113" s="110">
        <f>459/30</f>
        <v>15.3</v>
      </c>
      <c r="F3113">
        <v>0</v>
      </c>
      <c r="G3113">
        <v>0</v>
      </c>
      <c r="H3113">
        <v>2</v>
      </c>
      <c r="I3113">
        <v>4151</v>
      </c>
      <c r="J3113" t="s">
        <v>3253</v>
      </c>
      <c r="K3113">
        <v>0</v>
      </c>
    </row>
    <row r="3114" hidden="1" spans="1:6">
      <c r="A3114" s="2" t="s">
        <v>3254</v>
      </c>
      <c r="B3114" s="3">
        <v>129</v>
      </c>
      <c r="D3114" t="s">
        <v>86</v>
      </c>
      <c r="E3114" s="110">
        <f>283/30</f>
        <v>9.43333333333333</v>
      </c>
      <c r="F3114">
        <v>0</v>
      </c>
    </row>
    <row r="3115" hidden="1" spans="1:6">
      <c r="A3115" s="2" t="s">
        <v>3255</v>
      </c>
      <c r="B3115" s="3">
        <v>129</v>
      </c>
      <c r="D3115" t="s">
        <v>50</v>
      </c>
      <c r="E3115" s="110">
        <f>104/30</f>
        <v>3.46666666666667</v>
      </c>
      <c r="F3115">
        <v>0</v>
      </c>
    </row>
    <row r="3116" hidden="1" spans="1:6">
      <c r="A3116" s="2" t="s">
        <v>3256</v>
      </c>
      <c r="B3116" s="3">
        <v>30077</v>
      </c>
      <c r="D3116" t="s">
        <v>50</v>
      </c>
      <c r="E3116" s="110">
        <f>468/30</f>
        <v>15.6</v>
      </c>
      <c r="F3116">
        <v>0</v>
      </c>
    </row>
    <row r="3117" hidden="1" spans="1:6">
      <c r="A3117" s="2" t="s">
        <v>3257</v>
      </c>
      <c r="B3117" s="3">
        <v>4012901</v>
      </c>
      <c r="D3117" t="s">
        <v>36</v>
      </c>
      <c r="E3117" s="110">
        <f>67/30</f>
        <v>2.23333333333333</v>
      </c>
      <c r="F3117">
        <v>0</v>
      </c>
    </row>
    <row r="3118" hidden="1" spans="1:6">
      <c r="A3118" s="2" t="s">
        <v>3258</v>
      </c>
      <c r="B3118" s="3">
        <v>4012901</v>
      </c>
      <c r="D3118" t="s">
        <v>38</v>
      </c>
      <c r="E3118" s="110">
        <f>100/30</f>
        <v>3.33333333333333</v>
      </c>
      <c r="F3118">
        <v>0</v>
      </c>
    </row>
    <row r="3119" hidden="1" spans="1:6">
      <c r="A3119" s="2" t="s">
        <v>3259</v>
      </c>
      <c r="B3119" s="3">
        <v>4012901</v>
      </c>
      <c r="D3119" t="s">
        <v>40</v>
      </c>
      <c r="E3119" s="110">
        <f>110/30</f>
        <v>3.66666666666667</v>
      </c>
      <c r="F3119">
        <v>0</v>
      </c>
    </row>
    <row r="3120" hidden="1" spans="1:6">
      <c r="A3120" s="2" t="s">
        <v>3260</v>
      </c>
      <c r="B3120" s="3">
        <v>4012901</v>
      </c>
      <c r="D3120" t="s">
        <v>42</v>
      </c>
      <c r="E3120" s="110">
        <f>100/30</f>
        <v>3.33333333333333</v>
      </c>
      <c r="F3120">
        <v>0</v>
      </c>
    </row>
    <row r="3121" hidden="1" spans="1:6">
      <c r="A3121" s="2" t="s">
        <v>3261</v>
      </c>
      <c r="B3121" s="3">
        <v>4012901</v>
      </c>
      <c r="D3121" t="s">
        <v>44</v>
      </c>
      <c r="E3121" s="110">
        <f>82/30</f>
        <v>2.73333333333333</v>
      </c>
      <c r="F3121">
        <v>0</v>
      </c>
    </row>
    <row r="3122" hidden="1" spans="1:6">
      <c r="A3122" s="2" t="s">
        <v>3262</v>
      </c>
      <c r="B3122" s="3">
        <v>4012901</v>
      </c>
      <c r="D3122" t="s">
        <v>46</v>
      </c>
      <c r="E3122" s="110">
        <f>116/30</f>
        <v>3.86666666666667</v>
      </c>
      <c r="F3122">
        <v>0</v>
      </c>
    </row>
    <row r="3123" hidden="1" spans="1:6">
      <c r="A3123" s="2" t="s">
        <v>3263</v>
      </c>
      <c r="B3123" s="3">
        <v>4012901</v>
      </c>
      <c r="D3123" t="s">
        <v>86</v>
      </c>
      <c r="E3123" s="110">
        <f>283/30</f>
        <v>9.43333333333333</v>
      </c>
      <c r="F3123">
        <v>0</v>
      </c>
    </row>
    <row r="3124" hidden="1" spans="1:6">
      <c r="A3124" s="2" t="s">
        <v>3264</v>
      </c>
      <c r="B3124" s="3">
        <v>4012901</v>
      </c>
      <c r="D3124" t="s">
        <v>50</v>
      </c>
      <c r="E3124" s="110">
        <f>104/30</f>
        <v>3.46666666666667</v>
      </c>
      <c r="F3124">
        <v>0</v>
      </c>
    </row>
    <row r="3125" hidden="1" spans="1:6">
      <c r="A3125" s="2" t="s">
        <v>3265</v>
      </c>
      <c r="B3125" s="3">
        <v>129</v>
      </c>
      <c r="D3125" t="s">
        <v>92</v>
      </c>
      <c r="E3125" s="110">
        <f>70/30</f>
        <v>2.33333333333333</v>
      </c>
      <c r="F3125">
        <v>0</v>
      </c>
    </row>
    <row r="3126" hidden="1" spans="1:6">
      <c r="A3126" s="2" t="s">
        <v>3266</v>
      </c>
      <c r="B3126" s="3">
        <v>129</v>
      </c>
      <c r="D3126" t="s">
        <v>109</v>
      </c>
      <c r="E3126" s="110">
        <f>107/30</f>
        <v>3.56666666666667</v>
      </c>
      <c r="F3126">
        <v>0</v>
      </c>
    </row>
    <row r="3127" hidden="1" spans="1:6">
      <c r="A3127" s="2" t="s">
        <v>3267</v>
      </c>
      <c r="B3127" s="3">
        <v>129</v>
      </c>
      <c r="D3127" t="s">
        <v>97</v>
      </c>
      <c r="E3127" s="110">
        <f>120/30</f>
        <v>4</v>
      </c>
      <c r="F3127">
        <v>0</v>
      </c>
    </row>
    <row r="3128" hidden="1" spans="1:6">
      <c r="A3128" s="2" t="s">
        <v>3268</v>
      </c>
      <c r="B3128" s="3">
        <v>129</v>
      </c>
      <c r="D3128" t="s">
        <v>77</v>
      </c>
      <c r="E3128" s="110">
        <f>85/30</f>
        <v>2.83333333333333</v>
      </c>
      <c r="F3128">
        <v>0</v>
      </c>
    </row>
    <row r="3129" hidden="1" spans="1:6">
      <c r="A3129" s="2" t="s">
        <v>3269</v>
      </c>
      <c r="B3129" s="3">
        <v>129</v>
      </c>
      <c r="D3129" t="s">
        <v>54</v>
      </c>
      <c r="E3129" s="110">
        <f>89/30</f>
        <v>2.96666666666667</v>
      </c>
      <c r="F3129">
        <v>0</v>
      </c>
    </row>
    <row r="3130" hidden="1" spans="1:11">
      <c r="A3130" s="2" t="s">
        <v>3270</v>
      </c>
      <c r="B3130" s="3">
        <v>129</v>
      </c>
      <c r="D3130" t="s">
        <v>57</v>
      </c>
      <c r="E3130" s="110">
        <f>117/30</f>
        <v>3.9</v>
      </c>
      <c r="F3130">
        <v>1</v>
      </c>
      <c r="G3130" t="s">
        <v>61</v>
      </c>
      <c r="H3130" t="s">
        <v>62</v>
      </c>
      <c r="I3130" t="s">
        <v>3271</v>
      </c>
      <c r="J3130" t="s">
        <v>3272</v>
      </c>
      <c r="K3130" t="s">
        <v>95</v>
      </c>
    </row>
    <row r="3131" hidden="1" spans="1:11">
      <c r="A3131" s="2" t="s">
        <v>3273</v>
      </c>
      <c r="B3131" s="3">
        <v>4012901</v>
      </c>
      <c r="D3131" t="s">
        <v>57</v>
      </c>
      <c r="E3131" s="110">
        <f>117/30</f>
        <v>3.9</v>
      </c>
      <c r="F3131">
        <v>1</v>
      </c>
      <c r="G3131" t="s">
        <v>61</v>
      </c>
      <c r="H3131" t="s">
        <v>62</v>
      </c>
      <c r="I3131" t="s">
        <v>3271</v>
      </c>
      <c r="J3131" t="s">
        <v>3272</v>
      </c>
      <c r="K3131" t="s">
        <v>95</v>
      </c>
    </row>
    <row r="3132" s="19" customFormat="1" hidden="1" spans="1:12">
      <c r="A3132" s="111" t="s">
        <v>3274</v>
      </c>
      <c r="B3132" s="112">
        <v>130</v>
      </c>
      <c r="D3132" s="19" t="s">
        <v>36</v>
      </c>
      <c r="E3132" s="113">
        <f>92/30</f>
        <v>3.06666666666667</v>
      </c>
      <c r="F3132" s="19">
        <v>0</v>
      </c>
      <c r="L3132" s="114"/>
    </row>
    <row r="3133" s="19" customFormat="1" hidden="1" spans="1:12">
      <c r="A3133" s="111" t="s">
        <v>3275</v>
      </c>
      <c r="B3133" s="112">
        <v>130</v>
      </c>
      <c r="D3133" s="19" t="s">
        <v>38</v>
      </c>
      <c r="E3133" s="113">
        <f>120/30</f>
        <v>4</v>
      </c>
      <c r="F3133" s="19">
        <v>0</v>
      </c>
      <c r="L3133" s="114"/>
    </row>
    <row r="3134" s="19" customFormat="1" hidden="1" spans="1:12">
      <c r="A3134" s="111" t="s">
        <v>3276</v>
      </c>
      <c r="B3134" s="112">
        <v>130</v>
      </c>
      <c r="D3134" s="19" t="s">
        <v>40</v>
      </c>
      <c r="E3134" s="19">
        <f>133/30</f>
        <v>4.43333333333333</v>
      </c>
      <c r="F3134" s="19">
        <v>0</v>
      </c>
      <c r="G3134" s="19">
        <v>0</v>
      </c>
      <c r="H3134" s="19">
        <v>2</v>
      </c>
      <c r="I3134" s="19">
        <v>4158</v>
      </c>
      <c r="J3134" s="19" t="s">
        <v>58</v>
      </c>
      <c r="K3134" s="19">
        <v>1</v>
      </c>
      <c r="L3134" s="114"/>
    </row>
    <row r="3135" s="19" customFormat="1" hidden="1" spans="1:12">
      <c r="A3135" s="111" t="s">
        <v>3277</v>
      </c>
      <c r="B3135" s="112">
        <v>130</v>
      </c>
      <c r="D3135" s="19" t="s">
        <v>42</v>
      </c>
      <c r="E3135" s="113">
        <f>102/30</f>
        <v>3.4</v>
      </c>
      <c r="F3135" s="19">
        <v>0</v>
      </c>
      <c r="L3135" s="114"/>
    </row>
    <row r="3136" s="19" customFormat="1" hidden="1" spans="1:12">
      <c r="A3136" s="111" t="s">
        <v>3278</v>
      </c>
      <c r="B3136" s="112">
        <v>130</v>
      </c>
      <c r="D3136" s="19" t="s">
        <v>44</v>
      </c>
      <c r="E3136" s="113">
        <f>133/30</f>
        <v>4.43333333333333</v>
      </c>
      <c r="F3136" s="19">
        <v>0</v>
      </c>
      <c r="L3136" s="114"/>
    </row>
    <row r="3137" s="19" customFormat="1" hidden="1" spans="1:12">
      <c r="A3137" s="111" t="s">
        <v>3279</v>
      </c>
      <c r="B3137" s="112">
        <v>130</v>
      </c>
      <c r="D3137" s="19" t="s">
        <v>46</v>
      </c>
      <c r="E3137" s="113">
        <f>450/30</f>
        <v>15</v>
      </c>
      <c r="F3137" s="19">
        <v>0</v>
      </c>
      <c r="L3137" s="114"/>
    </row>
    <row r="3138" s="19" customFormat="1" hidden="1" spans="1:12">
      <c r="A3138" s="111" t="s">
        <v>3280</v>
      </c>
      <c r="B3138" s="112">
        <v>130</v>
      </c>
      <c r="D3138" s="19" t="s">
        <v>86</v>
      </c>
      <c r="E3138" s="113">
        <f>450/30</f>
        <v>15</v>
      </c>
      <c r="F3138" s="19">
        <v>0</v>
      </c>
      <c r="L3138" s="114"/>
    </row>
    <row r="3139" s="19" customFormat="1" hidden="1" spans="1:12">
      <c r="A3139" s="111" t="s">
        <v>3281</v>
      </c>
      <c r="B3139" s="112">
        <v>130</v>
      </c>
      <c r="D3139" s="19" t="s">
        <v>50</v>
      </c>
      <c r="E3139" s="113">
        <f>325/30</f>
        <v>10.8333333333333</v>
      </c>
      <c r="F3139" s="19">
        <v>0</v>
      </c>
      <c r="L3139" s="114"/>
    </row>
    <row r="3140" s="19" customFormat="1" hidden="1" spans="1:12">
      <c r="A3140" s="111" t="s">
        <v>3282</v>
      </c>
      <c r="B3140" s="112">
        <v>130</v>
      </c>
      <c r="D3140" s="19" t="s">
        <v>92</v>
      </c>
      <c r="E3140" s="113">
        <f>110/30</f>
        <v>3.66666666666667</v>
      </c>
      <c r="F3140" s="19">
        <v>0</v>
      </c>
      <c r="L3140" s="114"/>
    </row>
    <row r="3141" s="19" customFormat="1" hidden="1" spans="1:12">
      <c r="A3141" s="111" t="s">
        <v>3283</v>
      </c>
      <c r="B3141" s="112">
        <v>130</v>
      </c>
      <c r="D3141" s="19" t="s">
        <v>109</v>
      </c>
      <c r="E3141" s="113">
        <f>110/30</f>
        <v>3.66666666666667</v>
      </c>
      <c r="F3141" s="19">
        <v>0</v>
      </c>
      <c r="L3141" s="114"/>
    </row>
    <row r="3142" s="19" customFormat="1" hidden="1" spans="1:12">
      <c r="A3142" s="111" t="s">
        <v>3284</v>
      </c>
      <c r="B3142" s="112">
        <v>130</v>
      </c>
      <c r="D3142" s="19" t="s">
        <v>97</v>
      </c>
      <c r="E3142" s="113">
        <f>104/30</f>
        <v>3.46666666666667</v>
      </c>
      <c r="F3142" s="19">
        <v>0</v>
      </c>
      <c r="L3142" s="114"/>
    </row>
    <row r="3143" s="19" customFormat="1" hidden="1" spans="1:12">
      <c r="A3143" s="111" t="s">
        <v>3285</v>
      </c>
      <c r="B3143" s="112">
        <v>130</v>
      </c>
      <c r="D3143" s="19" t="s">
        <v>77</v>
      </c>
      <c r="E3143" s="113">
        <f>90/30</f>
        <v>3</v>
      </c>
      <c r="F3143" s="19">
        <v>0</v>
      </c>
      <c r="L3143" s="114"/>
    </row>
    <row r="3144" s="19" customFormat="1" hidden="1" spans="1:12">
      <c r="A3144" s="111" t="s">
        <v>3286</v>
      </c>
      <c r="B3144" s="112">
        <v>130</v>
      </c>
      <c r="D3144" s="19" t="s">
        <v>54</v>
      </c>
      <c r="E3144" s="113">
        <f>90/30</f>
        <v>3</v>
      </c>
      <c r="F3144" s="19">
        <v>0</v>
      </c>
      <c r="L3144" s="114"/>
    </row>
    <row r="3145" s="19" customFormat="1" hidden="1" spans="1:12">
      <c r="A3145" s="111" t="s">
        <v>3287</v>
      </c>
      <c r="B3145" s="112">
        <v>130</v>
      </c>
      <c r="D3145" s="19" t="s">
        <v>57</v>
      </c>
      <c r="E3145" s="113">
        <f>118/30</f>
        <v>3.93333333333333</v>
      </c>
      <c r="F3145" s="19">
        <v>1</v>
      </c>
      <c r="G3145" s="19" t="s">
        <v>61</v>
      </c>
      <c r="H3145" s="19" t="s">
        <v>62</v>
      </c>
      <c r="I3145" s="19" t="s">
        <v>3288</v>
      </c>
      <c r="J3145" s="19" t="s">
        <v>556</v>
      </c>
      <c r="K3145" s="19" t="s">
        <v>95</v>
      </c>
      <c r="L3145" s="114"/>
    </row>
    <row r="3146" s="19" customFormat="1" hidden="1" spans="1:12">
      <c r="A3146" s="111" t="s">
        <v>3289</v>
      </c>
      <c r="B3146" s="112">
        <v>130</v>
      </c>
      <c r="D3146" s="19" t="s">
        <v>2816</v>
      </c>
      <c r="E3146" s="113">
        <f>60/30</f>
        <v>2</v>
      </c>
      <c r="F3146" s="19">
        <v>0</v>
      </c>
      <c r="G3146" s="19">
        <v>0</v>
      </c>
      <c r="H3146" s="19">
        <v>2</v>
      </c>
      <c r="I3146" s="19">
        <v>4174</v>
      </c>
      <c r="J3146" s="19" t="s">
        <v>58</v>
      </c>
      <c r="K3146" s="19">
        <v>1</v>
      </c>
      <c r="L3146" s="114"/>
    </row>
    <row r="3147" hidden="1" spans="1:11">
      <c r="A3147" s="2" t="s">
        <v>3290</v>
      </c>
      <c r="B3147" s="112">
        <v>4013002</v>
      </c>
      <c r="D3147" s="19" t="s">
        <v>36</v>
      </c>
      <c r="E3147" s="113">
        <f>92/30</f>
        <v>3.06666666666667</v>
      </c>
      <c r="F3147" s="19">
        <v>0</v>
      </c>
      <c r="G3147" s="19"/>
      <c r="H3147" s="19"/>
      <c r="I3147" s="19"/>
      <c r="J3147" s="19"/>
      <c r="K3147" s="19"/>
    </row>
    <row r="3148" hidden="1" spans="1:11">
      <c r="A3148" s="2" t="s">
        <v>3291</v>
      </c>
      <c r="B3148" s="112">
        <v>4013002</v>
      </c>
      <c r="D3148" s="19" t="s">
        <v>38</v>
      </c>
      <c r="E3148" s="113">
        <f>120/30</f>
        <v>4</v>
      </c>
      <c r="F3148" s="19">
        <v>0</v>
      </c>
      <c r="G3148" s="19"/>
      <c r="H3148" s="19"/>
      <c r="I3148" s="19"/>
      <c r="J3148" s="19"/>
      <c r="K3148" s="19"/>
    </row>
    <row r="3149" hidden="1" spans="1:11">
      <c r="A3149" s="2" t="s">
        <v>3292</v>
      </c>
      <c r="B3149" s="112">
        <v>4013002</v>
      </c>
      <c r="D3149" s="19" t="s">
        <v>40</v>
      </c>
      <c r="E3149">
        <f>133/30</f>
        <v>4.43333333333333</v>
      </c>
      <c r="F3149" s="19">
        <v>0</v>
      </c>
      <c r="G3149" s="19">
        <v>0</v>
      </c>
      <c r="H3149" s="19">
        <v>2</v>
      </c>
      <c r="I3149" s="19">
        <v>4158</v>
      </c>
      <c r="J3149" s="19" t="s">
        <v>58</v>
      </c>
      <c r="K3149" s="19">
        <v>1</v>
      </c>
    </row>
    <row r="3150" hidden="1" spans="1:11">
      <c r="A3150" s="2" t="s">
        <v>3293</v>
      </c>
      <c r="B3150" s="112">
        <v>4013002</v>
      </c>
      <c r="D3150" s="19" t="s">
        <v>42</v>
      </c>
      <c r="E3150" s="113">
        <f>102/30</f>
        <v>3.4</v>
      </c>
      <c r="F3150" s="19">
        <v>0</v>
      </c>
      <c r="G3150" s="19"/>
      <c r="H3150" s="19"/>
      <c r="I3150" s="19"/>
      <c r="J3150" s="19"/>
      <c r="K3150" s="19"/>
    </row>
    <row r="3151" hidden="1" spans="1:11">
      <c r="A3151" s="2" t="s">
        <v>3294</v>
      </c>
      <c r="B3151" s="112">
        <v>4013002</v>
      </c>
      <c r="D3151" s="19" t="s">
        <v>44</v>
      </c>
      <c r="E3151" s="113">
        <f>133/30</f>
        <v>4.43333333333333</v>
      </c>
      <c r="F3151" s="19">
        <v>0</v>
      </c>
      <c r="G3151" s="19"/>
      <c r="H3151" s="19"/>
      <c r="I3151" s="19"/>
      <c r="J3151" s="19"/>
      <c r="K3151" s="19"/>
    </row>
    <row r="3152" hidden="1" spans="1:11">
      <c r="A3152" s="2" t="s">
        <v>3295</v>
      </c>
      <c r="B3152" s="112">
        <v>4013002</v>
      </c>
      <c r="D3152" s="19" t="s">
        <v>46</v>
      </c>
      <c r="E3152" s="113">
        <f>450/30</f>
        <v>15</v>
      </c>
      <c r="F3152" s="19">
        <v>0</v>
      </c>
      <c r="G3152" s="19"/>
      <c r="H3152" s="19"/>
      <c r="I3152" s="19"/>
      <c r="J3152" s="19"/>
      <c r="K3152" s="19"/>
    </row>
    <row r="3153" hidden="1" spans="1:11">
      <c r="A3153" s="2" t="s">
        <v>3296</v>
      </c>
      <c r="B3153" s="112">
        <v>4013002</v>
      </c>
      <c r="D3153" s="19" t="s">
        <v>86</v>
      </c>
      <c r="E3153" s="113">
        <f>450/30</f>
        <v>15</v>
      </c>
      <c r="F3153" s="19">
        <v>0</v>
      </c>
      <c r="G3153" s="19"/>
      <c r="H3153" s="19"/>
      <c r="I3153" s="19"/>
      <c r="J3153" s="19"/>
      <c r="K3153" s="19"/>
    </row>
    <row r="3154" hidden="1" spans="1:11">
      <c r="A3154" s="2" t="s">
        <v>3297</v>
      </c>
      <c r="B3154" s="112">
        <v>4013002</v>
      </c>
      <c r="D3154" s="19" t="s">
        <v>50</v>
      </c>
      <c r="E3154" s="113">
        <f>325/30</f>
        <v>10.8333333333333</v>
      </c>
      <c r="F3154" s="19">
        <v>0</v>
      </c>
      <c r="G3154" s="19"/>
      <c r="H3154" s="19"/>
      <c r="I3154" s="19"/>
      <c r="J3154" s="19"/>
      <c r="K3154" s="19"/>
    </row>
    <row r="3155" hidden="1" spans="1:11">
      <c r="A3155" s="2" t="s">
        <v>3298</v>
      </c>
      <c r="B3155" s="112">
        <v>4013002</v>
      </c>
      <c r="D3155" s="19" t="s">
        <v>92</v>
      </c>
      <c r="E3155" s="113">
        <f>110/30</f>
        <v>3.66666666666667</v>
      </c>
      <c r="F3155" s="19">
        <v>0</v>
      </c>
      <c r="G3155" s="19"/>
      <c r="H3155" s="19"/>
      <c r="I3155" s="19"/>
      <c r="J3155" s="19"/>
      <c r="K3155" s="19"/>
    </row>
    <row r="3156" hidden="1" spans="1:11">
      <c r="A3156" s="2" t="s">
        <v>3299</v>
      </c>
      <c r="B3156" s="112">
        <v>4013002</v>
      </c>
      <c r="D3156" s="19" t="s">
        <v>109</v>
      </c>
      <c r="E3156" s="113">
        <f>110/30</f>
        <v>3.66666666666667</v>
      </c>
      <c r="F3156" s="19">
        <v>0</v>
      </c>
      <c r="G3156" s="19"/>
      <c r="H3156" s="19"/>
      <c r="I3156" s="19"/>
      <c r="J3156" s="19"/>
      <c r="K3156" s="19"/>
    </row>
    <row r="3157" hidden="1" spans="1:11">
      <c r="A3157" s="2" t="s">
        <v>3300</v>
      </c>
      <c r="B3157" s="112">
        <v>4013002</v>
      </c>
      <c r="D3157" s="19" t="s">
        <v>97</v>
      </c>
      <c r="E3157" s="113">
        <f>104/30</f>
        <v>3.46666666666667</v>
      </c>
      <c r="F3157" s="19">
        <v>0</v>
      </c>
      <c r="G3157" s="19"/>
      <c r="H3157" s="19"/>
      <c r="I3157" s="19"/>
      <c r="J3157" s="19"/>
      <c r="K3157" s="19"/>
    </row>
    <row r="3158" hidden="1" spans="1:11">
      <c r="A3158" s="2" t="s">
        <v>3301</v>
      </c>
      <c r="B3158" s="112">
        <v>4013002</v>
      </c>
      <c r="D3158" s="19" t="s">
        <v>77</v>
      </c>
      <c r="E3158" s="113">
        <f>90/30</f>
        <v>3</v>
      </c>
      <c r="F3158" s="19">
        <v>0</v>
      </c>
      <c r="G3158" s="19"/>
      <c r="H3158" s="19"/>
      <c r="I3158" s="19"/>
      <c r="J3158" s="19"/>
      <c r="K3158" s="19"/>
    </row>
    <row r="3159" hidden="1" spans="1:11">
      <c r="A3159" s="2" t="s">
        <v>3302</v>
      </c>
      <c r="B3159" s="112">
        <v>4013002</v>
      </c>
      <c r="D3159" s="19" t="s">
        <v>54</v>
      </c>
      <c r="E3159" s="113">
        <f>90/30</f>
        <v>3</v>
      </c>
      <c r="F3159" s="19">
        <v>0</v>
      </c>
      <c r="G3159" s="19"/>
      <c r="H3159" s="19"/>
      <c r="I3159" s="19"/>
      <c r="J3159" s="19"/>
      <c r="K3159" s="19"/>
    </row>
    <row r="3160" hidden="1" spans="1:11">
      <c r="A3160" s="2" t="s">
        <v>3303</v>
      </c>
      <c r="B3160" s="112">
        <v>4013002</v>
      </c>
      <c r="D3160" s="19" t="s">
        <v>57</v>
      </c>
      <c r="E3160" s="113">
        <f>118/30</f>
        <v>3.93333333333333</v>
      </c>
      <c r="F3160" s="19">
        <v>1</v>
      </c>
      <c r="G3160" t="s">
        <v>61</v>
      </c>
      <c r="H3160" t="s">
        <v>62</v>
      </c>
      <c r="I3160" s="19" t="s">
        <v>3288</v>
      </c>
      <c r="J3160" s="19" t="s">
        <v>556</v>
      </c>
      <c r="K3160" t="s">
        <v>95</v>
      </c>
    </row>
    <row r="3161" hidden="1" spans="1:11">
      <c r="A3161" s="2" t="s">
        <v>3304</v>
      </c>
      <c r="B3161" s="112">
        <v>4013002</v>
      </c>
      <c r="D3161" s="19" t="s">
        <v>2816</v>
      </c>
      <c r="E3161" s="113">
        <f>60/30</f>
        <v>2</v>
      </c>
      <c r="F3161" s="19">
        <v>0</v>
      </c>
      <c r="G3161" s="19">
        <v>0</v>
      </c>
      <c r="H3161" s="19">
        <v>2</v>
      </c>
      <c r="I3161" s="19">
        <v>4174</v>
      </c>
      <c r="J3161" s="19" t="s">
        <v>58</v>
      </c>
      <c r="K3161" s="19">
        <v>1</v>
      </c>
    </row>
    <row r="3162" hidden="1" spans="1:6">
      <c r="A3162" s="2" t="s">
        <v>3305</v>
      </c>
      <c r="B3162" s="3">
        <v>131</v>
      </c>
      <c r="D3162" s="19" t="s">
        <v>36</v>
      </c>
      <c r="E3162" s="36">
        <f>115/30</f>
        <v>3.83333333333333</v>
      </c>
      <c r="F3162">
        <v>0</v>
      </c>
    </row>
    <row r="3163" hidden="1" spans="1:6">
      <c r="A3163" s="2" t="s">
        <v>3306</v>
      </c>
      <c r="B3163" s="3">
        <v>131</v>
      </c>
      <c r="D3163" s="19" t="s">
        <v>38</v>
      </c>
      <c r="E3163" s="36">
        <f>190/30</f>
        <v>6.33333333333333</v>
      </c>
      <c r="F3163">
        <v>0</v>
      </c>
    </row>
    <row r="3164" hidden="1" spans="1:6">
      <c r="A3164" s="2" t="s">
        <v>3307</v>
      </c>
      <c r="B3164" s="3">
        <v>131</v>
      </c>
      <c r="D3164" s="19" t="s">
        <v>40</v>
      </c>
      <c r="E3164" s="36">
        <f>245/30</f>
        <v>8.16666666666667</v>
      </c>
      <c r="F3164">
        <v>0</v>
      </c>
    </row>
    <row r="3165" hidden="1" spans="1:6">
      <c r="A3165" s="2" t="s">
        <v>3308</v>
      </c>
      <c r="B3165" s="3">
        <v>131</v>
      </c>
      <c r="D3165" s="19" t="s">
        <v>42</v>
      </c>
      <c r="E3165" s="36">
        <f>150/30</f>
        <v>5</v>
      </c>
      <c r="F3165">
        <v>0</v>
      </c>
    </row>
    <row r="3166" hidden="1" spans="1:6">
      <c r="A3166" s="2" t="s">
        <v>3309</v>
      </c>
      <c r="B3166" s="3">
        <v>131</v>
      </c>
      <c r="D3166" s="19" t="s">
        <v>44</v>
      </c>
      <c r="E3166" s="36">
        <f>125/30</f>
        <v>4.16666666666667</v>
      </c>
      <c r="F3166">
        <v>0</v>
      </c>
    </row>
    <row r="3167" hidden="1" spans="1:6">
      <c r="A3167" s="2" t="s">
        <v>3310</v>
      </c>
      <c r="B3167" s="3">
        <v>131</v>
      </c>
      <c r="D3167" s="19" t="s">
        <v>46</v>
      </c>
      <c r="E3167" s="36">
        <f>507/30</f>
        <v>16.9</v>
      </c>
      <c r="F3167">
        <v>0</v>
      </c>
    </row>
    <row r="3168" hidden="1" spans="1:6">
      <c r="A3168" s="2" t="s">
        <v>3311</v>
      </c>
      <c r="B3168" s="3">
        <v>131</v>
      </c>
      <c r="D3168" s="19" t="s">
        <v>86</v>
      </c>
      <c r="E3168" s="36">
        <f>450/30</f>
        <v>15</v>
      </c>
      <c r="F3168">
        <v>0</v>
      </c>
    </row>
    <row r="3169" hidden="1" spans="1:6">
      <c r="A3169" s="2" t="s">
        <v>3312</v>
      </c>
      <c r="B3169" s="3">
        <v>131</v>
      </c>
      <c r="D3169" s="19" t="s">
        <v>50</v>
      </c>
      <c r="E3169" s="36">
        <f>470/30</f>
        <v>15.6666666666667</v>
      </c>
      <c r="F3169">
        <v>0</v>
      </c>
    </row>
    <row r="3170" hidden="1" spans="1:11">
      <c r="A3170" s="2" t="s">
        <v>3313</v>
      </c>
      <c r="B3170" s="3">
        <v>30078</v>
      </c>
      <c r="D3170" s="19" t="s">
        <v>90</v>
      </c>
      <c r="E3170" s="36">
        <f>96/30</f>
        <v>3.2</v>
      </c>
      <c r="F3170">
        <v>0</v>
      </c>
      <c r="G3170" t="s">
        <v>61</v>
      </c>
      <c r="H3170" t="s">
        <v>62</v>
      </c>
      <c r="I3170" s="115" t="s">
        <v>3314</v>
      </c>
      <c r="J3170" s="116" t="s">
        <v>3315</v>
      </c>
      <c r="K3170" t="s">
        <v>95</v>
      </c>
    </row>
    <row r="3171" hidden="1" spans="1:6">
      <c r="A3171" s="2" t="s">
        <v>3316</v>
      </c>
      <c r="B3171" s="3">
        <v>30078</v>
      </c>
      <c r="D3171" s="19" t="s">
        <v>48</v>
      </c>
      <c r="E3171" s="36">
        <f>130/30</f>
        <v>4.33333333333333</v>
      </c>
      <c r="F3171">
        <v>0</v>
      </c>
    </row>
    <row r="3172" hidden="1" spans="1:6">
      <c r="A3172" s="2" t="s">
        <v>3317</v>
      </c>
      <c r="B3172" s="3">
        <v>30078</v>
      </c>
      <c r="D3172" s="19" t="s">
        <v>52</v>
      </c>
      <c r="E3172" s="36">
        <f>210/30</f>
        <v>7</v>
      </c>
      <c r="F3172">
        <v>0</v>
      </c>
    </row>
    <row r="3173" hidden="1" spans="1:11">
      <c r="A3173" s="2" t="s">
        <v>3318</v>
      </c>
      <c r="B3173" s="3">
        <v>30078</v>
      </c>
      <c r="D3173" s="19" t="s">
        <v>140</v>
      </c>
      <c r="E3173" s="36">
        <f>125/30</f>
        <v>4.16666666666667</v>
      </c>
      <c r="F3173">
        <v>0</v>
      </c>
      <c r="G3173">
        <v>0</v>
      </c>
      <c r="H3173">
        <v>2</v>
      </c>
      <c r="I3173">
        <v>4209</v>
      </c>
      <c r="J3173" t="s">
        <v>3319</v>
      </c>
      <c r="K3173">
        <v>1</v>
      </c>
    </row>
    <row r="3174" hidden="1" spans="1:11">
      <c r="A3174" s="2" t="s">
        <v>3320</v>
      </c>
      <c r="B3174" s="3">
        <v>131</v>
      </c>
      <c r="D3174" t="s">
        <v>92</v>
      </c>
      <c r="E3174" s="36">
        <f>105/30</f>
        <v>3.5</v>
      </c>
      <c r="F3174">
        <v>0</v>
      </c>
      <c r="K3174">
        <v>1</v>
      </c>
    </row>
    <row r="3175" hidden="1" spans="1:11">
      <c r="A3175" s="2" t="s">
        <v>3321</v>
      </c>
      <c r="B3175" s="3">
        <v>131</v>
      </c>
      <c r="D3175" t="s">
        <v>109</v>
      </c>
      <c r="E3175" s="36">
        <f>120/30</f>
        <v>4</v>
      </c>
      <c r="F3175">
        <v>0</v>
      </c>
      <c r="K3175">
        <v>1</v>
      </c>
    </row>
    <row r="3176" hidden="1" spans="1:11">
      <c r="A3176" s="2" t="s">
        <v>3322</v>
      </c>
      <c r="B3176" s="3">
        <v>131</v>
      </c>
      <c r="D3176" t="s">
        <v>97</v>
      </c>
      <c r="E3176" s="36">
        <f>120/30</f>
        <v>4</v>
      </c>
      <c r="F3176">
        <v>0</v>
      </c>
      <c r="K3176">
        <v>1</v>
      </c>
    </row>
    <row r="3177" hidden="1" spans="1:11">
      <c r="A3177" s="2" t="s">
        <v>3323</v>
      </c>
      <c r="B3177" s="3">
        <v>131</v>
      </c>
      <c r="D3177" t="s">
        <v>77</v>
      </c>
      <c r="E3177" s="36">
        <f>100/30</f>
        <v>3.33333333333333</v>
      </c>
      <c r="F3177">
        <v>0</v>
      </c>
      <c r="K3177">
        <v>1</v>
      </c>
    </row>
    <row r="3178" hidden="1" spans="1:11">
      <c r="A3178" s="2" t="s">
        <v>3324</v>
      </c>
      <c r="B3178" s="3">
        <v>131</v>
      </c>
      <c r="D3178" t="s">
        <v>54</v>
      </c>
      <c r="E3178" s="36">
        <f>120/30</f>
        <v>4</v>
      </c>
      <c r="F3178">
        <v>0</v>
      </c>
      <c r="K3178">
        <v>1</v>
      </c>
    </row>
    <row r="3179" hidden="1" spans="1:11">
      <c r="A3179" s="2" t="s">
        <v>3325</v>
      </c>
      <c r="B3179" s="3">
        <v>131</v>
      </c>
      <c r="D3179" t="s">
        <v>57</v>
      </c>
      <c r="E3179" s="36">
        <f>250/30</f>
        <v>8.33333333333333</v>
      </c>
      <c r="F3179">
        <v>1</v>
      </c>
      <c r="G3179">
        <v>0</v>
      </c>
      <c r="H3179">
        <v>2</v>
      </c>
      <c r="I3179">
        <v>4215</v>
      </c>
      <c r="J3179" t="s">
        <v>58</v>
      </c>
      <c r="K3179">
        <v>1</v>
      </c>
    </row>
    <row r="3180" hidden="1" spans="1:11">
      <c r="A3180" s="2" t="s">
        <v>3326</v>
      </c>
      <c r="B3180" s="3">
        <v>131</v>
      </c>
      <c r="D3180" t="s">
        <v>1776</v>
      </c>
      <c r="E3180" s="36">
        <f>75/30</f>
        <v>2.5</v>
      </c>
      <c r="F3180">
        <v>0</v>
      </c>
      <c r="K3180">
        <v>1</v>
      </c>
    </row>
    <row r="3181" hidden="1" spans="1:11">
      <c r="A3181" s="2" t="s">
        <v>3327</v>
      </c>
      <c r="B3181" s="3">
        <v>131</v>
      </c>
      <c r="D3181" t="s">
        <v>264</v>
      </c>
      <c r="E3181" s="36">
        <f>60/30</f>
        <v>2</v>
      </c>
      <c r="F3181">
        <v>0</v>
      </c>
      <c r="K3181">
        <v>1</v>
      </c>
    </row>
    <row r="3182" hidden="1" spans="1:11">
      <c r="A3182" s="2" t="s">
        <v>3328</v>
      </c>
      <c r="B3182" s="3">
        <v>131</v>
      </c>
      <c r="D3182" t="s">
        <v>60</v>
      </c>
      <c r="E3182" s="36">
        <f>67/30</f>
        <v>2.23333333333333</v>
      </c>
      <c r="F3182">
        <v>1</v>
      </c>
      <c r="K3182">
        <v>1</v>
      </c>
    </row>
    <row r="3183" hidden="1" spans="1:11">
      <c r="A3183" s="2" t="s">
        <v>3329</v>
      </c>
      <c r="B3183" s="3">
        <v>131</v>
      </c>
      <c r="D3183" t="s">
        <v>2618</v>
      </c>
      <c r="E3183" s="36">
        <f>60/30</f>
        <v>2</v>
      </c>
      <c r="F3183">
        <v>1</v>
      </c>
      <c r="K3183">
        <v>1</v>
      </c>
    </row>
    <row r="3184" hidden="1" spans="1:11">
      <c r="A3184" s="2" t="s">
        <v>3330</v>
      </c>
      <c r="B3184" s="3">
        <v>131</v>
      </c>
      <c r="D3184" t="s">
        <v>261</v>
      </c>
      <c r="E3184" s="36">
        <f>28/30</f>
        <v>0.933333333333333</v>
      </c>
      <c r="F3184">
        <v>1</v>
      </c>
      <c r="K3184">
        <v>1</v>
      </c>
    </row>
    <row r="3185" hidden="1" spans="1:11">
      <c r="A3185" s="2" t="s">
        <v>3331</v>
      </c>
      <c r="B3185" s="3">
        <v>131</v>
      </c>
      <c r="D3185" t="s">
        <v>2629</v>
      </c>
      <c r="E3185" s="36">
        <f>81/30</f>
        <v>2.7</v>
      </c>
      <c r="F3185">
        <v>1</v>
      </c>
      <c r="K3185">
        <v>1</v>
      </c>
    </row>
    <row r="3186" hidden="1" spans="1:11">
      <c r="A3186" s="2" t="s">
        <v>3332</v>
      </c>
      <c r="B3186" s="3">
        <v>131</v>
      </c>
      <c r="D3186" t="s">
        <v>268</v>
      </c>
      <c r="E3186" s="36">
        <f>87/30</f>
        <v>2.9</v>
      </c>
      <c r="F3186">
        <v>1</v>
      </c>
      <c r="K3186">
        <v>1</v>
      </c>
    </row>
    <row r="3187" hidden="1" spans="1:11">
      <c r="A3187" s="2" t="s">
        <v>3333</v>
      </c>
      <c r="B3187" s="3">
        <v>131</v>
      </c>
      <c r="D3187" t="s">
        <v>266</v>
      </c>
      <c r="E3187" s="36">
        <f>36/30</f>
        <v>1.2</v>
      </c>
      <c r="F3187">
        <v>1</v>
      </c>
      <c r="K3187">
        <v>1</v>
      </c>
    </row>
    <row r="3188" hidden="1" spans="1:11">
      <c r="A3188" s="2" t="s">
        <v>3334</v>
      </c>
      <c r="B3188" s="3">
        <v>131</v>
      </c>
      <c r="D3188" t="s">
        <v>2633</v>
      </c>
      <c r="E3188" s="36">
        <f>36/30</f>
        <v>1.2</v>
      </c>
      <c r="F3188">
        <v>1</v>
      </c>
      <c r="K3188">
        <v>1</v>
      </c>
    </row>
    <row r="3189" hidden="1" spans="1:11">
      <c r="A3189" s="2" t="s">
        <v>3335</v>
      </c>
      <c r="B3189" s="3">
        <v>131</v>
      </c>
      <c r="D3189" t="s">
        <v>1047</v>
      </c>
      <c r="E3189">
        <f>71/30</f>
        <v>2.36666666666667</v>
      </c>
      <c r="F3189">
        <v>0</v>
      </c>
      <c r="G3189">
        <v>0</v>
      </c>
      <c r="H3189">
        <v>2</v>
      </c>
      <c r="I3189">
        <v>4213</v>
      </c>
      <c r="J3189" t="s">
        <v>3336</v>
      </c>
      <c r="K3189">
        <v>1</v>
      </c>
    </row>
    <row r="3190" hidden="1" spans="1:11">
      <c r="A3190" s="2" t="s">
        <v>3337</v>
      </c>
      <c r="B3190" s="3">
        <v>131</v>
      </c>
      <c r="D3190" t="s">
        <v>2198</v>
      </c>
      <c r="E3190">
        <v>2</v>
      </c>
      <c r="F3190">
        <v>1</v>
      </c>
      <c r="G3190">
        <v>0</v>
      </c>
      <c r="H3190">
        <v>2</v>
      </c>
      <c r="I3190">
        <v>4213</v>
      </c>
      <c r="J3190" t="s">
        <v>3336</v>
      </c>
      <c r="K3190">
        <v>1</v>
      </c>
    </row>
    <row r="3191" hidden="1" spans="1:11">
      <c r="A3191" s="2" t="s">
        <v>3338</v>
      </c>
      <c r="B3191" s="3">
        <v>131</v>
      </c>
      <c r="D3191" t="s">
        <v>2182</v>
      </c>
      <c r="E3191">
        <f>40/30</f>
        <v>1.33333333333333</v>
      </c>
      <c r="F3191">
        <v>0</v>
      </c>
      <c r="G3191">
        <v>0</v>
      </c>
      <c r="H3191">
        <v>2</v>
      </c>
      <c r="I3191">
        <v>4213</v>
      </c>
      <c r="J3191" t="s">
        <v>3336</v>
      </c>
      <c r="K3191">
        <v>1</v>
      </c>
    </row>
    <row r="3192" hidden="1" spans="1:11">
      <c r="A3192" s="2" t="s">
        <v>3339</v>
      </c>
      <c r="B3192" s="3">
        <v>131</v>
      </c>
      <c r="D3192" t="s">
        <v>2184</v>
      </c>
      <c r="E3192">
        <v>2</v>
      </c>
      <c r="F3192">
        <v>0</v>
      </c>
      <c r="G3192">
        <v>0</v>
      </c>
      <c r="H3192">
        <v>2</v>
      </c>
      <c r="I3192">
        <v>4213</v>
      </c>
      <c r="J3192" t="s">
        <v>3336</v>
      </c>
      <c r="K3192">
        <v>1</v>
      </c>
    </row>
    <row r="3193" hidden="1" spans="1:11">
      <c r="A3193" s="2" t="s">
        <v>3340</v>
      </c>
      <c r="B3193" s="3">
        <v>131</v>
      </c>
      <c r="D3193" t="s">
        <v>2186</v>
      </c>
      <c r="E3193">
        <f>49/30</f>
        <v>1.63333333333333</v>
      </c>
      <c r="F3193">
        <v>0</v>
      </c>
      <c r="G3193">
        <v>0</v>
      </c>
      <c r="H3193">
        <v>2</v>
      </c>
      <c r="I3193">
        <v>4213</v>
      </c>
      <c r="J3193" t="s">
        <v>3336</v>
      </c>
      <c r="K3193">
        <v>1</v>
      </c>
    </row>
    <row r="3194" hidden="1" spans="1:11">
      <c r="A3194" s="2" t="s">
        <v>3341</v>
      </c>
      <c r="B3194" s="3">
        <v>131</v>
      </c>
      <c r="D3194" t="s">
        <v>2196</v>
      </c>
      <c r="E3194">
        <f>37/30</f>
        <v>1.23333333333333</v>
      </c>
      <c r="F3194">
        <v>0</v>
      </c>
      <c r="G3194">
        <v>0</v>
      </c>
      <c r="H3194">
        <v>2</v>
      </c>
      <c r="I3194">
        <v>4213</v>
      </c>
      <c r="J3194" t="s">
        <v>3336</v>
      </c>
      <c r="K3194">
        <v>1</v>
      </c>
    </row>
    <row r="3195" hidden="1" spans="1:11">
      <c r="A3195" s="2" t="s">
        <v>3342</v>
      </c>
      <c r="B3195" s="3">
        <v>131</v>
      </c>
      <c r="D3195" t="s">
        <v>236</v>
      </c>
      <c r="E3195">
        <f>118/30</f>
        <v>3.93333333333333</v>
      </c>
      <c r="F3195">
        <v>0</v>
      </c>
      <c r="G3195">
        <v>0</v>
      </c>
      <c r="H3195">
        <v>2</v>
      </c>
      <c r="I3195">
        <v>4213</v>
      </c>
      <c r="J3195" t="s">
        <v>3336</v>
      </c>
      <c r="K3195">
        <v>1</v>
      </c>
    </row>
    <row r="3196" hidden="1" spans="1:11">
      <c r="A3196" s="2" t="s">
        <v>3343</v>
      </c>
      <c r="B3196" s="3">
        <v>131</v>
      </c>
      <c r="D3196" t="s">
        <v>2188</v>
      </c>
      <c r="E3196">
        <f>24/30</f>
        <v>0.8</v>
      </c>
      <c r="F3196">
        <v>0</v>
      </c>
      <c r="G3196">
        <v>0</v>
      </c>
      <c r="H3196">
        <v>2</v>
      </c>
      <c r="I3196">
        <v>4213</v>
      </c>
      <c r="J3196" t="s">
        <v>3336</v>
      </c>
      <c r="K3196">
        <v>1</v>
      </c>
    </row>
    <row r="3197" hidden="1" spans="1:11">
      <c r="A3197" s="2" t="s">
        <v>3344</v>
      </c>
      <c r="B3197" s="3">
        <v>131</v>
      </c>
      <c r="D3197" t="s">
        <v>2190</v>
      </c>
      <c r="E3197">
        <f>22/30</f>
        <v>0.733333333333333</v>
      </c>
      <c r="F3197">
        <v>0</v>
      </c>
      <c r="G3197">
        <v>0</v>
      </c>
      <c r="H3197">
        <v>2</v>
      </c>
      <c r="I3197">
        <v>4213</v>
      </c>
      <c r="J3197" t="s">
        <v>3336</v>
      </c>
      <c r="K3197">
        <v>1</v>
      </c>
    </row>
    <row r="3198" hidden="1" spans="1:11">
      <c r="A3198" s="2" t="s">
        <v>3345</v>
      </c>
      <c r="B3198" s="3">
        <v>131</v>
      </c>
      <c r="D3198" t="s">
        <v>2192</v>
      </c>
      <c r="E3198">
        <f>24/30</f>
        <v>0.8</v>
      </c>
      <c r="F3198">
        <v>0</v>
      </c>
      <c r="G3198">
        <v>0</v>
      </c>
      <c r="H3198">
        <v>2</v>
      </c>
      <c r="I3198">
        <v>4213</v>
      </c>
      <c r="J3198" t="s">
        <v>3336</v>
      </c>
      <c r="K3198">
        <v>1</v>
      </c>
    </row>
    <row r="3199" hidden="1" spans="1:11">
      <c r="A3199" s="2" t="s">
        <v>3346</v>
      </c>
      <c r="B3199" s="3">
        <v>131</v>
      </c>
      <c r="D3199" t="s">
        <v>2194</v>
      </c>
      <c r="E3199">
        <f>24/30</f>
        <v>0.8</v>
      </c>
      <c r="F3199">
        <v>0</v>
      </c>
      <c r="G3199">
        <v>0</v>
      </c>
      <c r="H3199">
        <v>2</v>
      </c>
      <c r="I3199">
        <v>4213</v>
      </c>
      <c r="J3199" t="s">
        <v>3336</v>
      </c>
      <c r="K3199">
        <v>1</v>
      </c>
    </row>
    <row r="3200" hidden="1" spans="1:11">
      <c r="A3200" s="2" t="s">
        <v>3347</v>
      </c>
      <c r="B3200" s="3">
        <v>131</v>
      </c>
      <c r="D3200" t="s">
        <v>300</v>
      </c>
      <c r="E3200">
        <f>24/30</f>
        <v>0.8</v>
      </c>
      <c r="F3200">
        <v>0</v>
      </c>
      <c r="G3200">
        <v>0</v>
      </c>
      <c r="H3200">
        <v>2</v>
      </c>
      <c r="I3200">
        <v>4213</v>
      </c>
      <c r="J3200" t="s">
        <v>3336</v>
      </c>
      <c r="K3200">
        <v>1</v>
      </c>
    </row>
    <row r="3201" hidden="1" spans="1:11">
      <c r="A3201" s="2" t="s">
        <v>3348</v>
      </c>
      <c r="B3201" s="3">
        <v>131</v>
      </c>
      <c r="D3201" t="s">
        <v>2178</v>
      </c>
      <c r="E3201">
        <f>24/30</f>
        <v>0.8</v>
      </c>
      <c r="F3201">
        <v>0</v>
      </c>
      <c r="G3201">
        <v>0</v>
      </c>
      <c r="H3201">
        <v>2</v>
      </c>
      <c r="I3201">
        <v>4213</v>
      </c>
      <c r="J3201" t="s">
        <v>3336</v>
      </c>
      <c r="K3201">
        <v>1</v>
      </c>
    </row>
    <row r="3202" hidden="1" spans="1:11">
      <c r="A3202" s="2" t="s">
        <v>3349</v>
      </c>
      <c r="B3202" s="3">
        <v>131</v>
      </c>
      <c r="D3202" t="s">
        <v>204</v>
      </c>
      <c r="E3202">
        <f>45/30</f>
        <v>1.5</v>
      </c>
      <c r="F3202">
        <v>0</v>
      </c>
      <c r="G3202">
        <v>0</v>
      </c>
      <c r="H3202">
        <v>2</v>
      </c>
      <c r="I3202">
        <v>4213</v>
      </c>
      <c r="J3202" t="s">
        <v>3336</v>
      </c>
      <c r="K3202">
        <v>1</v>
      </c>
    </row>
    <row r="3203" hidden="1" spans="1:11">
      <c r="A3203" s="2" t="s">
        <v>3350</v>
      </c>
      <c r="B3203" s="3">
        <v>131</v>
      </c>
      <c r="D3203" t="s">
        <v>130</v>
      </c>
      <c r="E3203">
        <v>1</v>
      </c>
      <c r="F3203">
        <v>1</v>
      </c>
      <c r="G3203">
        <v>0</v>
      </c>
      <c r="H3203">
        <v>2</v>
      </c>
      <c r="I3203">
        <v>4213</v>
      </c>
      <c r="J3203" t="s">
        <v>3336</v>
      </c>
      <c r="K3203">
        <v>1</v>
      </c>
    </row>
    <row r="3204" hidden="1" spans="1:11">
      <c r="A3204" s="2" t="s">
        <v>3351</v>
      </c>
      <c r="B3204" s="3">
        <v>30078</v>
      </c>
      <c r="D3204" t="s">
        <v>1047</v>
      </c>
      <c r="E3204">
        <f>42/30</f>
        <v>1.4</v>
      </c>
      <c r="F3204">
        <v>0</v>
      </c>
      <c r="G3204">
        <v>0</v>
      </c>
      <c r="H3204">
        <v>2</v>
      </c>
      <c r="I3204">
        <v>4209</v>
      </c>
      <c r="J3204" t="s">
        <v>3319</v>
      </c>
      <c r="K3204">
        <v>1</v>
      </c>
    </row>
    <row r="3205" hidden="1" spans="1:11">
      <c r="A3205" s="2" t="s">
        <v>3352</v>
      </c>
      <c r="B3205" s="3">
        <v>30078</v>
      </c>
      <c r="D3205" t="s">
        <v>2198</v>
      </c>
      <c r="E3205">
        <f>60/30</f>
        <v>2</v>
      </c>
      <c r="F3205">
        <v>1</v>
      </c>
      <c r="G3205">
        <v>0</v>
      </c>
      <c r="H3205">
        <v>2</v>
      </c>
      <c r="I3205">
        <v>4209</v>
      </c>
      <c r="J3205" t="s">
        <v>3319</v>
      </c>
      <c r="K3205">
        <v>1</v>
      </c>
    </row>
    <row r="3206" hidden="1" spans="1:11">
      <c r="A3206" s="2" t="s">
        <v>3353</v>
      </c>
      <c r="B3206" s="3">
        <v>30078</v>
      </c>
      <c r="D3206" t="s">
        <v>2182</v>
      </c>
      <c r="E3206">
        <f>45/30</f>
        <v>1.5</v>
      </c>
      <c r="F3206">
        <v>0</v>
      </c>
      <c r="G3206">
        <v>0</v>
      </c>
      <c r="H3206">
        <v>2</v>
      </c>
      <c r="I3206">
        <v>4209</v>
      </c>
      <c r="J3206" t="s">
        <v>3319</v>
      </c>
      <c r="K3206">
        <v>1</v>
      </c>
    </row>
    <row r="3207" hidden="1" spans="1:11">
      <c r="A3207" s="2" t="s">
        <v>3354</v>
      </c>
      <c r="B3207" s="3">
        <v>30078</v>
      </c>
      <c r="D3207" t="s">
        <v>2184</v>
      </c>
      <c r="E3207">
        <f>60/30</f>
        <v>2</v>
      </c>
      <c r="F3207">
        <v>0</v>
      </c>
      <c r="G3207">
        <v>0</v>
      </c>
      <c r="H3207">
        <v>2</v>
      </c>
      <c r="I3207">
        <v>4209</v>
      </c>
      <c r="J3207" t="s">
        <v>3319</v>
      </c>
      <c r="K3207">
        <v>1</v>
      </c>
    </row>
    <row r="3208" hidden="1" spans="1:11">
      <c r="A3208" s="2" t="s">
        <v>3355</v>
      </c>
      <c r="B3208" s="3">
        <v>30078</v>
      </c>
      <c r="D3208" t="s">
        <v>2186</v>
      </c>
      <c r="E3208">
        <f>50/30</f>
        <v>1.66666666666667</v>
      </c>
      <c r="F3208">
        <v>0</v>
      </c>
      <c r="G3208">
        <v>0</v>
      </c>
      <c r="H3208">
        <v>2</v>
      </c>
      <c r="I3208">
        <v>4209</v>
      </c>
      <c r="J3208" t="s">
        <v>3319</v>
      </c>
      <c r="K3208">
        <v>1</v>
      </c>
    </row>
    <row r="3209" hidden="1" spans="1:11">
      <c r="A3209" s="2" t="s">
        <v>3356</v>
      </c>
      <c r="B3209" s="3">
        <v>30078</v>
      </c>
      <c r="D3209" t="s">
        <v>2188</v>
      </c>
      <c r="E3209">
        <f>24/30</f>
        <v>0.8</v>
      </c>
      <c r="F3209">
        <v>0</v>
      </c>
      <c r="G3209">
        <v>0</v>
      </c>
      <c r="H3209">
        <v>2</v>
      </c>
      <c r="I3209">
        <v>4209</v>
      </c>
      <c r="J3209" t="s">
        <v>3319</v>
      </c>
      <c r="K3209">
        <v>1</v>
      </c>
    </row>
    <row r="3210" hidden="1" spans="1:11">
      <c r="A3210" s="2" t="s">
        <v>3357</v>
      </c>
      <c r="B3210" s="3">
        <v>30078</v>
      </c>
      <c r="D3210" t="s">
        <v>2190</v>
      </c>
      <c r="E3210">
        <f>22/30</f>
        <v>0.733333333333333</v>
      </c>
      <c r="F3210">
        <v>0</v>
      </c>
      <c r="G3210">
        <v>0</v>
      </c>
      <c r="H3210">
        <v>2</v>
      </c>
      <c r="I3210">
        <v>4209</v>
      </c>
      <c r="J3210" t="s">
        <v>3319</v>
      </c>
      <c r="K3210">
        <v>1</v>
      </c>
    </row>
    <row r="3211" hidden="1" spans="1:11">
      <c r="A3211" s="2" t="s">
        <v>3358</v>
      </c>
      <c r="B3211" s="3">
        <v>30078</v>
      </c>
      <c r="D3211" t="s">
        <v>2192</v>
      </c>
      <c r="E3211">
        <f>24/30</f>
        <v>0.8</v>
      </c>
      <c r="F3211">
        <v>0</v>
      </c>
      <c r="G3211">
        <v>0</v>
      </c>
      <c r="H3211">
        <v>2</v>
      </c>
      <c r="I3211">
        <v>4209</v>
      </c>
      <c r="J3211" t="s">
        <v>3319</v>
      </c>
      <c r="K3211">
        <v>1</v>
      </c>
    </row>
    <row r="3212" hidden="1" spans="1:11">
      <c r="A3212" s="2" t="s">
        <v>3359</v>
      </c>
      <c r="B3212" s="3">
        <v>30078</v>
      </c>
      <c r="D3212" t="s">
        <v>2194</v>
      </c>
      <c r="E3212">
        <f>24/30</f>
        <v>0.8</v>
      </c>
      <c r="F3212">
        <v>0</v>
      </c>
      <c r="G3212">
        <v>0</v>
      </c>
      <c r="H3212">
        <v>2</v>
      </c>
      <c r="I3212">
        <v>4209</v>
      </c>
      <c r="J3212" t="s">
        <v>3319</v>
      </c>
      <c r="K3212">
        <v>1</v>
      </c>
    </row>
    <row r="3213" hidden="1" spans="1:11">
      <c r="A3213" s="2" t="s">
        <v>3360</v>
      </c>
      <c r="B3213" s="3">
        <v>30078</v>
      </c>
      <c r="D3213" t="s">
        <v>300</v>
      </c>
      <c r="E3213">
        <f>24/30</f>
        <v>0.8</v>
      </c>
      <c r="F3213">
        <v>0</v>
      </c>
      <c r="G3213">
        <v>0</v>
      </c>
      <c r="H3213">
        <v>2</v>
      </c>
      <c r="I3213">
        <v>4209</v>
      </c>
      <c r="J3213" t="s">
        <v>3319</v>
      </c>
      <c r="K3213">
        <v>1</v>
      </c>
    </row>
    <row r="3214" hidden="1" spans="1:11">
      <c r="A3214" s="2" t="s">
        <v>3361</v>
      </c>
      <c r="B3214" s="3">
        <v>30078</v>
      </c>
      <c r="D3214" t="s">
        <v>2178</v>
      </c>
      <c r="E3214">
        <f>24/30</f>
        <v>0.8</v>
      </c>
      <c r="F3214">
        <v>0</v>
      </c>
      <c r="G3214">
        <v>0</v>
      </c>
      <c r="H3214">
        <v>2</v>
      </c>
      <c r="I3214">
        <v>4209</v>
      </c>
      <c r="J3214" t="s">
        <v>3319</v>
      </c>
      <c r="K3214">
        <v>1</v>
      </c>
    </row>
    <row r="3215" hidden="1" spans="1:11">
      <c r="A3215" s="2" t="s">
        <v>3362</v>
      </c>
      <c r="B3215" s="3">
        <v>30078</v>
      </c>
      <c r="D3215" t="s">
        <v>2196</v>
      </c>
      <c r="E3215">
        <f>42/30</f>
        <v>1.4</v>
      </c>
      <c r="F3215">
        <v>0</v>
      </c>
      <c r="G3215">
        <v>0</v>
      </c>
      <c r="H3215">
        <v>2</v>
      </c>
      <c r="I3215">
        <v>4209</v>
      </c>
      <c r="J3215" t="s">
        <v>3319</v>
      </c>
      <c r="K3215">
        <v>1</v>
      </c>
    </row>
    <row r="3216" hidden="1" spans="1:11">
      <c r="A3216" s="2" t="s">
        <v>3363</v>
      </c>
      <c r="B3216" s="3">
        <v>30078</v>
      </c>
      <c r="D3216" t="s">
        <v>130</v>
      </c>
      <c r="E3216">
        <f>60/30</f>
        <v>2</v>
      </c>
      <c r="F3216">
        <v>1</v>
      </c>
      <c r="G3216" t="s">
        <v>61</v>
      </c>
      <c r="H3216" t="s">
        <v>62</v>
      </c>
      <c r="I3216" s="115" t="s">
        <v>3314</v>
      </c>
      <c r="J3216" s="116" t="s">
        <v>3364</v>
      </c>
      <c r="K3216" t="s">
        <v>95</v>
      </c>
    </row>
    <row r="3217" hidden="1" spans="1:5">
      <c r="A3217" s="2" t="s">
        <v>3365</v>
      </c>
      <c r="B3217" s="3">
        <v>30081</v>
      </c>
      <c r="D3217" t="s">
        <v>1788</v>
      </c>
      <c r="E3217">
        <f>140/30</f>
        <v>4.66666666666667</v>
      </c>
    </row>
    <row r="3218" hidden="1" spans="1:6">
      <c r="A3218" s="2" t="s">
        <v>3366</v>
      </c>
      <c r="B3218" s="3">
        <v>30081</v>
      </c>
      <c r="D3218" t="s">
        <v>2621</v>
      </c>
      <c r="E3218">
        <f>60/30</f>
        <v>2</v>
      </c>
      <c r="F3218">
        <v>1</v>
      </c>
    </row>
    <row r="3219" hidden="1" spans="1:6">
      <c r="A3219" s="2" t="s">
        <v>3367</v>
      </c>
      <c r="B3219" s="3">
        <v>30081</v>
      </c>
      <c r="D3219" t="s">
        <v>2623</v>
      </c>
      <c r="E3219">
        <f>60/30</f>
        <v>2</v>
      </c>
      <c r="F3219">
        <v>1</v>
      </c>
    </row>
    <row r="3220" hidden="1" spans="1:6">
      <c r="A3220" s="2" t="s">
        <v>3368</v>
      </c>
      <c r="B3220" s="3">
        <v>4013101</v>
      </c>
      <c r="D3220" t="s">
        <v>1776</v>
      </c>
      <c r="E3220" s="36">
        <f>75/30</f>
        <v>2.5</v>
      </c>
      <c r="F3220">
        <v>0</v>
      </c>
    </row>
    <row r="3221" hidden="1" spans="1:11">
      <c r="A3221" s="2" t="s">
        <v>3369</v>
      </c>
      <c r="B3221" s="3">
        <v>4013101</v>
      </c>
      <c r="D3221" t="s">
        <v>92</v>
      </c>
      <c r="E3221" s="36">
        <f>105/30</f>
        <v>3.5</v>
      </c>
      <c r="F3221">
        <v>0</v>
      </c>
      <c r="K3221">
        <v>1</v>
      </c>
    </row>
    <row r="3222" hidden="1" spans="1:11">
      <c r="A3222" s="2" t="s">
        <v>3370</v>
      </c>
      <c r="B3222" s="3">
        <v>4013101</v>
      </c>
      <c r="D3222" t="s">
        <v>109</v>
      </c>
      <c r="E3222" s="36">
        <f t="shared" ref="E3222:E3225" si="13">120/30</f>
        <v>4</v>
      </c>
      <c r="F3222">
        <v>0</v>
      </c>
      <c r="K3222">
        <v>1</v>
      </c>
    </row>
    <row r="3223" hidden="1" spans="1:11">
      <c r="A3223" s="2" t="s">
        <v>3371</v>
      </c>
      <c r="B3223" s="3">
        <v>4013101</v>
      </c>
      <c r="D3223" t="s">
        <v>97</v>
      </c>
      <c r="E3223" s="36">
        <f t="shared" si="13"/>
        <v>4</v>
      </c>
      <c r="F3223">
        <v>0</v>
      </c>
      <c r="K3223">
        <v>1</v>
      </c>
    </row>
    <row r="3224" hidden="1" spans="1:11">
      <c r="A3224" s="2" t="s">
        <v>3372</v>
      </c>
      <c r="B3224" s="3">
        <v>4013101</v>
      </c>
      <c r="D3224" t="s">
        <v>77</v>
      </c>
      <c r="E3224" s="36">
        <f>100/30</f>
        <v>3.33333333333333</v>
      </c>
      <c r="F3224">
        <v>0</v>
      </c>
      <c r="K3224">
        <v>1</v>
      </c>
    </row>
    <row r="3225" hidden="1" spans="1:11">
      <c r="A3225" s="2" t="s">
        <v>3373</v>
      </c>
      <c r="B3225" s="3">
        <v>4013101</v>
      </c>
      <c r="D3225" t="s">
        <v>54</v>
      </c>
      <c r="E3225" s="36">
        <f t="shared" si="13"/>
        <v>4</v>
      </c>
      <c r="F3225">
        <v>0</v>
      </c>
      <c r="K3225">
        <v>1</v>
      </c>
    </row>
    <row r="3226" hidden="1" spans="1:11">
      <c r="A3226" s="2" t="s">
        <v>3374</v>
      </c>
      <c r="B3226" s="3">
        <v>4013101</v>
      </c>
      <c r="D3226" t="s">
        <v>57</v>
      </c>
      <c r="E3226" s="36">
        <f>250/30</f>
        <v>8.33333333333333</v>
      </c>
      <c r="F3226">
        <v>1</v>
      </c>
      <c r="G3226">
        <v>0</v>
      </c>
      <c r="H3226">
        <v>2</v>
      </c>
      <c r="I3226">
        <v>4215</v>
      </c>
      <c r="J3226" t="s">
        <v>58</v>
      </c>
      <c r="K3226">
        <v>1</v>
      </c>
    </row>
    <row r="3227" hidden="1" spans="1:11">
      <c r="A3227" s="2" t="s">
        <v>3375</v>
      </c>
      <c r="B3227" s="3">
        <v>4013101</v>
      </c>
      <c r="D3227" t="s">
        <v>264</v>
      </c>
      <c r="E3227" s="36">
        <f>60/30</f>
        <v>2</v>
      </c>
      <c r="F3227">
        <v>0</v>
      </c>
      <c r="K3227">
        <v>1</v>
      </c>
    </row>
    <row r="3228" hidden="1" spans="1:11">
      <c r="A3228" s="2" t="s">
        <v>3376</v>
      </c>
      <c r="B3228" s="3">
        <v>4013101</v>
      </c>
      <c r="D3228" t="s">
        <v>60</v>
      </c>
      <c r="E3228" s="36">
        <f>67/30</f>
        <v>2.23333333333333</v>
      </c>
      <c r="F3228">
        <v>1</v>
      </c>
      <c r="K3228">
        <v>1</v>
      </c>
    </row>
    <row r="3229" hidden="1" spans="1:11">
      <c r="A3229" s="2" t="s">
        <v>3377</v>
      </c>
      <c r="B3229" s="3">
        <v>4013101</v>
      </c>
      <c r="D3229" t="s">
        <v>2618</v>
      </c>
      <c r="E3229" s="36">
        <f>60/30</f>
        <v>2</v>
      </c>
      <c r="F3229">
        <v>1</v>
      </c>
      <c r="K3229">
        <v>1</v>
      </c>
    </row>
    <row r="3230" hidden="1" spans="1:11">
      <c r="A3230" s="2" t="s">
        <v>3378</v>
      </c>
      <c r="B3230" s="3">
        <v>4013101</v>
      </c>
      <c r="D3230" t="s">
        <v>261</v>
      </c>
      <c r="E3230" s="36">
        <f>28/30</f>
        <v>0.933333333333333</v>
      </c>
      <c r="F3230">
        <v>1</v>
      </c>
      <c r="K3230">
        <v>1</v>
      </c>
    </row>
    <row r="3231" hidden="1" spans="1:11">
      <c r="A3231" s="2" t="s">
        <v>3379</v>
      </c>
      <c r="B3231" s="3">
        <v>4013101</v>
      </c>
      <c r="D3231" t="s">
        <v>2629</v>
      </c>
      <c r="E3231" s="36">
        <f>81/30</f>
        <v>2.7</v>
      </c>
      <c r="F3231">
        <v>1</v>
      </c>
      <c r="K3231">
        <v>1</v>
      </c>
    </row>
    <row r="3232" hidden="1" spans="1:11">
      <c r="A3232" s="2" t="s">
        <v>3380</v>
      </c>
      <c r="B3232" s="3">
        <v>4013101</v>
      </c>
      <c r="D3232" t="s">
        <v>268</v>
      </c>
      <c r="E3232" s="36">
        <f>87/30</f>
        <v>2.9</v>
      </c>
      <c r="F3232">
        <v>1</v>
      </c>
      <c r="K3232">
        <v>1</v>
      </c>
    </row>
    <row r="3233" hidden="1" spans="1:11">
      <c r="A3233" s="2" t="s">
        <v>3381</v>
      </c>
      <c r="B3233" s="3">
        <v>4013101</v>
      </c>
      <c r="D3233" t="s">
        <v>266</v>
      </c>
      <c r="E3233" s="36">
        <f>36/30</f>
        <v>1.2</v>
      </c>
      <c r="F3233">
        <v>1</v>
      </c>
      <c r="K3233">
        <v>1</v>
      </c>
    </row>
    <row r="3234" hidden="1" spans="1:11">
      <c r="A3234" s="2" t="s">
        <v>3382</v>
      </c>
      <c r="B3234" s="3">
        <v>4013101</v>
      </c>
      <c r="D3234" t="s">
        <v>2633</v>
      </c>
      <c r="E3234" s="36">
        <f>36/30</f>
        <v>1.2</v>
      </c>
      <c r="F3234">
        <v>1</v>
      </c>
      <c r="K3234">
        <v>1</v>
      </c>
    </row>
    <row r="3235" hidden="1" spans="1:11">
      <c r="A3235" s="2" t="s">
        <v>3383</v>
      </c>
      <c r="B3235" s="3">
        <v>4013101</v>
      </c>
      <c r="D3235" t="s">
        <v>1047</v>
      </c>
      <c r="E3235">
        <f>71/30</f>
        <v>2.36666666666667</v>
      </c>
      <c r="F3235">
        <v>0</v>
      </c>
      <c r="G3235">
        <v>0</v>
      </c>
      <c r="H3235">
        <v>2</v>
      </c>
      <c r="I3235">
        <v>4213</v>
      </c>
      <c r="J3235" t="s">
        <v>3336</v>
      </c>
      <c r="K3235">
        <v>1</v>
      </c>
    </row>
    <row r="3236" hidden="1" spans="1:11">
      <c r="A3236" s="2" t="s">
        <v>3384</v>
      </c>
      <c r="B3236" s="3">
        <v>4013101</v>
      </c>
      <c r="D3236" t="s">
        <v>2198</v>
      </c>
      <c r="E3236">
        <v>2</v>
      </c>
      <c r="F3236">
        <v>1</v>
      </c>
      <c r="G3236">
        <v>0</v>
      </c>
      <c r="H3236">
        <v>2</v>
      </c>
      <c r="I3236">
        <v>4213</v>
      </c>
      <c r="J3236" t="s">
        <v>3336</v>
      </c>
      <c r="K3236">
        <v>1</v>
      </c>
    </row>
    <row r="3237" hidden="1" spans="1:11">
      <c r="A3237" s="2" t="s">
        <v>3385</v>
      </c>
      <c r="B3237" s="3">
        <v>4013101</v>
      </c>
      <c r="D3237" t="s">
        <v>2182</v>
      </c>
      <c r="E3237">
        <f>40/30</f>
        <v>1.33333333333333</v>
      </c>
      <c r="F3237">
        <v>0</v>
      </c>
      <c r="G3237">
        <v>0</v>
      </c>
      <c r="H3237">
        <v>2</v>
      </c>
      <c r="I3237">
        <v>4213</v>
      </c>
      <c r="J3237" t="s">
        <v>3336</v>
      </c>
      <c r="K3237">
        <v>1</v>
      </c>
    </row>
    <row r="3238" hidden="1" spans="1:11">
      <c r="A3238" s="2" t="s">
        <v>3386</v>
      </c>
      <c r="B3238" s="3">
        <v>4013101</v>
      </c>
      <c r="D3238" t="s">
        <v>2184</v>
      </c>
      <c r="E3238">
        <v>2</v>
      </c>
      <c r="F3238">
        <v>0</v>
      </c>
      <c r="G3238">
        <v>0</v>
      </c>
      <c r="H3238">
        <v>2</v>
      </c>
      <c r="I3238">
        <v>4213</v>
      </c>
      <c r="J3238" t="s">
        <v>3336</v>
      </c>
      <c r="K3238">
        <v>1</v>
      </c>
    </row>
    <row r="3239" hidden="1" spans="1:11">
      <c r="A3239" s="2" t="s">
        <v>3387</v>
      </c>
      <c r="B3239" s="3">
        <v>4013101</v>
      </c>
      <c r="D3239" t="s">
        <v>2186</v>
      </c>
      <c r="E3239">
        <f>49/30</f>
        <v>1.63333333333333</v>
      </c>
      <c r="F3239">
        <v>0</v>
      </c>
      <c r="G3239">
        <v>0</v>
      </c>
      <c r="H3239">
        <v>2</v>
      </c>
      <c r="I3239">
        <v>4213</v>
      </c>
      <c r="J3239" t="s">
        <v>3336</v>
      </c>
      <c r="K3239">
        <v>1</v>
      </c>
    </row>
    <row r="3240" hidden="1" spans="1:11">
      <c r="A3240" s="2" t="s">
        <v>3388</v>
      </c>
      <c r="B3240" s="3">
        <v>4013101</v>
      </c>
      <c r="D3240" t="s">
        <v>2196</v>
      </c>
      <c r="E3240">
        <f>37/30</f>
        <v>1.23333333333333</v>
      </c>
      <c r="F3240">
        <v>0</v>
      </c>
      <c r="G3240">
        <v>0</v>
      </c>
      <c r="H3240">
        <v>2</v>
      </c>
      <c r="I3240">
        <v>4213</v>
      </c>
      <c r="J3240" t="s">
        <v>3336</v>
      </c>
      <c r="K3240">
        <v>1</v>
      </c>
    </row>
    <row r="3241" hidden="1" spans="1:11">
      <c r="A3241" s="2" t="s">
        <v>3389</v>
      </c>
      <c r="B3241" s="3">
        <v>4013101</v>
      </c>
      <c r="D3241" t="s">
        <v>236</v>
      </c>
      <c r="E3241">
        <f>118/30</f>
        <v>3.93333333333333</v>
      </c>
      <c r="F3241">
        <v>0</v>
      </c>
      <c r="G3241">
        <v>0</v>
      </c>
      <c r="H3241">
        <v>2</v>
      </c>
      <c r="I3241">
        <v>4213</v>
      </c>
      <c r="J3241" t="s">
        <v>3336</v>
      </c>
      <c r="K3241">
        <v>1</v>
      </c>
    </row>
    <row r="3242" hidden="1" spans="1:11">
      <c r="A3242" s="2" t="s">
        <v>3390</v>
      </c>
      <c r="B3242" s="3">
        <v>4013101</v>
      </c>
      <c r="D3242" t="s">
        <v>2188</v>
      </c>
      <c r="E3242">
        <f t="shared" ref="E3242:E3247" si="14">24/30</f>
        <v>0.8</v>
      </c>
      <c r="F3242">
        <v>0</v>
      </c>
      <c r="G3242">
        <v>0</v>
      </c>
      <c r="H3242">
        <v>2</v>
      </c>
      <c r="I3242">
        <v>4213</v>
      </c>
      <c r="J3242" t="s">
        <v>3336</v>
      </c>
      <c r="K3242">
        <v>1</v>
      </c>
    </row>
    <row r="3243" hidden="1" spans="1:11">
      <c r="A3243" s="2" t="s">
        <v>3391</v>
      </c>
      <c r="B3243" s="3">
        <v>4013101</v>
      </c>
      <c r="D3243" t="s">
        <v>2190</v>
      </c>
      <c r="E3243">
        <f>22/30</f>
        <v>0.733333333333333</v>
      </c>
      <c r="F3243">
        <v>0</v>
      </c>
      <c r="G3243">
        <v>0</v>
      </c>
      <c r="H3243">
        <v>2</v>
      </c>
      <c r="I3243">
        <v>4213</v>
      </c>
      <c r="J3243" t="s">
        <v>3336</v>
      </c>
      <c r="K3243">
        <v>1</v>
      </c>
    </row>
    <row r="3244" hidden="1" spans="1:11">
      <c r="A3244" s="2" t="s">
        <v>3392</v>
      </c>
      <c r="B3244" s="3">
        <v>4013101</v>
      </c>
      <c r="D3244" t="s">
        <v>2192</v>
      </c>
      <c r="E3244">
        <f t="shared" si="14"/>
        <v>0.8</v>
      </c>
      <c r="F3244">
        <v>0</v>
      </c>
      <c r="G3244">
        <v>0</v>
      </c>
      <c r="H3244">
        <v>2</v>
      </c>
      <c r="I3244">
        <v>4213</v>
      </c>
      <c r="J3244" t="s">
        <v>3336</v>
      </c>
      <c r="K3244">
        <v>1</v>
      </c>
    </row>
    <row r="3245" hidden="1" spans="1:11">
      <c r="A3245" s="2" t="s">
        <v>3393</v>
      </c>
      <c r="B3245" s="3">
        <v>4013101</v>
      </c>
      <c r="D3245" t="s">
        <v>2194</v>
      </c>
      <c r="E3245">
        <f t="shared" si="14"/>
        <v>0.8</v>
      </c>
      <c r="F3245">
        <v>0</v>
      </c>
      <c r="G3245">
        <v>0</v>
      </c>
      <c r="H3245">
        <v>2</v>
      </c>
      <c r="I3245">
        <v>4213</v>
      </c>
      <c r="J3245" t="s">
        <v>3336</v>
      </c>
      <c r="K3245">
        <v>1</v>
      </c>
    </row>
    <row r="3246" hidden="1" spans="1:11">
      <c r="A3246" s="2" t="s">
        <v>3394</v>
      </c>
      <c r="B3246" s="3">
        <v>4013101</v>
      </c>
      <c r="D3246" t="s">
        <v>300</v>
      </c>
      <c r="E3246">
        <f t="shared" si="14"/>
        <v>0.8</v>
      </c>
      <c r="F3246">
        <v>0</v>
      </c>
      <c r="G3246">
        <v>0</v>
      </c>
      <c r="H3246">
        <v>2</v>
      </c>
      <c r="I3246">
        <v>4213</v>
      </c>
      <c r="J3246" t="s">
        <v>3336</v>
      </c>
      <c r="K3246">
        <v>1</v>
      </c>
    </row>
    <row r="3247" hidden="1" spans="1:11">
      <c r="A3247" s="2" t="s">
        <v>3395</v>
      </c>
      <c r="B3247" s="3">
        <v>4013101</v>
      </c>
      <c r="D3247" t="s">
        <v>2178</v>
      </c>
      <c r="E3247">
        <f t="shared" si="14"/>
        <v>0.8</v>
      </c>
      <c r="F3247">
        <v>0</v>
      </c>
      <c r="G3247">
        <v>0</v>
      </c>
      <c r="H3247">
        <v>2</v>
      </c>
      <c r="I3247">
        <v>4213</v>
      </c>
      <c r="J3247" t="s">
        <v>3336</v>
      </c>
      <c r="K3247">
        <v>1</v>
      </c>
    </row>
    <row r="3248" hidden="1" spans="1:11">
      <c r="A3248" s="2" t="s">
        <v>3396</v>
      </c>
      <c r="B3248" s="3">
        <v>4013101</v>
      </c>
      <c r="D3248" t="s">
        <v>204</v>
      </c>
      <c r="E3248">
        <f>45/30</f>
        <v>1.5</v>
      </c>
      <c r="F3248">
        <v>0</v>
      </c>
      <c r="G3248">
        <v>0</v>
      </c>
      <c r="H3248">
        <v>2</v>
      </c>
      <c r="I3248">
        <v>4213</v>
      </c>
      <c r="J3248" t="s">
        <v>3336</v>
      </c>
      <c r="K3248">
        <v>1</v>
      </c>
    </row>
    <row r="3249" hidden="1" spans="1:11">
      <c r="A3249" s="2" t="s">
        <v>3397</v>
      </c>
      <c r="B3249" s="3">
        <v>4013101</v>
      </c>
      <c r="D3249" t="s">
        <v>130</v>
      </c>
      <c r="E3249">
        <v>1</v>
      </c>
      <c r="F3249">
        <v>1</v>
      </c>
      <c r="G3249">
        <v>0</v>
      </c>
      <c r="H3249">
        <v>2</v>
      </c>
      <c r="I3249">
        <v>4213</v>
      </c>
      <c r="J3249" t="s">
        <v>3336</v>
      </c>
      <c r="K3249">
        <v>1</v>
      </c>
    </row>
    <row r="3250" hidden="1" spans="1:6">
      <c r="A3250" s="2" t="s">
        <v>3398</v>
      </c>
      <c r="B3250" s="3">
        <v>132</v>
      </c>
      <c r="D3250" t="s">
        <v>36</v>
      </c>
      <c r="E3250">
        <f>118/30</f>
        <v>3.93333333333333</v>
      </c>
      <c r="F3250">
        <v>0</v>
      </c>
    </row>
    <row r="3251" hidden="1" spans="1:6">
      <c r="A3251" s="2" t="s">
        <v>3399</v>
      </c>
      <c r="B3251" s="3">
        <v>132</v>
      </c>
      <c r="D3251" t="s">
        <v>412</v>
      </c>
      <c r="E3251">
        <f>145/30</f>
        <v>4.83333333333333</v>
      </c>
      <c r="F3251">
        <v>0</v>
      </c>
    </row>
    <row r="3252" hidden="1" spans="1:6">
      <c r="A3252" s="2" t="s">
        <v>3400</v>
      </c>
      <c r="B3252" s="3">
        <v>132</v>
      </c>
      <c r="D3252" t="s">
        <v>133</v>
      </c>
      <c r="E3252">
        <f>90/30</f>
        <v>3</v>
      </c>
      <c r="F3252">
        <v>0</v>
      </c>
    </row>
    <row r="3253" hidden="1" spans="1:6">
      <c r="A3253" s="2" t="s">
        <v>3401</v>
      </c>
      <c r="B3253" s="3">
        <v>132</v>
      </c>
      <c r="D3253" t="s">
        <v>1826</v>
      </c>
      <c r="E3253">
        <f>156/30</f>
        <v>5.2</v>
      </c>
      <c r="F3253">
        <v>0</v>
      </c>
    </row>
    <row r="3254" hidden="1" spans="1:6">
      <c r="A3254" s="2" t="s">
        <v>3402</v>
      </c>
      <c r="B3254" s="3">
        <v>132</v>
      </c>
      <c r="D3254" t="s">
        <v>140</v>
      </c>
      <c r="E3254">
        <f>254/30</f>
        <v>8.46666666666667</v>
      </c>
      <c r="F3254">
        <v>0</v>
      </c>
    </row>
    <row r="3255" hidden="1" spans="1:6">
      <c r="A3255" s="2" t="s">
        <v>3403</v>
      </c>
      <c r="B3255" s="3">
        <v>132</v>
      </c>
      <c r="D3255" t="s">
        <v>44</v>
      </c>
      <c r="E3255">
        <f>480/30</f>
        <v>16</v>
      </c>
      <c r="F3255">
        <v>0</v>
      </c>
    </row>
    <row r="3256" hidden="1" spans="1:6">
      <c r="A3256" s="2" t="s">
        <v>3404</v>
      </c>
      <c r="B3256" s="3">
        <v>132</v>
      </c>
      <c r="D3256" t="s">
        <v>52</v>
      </c>
      <c r="E3256">
        <f>76/30</f>
        <v>2.53333333333333</v>
      </c>
      <c r="F3256">
        <v>0</v>
      </c>
    </row>
    <row r="3257" hidden="1" spans="1:6">
      <c r="A3257" s="2" t="s">
        <v>3405</v>
      </c>
      <c r="B3257" s="3">
        <v>132</v>
      </c>
      <c r="D3257" t="s">
        <v>92</v>
      </c>
      <c r="E3257">
        <f>102/30</f>
        <v>3.4</v>
      </c>
      <c r="F3257">
        <v>0</v>
      </c>
    </row>
    <row r="3258" hidden="1" spans="1:6">
      <c r="A3258" s="2" t="s">
        <v>3406</v>
      </c>
      <c r="B3258" s="3">
        <v>132</v>
      </c>
      <c r="D3258" t="s">
        <v>109</v>
      </c>
      <c r="E3258">
        <f>70/30</f>
        <v>2.33333333333333</v>
      </c>
      <c r="F3258">
        <v>0</v>
      </c>
    </row>
    <row r="3259" hidden="1" spans="1:6">
      <c r="A3259" s="2" t="s">
        <v>3407</v>
      </c>
      <c r="B3259" s="3">
        <v>132</v>
      </c>
      <c r="D3259" t="s">
        <v>97</v>
      </c>
      <c r="E3259">
        <f>52/30</f>
        <v>1.73333333333333</v>
      </c>
      <c r="F3259">
        <v>0</v>
      </c>
    </row>
    <row r="3260" hidden="1" spans="1:6">
      <c r="A3260" s="2" t="s">
        <v>3408</v>
      </c>
      <c r="B3260" s="3">
        <v>132</v>
      </c>
      <c r="D3260" t="s">
        <v>77</v>
      </c>
      <c r="E3260">
        <f>52/30</f>
        <v>1.73333333333333</v>
      </c>
      <c r="F3260">
        <v>0</v>
      </c>
    </row>
    <row r="3261" hidden="1" spans="1:6">
      <c r="A3261" s="2" t="s">
        <v>3409</v>
      </c>
      <c r="B3261" s="3">
        <v>132</v>
      </c>
      <c r="D3261" t="s">
        <v>54</v>
      </c>
      <c r="E3261">
        <f>78/30</f>
        <v>2.6</v>
      </c>
      <c r="F3261">
        <v>0</v>
      </c>
    </row>
    <row r="3262" hidden="1" spans="1:11">
      <c r="A3262" s="2" t="s">
        <v>3410</v>
      </c>
      <c r="B3262" s="3">
        <v>132</v>
      </c>
      <c r="D3262" t="s">
        <v>57</v>
      </c>
      <c r="E3262">
        <f>85/30</f>
        <v>2.83333333333333</v>
      </c>
      <c r="F3262">
        <v>0</v>
      </c>
      <c r="G3262">
        <v>0</v>
      </c>
      <c r="H3262">
        <v>2</v>
      </c>
      <c r="I3262">
        <v>4230</v>
      </c>
      <c r="J3262" t="s">
        <v>58</v>
      </c>
      <c r="K3262">
        <v>1</v>
      </c>
    </row>
    <row r="3263" hidden="1" spans="1:6">
      <c r="A3263" s="2" t="s">
        <v>3411</v>
      </c>
      <c r="B3263" s="3">
        <v>132</v>
      </c>
      <c r="D3263" t="s">
        <v>1406</v>
      </c>
      <c r="E3263">
        <f>85/30</f>
        <v>2.83333333333333</v>
      </c>
      <c r="F3263">
        <v>0</v>
      </c>
    </row>
    <row r="3264" hidden="1" spans="1:6">
      <c r="A3264" s="2" t="s">
        <v>3412</v>
      </c>
      <c r="B3264" s="3">
        <v>30082</v>
      </c>
      <c r="D3264" t="s">
        <v>52</v>
      </c>
      <c r="E3264">
        <v>11</v>
      </c>
      <c r="F3264">
        <v>0</v>
      </c>
    </row>
    <row r="3265" hidden="1" spans="1:6">
      <c r="A3265" s="2" t="s">
        <v>3413</v>
      </c>
      <c r="B3265" s="3">
        <v>30082</v>
      </c>
      <c r="D3265" t="s">
        <v>90</v>
      </c>
      <c r="E3265">
        <f>77/30</f>
        <v>2.56666666666667</v>
      </c>
      <c r="F3265">
        <v>0</v>
      </c>
    </row>
    <row r="3266" hidden="1" spans="1:6">
      <c r="A3266" s="2" t="s">
        <v>3414</v>
      </c>
      <c r="B3266" s="3">
        <v>30082</v>
      </c>
      <c r="D3266" t="s">
        <v>50</v>
      </c>
      <c r="E3266">
        <f>291/30</f>
        <v>9.7</v>
      </c>
      <c r="F3266">
        <v>0</v>
      </c>
    </row>
    <row r="3267" hidden="1" spans="1:6">
      <c r="A3267" s="2" t="s">
        <v>3415</v>
      </c>
      <c r="B3267" s="3">
        <v>4013201</v>
      </c>
      <c r="D3267" t="s">
        <v>36</v>
      </c>
      <c r="E3267">
        <f>118/30</f>
        <v>3.93333333333333</v>
      </c>
      <c r="F3267">
        <v>0</v>
      </c>
    </row>
    <row r="3268" hidden="1" spans="1:6">
      <c r="A3268" s="2" t="s">
        <v>3416</v>
      </c>
      <c r="B3268" s="3">
        <v>4013201</v>
      </c>
      <c r="D3268" t="s">
        <v>412</v>
      </c>
      <c r="E3268">
        <f>145/30</f>
        <v>4.83333333333333</v>
      </c>
      <c r="F3268">
        <v>0</v>
      </c>
    </row>
    <row r="3269" hidden="1" spans="1:6">
      <c r="A3269" s="2" t="s">
        <v>3417</v>
      </c>
      <c r="B3269" s="3">
        <v>4013201</v>
      </c>
      <c r="D3269" t="s">
        <v>133</v>
      </c>
      <c r="E3269">
        <f>90/30</f>
        <v>3</v>
      </c>
      <c r="F3269">
        <v>0</v>
      </c>
    </row>
    <row r="3270" hidden="1" spans="1:6">
      <c r="A3270" s="2" t="s">
        <v>3418</v>
      </c>
      <c r="B3270" s="3">
        <v>4013201</v>
      </c>
      <c r="D3270" t="s">
        <v>1826</v>
      </c>
      <c r="E3270">
        <f>156/30</f>
        <v>5.2</v>
      </c>
      <c r="F3270">
        <v>0</v>
      </c>
    </row>
    <row r="3271" hidden="1" spans="1:6">
      <c r="A3271" s="2" t="s">
        <v>3419</v>
      </c>
      <c r="B3271" s="3">
        <v>4013201</v>
      </c>
      <c r="D3271" t="s">
        <v>140</v>
      </c>
      <c r="E3271">
        <f>254/30</f>
        <v>8.46666666666667</v>
      </c>
      <c r="F3271">
        <v>0</v>
      </c>
    </row>
    <row r="3272" hidden="1" spans="1:6">
      <c r="A3272" s="2" t="s">
        <v>3420</v>
      </c>
      <c r="B3272" s="3">
        <v>4013201</v>
      </c>
      <c r="D3272" t="s">
        <v>44</v>
      </c>
      <c r="E3272">
        <f>480/30</f>
        <v>16</v>
      </c>
      <c r="F3272">
        <v>0</v>
      </c>
    </row>
    <row r="3273" hidden="1" spans="1:6">
      <c r="A3273" s="2" t="s">
        <v>3421</v>
      </c>
      <c r="B3273" s="3">
        <v>4013201</v>
      </c>
      <c r="D3273" t="s">
        <v>92</v>
      </c>
      <c r="E3273">
        <f>102/30</f>
        <v>3.4</v>
      </c>
      <c r="F3273">
        <v>0</v>
      </c>
    </row>
    <row r="3274" hidden="1" spans="1:6">
      <c r="A3274" s="2" t="s">
        <v>3422</v>
      </c>
      <c r="B3274" s="3">
        <v>4013201</v>
      </c>
      <c r="D3274" t="s">
        <v>109</v>
      </c>
      <c r="E3274">
        <f>70/30</f>
        <v>2.33333333333333</v>
      </c>
      <c r="F3274">
        <v>0</v>
      </c>
    </row>
    <row r="3275" hidden="1" spans="1:6">
      <c r="A3275" s="2" t="s">
        <v>3423</v>
      </c>
      <c r="B3275" s="3">
        <v>4013201</v>
      </c>
      <c r="D3275" t="s">
        <v>97</v>
      </c>
      <c r="E3275">
        <f>52/30</f>
        <v>1.73333333333333</v>
      </c>
      <c r="F3275">
        <v>0</v>
      </c>
    </row>
    <row r="3276" hidden="1" spans="1:6">
      <c r="A3276" s="2" t="s">
        <v>3424</v>
      </c>
      <c r="B3276" s="3">
        <v>4013201</v>
      </c>
      <c r="D3276" t="s">
        <v>77</v>
      </c>
      <c r="E3276">
        <f>52/30</f>
        <v>1.73333333333333</v>
      </c>
      <c r="F3276">
        <v>0</v>
      </c>
    </row>
    <row r="3277" hidden="1" spans="1:6">
      <c r="A3277" s="2" t="s">
        <v>3425</v>
      </c>
      <c r="B3277" s="3">
        <v>4013201</v>
      </c>
      <c r="D3277" t="s">
        <v>54</v>
      </c>
      <c r="E3277">
        <f>78/30</f>
        <v>2.6</v>
      </c>
      <c r="F3277">
        <v>0</v>
      </c>
    </row>
    <row r="3278" hidden="1" spans="1:11">
      <c r="A3278" s="2" t="s">
        <v>3426</v>
      </c>
      <c r="B3278" s="3">
        <v>4013201</v>
      </c>
      <c r="D3278" t="s">
        <v>57</v>
      </c>
      <c r="E3278">
        <f>85/30</f>
        <v>2.83333333333333</v>
      </c>
      <c r="F3278">
        <v>0</v>
      </c>
      <c r="G3278">
        <v>0</v>
      </c>
      <c r="H3278">
        <v>2</v>
      </c>
      <c r="I3278">
        <v>4230</v>
      </c>
      <c r="J3278" t="s">
        <v>58</v>
      </c>
      <c r="K3278">
        <v>1</v>
      </c>
    </row>
    <row r="3279" hidden="1" spans="1:6">
      <c r="A3279" s="2" t="s">
        <v>3427</v>
      </c>
      <c r="B3279" s="3">
        <v>4013201</v>
      </c>
      <c r="D3279" t="s">
        <v>1406</v>
      </c>
      <c r="E3279">
        <f>85/30</f>
        <v>2.83333333333333</v>
      </c>
      <c r="F3279">
        <v>0</v>
      </c>
    </row>
    <row r="3280" s="19" customFormat="1" hidden="1" spans="1:12">
      <c r="A3280" s="111" t="s">
        <v>3428</v>
      </c>
      <c r="B3280" s="112">
        <v>133</v>
      </c>
      <c r="D3280" s="19" t="s">
        <v>36</v>
      </c>
      <c r="E3280" s="19">
        <f>77/30</f>
        <v>2.56666666666667</v>
      </c>
      <c r="F3280" s="19">
        <v>0</v>
      </c>
      <c r="L3280" s="114"/>
    </row>
    <row r="3281" s="19" customFormat="1" hidden="1" spans="1:12">
      <c r="A3281" s="111" t="s">
        <v>3429</v>
      </c>
      <c r="B3281" s="112">
        <v>133</v>
      </c>
      <c r="D3281" s="19" t="s">
        <v>38</v>
      </c>
      <c r="E3281" s="19">
        <f>78/30</f>
        <v>2.6</v>
      </c>
      <c r="F3281" s="19">
        <v>0</v>
      </c>
      <c r="L3281" s="114"/>
    </row>
    <row r="3282" s="19" customFormat="1" hidden="1" spans="1:12">
      <c r="A3282" s="111" t="s">
        <v>3430</v>
      </c>
      <c r="B3282" s="112">
        <v>133</v>
      </c>
      <c r="D3282" s="19" t="s">
        <v>46</v>
      </c>
      <c r="E3282" s="19">
        <f>89/30</f>
        <v>2.96666666666667</v>
      </c>
      <c r="F3282" s="19">
        <v>0</v>
      </c>
      <c r="L3282" s="114"/>
    </row>
    <row r="3283" s="19" customFormat="1" hidden="1" spans="1:12">
      <c r="A3283" s="111" t="s">
        <v>3431</v>
      </c>
      <c r="B3283" s="112">
        <v>133</v>
      </c>
      <c r="D3283" s="19" t="s">
        <v>86</v>
      </c>
      <c r="E3283" s="19">
        <f>250/30</f>
        <v>8.33333333333333</v>
      </c>
      <c r="F3283" s="19">
        <v>0</v>
      </c>
      <c r="L3283" s="114"/>
    </row>
    <row r="3284" s="19" customFormat="1" hidden="1" spans="1:12">
      <c r="A3284" s="111" t="s">
        <v>3432</v>
      </c>
      <c r="B3284" s="112">
        <v>133</v>
      </c>
      <c r="D3284" s="19" t="s">
        <v>50</v>
      </c>
      <c r="E3284" s="19">
        <f>110/30</f>
        <v>3.66666666666667</v>
      </c>
      <c r="F3284" s="19">
        <v>0</v>
      </c>
      <c r="L3284" s="114"/>
    </row>
    <row r="3285" s="19" customFormat="1" hidden="1" spans="1:12">
      <c r="A3285" s="111" t="s">
        <v>3433</v>
      </c>
      <c r="B3285" s="112">
        <v>133</v>
      </c>
      <c r="D3285" s="19" t="s">
        <v>90</v>
      </c>
      <c r="E3285" s="19">
        <f>294/30</f>
        <v>9.8</v>
      </c>
      <c r="F3285" s="19">
        <v>0</v>
      </c>
      <c r="L3285" s="114"/>
    </row>
    <row r="3286" s="19" customFormat="1" hidden="1" spans="1:12">
      <c r="A3286" s="111" t="s">
        <v>3434</v>
      </c>
      <c r="B3286" s="112">
        <v>133</v>
      </c>
      <c r="D3286" s="19" t="s">
        <v>44</v>
      </c>
      <c r="E3286" s="19">
        <f>404/30</f>
        <v>13.4666666666667</v>
      </c>
      <c r="F3286" s="19">
        <v>0</v>
      </c>
      <c r="L3286" s="114"/>
    </row>
    <row r="3287" s="19" customFormat="1" hidden="1" spans="1:12">
      <c r="A3287" s="111" t="s">
        <v>3435</v>
      </c>
      <c r="B3287" s="112">
        <v>133</v>
      </c>
      <c r="D3287" s="19" t="s">
        <v>42</v>
      </c>
      <c r="E3287" s="19">
        <f>440/30</f>
        <v>14.6666666666667</v>
      </c>
      <c r="F3287" s="19">
        <v>0</v>
      </c>
      <c r="L3287" s="114"/>
    </row>
    <row r="3288" s="19" customFormat="1" hidden="1" spans="1:12">
      <c r="A3288" s="111" t="s">
        <v>3436</v>
      </c>
      <c r="B3288" s="112">
        <v>133</v>
      </c>
      <c r="D3288" s="19" t="s">
        <v>92</v>
      </c>
      <c r="E3288" s="19">
        <f>94/30</f>
        <v>3.13333333333333</v>
      </c>
      <c r="F3288" s="19">
        <v>0</v>
      </c>
      <c r="L3288" s="114"/>
    </row>
    <row r="3289" s="19" customFormat="1" hidden="1" spans="1:12">
      <c r="A3289" s="111" t="s">
        <v>3437</v>
      </c>
      <c r="B3289" s="112">
        <v>133</v>
      </c>
      <c r="D3289" s="19" t="s">
        <v>109</v>
      </c>
      <c r="E3289" s="19">
        <f>100/30</f>
        <v>3.33333333333333</v>
      </c>
      <c r="F3289" s="19">
        <v>0</v>
      </c>
      <c r="G3289" s="19">
        <v>0</v>
      </c>
      <c r="H3289" s="19">
        <v>2</v>
      </c>
      <c r="I3289" s="19">
        <v>4250</v>
      </c>
      <c r="J3289" s="19" t="s">
        <v>58</v>
      </c>
      <c r="K3289" s="19">
        <v>1</v>
      </c>
      <c r="L3289" s="114"/>
    </row>
    <row r="3290" s="19" customFormat="1" hidden="1" spans="1:12">
      <c r="A3290" s="111" t="s">
        <v>3438</v>
      </c>
      <c r="B3290" s="112">
        <v>133</v>
      </c>
      <c r="D3290" s="19" t="s">
        <v>97</v>
      </c>
      <c r="E3290" s="19">
        <f>100/30</f>
        <v>3.33333333333333</v>
      </c>
      <c r="F3290" s="19">
        <v>0</v>
      </c>
      <c r="L3290" s="114"/>
    </row>
    <row r="3291" s="19" customFormat="1" hidden="1" spans="1:12">
      <c r="A3291" s="111" t="s">
        <v>3439</v>
      </c>
      <c r="B3291" s="112">
        <v>133</v>
      </c>
      <c r="D3291" s="19" t="s">
        <v>77</v>
      </c>
      <c r="E3291" s="19">
        <f>178/30</f>
        <v>5.93333333333333</v>
      </c>
      <c r="F3291" s="19">
        <v>0</v>
      </c>
      <c r="G3291" s="19">
        <v>0</v>
      </c>
      <c r="H3291" s="19">
        <v>2</v>
      </c>
      <c r="I3291" s="19">
        <v>4251</v>
      </c>
      <c r="J3291" s="19" t="s">
        <v>58</v>
      </c>
      <c r="K3291" s="19">
        <v>1</v>
      </c>
      <c r="L3291" s="114"/>
    </row>
    <row r="3292" s="19" customFormat="1" hidden="1" spans="1:12">
      <c r="A3292" s="111" t="s">
        <v>3440</v>
      </c>
      <c r="B3292" s="112">
        <v>133</v>
      </c>
      <c r="D3292" s="19" t="s">
        <v>54</v>
      </c>
      <c r="E3292" s="19">
        <f>85/30</f>
        <v>2.83333333333333</v>
      </c>
      <c r="F3292" s="19">
        <v>0</v>
      </c>
      <c r="L3292" s="114"/>
    </row>
    <row r="3293" s="19" customFormat="1" hidden="1" spans="1:12">
      <c r="A3293" s="111" t="s">
        <v>3441</v>
      </c>
      <c r="B3293" s="112">
        <v>133</v>
      </c>
      <c r="D3293" s="19" t="s">
        <v>57</v>
      </c>
      <c r="E3293" s="19">
        <f>165/30</f>
        <v>5.5</v>
      </c>
      <c r="F3293" s="19">
        <v>0</v>
      </c>
      <c r="G3293" s="19">
        <v>0</v>
      </c>
      <c r="H3293" s="19">
        <v>2</v>
      </c>
      <c r="I3293" s="19">
        <v>4252</v>
      </c>
      <c r="J3293" s="19" t="s">
        <v>58</v>
      </c>
      <c r="K3293" s="19">
        <v>1</v>
      </c>
      <c r="L3293" s="114"/>
    </row>
    <row r="3294" s="19" customFormat="1" hidden="1" spans="1:12">
      <c r="A3294" s="111" t="s">
        <v>3442</v>
      </c>
      <c r="B3294" s="112">
        <v>4013301</v>
      </c>
      <c r="D3294" s="19" t="s">
        <v>36</v>
      </c>
      <c r="E3294" s="19">
        <f>77/30</f>
        <v>2.56666666666667</v>
      </c>
      <c r="F3294" s="19">
        <v>0</v>
      </c>
      <c r="L3294" s="114"/>
    </row>
    <row r="3295" s="19" customFormat="1" hidden="1" spans="1:12">
      <c r="A3295" s="111" t="s">
        <v>3443</v>
      </c>
      <c r="B3295" s="112">
        <v>4013301</v>
      </c>
      <c r="D3295" s="19" t="s">
        <v>38</v>
      </c>
      <c r="E3295" s="19">
        <f>78/30</f>
        <v>2.6</v>
      </c>
      <c r="F3295" s="19">
        <v>0</v>
      </c>
      <c r="L3295" s="114"/>
    </row>
    <row r="3296" s="19" customFormat="1" hidden="1" spans="1:12">
      <c r="A3296" s="111" t="s">
        <v>3444</v>
      </c>
      <c r="B3296" s="112">
        <v>4013301</v>
      </c>
      <c r="D3296" s="19" t="s">
        <v>46</v>
      </c>
      <c r="E3296" s="19">
        <f>89/30</f>
        <v>2.96666666666667</v>
      </c>
      <c r="F3296" s="19">
        <v>0</v>
      </c>
      <c r="L3296" s="114"/>
    </row>
    <row r="3297" s="19" customFormat="1" hidden="1" spans="1:12">
      <c r="A3297" s="111" t="s">
        <v>3445</v>
      </c>
      <c r="B3297" s="112">
        <v>4013301</v>
      </c>
      <c r="D3297" s="19" t="s">
        <v>86</v>
      </c>
      <c r="E3297" s="19">
        <f>250/30</f>
        <v>8.33333333333333</v>
      </c>
      <c r="F3297" s="19">
        <v>0</v>
      </c>
      <c r="L3297" s="114"/>
    </row>
    <row r="3298" s="19" customFormat="1" hidden="1" spans="1:12">
      <c r="A3298" s="111" t="s">
        <v>3446</v>
      </c>
      <c r="B3298" s="112">
        <v>4013301</v>
      </c>
      <c r="D3298" s="19" t="s">
        <v>50</v>
      </c>
      <c r="E3298" s="19">
        <f>110/30</f>
        <v>3.66666666666667</v>
      </c>
      <c r="F3298" s="19">
        <v>0</v>
      </c>
      <c r="L3298" s="114"/>
    </row>
    <row r="3299" s="19" customFormat="1" hidden="1" spans="1:12">
      <c r="A3299" s="111" t="s">
        <v>3447</v>
      </c>
      <c r="B3299" s="112">
        <v>4013301</v>
      </c>
      <c r="D3299" s="19" t="s">
        <v>90</v>
      </c>
      <c r="E3299" s="19">
        <f>294/30</f>
        <v>9.8</v>
      </c>
      <c r="F3299" s="19">
        <v>0</v>
      </c>
      <c r="L3299" s="114"/>
    </row>
    <row r="3300" s="19" customFormat="1" hidden="1" spans="1:12">
      <c r="A3300" s="111" t="s">
        <v>3448</v>
      </c>
      <c r="B3300" s="112">
        <v>4013301</v>
      </c>
      <c r="D3300" s="19" t="s">
        <v>44</v>
      </c>
      <c r="E3300" s="19">
        <f>404/30</f>
        <v>13.4666666666667</v>
      </c>
      <c r="F3300" s="19">
        <v>0</v>
      </c>
      <c r="L3300" s="114"/>
    </row>
    <row r="3301" s="19" customFormat="1" hidden="1" spans="1:12">
      <c r="A3301" s="111" t="s">
        <v>3449</v>
      </c>
      <c r="B3301" s="112">
        <v>4013301</v>
      </c>
      <c r="D3301" s="19" t="s">
        <v>42</v>
      </c>
      <c r="E3301" s="19">
        <f>440/30</f>
        <v>14.6666666666667</v>
      </c>
      <c r="F3301" s="19">
        <v>0</v>
      </c>
      <c r="L3301" s="114"/>
    </row>
    <row r="3302" s="19" customFormat="1" hidden="1" spans="1:12">
      <c r="A3302" s="111" t="s">
        <v>3450</v>
      </c>
      <c r="B3302" s="112">
        <v>4013301</v>
      </c>
      <c r="D3302" s="19" t="s">
        <v>92</v>
      </c>
      <c r="E3302" s="19">
        <f>94/30</f>
        <v>3.13333333333333</v>
      </c>
      <c r="F3302" s="19">
        <v>0</v>
      </c>
      <c r="L3302" s="114"/>
    </row>
    <row r="3303" s="19" customFormat="1" hidden="1" spans="1:12">
      <c r="A3303" s="111" t="s">
        <v>3451</v>
      </c>
      <c r="B3303" s="112">
        <v>4013301</v>
      </c>
      <c r="D3303" s="19" t="s">
        <v>109</v>
      </c>
      <c r="E3303" s="19">
        <f>100/30</f>
        <v>3.33333333333333</v>
      </c>
      <c r="F3303" s="19">
        <v>0</v>
      </c>
      <c r="G3303" s="19">
        <v>0</v>
      </c>
      <c r="H3303" s="19">
        <v>2</v>
      </c>
      <c r="I3303" s="19">
        <v>4250</v>
      </c>
      <c r="J3303" s="19" t="s">
        <v>58</v>
      </c>
      <c r="K3303" s="19">
        <v>1</v>
      </c>
      <c r="L3303" s="114"/>
    </row>
    <row r="3304" s="19" customFormat="1" hidden="1" spans="1:12">
      <c r="A3304" s="111" t="s">
        <v>3452</v>
      </c>
      <c r="B3304" s="112">
        <v>4013301</v>
      </c>
      <c r="D3304" s="19" t="s">
        <v>97</v>
      </c>
      <c r="E3304" s="19">
        <f>100/30</f>
        <v>3.33333333333333</v>
      </c>
      <c r="F3304" s="19">
        <v>0</v>
      </c>
      <c r="L3304" s="114"/>
    </row>
    <row r="3305" s="19" customFormat="1" hidden="1" spans="1:12">
      <c r="A3305" s="111" t="s">
        <v>3453</v>
      </c>
      <c r="B3305" s="112">
        <v>4013301</v>
      </c>
      <c r="D3305" s="19" t="s">
        <v>77</v>
      </c>
      <c r="E3305" s="19">
        <f>178/30</f>
        <v>5.93333333333333</v>
      </c>
      <c r="F3305" s="19">
        <v>0</v>
      </c>
      <c r="G3305" s="19">
        <v>0</v>
      </c>
      <c r="H3305" s="19">
        <v>2</v>
      </c>
      <c r="I3305" s="19">
        <v>4251</v>
      </c>
      <c r="J3305" s="19" t="s">
        <v>58</v>
      </c>
      <c r="K3305" s="19">
        <v>1</v>
      </c>
      <c r="L3305" s="114"/>
    </row>
    <row r="3306" s="19" customFormat="1" hidden="1" spans="1:12">
      <c r="A3306" s="111" t="s">
        <v>3454</v>
      </c>
      <c r="B3306" s="112">
        <v>4013301</v>
      </c>
      <c r="D3306" s="19" t="s">
        <v>54</v>
      </c>
      <c r="E3306" s="19">
        <f>85/30</f>
        <v>2.83333333333333</v>
      </c>
      <c r="F3306" s="19">
        <v>0</v>
      </c>
      <c r="L3306" s="114"/>
    </row>
    <row r="3307" s="19" customFormat="1" hidden="1" spans="1:12">
      <c r="A3307" s="111" t="s">
        <v>3455</v>
      </c>
      <c r="B3307" s="112">
        <v>4013301</v>
      </c>
      <c r="D3307" s="19" t="s">
        <v>57</v>
      </c>
      <c r="E3307" s="19">
        <f>165/30</f>
        <v>5.5</v>
      </c>
      <c r="F3307" s="19">
        <v>0</v>
      </c>
      <c r="G3307" s="19">
        <v>0</v>
      </c>
      <c r="H3307" s="19">
        <v>2</v>
      </c>
      <c r="I3307" s="19">
        <v>4252</v>
      </c>
      <c r="J3307" s="19" t="s">
        <v>58</v>
      </c>
      <c r="K3307" s="19">
        <v>1</v>
      </c>
      <c r="L3307" s="114"/>
    </row>
    <row r="3308" s="20" customFormat="1" hidden="1" spans="1:12">
      <c r="A3308" s="117" t="s">
        <v>3456</v>
      </c>
      <c r="B3308" s="118">
        <v>134</v>
      </c>
      <c r="D3308" s="20" t="s">
        <v>36</v>
      </c>
      <c r="E3308" s="20">
        <f>75/30</f>
        <v>2.5</v>
      </c>
      <c r="F3308" s="20">
        <v>0</v>
      </c>
      <c r="L3308" s="119"/>
    </row>
    <row r="3309" s="20" customFormat="1" hidden="1" spans="1:12">
      <c r="A3309" s="117" t="s">
        <v>3457</v>
      </c>
      <c r="B3309" s="118">
        <v>134</v>
      </c>
      <c r="D3309" s="20" t="s">
        <v>38</v>
      </c>
      <c r="E3309" s="20">
        <f>81/30</f>
        <v>2.7</v>
      </c>
      <c r="F3309" s="20">
        <v>0</v>
      </c>
      <c r="L3309" s="119"/>
    </row>
    <row r="3310" s="20" customFormat="1" hidden="1" spans="1:12">
      <c r="A3310" s="117" t="s">
        <v>3458</v>
      </c>
      <c r="B3310" s="118">
        <v>134</v>
      </c>
      <c r="D3310" s="20" t="s">
        <v>40</v>
      </c>
      <c r="E3310" s="20">
        <f>96/30</f>
        <v>3.2</v>
      </c>
      <c r="F3310" s="20">
        <v>0</v>
      </c>
      <c r="L3310" s="119"/>
    </row>
    <row r="3311" s="20" customFormat="1" hidden="1" spans="1:12">
      <c r="A3311" s="117" t="s">
        <v>3459</v>
      </c>
      <c r="B3311" s="118">
        <v>134</v>
      </c>
      <c r="D3311" s="20" t="s">
        <v>42</v>
      </c>
      <c r="E3311" s="20">
        <f>95/30</f>
        <v>3.16666666666667</v>
      </c>
      <c r="F3311" s="20">
        <v>0</v>
      </c>
      <c r="L3311" s="119"/>
    </row>
    <row r="3312" s="20" customFormat="1" hidden="1" spans="1:12">
      <c r="A3312" s="117" t="s">
        <v>3460</v>
      </c>
      <c r="B3312" s="118">
        <v>134</v>
      </c>
      <c r="D3312" s="20" t="s">
        <v>44</v>
      </c>
      <c r="E3312" s="20">
        <f>92/30</f>
        <v>3.06666666666667</v>
      </c>
      <c r="F3312" s="20">
        <v>0</v>
      </c>
      <c r="L3312" s="119"/>
    </row>
    <row r="3313" s="20" customFormat="1" hidden="1" spans="1:12">
      <c r="A3313" s="117" t="s">
        <v>3461</v>
      </c>
      <c r="B3313" s="118">
        <v>134</v>
      </c>
      <c r="D3313" s="20" t="s">
        <v>46</v>
      </c>
      <c r="E3313" s="20">
        <f>430/30</f>
        <v>14.3333333333333</v>
      </c>
      <c r="F3313" s="20">
        <v>0</v>
      </c>
      <c r="L3313" s="119"/>
    </row>
    <row r="3314" s="20" customFormat="1" hidden="1" spans="1:12">
      <c r="A3314" s="117" t="s">
        <v>3462</v>
      </c>
      <c r="B3314" s="118">
        <v>134</v>
      </c>
      <c r="D3314" s="20" t="s">
        <v>86</v>
      </c>
      <c r="E3314" s="20">
        <f>460/30</f>
        <v>15.3333333333333</v>
      </c>
      <c r="F3314" s="20">
        <v>0</v>
      </c>
      <c r="L3314" s="119"/>
    </row>
    <row r="3315" s="20" customFormat="1" hidden="1" spans="1:12">
      <c r="A3315" s="117" t="s">
        <v>3463</v>
      </c>
      <c r="B3315" s="118">
        <v>134</v>
      </c>
      <c r="D3315" s="20" t="s">
        <v>50</v>
      </c>
      <c r="E3315" s="20">
        <f>477/30</f>
        <v>15.9</v>
      </c>
      <c r="F3315" s="20">
        <v>0</v>
      </c>
      <c r="L3315" s="119"/>
    </row>
    <row r="3316" s="20" customFormat="1" hidden="1" spans="1:12">
      <c r="A3316" s="117" t="s">
        <v>3464</v>
      </c>
      <c r="B3316" s="118">
        <v>134</v>
      </c>
      <c r="D3316" s="20" t="s">
        <v>92</v>
      </c>
      <c r="E3316" s="20">
        <f>80/30</f>
        <v>2.66666666666667</v>
      </c>
      <c r="F3316" s="20">
        <v>0</v>
      </c>
      <c r="L3316" s="119"/>
    </row>
    <row r="3317" s="20" customFormat="1" hidden="1" spans="1:12">
      <c r="A3317" s="117" t="s">
        <v>3465</v>
      </c>
      <c r="B3317" s="118">
        <v>134</v>
      </c>
      <c r="D3317" s="20" t="s">
        <v>109</v>
      </c>
      <c r="E3317" s="20">
        <f>80/30</f>
        <v>2.66666666666667</v>
      </c>
      <c r="F3317" s="20">
        <v>0</v>
      </c>
      <c r="L3317" s="119"/>
    </row>
    <row r="3318" s="20" customFormat="1" hidden="1" spans="1:12">
      <c r="A3318" s="117" t="s">
        <v>3466</v>
      </c>
      <c r="B3318" s="118">
        <v>134</v>
      </c>
      <c r="D3318" s="20" t="s">
        <v>97</v>
      </c>
      <c r="E3318" s="20">
        <f>130/30</f>
        <v>4.33333333333333</v>
      </c>
      <c r="F3318" s="20">
        <v>0</v>
      </c>
      <c r="L3318" s="119"/>
    </row>
    <row r="3319" s="20" customFormat="1" hidden="1" spans="1:12">
      <c r="A3319" s="117" t="s">
        <v>3467</v>
      </c>
      <c r="B3319" s="118">
        <v>134</v>
      </c>
      <c r="D3319" s="20" t="s">
        <v>77</v>
      </c>
      <c r="E3319" s="20">
        <f>160/30</f>
        <v>5.33333333333333</v>
      </c>
      <c r="F3319" s="20">
        <v>0</v>
      </c>
      <c r="G3319" s="20">
        <v>0</v>
      </c>
      <c r="H3319" s="20">
        <v>2</v>
      </c>
      <c r="I3319" s="20">
        <v>4281</v>
      </c>
      <c r="J3319" s="20" t="s">
        <v>58</v>
      </c>
      <c r="K3319" s="20">
        <v>1</v>
      </c>
      <c r="L3319" s="119"/>
    </row>
    <row r="3320" s="20" customFormat="1" hidden="1" spans="1:12">
      <c r="A3320" s="117" t="s">
        <v>3468</v>
      </c>
      <c r="B3320" s="118">
        <v>134</v>
      </c>
      <c r="D3320" s="20" t="s">
        <v>54</v>
      </c>
      <c r="E3320" s="20">
        <f>110/30</f>
        <v>3.66666666666667</v>
      </c>
      <c r="F3320" s="20">
        <v>0</v>
      </c>
      <c r="L3320" s="119"/>
    </row>
    <row r="3321" s="20" customFormat="1" hidden="1" spans="1:12">
      <c r="A3321" s="117" t="s">
        <v>3469</v>
      </c>
      <c r="B3321" s="118">
        <v>134</v>
      </c>
      <c r="D3321" s="20" t="s">
        <v>57</v>
      </c>
      <c r="E3321" s="20">
        <f>133/30</f>
        <v>4.43333333333333</v>
      </c>
      <c r="F3321" s="20">
        <v>0</v>
      </c>
      <c r="G3321" s="20" t="s">
        <v>61</v>
      </c>
      <c r="H3321" s="20" t="s">
        <v>62</v>
      </c>
      <c r="I3321" s="20" t="s">
        <v>3470</v>
      </c>
      <c r="J3321" s="20" t="s">
        <v>3471</v>
      </c>
      <c r="K3321" s="20" t="s">
        <v>95</v>
      </c>
      <c r="L3321" s="119"/>
    </row>
    <row r="3322" s="19" customFormat="1" hidden="1" spans="1:12">
      <c r="A3322" s="111" t="s">
        <v>3472</v>
      </c>
      <c r="B3322" s="112">
        <v>4013401</v>
      </c>
      <c r="D3322" s="19" t="s">
        <v>36</v>
      </c>
      <c r="E3322" s="19">
        <f>75/30</f>
        <v>2.5</v>
      </c>
      <c r="F3322" s="19">
        <v>0</v>
      </c>
      <c r="L3322" s="114"/>
    </row>
    <row r="3323" s="19" customFormat="1" hidden="1" spans="1:12">
      <c r="A3323" s="111" t="s">
        <v>3473</v>
      </c>
      <c r="B3323" s="112">
        <v>4013401</v>
      </c>
      <c r="D3323" s="19" t="s">
        <v>38</v>
      </c>
      <c r="E3323" s="19">
        <f>81/30</f>
        <v>2.7</v>
      </c>
      <c r="F3323" s="19">
        <v>0</v>
      </c>
      <c r="L3323" s="114"/>
    </row>
    <row r="3324" s="19" customFormat="1" hidden="1" spans="1:12">
      <c r="A3324" s="111" t="s">
        <v>3474</v>
      </c>
      <c r="B3324" s="112">
        <v>4013401</v>
      </c>
      <c r="D3324" s="19" t="s">
        <v>40</v>
      </c>
      <c r="E3324" s="19">
        <f>96/30</f>
        <v>3.2</v>
      </c>
      <c r="F3324" s="19">
        <v>0</v>
      </c>
      <c r="L3324" s="114"/>
    </row>
    <row r="3325" s="19" customFormat="1" hidden="1" spans="1:12">
      <c r="A3325" s="111" t="s">
        <v>3475</v>
      </c>
      <c r="B3325" s="112">
        <v>4013401</v>
      </c>
      <c r="D3325" s="19" t="s">
        <v>42</v>
      </c>
      <c r="E3325" s="19">
        <f>95/30</f>
        <v>3.16666666666667</v>
      </c>
      <c r="F3325" s="19">
        <v>0</v>
      </c>
      <c r="L3325" s="114"/>
    </row>
    <row r="3326" s="19" customFormat="1" hidden="1" spans="1:12">
      <c r="A3326" s="111" t="s">
        <v>3476</v>
      </c>
      <c r="B3326" s="112">
        <v>4013401</v>
      </c>
      <c r="D3326" s="19" t="s">
        <v>44</v>
      </c>
      <c r="E3326" s="19">
        <f>92/30</f>
        <v>3.06666666666667</v>
      </c>
      <c r="F3326" s="19">
        <v>0</v>
      </c>
      <c r="L3326" s="114"/>
    </row>
    <row r="3327" s="19" customFormat="1" hidden="1" spans="1:12">
      <c r="A3327" s="111" t="s">
        <v>3477</v>
      </c>
      <c r="B3327" s="112">
        <v>4013401</v>
      </c>
      <c r="D3327" s="19" t="s">
        <v>46</v>
      </c>
      <c r="E3327" s="19">
        <f>430/30</f>
        <v>14.3333333333333</v>
      </c>
      <c r="F3327" s="19">
        <v>0</v>
      </c>
      <c r="L3327" s="114"/>
    </row>
    <row r="3328" s="19" customFormat="1" hidden="1" spans="1:12">
      <c r="A3328" s="111" t="s">
        <v>3478</v>
      </c>
      <c r="B3328" s="112">
        <v>4013401</v>
      </c>
      <c r="D3328" s="19" t="s">
        <v>86</v>
      </c>
      <c r="E3328" s="19">
        <f>460/30</f>
        <v>15.3333333333333</v>
      </c>
      <c r="F3328" s="19">
        <v>0</v>
      </c>
      <c r="L3328" s="114"/>
    </row>
    <row r="3329" s="19" customFormat="1" hidden="1" spans="1:12">
      <c r="A3329" s="111" t="s">
        <v>3479</v>
      </c>
      <c r="B3329" s="112">
        <v>4013401</v>
      </c>
      <c r="D3329" s="19" t="s">
        <v>50</v>
      </c>
      <c r="E3329" s="19">
        <f>477/30</f>
        <v>15.9</v>
      </c>
      <c r="F3329" s="19">
        <v>0</v>
      </c>
      <c r="L3329" s="114"/>
    </row>
    <row r="3330" s="19" customFormat="1" hidden="1" spans="1:12">
      <c r="A3330" s="111" t="s">
        <v>3480</v>
      </c>
      <c r="B3330" s="112">
        <v>4013401</v>
      </c>
      <c r="D3330" s="19" t="s">
        <v>92</v>
      </c>
      <c r="E3330" s="19">
        <f>80/30</f>
        <v>2.66666666666667</v>
      </c>
      <c r="F3330" s="19">
        <v>0</v>
      </c>
      <c r="L3330" s="114"/>
    </row>
    <row r="3331" s="19" customFormat="1" hidden="1" spans="1:12">
      <c r="A3331" s="111" t="s">
        <v>3481</v>
      </c>
      <c r="B3331" s="112">
        <v>4013401</v>
      </c>
      <c r="D3331" s="19" t="s">
        <v>109</v>
      </c>
      <c r="E3331" s="19">
        <f>80/30</f>
        <v>2.66666666666667</v>
      </c>
      <c r="F3331" s="19">
        <v>0</v>
      </c>
      <c r="L3331" s="114"/>
    </row>
    <row r="3332" s="19" customFormat="1" hidden="1" spans="1:12">
      <c r="A3332" s="111" t="s">
        <v>3482</v>
      </c>
      <c r="B3332" s="112">
        <v>4013401</v>
      </c>
      <c r="D3332" s="19" t="s">
        <v>97</v>
      </c>
      <c r="E3332" s="19">
        <f>130/30</f>
        <v>4.33333333333333</v>
      </c>
      <c r="F3332" s="19">
        <v>0</v>
      </c>
      <c r="L3332" s="114"/>
    </row>
    <row r="3333" s="19" customFormat="1" hidden="1" spans="1:12">
      <c r="A3333" s="111" t="s">
        <v>3483</v>
      </c>
      <c r="B3333" s="112">
        <v>4013401</v>
      </c>
      <c r="D3333" s="19" t="s">
        <v>77</v>
      </c>
      <c r="E3333" s="19">
        <f>160/30</f>
        <v>5.33333333333333</v>
      </c>
      <c r="F3333" s="19">
        <v>0</v>
      </c>
      <c r="G3333" s="19">
        <v>0</v>
      </c>
      <c r="H3333" s="19">
        <v>2</v>
      </c>
      <c r="I3333" s="19">
        <v>4281</v>
      </c>
      <c r="J3333" s="19" t="s">
        <v>58</v>
      </c>
      <c r="K3333" s="19">
        <v>1</v>
      </c>
      <c r="L3333" s="114"/>
    </row>
    <row r="3334" s="19" customFormat="1" hidden="1" spans="1:12">
      <c r="A3334" s="111" t="s">
        <v>3484</v>
      </c>
      <c r="B3334" s="112">
        <v>4013401</v>
      </c>
      <c r="D3334" s="19" t="s">
        <v>54</v>
      </c>
      <c r="E3334" s="19">
        <f>110/30</f>
        <v>3.66666666666667</v>
      </c>
      <c r="F3334" s="19">
        <v>0</v>
      </c>
      <c r="L3334" s="114"/>
    </row>
    <row r="3335" s="19" customFormat="1" hidden="1" spans="1:12">
      <c r="A3335" s="111" t="s">
        <v>3485</v>
      </c>
      <c r="B3335" s="112">
        <v>4013401</v>
      </c>
      <c r="D3335" s="19" t="s">
        <v>57</v>
      </c>
      <c r="E3335" s="19">
        <f>133/30</f>
        <v>4.43333333333333</v>
      </c>
      <c r="F3335" s="19">
        <v>0</v>
      </c>
      <c r="G3335" s="19" t="s">
        <v>61</v>
      </c>
      <c r="H3335" s="19" t="s">
        <v>62</v>
      </c>
      <c r="I3335" s="19" t="s">
        <v>3470</v>
      </c>
      <c r="J3335" s="19" t="s">
        <v>3471</v>
      </c>
      <c r="K3335" s="19" t="s">
        <v>95</v>
      </c>
      <c r="L3335" s="114"/>
    </row>
    <row r="3336" hidden="1" spans="1:6">
      <c r="A3336" s="2" t="s">
        <v>3486</v>
      </c>
      <c r="B3336" s="3">
        <v>89</v>
      </c>
      <c r="D3336" t="s">
        <v>90</v>
      </c>
      <c r="E3336">
        <f>125/30</f>
        <v>4.16666666666667</v>
      </c>
      <c r="F3336">
        <v>0</v>
      </c>
    </row>
    <row r="3337" hidden="1" spans="1:6">
      <c r="A3337" s="2" t="s">
        <v>3487</v>
      </c>
      <c r="B3337" s="3">
        <v>89</v>
      </c>
      <c r="D3337" t="s">
        <v>48</v>
      </c>
      <c r="E3337">
        <f>121/30</f>
        <v>4.03333333333333</v>
      </c>
      <c r="F3337">
        <v>0</v>
      </c>
    </row>
    <row r="3338" hidden="1" spans="1:6">
      <c r="A3338" s="2" t="s">
        <v>3488</v>
      </c>
      <c r="B3338" s="3">
        <v>89</v>
      </c>
      <c r="D3338" t="s">
        <v>52</v>
      </c>
      <c r="E3338">
        <f>400/30</f>
        <v>13.3333333333333</v>
      </c>
      <c r="F3338">
        <v>0</v>
      </c>
    </row>
    <row r="3339" hidden="1" spans="1:11">
      <c r="A3339" s="2" t="s">
        <v>3489</v>
      </c>
      <c r="B3339" s="3">
        <v>89</v>
      </c>
      <c r="D3339" t="s">
        <v>57</v>
      </c>
      <c r="E3339">
        <v>4.83333333333333</v>
      </c>
      <c r="F3339">
        <v>0</v>
      </c>
      <c r="G3339" s="19">
        <v>0</v>
      </c>
      <c r="H3339" s="19">
        <v>2</v>
      </c>
      <c r="I3339" s="19">
        <v>4296</v>
      </c>
      <c r="J3339" s="19" t="s">
        <v>58</v>
      </c>
      <c r="K3339" s="19">
        <v>1</v>
      </c>
    </row>
    <row r="3340" hidden="1" spans="1:6">
      <c r="A3340" s="2" t="s">
        <v>3490</v>
      </c>
      <c r="B3340" s="3">
        <v>408901</v>
      </c>
      <c r="D3340" t="s">
        <v>90</v>
      </c>
      <c r="E3340">
        <f>125/30</f>
        <v>4.16666666666667</v>
      </c>
      <c r="F3340">
        <v>0</v>
      </c>
    </row>
    <row r="3341" hidden="1" spans="1:6">
      <c r="A3341" s="2" t="s">
        <v>3491</v>
      </c>
      <c r="B3341" s="3">
        <v>408901</v>
      </c>
      <c r="D3341" t="s">
        <v>48</v>
      </c>
      <c r="E3341">
        <f>121/30</f>
        <v>4.03333333333333</v>
      </c>
      <c r="F3341">
        <v>0</v>
      </c>
    </row>
    <row r="3342" hidden="1" spans="1:6">
      <c r="A3342" s="2" t="s">
        <v>3492</v>
      </c>
      <c r="B3342" s="3">
        <v>408901</v>
      </c>
      <c r="D3342" t="s">
        <v>52</v>
      </c>
      <c r="E3342">
        <f>400/30</f>
        <v>13.3333333333333</v>
      </c>
      <c r="F3342">
        <v>0</v>
      </c>
    </row>
    <row r="3343" hidden="1" spans="1:11">
      <c r="A3343" s="2" t="s">
        <v>3493</v>
      </c>
      <c r="B3343" s="3">
        <v>408901</v>
      </c>
      <c r="D3343" t="s">
        <v>57</v>
      </c>
      <c r="E3343">
        <v>4.83333333333333</v>
      </c>
      <c r="F3343">
        <v>0</v>
      </c>
      <c r="G3343" s="19">
        <v>0</v>
      </c>
      <c r="H3343" s="19">
        <v>2</v>
      </c>
      <c r="I3343" s="19">
        <v>4296</v>
      </c>
      <c r="J3343" s="19" t="s">
        <v>58</v>
      </c>
      <c r="K3343" s="19">
        <v>1</v>
      </c>
    </row>
    <row r="3344" s="21" customFormat="1" hidden="1" spans="1:12">
      <c r="A3344" s="120" t="s">
        <v>3494</v>
      </c>
      <c r="B3344" s="121">
        <v>135</v>
      </c>
      <c r="D3344" s="21" t="s">
        <v>36</v>
      </c>
      <c r="E3344" s="21">
        <f>74/30</f>
        <v>2.46666666666667</v>
      </c>
      <c r="F3344" s="21">
        <v>0</v>
      </c>
      <c r="L3344" s="122"/>
    </row>
    <row r="3345" s="21" customFormat="1" hidden="1" spans="1:12">
      <c r="A3345" s="120" t="s">
        <v>3495</v>
      </c>
      <c r="B3345" s="121">
        <v>135</v>
      </c>
      <c r="D3345" s="21" t="s">
        <v>38</v>
      </c>
      <c r="E3345" s="21">
        <f>60/30</f>
        <v>2</v>
      </c>
      <c r="F3345" s="21">
        <v>0</v>
      </c>
      <c r="L3345" s="122"/>
    </row>
    <row r="3346" s="21" customFormat="1" hidden="1" spans="1:12">
      <c r="A3346" s="120" t="s">
        <v>3496</v>
      </c>
      <c r="B3346" s="121">
        <v>135</v>
      </c>
      <c r="D3346" s="21" t="s">
        <v>40</v>
      </c>
      <c r="E3346" s="21">
        <f>130/30</f>
        <v>4.33333333333333</v>
      </c>
      <c r="F3346" s="21">
        <v>0</v>
      </c>
      <c r="L3346" s="122"/>
    </row>
    <row r="3347" s="21" customFormat="1" hidden="1" spans="1:12">
      <c r="A3347" s="120" t="s">
        <v>3497</v>
      </c>
      <c r="B3347" s="121">
        <v>135</v>
      </c>
      <c r="D3347" s="21" t="s">
        <v>46</v>
      </c>
      <c r="E3347" s="21">
        <f>450/30</f>
        <v>15</v>
      </c>
      <c r="F3347" s="21">
        <v>0</v>
      </c>
      <c r="L3347" s="122"/>
    </row>
    <row r="3348" s="21" customFormat="1" hidden="1" spans="1:12">
      <c r="A3348" s="120" t="s">
        <v>3498</v>
      </c>
      <c r="B3348" s="121">
        <v>30083</v>
      </c>
      <c r="D3348" s="21" t="s">
        <v>42</v>
      </c>
      <c r="E3348" s="21">
        <f>89/30</f>
        <v>2.96666666666667</v>
      </c>
      <c r="F3348" s="21">
        <v>0</v>
      </c>
      <c r="L3348" s="122"/>
    </row>
    <row r="3349" s="21" customFormat="1" hidden="1" spans="1:12">
      <c r="A3349" s="120" t="s">
        <v>3499</v>
      </c>
      <c r="B3349" s="121">
        <v>30083</v>
      </c>
      <c r="D3349" s="21" t="s">
        <v>44</v>
      </c>
      <c r="E3349" s="21">
        <f>275/30</f>
        <v>9.16666666666667</v>
      </c>
      <c r="F3349" s="21">
        <v>0</v>
      </c>
      <c r="L3349" s="122"/>
    </row>
    <row r="3350" s="21" customFormat="1" hidden="1" spans="1:12">
      <c r="A3350" s="120" t="s">
        <v>3500</v>
      </c>
      <c r="B3350" s="121">
        <v>30083</v>
      </c>
      <c r="D3350" s="21" t="s">
        <v>50</v>
      </c>
      <c r="E3350" s="21">
        <f>468/30</f>
        <v>15.6</v>
      </c>
      <c r="F3350" s="21">
        <v>0</v>
      </c>
      <c r="L3350" s="122"/>
    </row>
    <row r="3351" s="21" customFormat="1" hidden="1" spans="1:12">
      <c r="A3351" s="120" t="s">
        <v>3501</v>
      </c>
      <c r="B3351" s="121">
        <v>30083</v>
      </c>
      <c r="D3351" s="21" t="s">
        <v>90</v>
      </c>
      <c r="E3351" s="21">
        <f>450/30</f>
        <v>15</v>
      </c>
      <c r="F3351" s="21">
        <v>0</v>
      </c>
      <c r="L3351" s="122"/>
    </row>
    <row r="3352" s="21" customFormat="1" hidden="1" spans="1:12">
      <c r="A3352" s="120" t="s">
        <v>3502</v>
      </c>
      <c r="B3352" s="121">
        <v>30083</v>
      </c>
      <c r="D3352" s="21" t="s">
        <v>48</v>
      </c>
      <c r="E3352" s="21">
        <f>74/30</f>
        <v>2.46666666666667</v>
      </c>
      <c r="F3352" s="21">
        <v>0</v>
      </c>
      <c r="L3352" s="122"/>
    </row>
    <row r="3353" s="21" customFormat="1" hidden="1" spans="1:12">
      <c r="A3353" s="120" t="s">
        <v>3503</v>
      </c>
      <c r="B3353" s="121">
        <v>135</v>
      </c>
      <c r="D3353" s="21" t="s">
        <v>92</v>
      </c>
      <c r="E3353" s="21">
        <f>125/30</f>
        <v>4.16666666666667</v>
      </c>
      <c r="F3353" s="21">
        <v>0</v>
      </c>
      <c r="L3353" s="122"/>
    </row>
    <row r="3354" s="21" customFormat="1" hidden="1" spans="1:12">
      <c r="A3354" s="120" t="s">
        <v>3504</v>
      </c>
      <c r="B3354" s="121">
        <v>135</v>
      </c>
      <c r="D3354" s="21" t="s">
        <v>109</v>
      </c>
      <c r="E3354" s="21">
        <f>81/30</f>
        <v>2.7</v>
      </c>
      <c r="F3354" s="21">
        <v>0</v>
      </c>
      <c r="L3354" s="122"/>
    </row>
    <row r="3355" s="21" customFormat="1" hidden="1" spans="1:12">
      <c r="A3355" s="120" t="s">
        <v>3505</v>
      </c>
      <c r="B3355" s="121">
        <v>135</v>
      </c>
      <c r="D3355" s="21" t="s">
        <v>97</v>
      </c>
      <c r="E3355" s="21">
        <f>135/30</f>
        <v>4.5</v>
      </c>
      <c r="F3355" s="21">
        <v>0</v>
      </c>
      <c r="G3355" s="19">
        <v>0</v>
      </c>
      <c r="H3355" s="19">
        <v>2</v>
      </c>
      <c r="I3355" s="21">
        <v>4314</v>
      </c>
      <c r="J3355" s="19" t="s">
        <v>58</v>
      </c>
      <c r="K3355" s="21">
        <v>1</v>
      </c>
      <c r="L3355" s="122"/>
    </row>
    <row r="3356" s="21" customFormat="1" hidden="1" spans="1:12">
      <c r="A3356" s="120" t="s">
        <v>3506</v>
      </c>
      <c r="B3356" s="121">
        <v>135</v>
      </c>
      <c r="D3356" s="21" t="s">
        <v>77</v>
      </c>
      <c r="E3356" s="21">
        <f>113/30</f>
        <v>3.76666666666667</v>
      </c>
      <c r="F3356" s="21">
        <v>0</v>
      </c>
      <c r="L3356" s="122"/>
    </row>
    <row r="3357" s="21" customFormat="1" hidden="1" spans="1:12">
      <c r="A3357" s="120" t="s">
        <v>3507</v>
      </c>
      <c r="B3357" s="121">
        <v>135</v>
      </c>
      <c r="D3357" s="21" t="s">
        <v>54</v>
      </c>
      <c r="E3357" s="21">
        <f>125/30</f>
        <v>4.16666666666667</v>
      </c>
      <c r="F3357" s="21">
        <v>0</v>
      </c>
      <c r="L3357" s="122"/>
    </row>
    <row r="3358" s="21" customFormat="1" hidden="1" spans="1:12">
      <c r="A3358" s="120" t="s">
        <v>3508</v>
      </c>
      <c r="B3358" s="121">
        <v>135</v>
      </c>
      <c r="D3358" s="21" t="s">
        <v>57</v>
      </c>
      <c r="E3358" s="21">
        <f>280/30</f>
        <v>9.33333333333333</v>
      </c>
      <c r="F3358" s="21">
        <v>0</v>
      </c>
      <c r="G3358" s="21" t="s">
        <v>61</v>
      </c>
      <c r="H3358" s="21" t="s">
        <v>62</v>
      </c>
      <c r="I3358" s="21" t="s">
        <v>3509</v>
      </c>
      <c r="J3358" s="21" t="s">
        <v>3510</v>
      </c>
      <c r="K3358" s="21" t="s">
        <v>95</v>
      </c>
      <c r="L3358" s="122"/>
    </row>
    <row r="3359" hidden="1" spans="1:11">
      <c r="A3359" s="2" t="s">
        <v>3511</v>
      </c>
      <c r="B3359" s="3">
        <v>4013501</v>
      </c>
      <c r="D3359" s="21" t="s">
        <v>36</v>
      </c>
      <c r="E3359" s="21">
        <f>74/30</f>
        <v>2.46666666666667</v>
      </c>
      <c r="F3359" s="21">
        <v>0</v>
      </c>
      <c r="G3359" s="21"/>
      <c r="H3359" s="21"/>
      <c r="I3359" s="21"/>
      <c r="J3359" s="21"/>
      <c r="K3359" s="21"/>
    </row>
    <row r="3360" hidden="1" spans="1:11">
      <c r="A3360" s="2" t="s">
        <v>3512</v>
      </c>
      <c r="B3360" s="3">
        <v>4013501</v>
      </c>
      <c r="D3360" s="21" t="s">
        <v>38</v>
      </c>
      <c r="E3360" s="21">
        <f>60/30</f>
        <v>2</v>
      </c>
      <c r="F3360" s="21">
        <v>0</v>
      </c>
      <c r="G3360" s="21"/>
      <c r="H3360" s="21"/>
      <c r="I3360" s="21"/>
      <c r="J3360" s="21"/>
      <c r="K3360" s="21"/>
    </row>
    <row r="3361" hidden="1" spans="1:11">
      <c r="A3361" s="2" t="s">
        <v>3513</v>
      </c>
      <c r="B3361" s="3">
        <v>4013501</v>
      </c>
      <c r="D3361" s="21" t="s">
        <v>40</v>
      </c>
      <c r="E3361" s="21">
        <f>130/30</f>
        <v>4.33333333333333</v>
      </c>
      <c r="F3361" s="21">
        <v>0</v>
      </c>
      <c r="G3361" s="21"/>
      <c r="H3361" s="21"/>
      <c r="I3361" s="21"/>
      <c r="J3361" s="21"/>
      <c r="K3361" s="21"/>
    </row>
    <row r="3362" hidden="1" spans="1:11">
      <c r="A3362" s="2" t="s">
        <v>3514</v>
      </c>
      <c r="B3362" s="3">
        <v>4013501</v>
      </c>
      <c r="D3362" s="21" t="s">
        <v>46</v>
      </c>
      <c r="E3362" s="21">
        <f>450/30</f>
        <v>15</v>
      </c>
      <c r="F3362" s="21">
        <v>0</v>
      </c>
      <c r="G3362" s="21"/>
      <c r="H3362" s="21"/>
      <c r="I3362" s="21"/>
      <c r="J3362" s="21"/>
      <c r="K3362" s="21"/>
    </row>
    <row r="3363" hidden="1" spans="1:11">
      <c r="A3363" s="2" t="s">
        <v>3515</v>
      </c>
      <c r="B3363" s="3">
        <v>30084</v>
      </c>
      <c r="D3363" s="21" t="s">
        <v>42</v>
      </c>
      <c r="E3363" s="21">
        <f>89/30</f>
        <v>2.96666666666667</v>
      </c>
      <c r="F3363" s="21">
        <v>0</v>
      </c>
      <c r="G3363" s="21"/>
      <c r="H3363" s="21"/>
      <c r="I3363" s="21"/>
      <c r="J3363" s="21"/>
      <c r="K3363" s="21"/>
    </row>
    <row r="3364" hidden="1" spans="1:11">
      <c r="A3364" s="2" t="s">
        <v>3516</v>
      </c>
      <c r="B3364" s="3">
        <v>30084</v>
      </c>
      <c r="D3364" s="21" t="s">
        <v>44</v>
      </c>
      <c r="E3364" s="21">
        <f>275/30</f>
        <v>9.16666666666667</v>
      </c>
      <c r="F3364" s="21">
        <v>0</v>
      </c>
      <c r="G3364" s="21"/>
      <c r="H3364" s="21"/>
      <c r="I3364" s="21"/>
      <c r="J3364" s="21"/>
      <c r="K3364" s="21"/>
    </row>
    <row r="3365" hidden="1" spans="1:11">
      <c r="A3365" s="2" t="s">
        <v>3517</v>
      </c>
      <c r="B3365" s="3">
        <v>30084</v>
      </c>
      <c r="D3365" s="21" t="s">
        <v>50</v>
      </c>
      <c r="E3365" s="21">
        <f>468/30</f>
        <v>15.6</v>
      </c>
      <c r="F3365" s="21">
        <v>0</v>
      </c>
      <c r="G3365" s="21"/>
      <c r="H3365" s="21"/>
      <c r="I3365" s="21"/>
      <c r="J3365" s="21"/>
      <c r="K3365" s="21"/>
    </row>
    <row r="3366" hidden="1" spans="1:11">
      <c r="A3366" s="2" t="s">
        <v>3518</v>
      </c>
      <c r="B3366" s="3">
        <v>30084</v>
      </c>
      <c r="D3366" s="21" t="s">
        <v>90</v>
      </c>
      <c r="E3366" s="21">
        <f>450/30</f>
        <v>15</v>
      </c>
      <c r="F3366" s="21">
        <v>0</v>
      </c>
      <c r="G3366" s="21"/>
      <c r="H3366" s="21"/>
      <c r="I3366" s="21"/>
      <c r="J3366" s="21"/>
      <c r="K3366" s="21"/>
    </row>
    <row r="3367" hidden="1" spans="1:11">
      <c r="A3367" s="2" t="s">
        <v>3519</v>
      </c>
      <c r="B3367" s="3">
        <v>30084</v>
      </c>
      <c r="D3367" s="21" t="s">
        <v>48</v>
      </c>
      <c r="E3367" s="21">
        <f>74/30</f>
        <v>2.46666666666667</v>
      </c>
      <c r="F3367" s="21">
        <v>0</v>
      </c>
      <c r="G3367" s="21"/>
      <c r="H3367" s="21"/>
      <c r="I3367" s="21"/>
      <c r="J3367" s="21"/>
      <c r="K3367" s="21"/>
    </row>
    <row r="3368" hidden="1" spans="1:11">
      <c r="A3368" s="2" t="s">
        <v>3520</v>
      </c>
      <c r="B3368" s="3">
        <v>4013501</v>
      </c>
      <c r="D3368" s="21" t="s">
        <v>92</v>
      </c>
      <c r="E3368" s="21">
        <f>125/30</f>
        <v>4.16666666666667</v>
      </c>
      <c r="F3368" s="21">
        <v>0</v>
      </c>
      <c r="G3368" s="21"/>
      <c r="H3368" s="21"/>
      <c r="I3368" s="21"/>
      <c r="J3368" s="21"/>
      <c r="K3368" s="21"/>
    </row>
    <row r="3369" hidden="1" spans="1:11">
      <c r="A3369" s="2" t="s">
        <v>3521</v>
      </c>
      <c r="B3369" s="3">
        <v>4013501</v>
      </c>
      <c r="D3369" s="21" t="s">
        <v>109</v>
      </c>
      <c r="E3369" s="21">
        <f>81/30</f>
        <v>2.7</v>
      </c>
      <c r="F3369" s="21">
        <v>0</v>
      </c>
      <c r="G3369" s="21"/>
      <c r="H3369" s="21"/>
      <c r="I3369" s="21"/>
      <c r="J3369" s="21"/>
      <c r="K3369" s="21"/>
    </row>
    <row r="3370" hidden="1" spans="1:11">
      <c r="A3370" s="2" t="s">
        <v>3522</v>
      </c>
      <c r="B3370" s="3">
        <v>4013501</v>
      </c>
      <c r="D3370" s="21" t="s">
        <v>97</v>
      </c>
      <c r="E3370" s="21">
        <f>135/30</f>
        <v>4.5</v>
      </c>
      <c r="F3370" s="21">
        <v>0</v>
      </c>
      <c r="G3370" s="19">
        <v>0</v>
      </c>
      <c r="H3370" s="19">
        <v>2</v>
      </c>
      <c r="I3370" s="21">
        <v>4314</v>
      </c>
      <c r="J3370" s="19" t="s">
        <v>58</v>
      </c>
      <c r="K3370" s="21">
        <v>1</v>
      </c>
    </row>
    <row r="3371" hidden="1" spans="1:11">
      <c r="A3371" s="2" t="s">
        <v>3523</v>
      </c>
      <c r="B3371" s="3">
        <v>4013501</v>
      </c>
      <c r="D3371" s="21" t="s">
        <v>77</v>
      </c>
      <c r="E3371" s="21">
        <f>113/30</f>
        <v>3.76666666666667</v>
      </c>
      <c r="F3371" s="21">
        <v>0</v>
      </c>
      <c r="G3371" s="21"/>
      <c r="H3371" s="21"/>
      <c r="I3371" s="21"/>
      <c r="J3371" s="21"/>
      <c r="K3371" s="21"/>
    </row>
    <row r="3372" hidden="1" spans="1:11">
      <c r="A3372" s="2" t="s">
        <v>3524</v>
      </c>
      <c r="B3372" s="3">
        <v>4013501</v>
      </c>
      <c r="D3372" s="21" t="s">
        <v>54</v>
      </c>
      <c r="E3372" s="21">
        <f>125/30</f>
        <v>4.16666666666667</v>
      </c>
      <c r="F3372" s="21">
        <v>0</v>
      </c>
      <c r="G3372" s="21"/>
      <c r="H3372" s="21"/>
      <c r="I3372" s="21"/>
      <c r="J3372" s="21"/>
      <c r="K3372" s="21"/>
    </row>
    <row r="3373" hidden="1" spans="1:11">
      <c r="A3373" s="2" t="s">
        <v>3525</v>
      </c>
      <c r="B3373" s="3">
        <v>4013501</v>
      </c>
      <c r="D3373" s="21" t="s">
        <v>57</v>
      </c>
      <c r="E3373" s="21">
        <f>280/30</f>
        <v>9.33333333333333</v>
      </c>
      <c r="F3373" s="21">
        <v>0</v>
      </c>
      <c r="G3373" t="s">
        <v>61</v>
      </c>
      <c r="H3373" t="s">
        <v>62</v>
      </c>
      <c r="I3373" t="s">
        <v>3509</v>
      </c>
      <c r="J3373" t="s">
        <v>3510</v>
      </c>
      <c r="K3373" t="s">
        <v>95</v>
      </c>
    </row>
    <row r="3374" hidden="1" spans="1:6">
      <c r="A3374" s="2" t="s">
        <v>3526</v>
      </c>
      <c r="B3374" s="3">
        <v>136</v>
      </c>
      <c r="D3374" t="s">
        <v>36</v>
      </c>
      <c r="E3374" s="21">
        <f>74/30</f>
        <v>2.46666666666667</v>
      </c>
      <c r="F3374" s="21">
        <v>0</v>
      </c>
    </row>
    <row r="3375" hidden="1" spans="1:6">
      <c r="A3375" s="2" t="s">
        <v>3527</v>
      </c>
      <c r="B3375" s="3">
        <v>136</v>
      </c>
      <c r="D3375" t="s">
        <v>38</v>
      </c>
      <c r="E3375" s="21">
        <f>60/30</f>
        <v>2</v>
      </c>
      <c r="F3375" s="21">
        <v>0</v>
      </c>
    </row>
    <row r="3376" hidden="1" spans="1:6">
      <c r="A3376" s="2" t="s">
        <v>3528</v>
      </c>
      <c r="B3376" s="3">
        <v>30086</v>
      </c>
      <c r="D3376" t="s">
        <v>40</v>
      </c>
      <c r="E3376" s="21">
        <f>75/30</f>
        <v>2.5</v>
      </c>
      <c r="F3376" s="21">
        <v>0</v>
      </c>
    </row>
    <row r="3377" hidden="1" spans="1:6">
      <c r="A3377" s="2" t="s">
        <v>3529</v>
      </c>
      <c r="B3377" s="3">
        <v>136</v>
      </c>
      <c r="D3377" t="s">
        <v>52</v>
      </c>
      <c r="E3377" s="21">
        <f>15/30</f>
        <v>0.5</v>
      </c>
      <c r="F3377" s="21">
        <v>0</v>
      </c>
    </row>
    <row r="3378" hidden="1" spans="1:6">
      <c r="A3378" s="2" t="s">
        <v>3530</v>
      </c>
      <c r="B3378" s="3">
        <v>136</v>
      </c>
      <c r="D3378" t="s">
        <v>42</v>
      </c>
      <c r="E3378" s="21">
        <f>380/30</f>
        <v>12.6666666666667</v>
      </c>
      <c r="F3378" s="21">
        <v>0</v>
      </c>
    </row>
    <row r="3379" hidden="1" spans="1:6">
      <c r="A3379" s="2" t="s">
        <v>3531</v>
      </c>
      <c r="B3379" s="3">
        <v>136</v>
      </c>
      <c r="D3379" t="s">
        <v>44</v>
      </c>
      <c r="E3379" s="21">
        <f>260/30</f>
        <v>8.66666666666667</v>
      </c>
      <c r="F3379" s="21">
        <v>0</v>
      </c>
    </row>
    <row r="3380" hidden="1" spans="1:6">
      <c r="A3380" s="2" t="s">
        <v>3532</v>
      </c>
      <c r="B3380" s="3">
        <v>136</v>
      </c>
      <c r="D3380" t="s">
        <v>46</v>
      </c>
      <c r="E3380" s="21">
        <f>424/30</f>
        <v>14.1333333333333</v>
      </c>
      <c r="F3380" s="21">
        <v>0</v>
      </c>
    </row>
    <row r="3381" hidden="1" spans="1:6">
      <c r="A3381" s="2" t="s">
        <v>3533</v>
      </c>
      <c r="B3381" s="3">
        <v>136</v>
      </c>
      <c r="D3381" t="s">
        <v>48</v>
      </c>
      <c r="E3381" s="21">
        <f>13/30</f>
        <v>0.433333333333333</v>
      </c>
      <c r="F3381" s="21">
        <v>0</v>
      </c>
    </row>
    <row r="3382" hidden="1" spans="1:6">
      <c r="A3382" s="2" t="s">
        <v>3534</v>
      </c>
      <c r="B3382" s="3">
        <v>30085</v>
      </c>
      <c r="D3382" t="s">
        <v>46</v>
      </c>
      <c r="E3382" s="21">
        <f>(424-128)/30</f>
        <v>9.86666666666667</v>
      </c>
      <c r="F3382" s="21">
        <v>0</v>
      </c>
    </row>
    <row r="3383" hidden="1" spans="1:6">
      <c r="A3383" s="2" t="s">
        <v>3535</v>
      </c>
      <c r="B3383" s="3">
        <v>30085</v>
      </c>
      <c r="D3383" t="s">
        <v>86</v>
      </c>
      <c r="E3383" s="21">
        <f>129/30</f>
        <v>4.3</v>
      </c>
      <c r="F3383" s="21">
        <v>0</v>
      </c>
    </row>
    <row r="3384" hidden="1" spans="1:6">
      <c r="A3384" s="2" t="s">
        <v>3536</v>
      </c>
      <c r="B3384" s="3">
        <v>30085</v>
      </c>
      <c r="D3384" t="s">
        <v>50</v>
      </c>
      <c r="E3384" s="21">
        <f>80/30</f>
        <v>2.66666666666667</v>
      </c>
      <c r="F3384" s="21">
        <v>0</v>
      </c>
    </row>
    <row r="3385" hidden="1" spans="1:6">
      <c r="A3385" s="2" t="s">
        <v>3537</v>
      </c>
      <c r="B3385" s="3">
        <v>30085</v>
      </c>
      <c r="D3385" t="s">
        <v>90</v>
      </c>
      <c r="E3385" s="21">
        <f>125/30</f>
        <v>4.16666666666667</v>
      </c>
      <c r="F3385" s="21">
        <v>0</v>
      </c>
    </row>
    <row r="3386" hidden="1" spans="1:6">
      <c r="A3386" s="2" t="s">
        <v>3538</v>
      </c>
      <c r="B3386" s="3">
        <v>136</v>
      </c>
      <c r="D3386" s="21" t="s">
        <v>92</v>
      </c>
      <c r="E3386" s="21">
        <f>60/30</f>
        <v>2</v>
      </c>
      <c r="F3386" s="21">
        <v>0</v>
      </c>
    </row>
    <row r="3387" hidden="1" spans="1:6">
      <c r="A3387" s="2" t="s">
        <v>3539</v>
      </c>
      <c r="B3387" s="3">
        <v>136</v>
      </c>
      <c r="D3387" s="21" t="s">
        <v>109</v>
      </c>
      <c r="E3387" s="21">
        <f>91/30</f>
        <v>3.03333333333333</v>
      </c>
      <c r="F3387" s="21">
        <v>0</v>
      </c>
    </row>
    <row r="3388" hidden="1" spans="1:6">
      <c r="A3388" s="2" t="s">
        <v>3540</v>
      </c>
      <c r="B3388" s="3">
        <v>136</v>
      </c>
      <c r="D3388" s="21" t="s">
        <v>97</v>
      </c>
      <c r="E3388" s="21">
        <f>100/30</f>
        <v>3.33333333333333</v>
      </c>
      <c r="F3388" s="21">
        <v>0</v>
      </c>
    </row>
    <row r="3389" hidden="1" spans="1:6">
      <c r="A3389" s="2" t="s">
        <v>3541</v>
      </c>
      <c r="B3389" s="3">
        <v>136</v>
      </c>
      <c r="D3389" s="21" t="s">
        <v>77</v>
      </c>
      <c r="E3389" s="21">
        <f>76/30</f>
        <v>2.53333333333333</v>
      </c>
      <c r="F3389" s="21">
        <v>0</v>
      </c>
    </row>
    <row r="3390" hidden="1" spans="1:6">
      <c r="A3390" s="2" t="s">
        <v>3542</v>
      </c>
      <c r="B3390" s="3">
        <v>136</v>
      </c>
      <c r="D3390" s="21" t="s">
        <v>54</v>
      </c>
      <c r="E3390" s="21">
        <f>120/30</f>
        <v>4</v>
      </c>
      <c r="F3390" s="21">
        <v>0</v>
      </c>
    </row>
    <row r="3391" hidden="1" spans="1:11">
      <c r="A3391" s="2" t="s">
        <v>3543</v>
      </c>
      <c r="B3391" s="3">
        <v>136</v>
      </c>
      <c r="D3391" s="21" t="s">
        <v>57</v>
      </c>
      <c r="E3391" s="21">
        <f>368/30</f>
        <v>12.2666666666667</v>
      </c>
      <c r="F3391" s="21">
        <v>0</v>
      </c>
      <c r="G3391" t="s">
        <v>942</v>
      </c>
      <c r="H3391" t="s">
        <v>943</v>
      </c>
      <c r="I3391" t="s">
        <v>3544</v>
      </c>
      <c r="J3391" t="s">
        <v>3545</v>
      </c>
      <c r="K3391" t="s">
        <v>1869</v>
      </c>
    </row>
    <row r="3392" hidden="1" spans="1:6">
      <c r="A3392" s="2" t="s">
        <v>3546</v>
      </c>
      <c r="B3392" s="3">
        <v>4013601</v>
      </c>
      <c r="D3392" s="36" t="s">
        <v>36</v>
      </c>
      <c r="E3392" s="36">
        <f>74/30</f>
        <v>2.46666666666667</v>
      </c>
      <c r="F3392" s="36">
        <v>0</v>
      </c>
    </row>
    <row r="3393" hidden="1" spans="1:6">
      <c r="A3393" s="2" t="s">
        <v>3547</v>
      </c>
      <c r="B3393" s="3">
        <v>4013601</v>
      </c>
      <c r="D3393" s="36" t="s">
        <v>38</v>
      </c>
      <c r="E3393" s="36">
        <f>60/30</f>
        <v>2</v>
      </c>
      <c r="F3393" s="36">
        <v>0</v>
      </c>
    </row>
    <row r="3394" hidden="1" spans="1:6">
      <c r="A3394" s="2" t="s">
        <v>3548</v>
      </c>
      <c r="B3394" s="3">
        <v>4013601</v>
      </c>
      <c r="D3394" s="36" t="s">
        <v>52</v>
      </c>
      <c r="E3394" s="36">
        <f>15/30</f>
        <v>0.5</v>
      </c>
      <c r="F3394" s="36">
        <v>0</v>
      </c>
    </row>
    <row r="3395" hidden="1" spans="1:6">
      <c r="A3395" s="2" t="s">
        <v>3549</v>
      </c>
      <c r="B3395" s="3">
        <v>4013601</v>
      </c>
      <c r="D3395" s="36" t="s">
        <v>42</v>
      </c>
      <c r="E3395" s="36">
        <f>380/30</f>
        <v>12.6666666666667</v>
      </c>
      <c r="F3395" s="36">
        <v>0</v>
      </c>
    </row>
    <row r="3396" hidden="1" spans="1:6">
      <c r="A3396" s="2" t="s">
        <v>3550</v>
      </c>
      <c r="B3396" s="3">
        <v>4013601</v>
      </c>
      <c r="D3396" s="36" t="s">
        <v>44</v>
      </c>
      <c r="E3396" s="36">
        <f>260/30</f>
        <v>8.66666666666667</v>
      </c>
      <c r="F3396" s="36">
        <v>0</v>
      </c>
    </row>
    <row r="3397" hidden="1" spans="1:6">
      <c r="A3397" s="2" t="s">
        <v>3551</v>
      </c>
      <c r="B3397" s="3">
        <v>4013601</v>
      </c>
      <c r="D3397" s="36" t="s">
        <v>46</v>
      </c>
      <c r="E3397" s="36">
        <f>424/30</f>
        <v>14.1333333333333</v>
      </c>
      <c r="F3397" s="36">
        <v>0</v>
      </c>
    </row>
    <row r="3398" hidden="1" spans="1:6">
      <c r="A3398" s="2" t="s">
        <v>3552</v>
      </c>
      <c r="B3398" s="3">
        <v>4013601</v>
      </c>
      <c r="D3398" s="36" t="s">
        <v>48</v>
      </c>
      <c r="E3398" s="36">
        <f>13/30</f>
        <v>0.433333333333333</v>
      </c>
      <c r="F3398" s="36">
        <v>0</v>
      </c>
    </row>
    <row r="3399" hidden="1" spans="1:6">
      <c r="A3399" s="2" t="s">
        <v>3553</v>
      </c>
      <c r="B3399" s="3">
        <v>4013601</v>
      </c>
      <c r="D3399" s="36" t="s">
        <v>92</v>
      </c>
      <c r="E3399" s="36">
        <f>60/30</f>
        <v>2</v>
      </c>
      <c r="F3399" s="36">
        <v>0</v>
      </c>
    </row>
    <row r="3400" hidden="1" spans="1:6">
      <c r="A3400" s="2" t="s">
        <v>3554</v>
      </c>
      <c r="B3400" s="3">
        <v>4013601</v>
      </c>
      <c r="D3400" s="36" t="s">
        <v>109</v>
      </c>
      <c r="E3400" s="36">
        <f>91/30</f>
        <v>3.03333333333333</v>
      </c>
      <c r="F3400" s="36">
        <v>0</v>
      </c>
    </row>
    <row r="3401" hidden="1" spans="1:6">
      <c r="A3401" s="2" t="s">
        <v>3555</v>
      </c>
      <c r="B3401" s="3">
        <v>4013601</v>
      </c>
      <c r="D3401" s="36" t="s">
        <v>97</v>
      </c>
      <c r="E3401" s="36">
        <f>100/30</f>
        <v>3.33333333333333</v>
      </c>
      <c r="F3401" s="36">
        <v>0</v>
      </c>
    </row>
    <row r="3402" hidden="1" spans="1:6">
      <c r="A3402" s="2" t="s">
        <v>3556</v>
      </c>
      <c r="B3402" s="3">
        <v>4013601</v>
      </c>
      <c r="D3402" s="36" t="s">
        <v>77</v>
      </c>
      <c r="E3402" s="36">
        <f>76/30</f>
        <v>2.53333333333333</v>
      </c>
      <c r="F3402" s="36">
        <v>0</v>
      </c>
    </row>
    <row r="3403" hidden="1" spans="1:6">
      <c r="A3403" s="2" t="s">
        <v>3557</v>
      </c>
      <c r="B3403" s="3">
        <v>4013601</v>
      </c>
      <c r="D3403" s="36" t="s">
        <v>54</v>
      </c>
      <c r="E3403" s="36">
        <f>120/30</f>
        <v>4</v>
      </c>
      <c r="F3403" s="36">
        <v>0</v>
      </c>
    </row>
    <row r="3404" hidden="1" spans="1:11">
      <c r="A3404" s="2" t="s">
        <v>3558</v>
      </c>
      <c r="B3404" s="3">
        <v>4013601</v>
      </c>
      <c r="D3404" s="36" t="s">
        <v>57</v>
      </c>
      <c r="E3404" s="36">
        <f>368/30</f>
        <v>12.2666666666667</v>
      </c>
      <c r="F3404" s="36">
        <v>0</v>
      </c>
      <c r="G3404" t="s">
        <v>942</v>
      </c>
      <c r="H3404" t="s">
        <v>943</v>
      </c>
      <c r="I3404" t="s">
        <v>3544</v>
      </c>
      <c r="J3404" t="s">
        <v>3545</v>
      </c>
      <c r="K3404" t="s">
        <v>1869</v>
      </c>
    </row>
    <row r="3405" hidden="1" spans="1:6">
      <c r="A3405" s="2" t="s">
        <v>3559</v>
      </c>
      <c r="B3405" s="3">
        <v>88</v>
      </c>
      <c r="C3405">
        <v>3</v>
      </c>
      <c r="D3405" t="s">
        <v>48</v>
      </c>
      <c r="E3405">
        <f>154/30</f>
        <v>5.13333333333333</v>
      </c>
      <c r="F3405">
        <v>0</v>
      </c>
    </row>
    <row r="3406" hidden="1" spans="1:6">
      <c r="A3406" s="2" t="s">
        <v>3560</v>
      </c>
      <c r="B3406" s="3">
        <v>88</v>
      </c>
      <c r="C3406">
        <v>3</v>
      </c>
      <c r="D3406" t="s">
        <v>140</v>
      </c>
      <c r="E3406">
        <f>300/30</f>
        <v>10</v>
      </c>
      <c r="F3406">
        <v>0</v>
      </c>
    </row>
    <row r="3407" hidden="1" spans="1:11">
      <c r="A3407" s="2" t="s">
        <v>3561</v>
      </c>
      <c r="B3407" s="3">
        <v>88</v>
      </c>
      <c r="C3407">
        <v>3</v>
      </c>
      <c r="D3407" t="s">
        <v>57</v>
      </c>
      <c r="E3407">
        <f>194/30</f>
        <v>6.46666666666667</v>
      </c>
      <c r="F3407">
        <v>0</v>
      </c>
      <c r="G3407">
        <v>0</v>
      </c>
      <c r="H3407">
        <v>2</v>
      </c>
      <c r="I3407">
        <v>4347</v>
      </c>
      <c r="J3407" t="s">
        <v>58</v>
      </c>
      <c r="K3407">
        <v>1</v>
      </c>
    </row>
    <row r="3408" hidden="1" spans="1:6">
      <c r="A3408" s="2" t="s">
        <v>3562</v>
      </c>
      <c r="B3408" s="3">
        <v>30036</v>
      </c>
      <c r="C3408">
        <v>3</v>
      </c>
      <c r="D3408" t="s">
        <v>52</v>
      </c>
      <c r="E3408">
        <f>86/30</f>
        <v>2.86666666666667</v>
      </c>
      <c r="F3408">
        <v>0</v>
      </c>
    </row>
    <row r="3409" hidden="1" spans="1:6">
      <c r="A3409" s="2" t="s">
        <v>3563</v>
      </c>
      <c r="B3409" s="3">
        <v>137</v>
      </c>
      <c r="D3409" s="19" t="s">
        <v>36</v>
      </c>
      <c r="E3409">
        <f>87/30</f>
        <v>2.9</v>
      </c>
      <c r="F3409">
        <v>0</v>
      </c>
    </row>
    <row r="3410" hidden="1" spans="1:6">
      <c r="A3410" s="2" t="s">
        <v>3564</v>
      </c>
      <c r="B3410" s="3">
        <v>137</v>
      </c>
      <c r="D3410" s="19" t="s">
        <v>38</v>
      </c>
      <c r="E3410">
        <f>75/30</f>
        <v>2.5</v>
      </c>
      <c r="F3410">
        <v>0</v>
      </c>
    </row>
    <row r="3411" hidden="1" spans="1:6">
      <c r="A3411" s="2" t="s">
        <v>3565</v>
      </c>
      <c r="B3411" s="3">
        <v>137</v>
      </c>
      <c r="D3411" s="19" t="s">
        <v>40</v>
      </c>
      <c r="E3411">
        <f>115/30</f>
        <v>3.83333333333333</v>
      </c>
      <c r="F3411">
        <v>0</v>
      </c>
    </row>
    <row r="3412" hidden="1" spans="1:6">
      <c r="A3412" s="2" t="s">
        <v>3566</v>
      </c>
      <c r="B3412" s="3">
        <v>137</v>
      </c>
      <c r="D3412" s="19" t="s">
        <v>42</v>
      </c>
      <c r="E3412">
        <f>60/30</f>
        <v>2</v>
      </c>
      <c r="F3412">
        <v>0</v>
      </c>
    </row>
    <row r="3413" hidden="1" spans="1:6">
      <c r="A3413" s="2" t="s">
        <v>3567</v>
      </c>
      <c r="B3413" s="3">
        <v>137</v>
      </c>
      <c r="D3413" s="19" t="s">
        <v>44</v>
      </c>
      <c r="E3413">
        <f>85/30</f>
        <v>2.83333333333333</v>
      </c>
      <c r="F3413">
        <v>0</v>
      </c>
    </row>
    <row r="3414" hidden="1" spans="1:6">
      <c r="A3414" s="2" t="s">
        <v>3568</v>
      </c>
      <c r="B3414" s="3">
        <v>137</v>
      </c>
      <c r="D3414" s="19" t="s">
        <v>46</v>
      </c>
      <c r="E3414">
        <f>317/30</f>
        <v>10.5666666666667</v>
      </c>
      <c r="F3414">
        <v>0</v>
      </c>
    </row>
    <row r="3415" hidden="1" spans="1:6">
      <c r="A3415" s="2" t="s">
        <v>3569</v>
      </c>
      <c r="B3415" s="3">
        <v>137</v>
      </c>
      <c r="D3415" s="19" t="s">
        <v>86</v>
      </c>
      <c r="E3415">
        <f>396/30</f>
        <v>13.2</v>
      </c>
      <c r="F3415">
        <v>0</v>
      </c>
    </row>
    <row r="3416" hidden="1" spans="1:6">
      <c r="A3416" s="2" t="s">
        <v>3570</v>
      </c>
      <c r="B3416" s="3">
        <v>137</v>
      </c>
      <c r="D3416" s="19" t="s">
        <v>50</v>
      </c>
      <c r="E3416">
        <f>320/30</f>
        <v>10.6666666666667</v>
      </c>
      <c r="F3416">
        <v>0</v>
      </c>
    </row>
    <row r="3417" hidden="1" spans="1:6">
      <c r="A3417" s="2" t="s">
        <v>3571</v>
      </c>
      <c r="B3417" s="3">
        <v>137</v>
      </c>
      <c r="D3417" s="36" t="s">
        <v>92</v>
      </c>
      <c r="E3417">
        <f>76/30</f>
        <v>2.53333333333333</v>
      </c>
      <c r="F3417">
        <v>0</v>
      </c>
    </row>
    <row r="3418" hidden="1" spans="1:6">
      <c r="A3418" s="2" t="s">
        <v>3572</v>
      </c>
      <c r="B3418" s="3">
        <v>137</v>
      </c>
      <c r="D3418" s="36" t="s">
        <v>109</v>
      </c>
      <c r="E3418">
        <f>42/30</f>
        <v>1.4</v>
      </c>
      <c r="F3418">
        <v>0</v>
      </c>
    </row>
    <row r="3419" hidden="1" spans="1:6">
      <c r="A3419" s="2" t="s">
        <v>3573</v>
      </c>
      <c r="B3419" s="3">
        <v>137</v>
      </c>
      <c r="D3419" s="36" t="s">
        <v>97</v>
      </c>
      <c r="E3419">
        <f>75/30</f>
        <v>2.5</v>
      </c>
      <c r="F3419">
        <v>0</v>
      </c>
    </row>
    <row r="3420" hidden="1" spans="1:6">
      <c r="A3420" s="2" t="s">
        <v>3574</v>
      </c>
      <c r="B3420" s="3">
        <v>137</v>
      </c>
      <c r="D3420" s="36" t="s">
        <v>77</v>
      </c>
      <c r="E3420">
        <f>82/30</f>
        <v>2.73333333333333</v>
      </c>
      <c r="F3420">
        <v>0</v>
      </c>
    </row>
    <row r="3421" hidden="1" spans="1:6">
      <c r="A3421" s="2" t="s">
        <v>3575</v>
      </c>
      <c r="B3421" s="3">
        <v>137</v>
      </c>
      <c r="D3421" s="36" t="s">
        <v>54</v>
      </c>
      <c r="E3421">
        <f>55/30</f>
        <v>1.83333333333333</v>
      </c>
      <c r="F3421">
        <v>0</v>
      </c>
    </row>
    <row r="3422" ht="16.5" hidden="1" spans="1:11">
      <c r="A3422" s="2" t="s">
        <v>3576</v>
      </c>
      <c r="B3422" s="3">
        <v>137</v>
      </c>
      <c r="D3422" s="36" t="s">
        <v>57</v>
      </c>
      <c r="E3422">
        <f>138/30</f>
        <v>4.6</v>
      </c>
      <c r="F3422">
        <v>0</v>
      </c>
      <c r="G3422">
        <v>0</v>
      </c>
      <c r="H3422">
        <v>2</v>
      </c>
      <c r="I3422" s="131">
        <v>4366</v>
      </c>
      <c r="J3422" t="s">
        <v>58</v>
      </c>
      <c r="K3422">
        <v>1</v>
      </c>
    </row>
    <row r="3423" s="6" customFormat="1" hidden="1" spans="1:12">
      <c r="A3423" s="123" t="s">
        <v>3577</v>
      </c>
      <c r="B3423" s="124">
        <v>4013701</v>
      </c>
      <c r="D3423" s="6" t="s">
        <v>36</v>
      </c>
      <c r="E3423" s="6">
        <f>87/30</f>
        <v>2.9</v>
      </c>
      <c r="F3423" s="6">
        <v>0</v>
      </c>
      <c r="L3423" s="132"/>
    </row>
    <row r="3424" s="6" customFormat="1" hidden="1" spans="1:12">
      <c r="A3424" s="123" t="s">
        <v>3578</v>
      </c>
      <c r="B3424" s="124">
        <v>4013701</v>
      </c>
      <c r="D3424" s="6" t="s">
        <v>38</v>
      </c>
      <c r="E3424" s="6">
        <f>75/30</f>
        <v>2.5</v>
      </c>
      <c r="F3424" s="6">
        <v>0</v>
      </c>
      <c r="L3424" s="132"/>
    </row>
    <row r="3425" s="6" customFormat="1" hidden="1" spans="1:12">
      <c r="A3425" s="123" t="s">
        <v>3579</v>
      </c>
      <c r="B3425" s="124">
        <v>4013701</v>
      </c>
      <c r="D3425" s="6" t="s">
        <v>40</v>
      </c>
      <c r="E3425" s="6">
        <f>115/30</f>
        <v>3.83333333333333</v>
      </c>
      <c r="F3425" s="6">
        <v>0</v>
      </c>
      <c r="L3425" s="132"/>
    </row>
    <row r="3426" s="6" customFormat="1" hidden="1" spans="1:12">
      <c r="A3426" s="123" t="s">
        <v>3580</v>
      </c>
      <c r="B3426" s="124">
        <v>4013701</v>
      </c>
      <c r="D3426" s="6" t="s">
        <v>42</v>
      </c>
      <c r="E3426" s="6">
        <v>2</v>
      </c>
      <c r="F3426" s="6">
        <v>0</v>
      </c>
      <c r="L3426" s="132"/>
    </row>
    <row r="3427" s="6" customFormat="1" hidden="1" spans="1:12">
      <c r="A3427" s="123" t="s">
        <v>3581</v>
      </c>
      <c r="B3427" s="124">
        <v>4013701</v>
      </c>
      <c r="D3427" s="6" t="s">
        <v>44</v>
      </c>
      <c r="E3427" s="6">
        <f>85/30</f>
        <v>2.83333333333333</v>
      </c>
      <c r="F3427" s="6">
        <v>0</v>
      </c>
      <c r="L3427" s="132"/>
    </row>
    <row r="3428" s="6" customFormat="1" hidden="1" spans="1:12">
      <c r="A3428" s="123" t="s">
        <v>3582</v>
      </c>
      <c r="B3428" s="124">
        <v>4013701</v>
      </c>
      <c r="D3428" s="6" t="s">
        <v>46</v>
      </c>
      <c r="E3428" s="6">
        <f>317/30</f>
        <v>10.5666666666667</v>
      </c>
      <c r="F3428" s="6">
        <v>0</v>
      </c>
      <c r="L3428" s="132"/>
    </row>
    <row r="3429" s="6" customFormat="1" hidden="1" spans="1:12">
      <c r="A3429" s="123" t="s">
        <v>3583</v>
      </c>
      <c r="B3429" s="124">
        <v>4013701</v>
      </c>
      <c r="D3429" s="6" t="s">
        <v>86</v>
      </c>
      <c r="E3429" s="6">
        <f>396/30</f>
        <v>13.2</v>
      </c>
      <c r="F3429" s="6">
        <v>0</v>
      </c>
      <c r="L3429" s="132"/>
    </row>
    <row r="3430" s="6" customFormat="1" hidden="1" spans="1:12">
      <c r="A3430" s="123" t="s">
        <v>3584</v>
      </c>
      <c r="B3430" s="124">
        <v>4013701</v>
      </c>
      <c r="D3430" s="6" t="s">
        <v>50</v>
      </c>
      <c r="E3430" s="6">
        <f>320/30</f>
        <v>10.6666666666667</v>
      </c>
      <c r="F3430" s="6">
        <v>0</v>
      </c>
      <c r="L3430" s="132"/>
    </row>
    <row r="3431" s="6" customFormat="1" hidden="1" spans="1:12">
      <c r="A3431" s="123" t="s">
        <v>3585</v>
      </c>
      <c r="B3431" s="124">
        <v>4013701</v>
      </c>
      <c r="D3431" s="6" t="s">
        <v>92</v>
      </c>
      <c r="E3431" s="6">
        <f>76/30</f>
        <v>2.53333333333333</v>
      </c>
      <c r="F3431" s="6">
        <v>0</v>
      </c>
      <c r="L3431" s="132"/>
    </row>
    <row r="3432" s="6" customFormat="1" hidden="1" spans="1:12">
      <c r="A3432" s="123" t="s">
        <v>3586</v>
      </c>
      <c r="B3432" s="124">
        <v>4013701</v>
      </c>
      <c r="D3432" s="6" t="s">
        <v>109</v>
      </c>
      <c r="E3432" s="6">
        <f>42/30</f>
        <v>1.4</v>
      </c>
      <c r="F3432" s="6">
        <v>0</v>
      </c>
      <c r="L3432" s="132"/>
    </row>
    <row r="3433" s="6" customFormat="1" hidden="1" spans="1:12">
      <c r="A3433" s="123" t="s">
        <v>3587</v>
      </c>
      <c r="B3433" s="124">
        <v>4013701</v>
      </c>
      <c r="D3433" s="6" t="s">
        <v>97</v>
      </c>
      <c r="E3433" s="6">
        <f>75/30</f>
        <v>2.5</v>
      </c>
      <c r="F3433" s="6">
        <v>0</v>
      </c>
      <c r="L3433" s="132"/>
    </row>
    <row r="3434" s="6" customFormat="1" hidden="1" spans="1:12">
      <c r="A3434" s="123" t="s">
        <v>3588</v>
      </c>
      <c r="B3434" s="124">
        <v>4013701</v>
      </c>
      <c r="D3434" s="6" t="s">
        <v>77</v>
      </c>
      <c r="E3434" s="6">
        <f>82/30</f>
        <v>2.73333333333333</v>
      </c>
      <c r="F3434" s="6">
        <v>0</v>
      </c>
      <c r="L3434" s="132"/>
    </row>
    <row r="3435" s="6" customFormat="1" hidden="1" spans="1:12">
      <c r="A3435" s="123" t="s">
        <v>3589</v>
      </c>
      <c r="B3435" s="124">
        <v>4013701</v>
      </c>
      <c r="D3435" s="6" t="s">
        <v>54</v>
      </c>
      <c r="E3435" s="6">
        <f>55/30</f>
        <v>1.83333333333333</v>
      </c>
      <c r="F3435" s="6">
        <v>0</v>
      </c>
      <c r="L3435" s="132"/>
    </row>
    <row r="3436" s="6" customFormat="1" ht="16.5" hidden="1" spans="1:12">
      <c r="A3436" s="123" t="s">
        <v>3590</v>
      </c>
      <c r="B3436" s="124">
        <v>4013701</v>
      </c>
      <c r="D3436" s="6" t="s">
        <v>57</v>
      </c>
      <c r="E3436" s="6">
        <f>138/30</f>
        <v>4.6</v>
      </c>
      <c r="F3436" s="6">
        <v>0</v>
      </c>
      <c r="G3436" s="6">
        <v>0</v>
      </c>
      <c r="H3436" s="6">
        <v>2</v>
      </c>
      <c r="I3436" s="133">
        <v>4366</v>
      </c>
      <c r="J3436" s="6" t="s">
        <v>58</v>
      </c>
      <c r="K3436" s="6">
        <v>1</v>
      </c>
      <c r="L3436" s="132"/>
    </row>
    <row r="3437" s="22" customFormat="1" hidden="1" spans="1:14">
      <c r="A3437" s="125">
        <v>129101</v>
      </c>
      <c r="B3437" s="126">
        <v>1291</v>
      </c>
      <c r="C3437" s="22">
        <v>3</v>
      </c>
      <c r="D3437" s="22" t="s">
        <v>36</v>
      </c>
      <c r="E3437" s="22">
        <v>1.667</v>
      </c>
      <c r="F3437" s="22">
        <v>0</v>
      </c>
      <c r="L3437" s="134"/>
      <c r="N3437" s="22" t="s">
        <v>3591</v>
      </c>
    </row>
    <row r="3438" s="22" customFormat="1" hidden="1" spans="1:14">
      <c r="A3438" s="125">
        <v>129102</v>
      </c>
      <c r="B3438" s="126">
        <v>1291</v>
      </c>
      <c r="C3438" s="22">
        <v>3</v>
      </c>
      <c r="D3438" s="22" t="s">
        <v>38</v>
      </c>
      <c r="E3438" s="22">
        <v>2.6</v>
      </c>
      <c r="F3438" s="22">
        <v>0</v>
      </c>
      <c r="L3438" s="134"/>
      <c r="N3438" s="22" t="s">
        <v>3591</v>
      </c>
    </row>
    <row r="3439" s="22" customFormat="1" hidden="1" spans="1:14">
      <c r="A3439" s="125">
        <v>129103</v>
      </c>
      <c r="B3439" s="126">
        <v>1291</v>
      </c>
      <c r="C3439" s="22">
        <v>3</v>
      </c>
      <c r="D3439" s="22" t="s">
        <v>40</v>
      </c>
      <c r="E3439" s="22">
        <v>5.6</v>
      </c>
      <c r="F3439" s="22">
        <v>0</v>
      </c>
      <c r="L3439" s="134"/>
      <c r="N3439" s="22" t="s">
        <v>3591</v>
      </c>
    </row>
    <row r="3440" s="22" customFormat="1" hidden="1" spans="1:14">
      <c r="A3440" s="125">
        <v>129104</v>
      </c>
      <c r="B3440" s="126">
        <v>1291</v>
      </c>
      <c r="C3440" s="22">
        <v>3</v>
      </c>
      <c r="D3440" s="22" t="s">
        <v>3592</v>
      </c>
      <c r="E3440" s="22">
        <v>5.6</v>
      </c>
      <c r="F3440" s="22">
        <v>0</v>
      </c>
      <c r="L3440" s="134"/>
      <c r="N3440" s="22" t="s">
        <v>3591</v>
      </c>
    </row>
    <row r="3441" s="1" customFormat="1" hidden="1" spans="1:14">
      <c r="A3441" s="127">
        <v>129201</v>
      </c>
      <c r="B3441" s="54">
        <v>1292</v>
      </c>
      <c r="C3441" s="1">
        <v>3</v>
      </c>
      <c r="D3441" s="1" t="s">
        <v>36</v>
      </c>
      <c r="E3441" s="1">
        <v>1.833</v>
      </c>
      <c r="F3441" s="1">
        <v>0</v>
      </c>
      <c r="L3441" s="7"/>
      <c r="N3441" s="1" t="s">
        <v>3593</v>
      </c>
    </row>
    <row r="3442" s="1" customFormat="1" hidden="1" spans="1:14">
      <c r="A3442" s="127">
        <v>129202</v>
      </c>
      <c r="B3442" s="54">
        <v>1292</v>
      </c>
      <c r="C3442" s="1">
        <v>3</v>
      </c>
      <c r="D3442" s="1" t="s">
        <v>38</v>
      </c>
      <c r="E3442" s="1">
        <v>1.733</v>
      </c>
      <c r="F3442" s="1">
        <v>0</v>
      </c>
      <c r="L3442" s="7"/>
      <c r="N3442" s="1" t="s">
        <v>3593</v>
      </c>
    </row>
    <row r="3443" s="1" customFormat="1" hidden="1" spans="1:14">
      <c r="A3443" s="127">
        <v>129203</v>
      </c>
      <c r="B3443" s="54">
        <v>1292</v>
      </c>
      <c r="C3443" s="1">
        <v>3</v>
      </c>
      <c r="D3443" s="1" t="s">
        <v>40</v>
      </c>
      <c r="E3443" s="1">
        <v>2.267</v>
      </c>
      <c r="F3443" s="1">
        <v>0</v>
      </c>
      <c r="L3443" s="7"/>
      <c r="N3443" s="1" t="s">
        <v>3593</v>
      </c>
    </row>
    <row r="3444" s="1" customFormat="1" hidden="1" spans="1:14">
      <c r="A3444" s="127">
        <v>129204</v>
      </c>
      <c r="B3444" s="54">
        <v>1292</v>
      </c>
      <c r="C3444" s="1">
        <v>3</v>
      </c>
      <c r="D3444" s="1" t="s">
        <v>42</v>
      </c>
      <c r="E3444" s="1">
        <v>4.933</v>
      </c>
      <c r="F3444" s="1">
        <v>0</v>
      </c>
      <c r="L3444" s="7"/>
      <c r="N3444" s="1" t="s">
        <v>3593</v>
      </c>
    </row>
    <row r="3445" s="1" customFormat="1" hidden="1" spans="1:14">
      <c r="A3445" s="127">
        <v>129205</v>
      </c>
      <c r="B3445" s="54">
        <v>1292</v>
      </c>
      <c r="C3445" s="1">
        <v>3</v>
      </c>
      <c r="D3445" s="1" t="s">
        <v>3594</v>
      </c>
      <c r="E3445" s="1">
        <v>4.933</v>
      </c>
      <c r="F3445" s="1">
        <v>0</v>
      </c>
      <c r="L3445" s="7"/>
      <c r="N3445" s="1" t="s">
        <v>3593</v>
      </c>
    </row>
    <row r="3446" s="22" customFormat="1" hidden="1" spans="1:14">
      <c r="A3446" s="125">
        <v>129301</v>
      </c>
      <c r="B3446" s="126">
        <v>1293</v>
      </c>
      <c r="C3446" s="22">
        <v>3</v>
      </c>
      <c r="D3446" s="22" t="s">
        <v>36</v>
      </c>
      <c r="E3446" s="22">
        <v>1.6</v>
      </c>
      <c r="F3446" s="22">
        <v>0</v>
      </c>
      <c r="L3446" s="134"/>
      <c r="N3446" s="22" t="s">
        <v>3595</v>
      </c>
    </row>
    <row r="3447" s="22" customFormat="1" hidden="1" spans="1:14">
      <c r="A3447" s="125">
        <v>129302</v>
      </c>
      <c r="B3447" s="126">
        <v>1293</v>
      </c>
      <c r="C3447" s="22">
        <v>3</v>
      </c>
      <c r="D3447" s="22" t="s">
        <v>38</v>
      </c>
      <c r="E3447" s="22">
        <v>2.3</v>
      </c>
      <c r="F3447" s="22">
        <v>0</v>
      </c>
      <c r="L3447" s="134"/>
      <c r="N3447" s="22" t="s">
        <v>3595</v>
      </c>
    </row>
    <row r="3448" s="22" customFormat="1" hidden="1" spans="1:14">
      <c r="A3448" s="125">
        <v>129303</v>
      </c>
      <c r="B3448" s="126">
        <v>1293</v>
      </c>
      <c r="C3448" s="22">
        <v>3</v>
      </c>
      <c r="D3448" s="22" t="s">
        <v>40</v>
      </c>
      <c r="E3448" s="22">
        <v>2.2</v>
      </c>
      <c r="F3448" s="22">
        <v>0</v>
      </c>
      <c r="L3448" s="134"/>
      <c r="N3448" s="22" t="s">
        <v>3595</v>
      </c>
    </row>
    <row r="3449" s="13" customFormat="1" hidden="1" spans="1:14">
      <c r="A3449" s="128">
        <v>129401</v>
      </c>
      <c r="B3449" s="77">
        <v>1294</v>
      </c>
      <c r="C3449" s="13">
        <v>3</v>
      </c>
      <c r="D3449" s="13" t="s">
        <v>36</v>
      </c>
      <c r="E3449" s="13">
        <v>2.133</v>
      </c>
      <c r="F3449" s="13">
        <v>0</v>
      </c>
      <c r="L3449" s="78"/>
      <c r="N3449" s="13" t="s">
        <v>3596</v>
      </c>
    </row>
    <row r="3450" s="22" customFormat="1" hidden="1" spans="1:14">
      <c r="A3450" s="125">
        <v>129501</v>
      </c>
      <c r="B3450" s="126">
        <v>1295</v>
      </c>
      <c r="C3450" s="22">
        <v>3</v>
      </c>
      <c r="D3450" s="22" t="s">
        <v>36</v>
      </c>
      <c r="E3450" s="22">
        <v>2.133</v>
      </c>
      <c r="F3450" s="22">
        <v>0</v>
      </c>
      <c r="L3450" s="134"/>
      <c r="N3450" s="22" t="s">
        <v>3597</v>
      </c>
    </row>
    <row r="3451" s="13" customFormat="1" hidden="1" spans="1:14">
      <c r="A3451" s="128">
        <v>129601</v>
      </c>
      <c r="B3451" s="77">
        <v>1296</v>
      </c>
      <c r="C3451" s="13">
        <v>3</v>
      </c>
      <c r="D3451" s="13" t="s">
        <v>36</v>
      </c>
      <c r="E3451" s="13">
        <v>2</v>
      </c>
      <c r="F3451" s="13">
        <v>0</v>
      </c>
      <c r="L3451" s="78"/>
      <c r="N3451" s="13" t="s">
        <v>3598</v>
      </c>
    </row>
    <row r="3452" s="13" customFormat="1" hidden="1" spans="1:14">
      <c r="A3452" s="128">
        <v>129602</v>
      </c>
      <c r="B3452" s="77">
        <v>1296</v>
      </c>
      <c r="C3452" s="13">
        <v>3</v>
      </c>
      <c r="D3452" s="13" t="s">
        <v>38</v>
      </c>
      <c r="E3452" s="13">
        <v>2.133</v>
      </c>
      <c r="F3452" s="13">
        <v>0</v>
      </c>
      <c r="L3452" s="78"/>
      <c r="N3452" s="13" t="s">
        <v>3599</v>
      </c>
    </row>
    <row r="3453" s="22" customFormat="1" hidden="1" spans="1:14">
      <c r="A3453" s="129">
        <v>129701</v>
      </c>
      <c r="B3453" s="126">
        <v>1297</v>
      </c>
      <c r="C3453" s="22">
        <v>3</v>
      </c>
      <c r="D3453" s="22" t="s">
        <v>36</v>
      </c>
      <c r="E3453" s="22">
        <v>1.6</v>
      </c>
      <c r="F3453" s="22">
        <v>0</v>
      </c>
      <c r="L3453" s="134"/>
      <c r="N3453" s="22" t="s">
        <v>3600</v>
      </c>
    </row>
    <row r="3454" s="13" customFormat="1" hidden="1" spans="1:14">
      <c r="A3454" s="130">
        <v>129801</v>
      </c>
      <c r="B3454" s="77">
        <v>1298</v>
      </c>
      <c r="C3454" s="13">
        <v>3</v>
      </c>
      <c r="D3454" s="13" t="s">
        <v>36</v>
      </c>
      <c r="E3454" s="13">
        <v>1.667</v>
      </c>
      <c r="F3454" s="13">
        <v>0</v>
      </c>
      <c r="L3454" s="78"/>
      <c r="N3454" s="13" t="s">
        <v>3601</v>
      </c>
    </row>
    <row r="3455" s="22" customFormat="1" hidden="1" spans="1:14">
      <c r="A3455" s="129">
        <v>129901</v>
      </c>
      <c r="B3455" s="126">
        <v>1299</v>
      </c>
      <c r="C3455" s="22">
        <v>3</v>
      </c>
      <c r="D3455" s="22" t="s">
        <v>36</v>
      </c>
      <c r="E3455" s="22">
        <v>1.6</v>
      </c>
      <c r="F3455" s="22">
        <v>0</v>
      </c>
      <c r="L3455" s="134"/>
      <c r="N3455" s="22" t="s">
        <v>3602</v>
      </c>
    </row>
    <row r="3456" s="13" customFormat="1" hidden="1" spans="1:14">
      <c r="A3456" s="130">
        <v>130001</v>
      </c>
      <c r="B3456" s="77">
        <v>1300</v>
      </c>
      <c r="C3456" s="13">
        <v>3</v>
      </c>
      <c r="D3456" s="13" t="s">
        <v>36</v>
      </c>
      <c r="E3456" s="13">
        <v>1.667</v>
      </c>
      <c r="F3456" s="13">
        <v>0</v>
      </c>
      <c r="L3456" s="78"/>
      <c r="N3456" s="13" t="s">
        <v>3603</v>
      </c>
    </row>
    <row r="3457" s="22" customFormat="1" hidden="1" spans="1:14">
      <c r="A3457" s="125">
        <v>130101</v>
      </c>
      <c r="B3457" s="126">
        <v>1301</v>
      </c>
      <c r="C3457" s="22">
        <v>3</v>
      </c>
      <c r="D3457" s="22" t="s">
        <v>36</v>
      </c>
      <c r="E3457" s="22">
        <v>1</v>
      </c>
      <c r="F3457" s="22">
        <v>0</v>
      </c>
      <c r="L3457" s="134"/>
      <c r="N3457" s="22" t="s">
        <v>3604</v>
      </c>
    </row>
    <row r="3458" s="22" customFormat="1" hidden="1" spans="1:14">
      <c r="A3458" s="125">
        <v>130102</v>
      </c>
      <c r="B3458" s="126">
        <v>1301</v>
      </c>
      <c r="C3458" s="22">
        <v>3</v>
      </c>
      <c r="D3458" s="22" t="s">
        <v>38</v>
      </c>
      <c r="E3458" s="22">
        <v>2</v>
      </c>
      <c r="F3458" s="22">
        <v>0</v>
      </c>
      <c r="L3458" s="134"/>
      <c r="N3458" s="22" t="s">
        <v>3604</v>
      </c>
    </row>
    <row r="3459" s="22" customFormat="1" hidden="1" spans="1:14">
      <c r="A3459" s="125">
        <v>130103</v>
      </c>
      <c r="B3459" s="126">
        <v>1301</v>
      </c>
      <c r="C3459" s="22">
        <v>3</v>
      </c>
      <c r="D3459" s="22" t="s">
        <v>40</v>
      </c>
      <c r="E3459" s="22">
        <v>2.833</v>
      </c>
      <c r="F3459" s="22">
        <v>0</v>
      </c>
      <c r="L3459" s="134"/>
      <c r="N3459" s="22" t="s">
        <v>3604</v>
      </c>
    </row>
    <row r="3460" s="20" customFormat="1" hidden="1" spans="1:14">
      <c r="A3460" s="135">
        <f t="shared" ref="A3460:A3467" si="15">IF(B3460=B3459,A3459+1,B3460*100+1)</f>
        <v>130201</v>
      </c>
      <c r="B3460" s="118">
        <v>1302</v>
      </c>
      <c r="C3460" s="20">
        <v>3</v>
      </c>
      <c r="D3460" s="20" t="s">
        <v>36</v>
      </c>
      <c r="E3460" s="20">
        <v>2</v>
      </c>
      <c r="F3460" s="20">
        <v>0</v>
      </c>
      <c r="L3460" s="119"/>
      <c r="N3460" s="20" t="s">
        <v>3605</v>
      </c>
    </row>
    <row r="3461" s="19" customFormat="1" hidden="1" spans="1:14">
      <c r="A3461" s="136">
        <f t="shared" si="15"/>
        <v>130301</v>
      </c>
      <c r="B3461" s="112">
        <v>1303</v>
      </c>
      <c r="C3461" s="19">
        <v>3</v>
      </c>
      <c r="D3461" s="19" t="s">
        <v>36</v>
      </c>
      <c r="E3461" s="19">
        <v>2</v>
      </c>
      <c r="F3461" s="19">
        <v>0</v>
      </c>
      <c r="L3461" s="114"/>
      <c r="N3461" s="19" t="s">
        <v>3606</v>
      </c>
    </row>
    <row r="3462" s="20" customFormat="1" hidden="1" spans="1:14">
      <c r="A3462" s="135">
        <f t="shared" si="15"/>
        <v>130401</v>
      </c>
      <c r="B3462" s="118">
        <v>1304</v>
      </c>
      <c r="C3462" s="20">
        <v>3</v>
      </c>
      <c r="D3462" s="20" t="s">
        <v>36</v>
      </c>
      <c r="E3462" s="20">
        <v>2.7</v>
      </c>
      <c r="F3462" s="20">
        <v>0</v>
      </c>
      <c r="L3462" s="119"/>
      <c r="N3462" s="20" t="s">
        <v>3607</v>
      </c>
    </row>
    <row r="3463" s="20" customFormat="1" hidden="1" spans="1:14">
      <c r="A3463" s="135">
        <f t="shared" si="15"/>
        <v>130402</v>
      </c>
      <c r="B3463" s="118">
        <v>1304</v>
      </c>
      <c r="C3463" s="20">
        <v>3</v>
      </c>
      <c r="D3463" s="20" t="s">
        <v>38</v>
      </c>
      <c r="E3463" s="20">
        <v>2.1</v>
      </c>
      <c r="F3463" s="20">
        <v>0</v>
      </c>
      <c r="L3463" s="119"/>
      <c r="N3463" s="20" t="s">
        <v>3607</v>
      </c>
    </row>
    <row r="3464" s="20" customFormat="1" hidden="1" spans="1:14">
      <c r="A3464" s="135">
        <f t="shared" si="15"/>
        <v>130403</v>
      </c>
      <c r="B3464" s="118">
        <v>1304</v>
      </c>
      <c r="C3464" s="20">
        <v>3</v>
      </c>
      <c r="D3464" s="20" t="s">
        <v>40</v>
      </c>
      <c r="E3464" s="20">
        <v>6</v>
      </c>
      <c r="F3464" s="20">
        <v>0</v>
      </c>
      <c r="L3464" s="119"/>
      <c r="N3464" s="20" t="s">
        <v>3607</v>
      </c>
    </row>
    <row r="3465" s="20" customFormat="1" hidden="1" spans="1:14">
      <c r="A3465" s="135">
        <f t="shared" si="15"/>
        <v>130404</v>
      </c>
      <c r="B3465" s="118">
        <v>1304</v>
      </c>
      <c r="C3465" s="20">
        <v>3</v>
      </c>
      <c r="D3465" s="20" t="s">
        <v>3592</v>
      </c>
      <c r="E3465" s="20">
        <v>6</v>
      </c>
      <c r="F3465" s="20">
        <v>0</v>
      </c>
      <c r="L3465" s="119"/>
      <c r="N3465" s="20" t="s">
        <v>3607</v>
      </c>
    </row>
    <row r="3466" s="19" customFormat="1" hidden="1" spans="1:14">
      <c r="A3466" s="136">
        <f t="shared" si="15"/>
        <v>130501</v>
      </c>
      <c r="B3466" s="112">
        <v>1305</v>
      </c>
      <c r="C3466" s="19">
        <v>3</v>
      </c>
      <c r="D3466" s="19" t="s">
        <v>36</v>
      </c>
      <c r="E3466" s="19">
        <v>2</v>
      </c>
      <c r="F3466" s="19">
        <v>0</v>
      </c>
      <c r="L3466" s="114"/>
      <c r="N3466" s="19" t="s">
        <v>3608</v>
      </c>
    </row>
    <row r="3467" s="20" customFormat="1" hidden="1" spans="1:14">
      <c r="A3467" s="135">
        <f t="shared" si="15"/>
        <v>130601</v>
      </c>
      <c r="B3467" s="118">
        <v>1306</v>
      </c>
      <c r="C3467" s="20">
        <v>3</v>
      </c>
      <c r="D3467" s="20" t="s">
        <v>36</v>
      </c>
      <c r="E3467" s="20">
        <v>1.6</v>
      </c>
      <c r="F3467" s="20">
        <v>0</v>
      </c>
      <c r="L3467" s="119"/>
      <c r="N3467" s="20" t="s">
        <v>3609</v>
      </c>
    </row>
    <row r="3468" s="19" customFormat="1" hidden="1" spans="1:14">
      <c r="A3468" s="136">
        <f t="shared" ref="A3468:A3483" si="16">IF(B3468=B3467,A3467+1,B3468*100+1)</f>
        <v>130701</v>
      </c>
      <c r="B3468" s="112">
        <v>1307</v>
      </c>
      <c r="C3468" s="19">
        <v>3</v>
      </c>
      <c r="D3468" s="19" t="s">
        <v>36</v>
      </c>
      <c r="E3468" s="19">
        <v>1.533</v>
      </c>
      <c r="F3468" s="19">
        <v>0</v>
      </c>
      <c r="L3468" s="114"/>
      <c r="N3468" s="19" t="s">
        <v>3610</v>
      </c>
    </row>
    <row r="3469" s="19" customFormat="1" hidden="1" spans="1:14">
      <c r="A3469" s="136">
        <f t="shared" si="16"/>
        <v>130702</v>
      </c>
      <c r="B3469" s="112">
        <v>1307</v>
      </c>
      <c r="C3469" s="19">
        <v>3</v>
      </c>
      <c r="D3469" s="19" t="s">
        <v>38</v>
      </c>
      <c r="E3469" s="19">
        <v>2.2</v>
      </c>
      <c r="F3469" s="19">
        <v>0</v>
      </c>
      <c r="L3469" s="114"/>
      <c r="N3469" s="19" t="s">
        <v>3610</v>
      </c>
    </row>
    <row r="3470" s="20" customFormat="1" hidden="1" spans="1:14">
      <c r="A3470" s="135">
        <f t="shared" si="16"/>
        <v>130801</v>
      </c>
      <c r="B3470" s="118">
        <v>1308</v>
      </c>
      <c r="C3470" s="20">
        <v>3</v>
      </c>
      <c r="D3470" s="20" t="s">
        <v>36</v>
      </c>
      <c r="E3470" s="20">
        <v>1.8</v>
      </c>
      <c r="F3470" s="20">
        <v>0</v>
      </c>
      <c r="L3470" s="119"/>
      <c r="N3470" s="20" t="s">
        <v>3611</v>
      </c>
    </row>
    <row r="3471" s="20" customFormat="1" hidden="1" spans="1:14">
      <c r="A3471" s="135">
        <f t="shared" si="16"/>
        <v>130802</v>
      </c>
      <c r="B3471" s="118">
        <v>1308</v>
      </c>
      <c r="C3471" s="20">
        <v>3</v>
      </c>
      <c r="D3471" s="20" t="s">
        <v>38</v>
      </c>
      <c r="E3471" s="20">
        <v>1.933</v>
      </c>
      <c r="F3471" s="20">
        <v>0</v>
      </c>
      <c r="L3471" s="119"/>
      <c r="N3471" s="20" t="s">
        <v>3611</v>
      </c>
    </row>
    <row r="3472" s="20" customFormat="1" hidden="1" spans="1:14">
      <c r="A3472" s="135">
        <f t="shared" si="16"/>
        <v>130803</v>
      </c>
      <c r="B3472" s="118">
        <v>1308</v>
      </c>
      <c r="C3472" s="20">
        <v>3</v>
      </c>
      <c r="D3472" s="20" t="s">
        <v>40</v>
      </c>
      <c r="E3472" s="20">
        <v>2.267</v>
      </c>
      <c r="F3472" s="20">
        <v>0</v>
      </c>
      <c r="L3472" s="119"/>
      <c r="N3472" s="20" t="s">
        <v>3611</v>
      </c>
    </row>
    <row r="3473" s="19" customFormat="1" hidden="1" spans="1:14">
      <c r="A3473" s="136">
        <f t="shared" si="16"/>
        <v>130901</v>
      </c>
      <c r="B3473" s="112">
        <v>1309</v>
      </c>
      <c r="C3473" s="19">
        <v>3</v>
      </c>
      <c r="D3473" s="19" t="s">
        <v>36</v>
      </c>
      <c r="E3473" s="19">
        <v>1.933</v>
      </c>
      <c r="F3473" s="19">
        <v>0</v>
      </c>
      <c r="L3473" s="114"/>
      <c r="N3473" s="19" t="s">
        <v>3612</v>
      </c>
    </row>
    <row r="3474" s="19" customFormat="1" hidden="1" spans="1:14">
      <c r="A3474" s="136">
        <f t="shared" si="16"/>
        <v>130902</v>
      </c>
      <c r="B3474" s="112">
        <v>1309</v>
      </c>
      <c r="C3474" s="19">
        <v>3</v>
      </c>
      <c r="D3474" s="19" t="s">
        <v>38</v>
      </c>
      <c r="E3474" s="19">
        <v>2.833</v>
      </c>
      <c r="F3474" s="19">
        <v>0</v>
      </c>
      <c r="L3474" s="114"/>
      <c r="N3474" s="19" t="s">
        <v>3612</v>
      </c>
    </row>
    <row r="3475" s="19" customFormat="1" hidden="1" spans="1:14">
      <c r="A3475" s="136">
        <f t="shared" si="16"/>
        <v>130903</v>
      </c>
      <c r="B3475" s="112">
        <v>1309</v>
      </c>
      <c r="C3475" s="19">
        <v>3</v>
      </c>
      <c r="D3475" s="19" t="s">
        <v>40</v>
      </c>
      <c r="E3475" s="19">
        <v>2.167</v>
      </c>
      <c r="F3475" s="19">
        <v>0</v>
      </c>
      <c r="L3475" s="114"/>
      <c r="N3475" s="19" t="s">
        <v>3612</v>
      </c>
    </row>
    <row r="3476" s="20" customFormat="1" hidden="1" spans="1:14">
      <c r="A3476" s="135">
        <f t="shared" si="16"/>
        <v>131001</v>
      </c>
      <c r="B3476" s="118">
        <v>1310</v>
      </c>
      <c r="C3476" s="20">
        <v>3</v>
      </c>
      <c r="D3476" s="20" t="s">
        <v>36</v>
      </c>
      <c r="E3476" s="20">
        <v>2.333</v>
      </c>
      <c r="F3476" s="20">
        <v>0</v>
      </c>
      <c r="L3476" s="119"/>
      <c r="N3476" s="20" t="s">
        <v>3613</v>
      </c>
    </row>
    <row r="3477" s="20" customFormat="1" hidden="1" spans="1:14">
      <c r="A3477" s="135">
        <f t="shared" si="16"/>
        <v>131002</v>
      </c>
      <c r="B3477" s="118">
        <v>1310</v>
      </c>
      <c r="C3477" s="20">
        <v>3</v>
      </c>
      <c r="D3477" s="20" t="s">
        <v>38</v>
      </c>
      <c r="E3477" s="20">
        <v>1.967</v>
      </c>
      <c r="F3477" s="20">
        <v>0</v>
      </c>
      <c r="L3477" s="119"/>
      <c r="N3477" s="20" t="s">
        <v>3613</v>
      </c>
    </row>
    <row r="3478" s="19" customFormat="1" hidden="1" spans="1:14">
      <c r="A3478" s="136">
        <f t="shared" si="16"/>
        <v>131101</v>
      </c>
      <c r="B3478" s="112">
        <v>1311</v>
      </c>
      <c r="C3478" s="19">
        <v>3</v>
      </c>
      <c r="D3478" s="19" t="s">
        <v>36</v>
      </c>
      <c r="E3478" s="19">
        <v>1.933</v>
      </c>
      <c r="F3478" s="19">
        <v>0</v>
      </c>
      <c r="L3478" s="114"/>
      <c r="N3478" s="19" t="s">
        <v>3614</v>
      </c>
    </row>
    <row r="3479" s="19" customFormat="1" hidden="1" spans="1:14">
      <c r="A3479" s="136">
        <f t="shared" si="16"/>
        <v>131102</v>
      </c>
      <c r="B3479" s="112">
        <v>1311</v>
      </c>
      <c r="C3479" s="19">
        <v>3</v>
      </c>
      <c r="D3479" s="19" t="s">
        <v>38</v>
      </c>
      <c r="E3479" s="19">
        <v>3.5</v>
      </c>
      <c r="F3479" s="19">
        <v>0</v>
      </c>
      <c r="L3479" s="114"/>
      <c r="N3479" s="19" t="s">
        <v>3614</v>
      </c>
    </row>
    <row r="3480" s="19" customFormat="1" hidden="1" spans="1:14">
      <c r="A3480" s="136">
        <f t="shared" si="16"/>
        <v>131103</v>
      </c>
      <c r="B3480" s="112">
        <v>1311</v>
      </c>
      <c r="C3480" s="19">
        <v>3</v>
      </c>
      <c r="D3480" s="19" t="s">
        <v>40</v>
      </c>
      <c r="E3480" s="19">
        <v>1.8</v>
      </c>
      <c r="F3480" s="19">
        <v>0</v>
      </c>
      <c r="L3480" s="114"/>
      <c r="N3480" s="19" t="s">
        <v>3614</v>
      </c>
    </row>
    <row r="3481" s="20" customFormat="1" hidden="1" spans="1:14">
      <c r="A3481" s="135">
        <f t="shared" si="16"/>
        <v>131201</v>
      </c>
      <c r="B3481" s="118">
        <v>1312</v>
      </c>
      <c r="C3481" s="20">
        <v>3</v>
      </c>
      <c r="D3481" s="20" t="s">
        <v>36</v>
      </c>
      <c r="E3481" s="20">
        <v>1.6</v>
      </c>
      <c r="F3481" s="20">
        <v>0</v>
      </c>
      <c r="L3481" s="119"/>
      <c r="N3481" s="20" t="s">
        <v>3615</v>
      </c>
    </row>
    <row r="3482" s="20" customFormat="1" hidden="1" spans="1:14">
      <c r="A3482" s="135">
        <f t="shared" si="16"/>
        <v>131202</v>
      </c>
      <c r="B3482" s="118">
        <v>1312</v>
      </c>
      <c r="C3482" s="20">
        <v>3</v>
      </c>
      <c r="D3482" s="20" t="s">
        <v>38</v>
      </c>
      <c r="E3482" s="20">
        <v>1.8</v>
      </c>
      <c r="F3482" s="20">
        <v>0</v>
      </c>
      <c r="L3482" s="119"/>
      <c r="N3482" s="20" t="s">
        <v>3615</v>
      </c>
    </row>
    <row r="3483" s="19" customFormat="1" hidden="1" spans="1:14">
      <c r="A3483" s="136">
        <f t="shared" si="16"/>
        <v>131301</v>
      </c>
      <c r="B3483" s="112">
        <v>1313</v>
      </c>
      <c r="C3483" s="19">
        <v>3</v>
      </c>
      <c r="D3483" s="19" t="s">
        <v>36</v>
      </c>
      <c r="E3483" s="19">
        <v>1.467</v>
      </c>
      <c r="F3483" s="19">
        <v>0</v>
      </c>
      <c r="L3483" s="114"/>
      <c r="N3483" s="19" t="s">
        <v>3616</v>
      </c>
    </row>
    <row r="3484" hidden="1" spans="1:6">
      <c r="A3484" s="2" t="s">
        <v>3617</v>
      </c>
      <c r="B3484" s="3">
        <v>138</v>
      </c>
      <c r="D3484" t="s">
        <v>36</v>
      </c>
      <c r="E3484">
        <v>3.1</v>
      </c>
      <c r="F3484">
        <v>0</v>
      </c>
    </row>
    <row r="3485" hidden="1" spans="1:6">
      <c r="A3485" s="2" t="s">
        <v>3618</v>
      </c>
      <c r="B3485" s="3">
        <v>138</v>
      </c>
      <c r="D3485" t="s">
        <v>38</v>
      </c>
      <c r="E3485">
        <v>3.5</v>
      </c>
      <c r="F3485">
        <v>0</v>
      </c>
    </row>
    <row r="3486" hidden="1" spans="1:6">
      <c r="A3486" s="2" t="s">
        <v>3619</v>
      </c>
      <c r="B3486" s="3">
        <v>138</v>
      </c>
      <c r="D3486" t="s">
        <v>40</v>
      </c>
      <c r="E3486">
        <v>3.833333333</v>
      </c>
      <c r="F3486">
        <v>0</v>
      </c>
    </row>
    <row r="3487" hidden="1" spans="1:6">
      <c r="A3487" s="2" t="s">
        <v>3620</v>
      </c>
      <c r="B3487" s="3">
        <v>138</v>
      </c>
      <c r="D3487" t="s">
        <v>42</v>
      </c>
      <c r="E3487">
        <v>7.166666667</v>
      </c>
      <c r="F3487">
        <v>0</v>
      </c>
    </row>
    <row r="3488" hidden="1" spans="1:6">
      <c r="A3488" s="2" t="s">
        <v>3621</v>
      </c>
      <c r="B3488" s="3">
        <v>138</v>
      </c>
      <c r="D3488" t="s">
        <v>44</v>
      </c>
      <c r="E3488">
        <v>3.266666667</v>
      </c>
      <c r="F3488">
        <v>0</v>
      </c>
    </row>
    <row r="3489" hidden="1" spans="1:6">
      <c r="A3489" s="2" t="s">
        <v>3622</v>
      </c>
      <c r="B3489" s="3">
        <v>138</v>
      </c>
      <c r="D3489" t="s">
        <v>46</v>
      </c>
      <c r="E3489">
        <v>8</v>
      </c>
      <c r="F3489">
        <v>0</v>
      </c>
    </row>
    <row r="3490" hidden="1" spans="1:6">
      <c r="A3490" s="2" t="s">
        <v>3623</v>
      </c>
      <c r="B3490" s="3">
        <v>138</v>
      </c>
      <c r="D3490" t="s">
        <v>86</v>
      </c>
      <c r="E3490">
        <v>13.33333333</v>
      </c>
      <c r="F3490">
        <v>0</v>
      </c>
    </row>
    <row r="3491" hidden="1" spans="1:6">
      <c r="A3491" s="2" t="s">
        <v>3624</v>
      </c>
      <c r="B3491" s="3">
        <v>138</v>
      </c>
      <c r="D3491" t="s">
        <v>50</v>
      </c>
      <c r="E3491">
        <v>12</v>
      </c>
      <c r="F3491">
        <v>0</v>
      </c>
    </row>
    <row r="3492" hidden="1" spans="1:6">
      <c r="A3492" s="2" t="s">
        <v>3625</v>
      </c>
      <c r="B3492" s="3">
        <v>138</v>
      </c>
      <c r="D3492" t="s">
        <v>92</v>
      </c>
      <c r="E3492">
        <v>5.3</v>
      </c>
      <c r="F3492">
        <v>0</v>
      </c>
    </row>
    <row r="3493" hidden="1" spans="1:6">
      <c r="A3493" s="2" t="s">
        <v>3626</v>
      </c>
      <c r="B3493" s="3">
        <v>138</v>
      </c>
      <c r="D3493" t="s">
        <v>109</v>
      </c>
      <c r="E3493">
        <v>4.733333333</v>
      </c>
      <c r="F3493">
        <v>0</v>
      </c>
    </row>
    <row r="3494" hidden="1" spans="1:6">
      <c r="A3494" s="2" t="s">
        <v>3627</v>
      </c>
      <c r="B3494" s="3">
        <v>138</v>
      </c>
      <c r="D3494" t="s">
        <v>97</v>
      </c>
      <c r="E3494">
        <v>2.2</v>
      </c>
      <c r="F3494">
        <v>0</v>
      </c>
    </row>
    <row r="3495" hidden="1" spans="1:6">
      <c r="A3495" s="2" t="s">
        <v>3628</v>
      </c>
      <c r="B3495" s="3">
        <v>138</v>
      </c>
      <c r="D3495" t="s">
        <v>77</v>
      </c>
      <c r="E3495">
        <v>3.233333333</v>
      </c>
      <c r="F3495">
        <v>0</v>
      </c>
    </row>
    <row r="3496" hidden="1" spans="1:6">
      <c r="A3496" s="2" t="s">
        <v>3629</v>
      </c>
      <c r="B3496" s="3">
        <v>138</v>
      </c>
      <c r="D3496" t="s">
        <v>54</v>
      </c>
      <c r="E3496">
        <v>3.833333333</v>
      </c>
      <c r="F3496">
        <v>0</v>
      </c>
    </row>
    <row r="3497" hidden="1" spans="1:11">
      <c r="A3497" s="2" t="s">
        <v>3630</v>
      </c>
      <c r="B3497" s="3">
        <v>138</v>
      </c>
      <c r="D3497" t="s">
        <v>57</v>
      </c>
      <c r="E3497">
        <v>5.3</v>
      </c>
      <c r="F3497">
        <v>0</v>
      </c>
      <c r="G3497">
        <v>0</v>
      </c>
      <c r="H3497">
        <v>2</v>
      </c>
      <c r="I3497">
        <v>4390</v>
      </c>
      <c r="J3497" t="s">
        <v>58</v>
      </c>
      <c r="K3497">
        <v>1</v>
      </c>
    </row>
    <row r="3498" hidden="1" spans="1:6">
      <c r="A3498" s="2" t="s">
        <v>3631</v>
      </c>
      <c r="B3498" s="3">
        <v>4013801</v>
      </c>
      <c r="D3498" t="s">
        <v>36</v>
      </c>
      <c r="E3498">
        <v>3.1</v>
      </c>
      <c r="F3498">
        <v>0</v>
      </c>
    </row>
    <row r="3499" hidden="1" spans="1:6">
      <c r="A3499" s="2" t="s">
        <v>3632</v>
      </c>
      <c r="B3499" s="3">
        <v>4013801</v>
      </c>
      <c r="D3499" t="s">
        <v>38</v>
      </c>
      <c r="E3499">
        <v>3.5</v>
      </c>
      <c r="F3499">
        <v>0</v>
      </c>
    </row>
    <row r="3500" hidden="1" spans="1:6">
      <c r="A3500" s="2" t="s">
        <v>3633</v>
      </c>
      <c r="B3500" s="3">
        <v>4013801</v>
      </c>
      <c r="D3500" t="s">
        <v>40</v>
      </c>
      <c r="E3500">
        <v>3.833333333</v>
      </c>
      <c r="F3500">
        <v>0</v>
      </c>
    </row>
    <row r="3501" hidden="1" spans="1:6">
      <c r="A3501" s="2" t="s">
        <v>3634</v>
      </c>
      <c r="B3501" s="3">
        <v>4013801</v>
      </c>
      <c r="D3501" t="s">
        <v>42</v>
      </c>
      <c r="E3501">
        <v>7.166666667</v>
      </c>
      <c r="F3501">
        <v>0</v>
      </c>
    </row>
    <row r="3502" hidden="1" spans="1:6">
      <c r="A3502" s="2" t="s">
        <v>3635</v>
      </c>
      <c r="B3502" s="3">
        <v>4013801</v>
      </c>
      <c r="D3502" t="s">
        <v>44</v>
      </c>
      <c r="E3502">
        <v>3.266666667</v>
      </c>
      <c r="F3502">
        <v>0</v>
      </c>
    </row>
    <row r="3503" hidden="1" spans="1:6">
      <c r="A3503" s="2" t="s">
        <v>3636</v>
      </c>
      <c r="B3503" s="3">
        <v>4013801</v>
      </c>
      <c r="D3503" t="s">
        <v>46</v>
      </c>
      <c r="E3503">
        <v>8</v>
      </c>
      <c r="F3503">
        <v>0</v>
      </c>
    </row>
    <row r="3504" hidden="1" spans="1:6">
      <c r="A3504" s="2" t="s">
        <v>3637</v>
      </c>
      <c r="B3504" s="3">
        <v>4013801</v>
      </c>
      <c r="D3504" t="s">
        <v>86</v>
      </c>
      <c r="E3504">
        <v>13.33333333</v>
      </c>
      <c r="F3504">
        <v>0</v>
      </c>
    </row>
    <row r="3505" hidden="1" spans="1:6">
      <c r="A3505" s="2" t="s">
        <v>3638</v>
      </c>
      <c r="B3505" s="3">
        <v>4013801</v>
      </c>
      <c r="D3505" t="s">
        <v>50</v>
      </c>
      <c r="E3505">
        <v>12</v>
      </c>
      <c r="F3505">
        <v>0</v>
      </c>
    </row>
    <row r="3506" hidden="1" spans="1:6">
      <c r="A3506" s="2" t="s">
        <v>3639</v>
      </c>
      <c r="B3506" s="3">
        <v>4013801</v>
      </c>
      <c r="D3506" t="s">
        <v>92</v>
      </c>
      <c r="E3506">
        <v>5.3</v>
      </c>
      <c r="F3506">
        <v>0</v>
      </c>
    </row>
    <row r="3507" hidden="1" spans="1:6">
      <c r="A3507" s="2" t="s">
        <v>3640</v>
      </c>
      <c r="B3507" s="3">
        <v>4013801</v>
      </c>
      <c r="D3507" t="s">
        <v>109</v>
      </c>
      <c r="E3507">
        <v>4.733333333</v>
      </c>
      <c r="F3507">
        <v>0</v>
      </c>
    </row>
    <row r="3508" hidden="1" spans="1:6">
      <c r="A3508" s="2" t="s">
        <v>3641</v>
      </c>
      <c r="B3508" s="3">
        <v>4013801</v>
      </c>
      <c r="D3508" t="s">
        <v>97</v>
      </c>
      <c r="E3508">
        <v>2.2</v>
      </c>
      <c r="F3508">
        <v>0</v>
      </c>
    </row>
    <row r="3509" hidden="1" spans="1:6">
      <c r="A3509" s="2" t="s">
        <v>3642</v>
      </c>
      <c r="B3509" s="3">
        <v>4013801</v>
      </c>
      <c r="D3509" t="s">
        <v>77</v>
      </c>
      <c r="E3509">
        <v>3.233333333</v>
      </c>
      <c r="F3509">
        <v>0</v>
      </c>
    </row>
    <row r="3510" hidden="1" spans="1:6">
      <c r="A3510" s="2" t="s">
        <v>3643</v>
      </c>
      <c r="B3510" s="3">
        <v>4013801</v>
      </c>
      <c r="D3510" t="s">
        <v>54</v>
      </c>
      <c r="E3510">
        <v>3.833333333</v>
      </c>
      <c r="F3510">
        <v>0</v>
      </c>
    </row>
    <row r="3511" hidden="1" spans="1:11">
      <c r="A3511" s="2" t="s">
        <v>3644</v>
      </c>
      <c r="B3511" s="3">
        <v>4013801</v>
      </c>
      <c r="D3511" t="s">
        <v>57</v>
      </c>
      <c r="E3511">
        <v>5.3</v>
      </c>
      <c r="F3511">
        <v>0</v>
      </c>
      <c r="G3511">
        <v>0</v>
      </c>
      <c r="H3511">
        <v>2</v>
      </c>
      <c r="I3511">
        <v>4390</v>
      </c>
      <c r="J3511" t="s">
        <v>58</v>
      </c>
      <c r="K3511">
        <v>1</v>
      </c>
    </row>
    <row r="3512" hidden="1" spans="1:6">
      <c r="A3512" s="2" t="s">
        <v>3645</v>
      </c>
      <c r="B3512" s="3">
        <v>114</v>
      </c>
      <c r="D3512" t="s">
        <v>50</v>
      </c>
      <c r="E3512" s="6">
        <f>241/30</f>
        <v>8.03333333333333</v>
      </c>
      <c r="F3512">
        <v>0</v>
      </c>
    </row>
    <row r="3513" hidden="1" spans="1:6">
      <c r="A3513" s="2" t="s">
        <v>3646</v>
      </c>
      <c r="B3513" s="3">
        <v>114</v>
      </c>
      <c r="D3513" t="s">
        <v>90</v>
      </c>
      <c r="E3513" s="6">
        <f>100/30</f>
        <v>3.33333333333333</v>
      </c>
      <c r="F3513">
        <v>0</v>
      </c>
    </row>
    <row r="3514" hidden="1" spans="1:6">
      <c r="A3514" s="2" t="s">
        <v>3647</v>
      </c>
      <c r="B3514" s="3">
        <v>114</v>
      </c>
      <c r="D3514" t="s">
        <v>48</v>
      </c>
      <c r="E3514" s="6">
        <f>91/30</f>
        <v>3.03333333333333</v>
      </c>
      <c r="F3514">
        <v>0</v>
      </c>
    </row>
    <row r="3515" hidden="1" spans="1:11">
      <c r="A3515" s="2" t="s">
        <v>3648</v>
      </c>
      <c r="B3515" s="3">
        <v>114</v>
      </c>
      <c r="D3515" t="s">
        <v>1776</v>
      </c>
      <c r="E3515" s="6">
        <f>160/30</f>
        <v>5.33333333333333</v>
      </c>
      <c r="F3515">
        <v>0</v>
      </c>
      <c r="G3515">
        <v>0</v>
      </c>
      <c r="H3515">
        <v>2</v>
      </c>
      <c r="I3515">
        <v>4397</v>
      </c>
      <c r="J3515" t="s">
        <v>58</v>
      </c>
      <c r="K3515">
        <v>1</v>
      </c>
    </row>
    <row r="3516" hidden="1" spans="1:6">
      <c r="A3516" s="2" t="s">
        <v>3649</v>
      </c>
      <c r="B3516" s="3">
        <v>4011401</v>
      </c>
      <c r="D3516" t="s">
        <v>50</v>
      </c>
      <c r="E3516" s="6">
        <f>241/30</f>
        <v>8.03333333333333</v>
      </c>
      <c r="F3516">
        <v>0</v>
      </c>
    </row>
    <row r="3517" hidden="1" spans="1:6">
      <c r="A3517" s="2" t="s">
        <v>3650</v>
      </c>
      <c r="B3517" s="3">
        <v>4011401</v>
      </c>
      <c r="D3517" t="s">
        <v>90</v>
      </c>
      <c r="E3517" s="6">
        <f>100/30</f>
        <v>3.33333333333333</v>
      </c>
      <c r="F3517">
        <v>0</v>
      </c>
    </row>
    <row r="3518" hidden="1" spans="1:6">
      <c r="A3518" s="2" t="s">
        <v>3651</v>
      </c>
      <c r="B3518" s="3">
        <v>4011401</v>
      </c>
      <c r="D3518" t="s">
        <v>48</v>
      </c>
      <c r="E3518" s="6">
        <f>91/30</f>
        <v>3.03333333333333</v>
      </c>
      <c r="F3518">
        <v>0</v>
      </c>
    </row>
    <row r="3519" hidden="1" spans="1:11">
      <c r="A3519" s="2" t="s">
        <v>3652</v>
      </c>
      <c r="B3519" s="3">
        <v>4011401</v>
      </c>
      <c r="D3519" t="s">
        <v>1776</v>
      </c>
      <c r="E3519" s="6">
        <f>160/30</f>
        <v>5.33333333333333</v>
      </c>
      <c r="F3519">
        <v>0</v>
      </c>
      <c r="G3519">
        <v>0</v>
      </c>
      <c r="H3519">
        <v>2</v>
      </c>
      <c r="I3519">
        <v>4397</v>
      </c>
      <c r="J3519" t="s">
        <v>58</v>
      </c>
      <c r="K3519">
        <v>1</v>
      </c>
    </row>
    <row r="3520" hidden="1" spans="1:6">
      <c r="A3520" s="2" t="s">
        <v>3653</v>
      </c>
      <c r="B3520" s="3">
        <v>4011402</v>
      </c>
      <c r="D3520" t="s">
        <v>50</v>
      </c>
      <c r="E3520" s="6">
        <f>241/30</f>
        <v>8.03333333333333</v>
      </c>
      <c r="F3520">
        <v>0</v>
      </c>
    </row>
    <row r="3521" hidden="1" spans="1:8">
      <c r="A3521" s="2" t="s">
        <v>3654</v>
      </c>
      <c r="B3521" s="3">
        <v>4011402</v>
      </c>
      <c r="D3521" t="s">
        <v>90</v>
      </c>
      <c r="E3521" s="6">
        <f>100/30</f>
        <v>3.33333333333333</v>
      </c>
      <c r="F3521">
        <v>0</v>
      </c>
      <c r="H3521" s="13"/>
    </row>
    <row r="3522" hidden="1" spans="1:8">
      <c r="A3522" s="2" t="s">
        <v>3655</v>
      </c>
      <c r="B3522" s="3">
        <v>4011402</v>
      </c>
      <c r="D3522" t="s">
        <v>48</v>
      </c>
      <c r="E3522" s="6">
        <f>91/30</f>
        <v>3.03333333333333</v>
      </c>
      <c r="F3522">
        <v>0</v>
      </c>
      <c r="H3522" s="13"/>
    </row>
    <row r="3523" hidden="1" spans="1:11">
      <c r="A3523" s="2" t="s">
        <v>3656</v>
      </c>
      <c r="B3523" s="3">
        <v>4011402</v>
      </c>
      <c r="D3523" t="s">
        <v>1776</v>
      </c>
      <c r="E3523" s="6">
        <f>160/30</f>
        <v>5.33333333333333</v>
      </c>
      <c r="F3523">
        <v>0</v>
      </c>
      <c r="G3523">
        <v>0</v>
      </c>
      <c r="H3523">
        <v>2</v>
      </c>
      <c r="I3523">
        <v>4397</v>
      </c>
      <c r="J3523" t="s">
        <v>58</v>
      </c>
      <c r="K3523">
        <v>1</v>
      </c>
    </row>
    <row r="3524" hidden="1" spans="1:8">
      <c r="A3524" s="2" t="s">
        <v>3657</v>
      </c>
      <c r="B3524" s="3">
        <v>4011403</v>
      </c>
      <c r="D3524" t="s">
        <v>50</v>
      </c>
      <c r="E3524" s="6">
        <f>241/30</f>
        <v>8.03333333333333</v>
      </c>
      <c r="F3524">
        <v>0</v>
      </c>
      <c r="H3524" s="13"/>
    </row>
    <row r="3525" hidden="1" spans="1:6">
      <c r="A3525" s="2" t="s">
        <v>3658</v>
      </c>
      <c r="B3525" s="3">
        <v>4011403</v>
      </c>
      <c r="D3525" t="s">
        <v>90</v>
      </c>
      <c r="E3525" s="6">
        <f>100/30</f>
        <v>3.33333333333333</v>
      </c>
      <c r="F3525">
        <v>0</v>
      </c>
    </row>
    <row r="3526" hidden="1" spans="1:6">
      <c r="A3526" s="2" t="s">
        <v>3659</v>
      </c>
      <c r="B3526" s="3">
        <v>4011403</v>
      </c>
      <c r="D3526" t="s">
        <v>48</v>
      </c>
      <c r="E3526" s="6">
        <f>91/30</f>
        <v>3.03333333333333</v>
      </c>
      <c r="F3526">
        <v>0</v>
      </c>
    </row>
    <row r="3527" hidden="1" spans="1:11">
      <c r="A3527" s="2" t="s">
        <v>3660</v>
      </c>
      <c r="B3527" s="3">
        <v>4011403</v>
      </c>
      <c r="D3527" t="s">
        <v>1776</v>
      </c>
      <c r="E3527" s="6">
        <f>160/30</f>
        <v>5.33333333333333</v>
      </c>
      <c r="F3527">
        <v>0</v>
      </c>
      <c r="G3527">
        <v>0</v>
      </c>
      <c r="H3527">
        <v>2</v>
      </c>
      <c r="I3527">
        <v>4397</v>
      </c>
      <c r="J3527" t="s">
        <v>58</v>
      </c>
      <c r="K3527">
        <v>1</v>
      </c>
    </row>
    <row r="3528" s="23" customFormat="1" hidden="1" spans="1:12">
      <c r="A3528" s="137" t="s">
        <v>3661</v>
      </c>
      <c r="B3528" s="138">
        <v>139</v>
      </c>
      <c r="D3528" s="23" t="s">
        <v>36</v>
      </c>
      <c r="E3528" s="24">
        <f>80/30</f>
        <v>2.66666666666667</v>
      </c>
      <c r="F3528" s="23">
        <v>0</v>
      </c>
      <c r="L3528" s="142"/>
    </row>
    <row r="3529" s="23" customFormat="1" hidden="1" spans="1:12">
      <c r="A3529" s="137" t="s">
        <v>3662</v>
      </c>
      <c r="B3529" s="138">
        <v>139</v>
      </c>
      <c r="D3529" s="23" t="s">
        <v>38</v>
      </c>
      <c r="E3529" s="24">
        <f>87/30</f>
        <v>2.9</v>
      </c>
      <c r="F3529" s="23">
        <v>0</v>
      </c>
      <c r="L3529" s="142"/>
    </row>
    <row r="3530" s="23" customFormat="1" hidden="1" spans="1:12">
      <c r="A3530" s="137" t="s">
        <v>3663</v>
      </c>
      <c r="B3530" s="138">
        <v>139</v>
      </c>
      <c r="D3530" s="23" t="s">
        <v>40</v>
      </c>
      <c r="E3530" s="24">
        <f>104/30</f>
        <v>3.46666666666667</v>
      </c>
      <c r="F3530" s="23">
        <v>0</v>
      </c>
      <c r="L3530" s="142"/>
    </row>
    <row r="3531" s="23" customFormat="1" hidden="1" spans="1:12">
      <c r="A3531" s="137" t="s">
        <v>3664</v>
      </c>
      <c r="B3531" s="138">
        <v>139</v>
      </c>
      <c r="D3531" s="23" t="s">
        <v>42</v>
      </c>
      <c r="E3531" s="24">
        <f>446/30</f>
        <v>14.8666666666667</v>
      </c>
      <c r="F3531" s="23">
        <v>0</v>
      </c>
      <c r="L3531" s="142"/>
    </row>
    <row r="3532" s="23" customFormat="1" hidden="1" spans="1:12">
      <c r="A3532" s="137" t="s">
        <v>3665</v>
      </c>
      <c r="B3532" s="138">
        <v>139</v>
      </c>
      <c r="D3532" s="23" t="s">
        <v>44</v>
      </c>
      <c r="E3532" s="24">
        <f t="shared" ref="E3532:E3534" si="17">450/30</f>
        <v>15</v>
      </c>
      <c r="F3532" s="23">
        <v>0</v>
      </c>
      <c r="L3532" s="142"/>
    </row>
    <row r="3533" s="23" customFormat="1" hidden="1" spans="1:12">
      <c r="A3533" s="137" t="s">
        <v>3666</v>
      </c>
      <c r="B3533" s="138">
        <v>139</v>
      </c>
      <c r="D3533" s="23" t="s">
        <v>90</v>
      </c>
      <c r="E3533" s="24">
        <f>280/30</f>
        <v>9.33333333333333</v>
      </c>
      <c r="F3533" s="23">
        <v>0</v>
      </c>
      <c r="L3533" s="142"/>
    </row>
    <row r="3534" s="23" customFormat="1" hidden="1" spans="1:12">
      <c r="A3534" s="137" t="s">
        <v>3667</v>
      </c>
      <c r="B3534" s="138">
        <v>30087</v>
      </c>
      <c r="D3534" s="23" t="s">
        <v>44</v>
      </c>
      <c r="E3534" s="24">
        <f t="shared" si="17"/>
        <v>15</v>
      </c>
      <c r="F3534" s="23">
        <v>0</v>
      </c>
      <c r="L3534" s="142"/>
    </row>
    <row r="3535" s="23" customFormat="1" hidden="1" spans="1:12">
      <c r="A3535" s="137" t="s">
        <v>3668</v>
      </c>
      <c r="B3535" s="138">
        <v>30087</v>
      </c>
      <c r="D3535" s="23" t="s">
        <v>46</v>
      </c>
      <c r="E3535" s="24">
        <f>92/30</f>
        <v>3.06666666666667</v>
      </c>
      <c r="F3535" s="23">
        <v>0</v>
      </c>
      <c r="L3535" s="142"/>
    </row>
    <row r="3536" s="23" customFormat="1" hidden="1" spans="1:12">
      <c r="A3536" s="137" t="s">
        <v>3669</v>
      </c>
      <c r="B3536" s="138">
        <v>30087</v>
      </c>
      <c r="D3536" s="23" t="s">
        <v>86</v>
      </c>
      <c r="E3536" s="24">
        <f>62/30</f>
        <v>2.06666666666667</v>
      </c>
      <c r="F3536" s="23">
        <v>0</v>
      </c>
      <c r="L3536" s="142"/>
    </row>
    <row r="3537" s="23" customFormat="1" hidden="1" spans="1:12">
      <c r="A3537" s="137" t="s">
        <v>3670</v>
      </c>
      <c r="B3537" s="138">
        <v>30087</v>
      </c>
      <c r="D3537" s="23" t="s">
        <v>50</v>
      </c>
      <c r="E3537" s="24">
        <f>112/30</f>
        <v>3.73333333333333</v>
      </c>
      <c r="F3537" s="23">
        <v>0</v>
      </c>
      <c r="L3537" s="142"/>
    </row>
    <row r="3538" s="23" customFormat="1" hidden="1" spans="1:12">
      <c r="A3538" s="137" t="s">
        <v>3671</v>
      </c>
      <c r="B3538" s="138">
        <v>139</v>
      </c>
      <c r="D3538" s="23" t="s">
        <v>92</v>
      </c>
      <c r="E3538" s="24">
        <f>98/30</f>
        <v>3.26666666666667</v>
      </c>
      <c r="F3538" s="23">
        <v>0</v>
      </c>
      <c r="L3538" s="142"/>
    </row>
    <row r="3539" s="23" customFormat="1" hidden="1" spans="1:12">
      <c r="A3539" s="137" t="s">
        <v>3672</v>
      </c>
      <c r="B3539" s="138">
        <v>139</v>
      </c>
      <c r="D3539" s="23" t="s">
        <v>109</v>
      </c>
      <c r="E3539" s="24">
        <f>71/30</f>
        <v>2.36666666666667</v>
      </c>
      <c r="F3539" s="23">
        <v>0</v>
      </c>
      <c r="L3539" s="142"/>
    </row>
    <row r="3540" s="23" customFormat="1" hidden="1" spans="1:12">
      <c r="A3540" s="137" t="s">
        <v>3673</v>
      </c>
      <c r="B3540" s="138">
        <v>139</v>
      </c>
      <c r="D3540" s="23" t="s">
        <v>97</v>
      </c>
      <c r="E3540" s="24">
        <f>197/30</f>
        <v>6.56666666666667</v>
      </c>
      <c r="F3540" s="23">
        <v>0</v>
      </c>
      <c r="L3540" s="142"/>
    </row>
    <row r="3541" s="23" customFormat="1" hidden="1" spans="1:12">
      <c r="A3541" s="137" t="s">
        <v>3674</v>
      </c>
      <c r="B3541" s="138">
        <v>139</v>
      </c>
      <c r="D3541" s="23" t="s">
        <v>77</v>
      </c>
      <c r="E3541" s="24">
        <f>70/30</f>
        <v>2.33333333333333</v>
      </c>
      <c r="F3541" s="23">
        <v>0</v>
      </c>
      <c r="L3541" s="142"/>
    </row>
    <row r="3542" s="23" customFormat="1" hidden="1" spans="1:12">
      <c r="A3542" s="137" t="s">
        <v>3675</v>
      </c>
      <c r="B3542" s="138">
        <v>139</v>
      </c>
      <c r="D3542" s="23" t="s">
        <v>54</v>
      </c>
      <c r="E3542" s="24">
        <f>102/30</f>
        <v>3.4</v>
      </c>
      <c r="F3542" s="23">
        <v>0</v>
      </c>
      <c r="L3542" s="142"/>
    </row>
    <row r="3543" s="23" customFormat="1" hidden="1" spans="1:12">
      <c r="A3543" s="137" t="s">
        <v>3676</v>
      </c>
      <c r="B3543" s="138">
        <v>139</v>
      </c>
      <c r="D3543" s="23" t="s">
        <v>57</v>
      </c>
      <c r="E3543" s="24">
        <f>77/30</f>
        <v>2.56666666666667</v>
      </c>
      <c r="F3543" s="23">
        <v>0</v>
      </c>
      <c r="G3543" s="23">
        <v>0</v>
      </c>
      <c r="H3543" s="23">
        <v>2</v>
      </c>
      <c r="I3543" s="23">
        <v>4415</v>
      </c>
      <c r="J3543" s="23" t="s">
        <v>58</v>
      </c>
      <c r="K3543" s="23">
        <v>1</v>
      </c>
      <c r="L3543" s="142"/>
    </row>
    <row r="3544" s="23" customFormat="1" hidden="1" spans="1:12">
      <c r="A3544" s="137" t="s">
        <v>3677</v>
      </c>
      <c r="B3544" s="138">
        <v>4013901</v>
      </c>
      <c r="D3544" s="23" t="s">
        <v>36</v>
      </c>
      <c r="E3544" s="24">
        <f>80/30</f>
        <v>2.66666666666667</v>
      </c>
      <c r="F3544" s="23">
        <v>0</v>
      </c>
      <c r="L3544" s="142"/>
    </row>
    <row r="3545" s="23" customFormat="1" hidden="1" spans="1:12">
      <c r="A3545" s="137" t="s">
        <v>3678</v>
      </c>
      <c r="B3545" s="138">
        <v>4013901</v>
      </c>
      <c r="D3545" s="23" t="s">
        <v>38</v>
      </c>
      <c r="E3545" s="24">
        <f>87/30</f>
        <v>2.9</v>
      </c>
      <c r="F3545" s="23">
        <v>0</v>
      </c>
      <c r="L3545" s="142"/>
    </row>
    <row r="3546" s="23" customFormat="1" hidden="1" spans="1:12">
      <c r="A3546" s="137" t="s">
        <v>3679</v>
      </c>
      <c r="B3546" s="138">
        <v>4013901</v>
      </c>
      <c r="D3546" s="23" t="s">
        <v>40</v>
      </c>
      <c r="E3546" s="24">
        <f>104/30</f>
        <v>3.46666666666667</v>
      </c>
      <c r="F3546" s="23">
        <v>0</v>
      </c>
      <c r="L3546" s="142"/>
    </row>
    <row r="3547" s="23" customFormat="1" hidden="1" spans="1:12">
      <c r="A3547" s="137" t="s">
        <v>3680</v>
      </c>
      <c r="B3547" s="138">
        <v>4013901</v>
      </c>
      <c r="D3547" s="23" t="s">
        <v>42</v>
      </c>
      <c r="E3547" s="24">
        <f>446/30</f>
        <v>14.8666666666667</v>
      </c>
      <c r="F3547" s="23">
        <v>0</v>
      </c>
      <c r="L3547" s="142"/>
    </row>
    <row r="3548" s="23" customFormat="1" hidden="1" spans="1:12">
      <c r="A3548" s="137" t="s">
        <v>3681</v>
      </c>
      <c r="B3548" s="138">
        <v>4013901</v>
      </c>
      <c r="D3548" s="23" t="s">
        <v>44</v>
      </c>
      <c r="E3548" s="24">
        <f>450/30</f>
        <v>15</v>
      </c>
      <c r="F3548" s="23">
        <v>0</v>
      </c>
      <c r="L3548" s="142"/>
    </row>
    <row r="3549" s="23" customFormat="1" hidden="1" spans="1:12">
      <c r="A3549" s="137" t="s">
        <v>3682</v>
      </c>
      <c r="B3549" s="138">
        <v>4013901</v>
      </c>
      <c r="D3549" s="23" t="s">
        <v>90</v>
      </c>
      <c r="E3549" s="24">
        <f>450/30</f>
        <v>15</v>
      </c>
      <c r="F3549" s="23">
        <v>0</v>
      </c>
      <c r="L3549" s="142"/>
    </row>
    <row r="3550" s="23" customFormat="1" hidden="1" spans="1:12">
      <c r="A3550" s="137" t="s">
        <v>3683</v>
      </c>
      <c r="B3550" s="138">
        <v>4013901</v>
      </c>
      <c r="D3550" s="23" t="s">
        <v>92</v>
      </c>
      <c r="E3550" s="24">
        <f>98/30</f>
        <v>3.26666666666667</v>
      </c>
      <c r="F3550" s="23">
        <v>0</v>
      </c>
      <c r="L3550" s="142"/>
    </row>
    <row r="3551" s="23" customFormat="1" hidden="1" spans="1:12">
      <c r="A3551" s="137" t="s">
        <v>3684</v>
      </c>
      <c r="B3551" s="138">
        <v>4013901</v>
      </c>
      <c r="D3551" s="23" t="s">
        <v>109</v>
      </c>
      <c r="E3551" s="24">
        <f>71/30</f>
        <v>2.36666666666667</v>
      </c>
      <c r="F3551" s="23">
        <v>0</v>
      </c>
      <c r="L3551" s="142"/>
    </row>
    <row r="3552" s="23" customFormat="1" hidden="1" spans="1:12">
      <c r="A3552" s="137" t="s">
        <v>3685</v>
      </c>
      <c r="B3552" s="138">
        <v>4013901</v>
      </c>
      <c r="D3552" s="23" t="s">
        <v>97</v>
      </c>
      <c r="E3552" s="24">
        <f>197/30</f>
        <v>6.56666666666667</v>
      </c>
      <c r="F3552" s="23">
        <v>0</v>
      </c>
      <c r="L3552" s="142"/>
    </row>
    <row r="3553" s="23" customFormat="1" hidden="1" spans="1:12">
      <c r="A3553" s="137" t="s">
        <v>3686</v>
      </c>
      <c r="B3553" s="138">
        <v>4013901</v>
      </c>
      <c r="D3553" s="23" t="s">
        <v>77</v>
      </c>
      <c r="E3553" s="24">
        <f>70/30</f>
        <v>2.33333333333333</v>
      </c>
      <c r="F3553" s="23">
        <v>0</v>
      </c>
      <c r="L3553" s="142"/>
    </row>
    <row r="3554" s="23" customFormat="1" hidden="1" spans="1:12">
      <c r="A3554" s="137" t="s">
        <v>3687</v>
      </c>
      <c r="B3554" s="138">
        <v>4013901</v>
      </c>
      <c r="D3554" s="23" t="s">
        <v>54</v>
      </c>
      <c r="E3554" s="24">
        <f>102/30</f>
        <v>3.4</v>
      </c>
      <c r="F3554" s="23">
        <v>0</v>
      </c>
      <c r="L3554" s="142"/>
    </row>
    <row r="3555" s="23" customFormat="1" hidden="1" spans="1:12">
      <c r="A3555" s="137" t="s">
        <v>3688</v>
      </c>
      <c r="B3555" s="138">
        <v>4013901</v>
      </c>
      <c r="D3555" s="23" t="s">
        <v>57</v>
      </c>
      <c r="E3555" s="24">
        <f>77/30</f>
        <v>2.56666666666667</v>
      </c>
      <c r="F3555" s="23">
        <v>0</v>
      </c>
      <c r="G3555" s="23">
        <v>0</v>
      </c>
      <c r="H3555" s="23">
        <v>2</v>
      </c>
      <c r="I3555" s="23">
        <v>4415</v>
      </c>
      <c r="J3555" s="23" t="s">
        <v>58</v>
      </c>
      <c r="K3555" s="23">
        <v>1</v>
      </c>
      <c r="L3555" s="142"/>
    </row>
    <row r="3556" s="24" customFormat="1" hidden="1" spans="1:12">
      <c r="A3556" s="139" t="s">
        <v>3689</v>
      </c>
      <c r="B3556" s="140">
        <v>140</v>
      </c>
      <c r="D3556" s="24" t="s">
        <v>36</v>
      </c>
      <c r="E3556" s="24">
        <v>3.53333333333333</v>
      </c>
      <c r="F3556" s="24">
        <v>0</v>
      </c>
      <c r="L3556" s="143"/>
    </row>
    <row r="3557" s="24" customFormat="1" hidden="1" spans="1:12">
      <c r="A3557" s="139" t="s">
        <v>3690</v>
      </c>
      <c r="B3557" s="140">
        <v>140</v>
      </c>
      <c r="D3557" s="24" t="s">
        <v>38</v>
      </c>
      <c r="E3557" s="24">
        <v>2.06666666666667</v>
      </c>
      <c r="F3557" s="24">
        <v>0</v>
      </c>
      <c r="L3557" s="143"/>
    </row>
    <row r="3558" s="24" customFormat="1" hidden="1" spans="1:12">
      <c r="A3558" s="139" t="s">
        <v>3691</v>
      </c>
      <c r="B3558" s="140">
        <v>140</v>
      </c>
      <c r="D3558" s="24" t="s">
        <v>40</v>
      </c>
      <c r="E3558" s="24">
        <v>3.66666666666667</v>
      </c>
      <c r="F3558" s="24">
        <v>0</v>
      </c>
      <c r="L3558" s="143"/>
    </row>
    <row r="3559" s="24" customFormat="1" hidden="1" spans="1:12">
      <c r="A3559" s="139" t="s">
        <v>3692</v>
      </c>
      <c r="B3559" s="140">
        <v>140</v>
      </c>
      <c r="D3559" s="24" t="s">
        <v>42</v>
      </c>
      <c r="E3559" s="24">
        <v>3.2</v>
      </c>
      <c r="F3559" s="24">
        <v>0</v>
      </c>
      <c r="L3559" s="143"/>
    </row>
    <row r="3560" s="24" customFormat="1" hidden="1" spans="1:12">
      <c r="A3560" s="139" t="s">
        <v>3693</v>
      </c>
      <c r="B3560" s="140">
        <v>140</v>
      </c>
      <c r="D3560" s="24" t="s">
        <v>44</v>
      </c>
      <c r="E3560" s="24">
        <v>2.23333333333333</v>
      </c>
      <c r="F3560" s="24">
        <v>0</v>
      </c>
      <c r="L3560" s="143"/>
    </row>
    <row r="3561" s="24" customFormat="1" hidden="1" spans="1:12">
      <c r="A3561" s="139" t="s">
        <v>3694</v>
      </c>
      <c r="B3561" s="140">
        <v>140</v>
      </c>
      <c r="D3561" s="24" t="s">
        <v>46</v>
      </c>
      <c r="E3561" s="24">
        <v>10.1666666666667</v>
      </c>
      <c r="F3561" s="24">
        <v>0</v>
      </c>
      <c r="L3561" s="143"/>
    </row>
    <row r="3562" s="24" customFormat="1" hidden="1" spans="1:12">
      <c r="A3562" s="139" t="s">
        <v>3695</v>
      </c>
      <c r="B3562" s="140">
        <v>140</v>
      </c>
      <c r="D3562" s="24" t="s">
        <v>86</v>
      </c>
      <c r="E3562" s="24">
        <v>9.66666666666667</v>
      </c>
      <c r="F3562" s="24">
        <v>0</v>
      </c>
      <c r="L3562" s="143"/>
    </row>
    <row r="3563" s="24" customFormat="1" hidden="1" spans="1:12">
      <c r="A3563" s="139" t="s">
        <v>3696</v>
      </c>
      <c r="B3563" s="140">
        <v>140</v>
      </c>
      <c r="D3563" s="24" t="s">
        <v>50</v>
      </c>
      <c r="E3563" s="24">
        <v>13.0333333333333</v>
      </c>
      <c r="F3563" s="24">
        <v>0</v>
      </c>
      <c r="L3563" s="143"/>
    </row>
    <row r="3564" s="24" customFormat="1" hidden="1" spans="1:12">
      <c r="A3564" s="139" t="s">
        <v>3697</v>
      </c>
      <c r="B3564" s="140">
        <v>140</v>
      </c>
      <c r="D3564" s="24" t="s">
        <v>92</v>
      </c>
      <c r="E3564" s="24">
        <v>3.2</v>
      </c>
      <c r="F3564" s="24">
        <v>0</v>
      </c>
      <c r="L3564" s="143"/>
    </row>
    <row r="3565" s="24" customFormat="1" hidden="1" spans="1:12">
      <c r="A3565" s="139" t="s">
        <v>3698</v>
      </c>
      <c r="B3565" s="140">
        <v>140</v>
      </c>
      <c r="D3565" s="24" t="s">
        <v>109</v>
      </c>
      <c r="E3565" s="24">
        <v>2.73333333333333</v>
      </c>
      <c r="F3565" s="24">
        <v>0</v>
      </c>
      <c r="L3565" s="143"/>
    </row>
    <row r="3566" s="24" customFormat="1" hidden="1" spans="1:12">
      <c r="A3566" s="139" t="s">
        <v>3699</v>
      </c>
      <c r="B3566" s="140">
        <v>140</v>
      </c>
      <c r="D3566" s="24" t="s">
        <v>97</v>
      </c>
      <c r="E3566" s="24">
        <v>4.1</v>
      </c>
      <c r="F3566" s="24">
        <v>0</v>
      </c>
      <c r="L3566" s="143"/>
    </row>
    <row r="3567" s="24" customFormat="1" hidden="1" spans="1:12">
      <c r="A3567" s="139" t="s">
        <v>3700</v>
      </c>
      <c r="B3567" s="140">
        <v>140</v>
      </c>
      <c r="D3567" s="24" t="s">
        <v>77</v>
      </c>
      <c r="E3567" s="24">
        <v>2.16666666666667</v>
      </c>
      <c r="F3567" s="24">
        <v>0</v>
      </c>
      <c r="L3567" s="143"/>
    </row>
    <row r="3568" s="24" customFormat="1" hidden="1" spans="1:12">
      <c r="A3568" s="139" t="s">
        <v>3701</v>
      </c>
      <c r="B3568" s="140">
        <v>140</v>
      </c>
      <c r="D3568" s="24" t="s">
        <v>54</v>
      </c>
      <c r="E3568" s="24">
        <v>2.06666666666667</v>
      </c>
      <c r="F3568" s="24">
        <v>0</v>
      </c>
      <c r="L3568" s="143"/>
    </row>
    <row r="3569" s="24" customFormat="1" hidden="1" spans="1:12">
      <c r="A3569" s="139" t="s">
        <v>3702</v>
      </c>
      <c r="B3569" s="140">
        <v>140</v>
      </c>
      <c r="D3569" s="24" t="s">
        <v>57</v>
      </c>
      <c r="E3569" s="24">
        <v>4.83333333333333</v>
      </c>
      <c r="F3569" s="24">
        <v>0</v>
      </c>
      <c r="G3569" s="24">
        <v>0</v>
      </c>
      <c r="H3569" s="24">
        <v>2</v>
      </c>
      <c r="I3569" s="24">
        <v>4560</v>
      </c>
      <c r="J3569" s="24" t="s">
        <v>58</v>
      </c>
      <c r="K3569" s="24">
        <v>1</v>
      </c>
      <c r="L3569" s="143"/>
    </row>
    <row r="3570" s="24" customFormat="1" hidden="1" spans="1:12">
      <c r="A3570" s="139" t="s">
        <v>3703</v>
      </c>
      <c r="B3570" s="140">
        <v>140</v>
      </c>
      <c r="D3570" s="24" t="s">
        <v>204</v>
      </c>
      <c r="E3570" s="24">
        <f>80/30</f>
        <v>2.66666666666667</v>
      </c>
      <c r="F3570" s="24">
        <v>0</v>
      </c>
      <c r="G3570" s="24">
        <v>0</v>
      </c>
      <c r="H3570" s="24">
        <v>2</v>
      </c>
      <c r="I3570" s="24">
        <v>4562</v>
      </c>
      <c r="J3570" s="24" t="s">
        <v>58</v>
      </c>
      <c r="K3570" s="24">
        <v>1</v>
      </c>
      <c r="L3570" s="143"/>
    </row>
    <row r="3571" s="24" customFormat="1" hidden="1" spans="1:12">
      <c r="A3571" s="141">
        <v>401400101</v>
      </c>
      <c r="B3571" s="140">
        <v>4014001</v>
      </c>
      <c r="D3571" s="24" t="s">
        <v>36</v>
      </c>
      <c r="E3571" s="24">
        <v>3.53333333333333</v>
      </c>
      <c r="F3571" s="24">
        <v>0</v>
      </c>
      <c r="L3571" s="143"/>
    </row>
    <row r="3572" s="24" customFormat="1" hidden="1" spans="1:12">
      <c r="A3572" s="141">
        <v>401400102</v>
      </c>
      <c r="B3572" s="140">
        <v>4014001</v>
      </c>
      <c r="D3572" s="24" t="s">
        <v>38</v>
      </c>
      <c r="E3572" s="24">
        <v>2.06666666666667</v>
      </c>
      <c r="F3572" s="24">
        <v>0</v>
      </c>
      <c r="L3572" s="143"/>
    </row>
    <row r="3573" s="24" customFormat="1" hidden="1" spans="1:12">
      <c r="A3573" s="141">
        <v>401400103</v>
      </c>
      <c r="B3573" s="140">
        <v>4014001</v>
      </c>
      <c r="D3573" s="24" t="s">
        <v>40</v>
      </c>
      <c r="E3573" s="24">
        <v>3.66666666666667</v>
      </c>
      <c r="F3573" s="24">
        <v>0</v>
      </c>
      <c r="L3573" s="143"/>
    </row>
    <row r="3574" s="24" customFormat="1" hidden="1" spans="1:12">
      <c r="A3574" s="141">
        <v>401400104</v>
      </c>
      <c r="B3574" s="140">
        <v>4014001</v>
      </c>
      <c r="D3574" s="24" t="s">
        <v>42</v>
      </c>
      <c r="E3574" s="24">
        <v>3.2</v>
      </c>
      <c r="F3574" s="24">
        <v>0</v>
      </c>
      <c r="L3574" s="143"/>
    </row>
    <row r="3575" s="24" customFormat="1" hidden="1" spans="1:12">
      <c r="A3575" s="141">
        <v>401400105</v>
      </c>
      <c r="B3575" s="140">
        <v>4014001</v>
      </c>
      <c r="D3575" s="24" t="s">
        <v>44</v>
      </c>
      <c r="E3575" s="24">
        <v>2.23333333333333</v>
      </c>
      <c r="F3575" s="24">
        <v>0</v>
      </c>
      <c r="L3575" s="143"/>
    </row>
    <row r="3576" s="24" customFormat="1" hidden="1" spans="1:12">
      <c r="A3576" s="141">
        <v>401400106</v>
      </c>
      <c r="B3576" s="140">
        <v>4014001</v>
      </c>
      <c r="D3576" s="24" t="s">
        <v>46</v>
      </c>
      <c r="E3576" s="24">
        <v>10.1666666666667</v>
      </c>
      <c r="F3576" s="24">
        <v>0</v>
      </c>
      <c r="L3576" s="143"/>
    </row>
    <row r="3577" s="24" customFormat="1" hidden="1" spans="1:12">
      <c r="A3577" s="141">
        <v>401400107</v>
      </c>
      <c r="B3577" s="140">
        <v>4014001</v>
      </c>
      <c r="D3577" s="24" t="s">
        <v>86</v>
      </c>
      <c r="E3577" s="24">
        <v>9.66666666666667</v>
      </c>
      <c r="F3577" s="24">
        <v>0</v>
      </c>
      <c r="L3577" s="143"/>
    </row>
    <row r="3578" s="24" customFormat="1" hidden="1" spans="1:12">
      <c r="A3578" s="141">
        <v>401400108</v>
      </c>
      <c r="B3578" s="140">
        <v>4014001</v>
      </c>
      <c r="D3578" s="24" t="s">
        <v>50</v>
      </c>
      <c r="E3578" s="24">
        <v>13.0333333333333</v>
      </c>
      <c r="F3578" s="24">
        <v>0</v>
      </c>
      <c r="L3578" s="143"/>
    </row>
    <row r="3579" s="24" customFormat="1" hidden="1" spans="1:12">
      <c r="A3579" s="141">
        <v>401400120</v>
      </c>
      <c r="B3579" s="140">
        <v>4014001</v>
      </c>
      <c r="D3579" s="24" t="s">
        <v>92</v>
      </c>
      <c r="E3579" s="24">
        <v>3.2</v>
      </c>
      <c r="F3579" s="24">
        <v>0</v>
      </c>
      <c r="L3579" s="143"/>
    </row>
    <row r="3580" s="24" customFormat="1" hidden="1" spans="1:12">
      <c r="A3580" s="141">
        <v>401400121</v>
      </c>
      <c r="B3580" s="140">
        <v>4014001</v>
      </c>
      <c r="D3580" s="24" t="s">
        <v>109</v>
      </c>
      <c r="E3580" s="24">
        <v>2.73333333333333</v>
      </c>
      <c r="F3580" s="24">
        <v>0</v>
      </c>
      <c r="L3580" s="143"/>
    </row>
    <row r="3581" s="24" customFormat="1" hidden="1" spans="1:12">
      <c r="A3581" s="141">
        <v>401400122</v>
      </c>
      <c r="B3581" s="140">
        <v>4014001</v>
      </c>
      <c r="D3581" s="24" t="s">
        <v>97</v>
      </c>
      <c r="E3581" s="24">
        <v>4.1</v>
      </c>
      <c r="F3581" s="24">
        <v>0</v>
      </c>
      <c r="L3581" s="143"/>
    </row>
    <row r="3582" s="24" customFormat="1" hidden="1" spans="1:12">
      <c r="A3582" s="141">
        <v>401400123</v>
      </c>
      <c r="B3582" s="140">
        <v>4014001</v>
      </c>
      <c r="D3582" s="24" t="s">
        <v>77</v>
      </c>
      <c r="E3582" s="24">
        <v>2.16666666666667</v>
      </c>
      <c r="F3582" s="24">
        <v>0</v>
      </c>
      <c r="L3582" s="143"/>
    </row>
    <row r="3583" s="24" customFormat="1" hidden="1" spans="1:12">
      <c r="A3583" s="141">
        <v>401400124</v>
      </c>
      <c r="B3583" s="140">
        <v>4014001</v>
      </c>
      <c r="D3583" s="24" t="s">
        <v>54</v>
      </c>
      <c r="E3583" s="24">
        <v>2.06666666666667</v>
      </c>
      <c r="F3583" s="24">
        <v>0</v>
      </c>
      <c r="L3583" s="143"/>
    </row>
    <row r="3584" s="24" customFormat="1" hidden="1" spans="1:12">
      <c r="A3584" s="141">
        <v>401400125</v>
      </c>
      <c r="B3584" s="140">
        <v>4014001</v>
      </c>
      <c r="D3584" s="24" t="s">
        <v>57</v>
      </c>
      <c r="E3584" s="24">
        <v>4.83333333333333</v>
      </c>
      <c r="F3584" s="24">
        <v>0</v>
      </c>
      <c r="G3584" s="24">
        <v>0</v>
      </c>
      <c r="H3584" s="24">
        <v>2</v>
      </c>
      <c r="I3584" s="24">
        <v>4560</v>
      </c>
      <c r="J3584" s="24" t="s">
        <v>58</v>
      </c>
      <c r="K3584" s="24">
        <v>1</v>
      </c>
      <c r="L3584" s="143"/>
    </row>
    <row r="3585" hidden="1" spans="1:11">
      <c r="A3585" s="141">
        <v>401400126</v>
      </c>
      <c r="B3585" s="140">
        <v>4014001</v>
      </c>
      <c r="D3585" s="24" t="s">
        <v>204</v>
      </c>
      <c r="E3585" s="24">
        <f>80/30</f>
        <v>2.66666666666667</v>
      </c>
      <c r="F3585" s="24">
        <v>0</v>
      </c>
      <c r="G3585" s="24">
        <v>0</v>
      </c>
      <c r="H3585" s="24">
        <v>2</v>
      </c>
      <c r="I3585" s="24">
        <v>4562</v>
      </c>
      <c r="J3585" s="24" t="s">
        <v>58</v>
      </c>
      <c r="K3585" s="24">
        <v>1</v>
      </c>
    </row>
    <row r="3586" s="25" customFormat="1" hidden="1" spans="1:12">
      <c r="A3586" s="144" t="s">
        <v>3704</v>
      </c>
      <c r="B3586" s="145">
        <v>131</v>
      </c>
      <c r="D3586" s="25" t="s">
        <v>1826</v>
      </c>
      <c r="E3586" s="25">
        <f>470/30</f>
        <v>15.6666666666667</v>
      </c>
      <c r="F3586" s="25">
        <v>0</v>
      </c>
      <c r="L3586" s="146"/>
    </row>
    <row r="3587" s="25" customFormat="1" hidden="1" spans="1:12">
      <c r="A3587" s="144" t="s">
        <v>3705</v>
      </c>
      <c r="B3587" s="145">
        <v>30066</v>
      </c>
      <c r="D3587" s="25" t="s">
        <v>1826</v>
      </c>
      <c r="E3587" s="25">
        <f>470/30</f>
        <v>15.6666666666667</v>
      </c>
      <c r="F3587" s="25">
        <v>0</v>
      </c>
      <c r="L3587" s="146"/>
    </row>
    <row r="3588" hidden="1" spans="1:6">
      <c r="A3588" s="2" t="s">
        <v>3706</v>
      </c>
      <c r="B3588" s="3">
        <v>141</v>
      </c>
      <c r="D3588" s="24" t="s">
        <v>36</v>
      </c>
      <c r="E3588" s="56">
        <f>75/30</f>
        <v>2.5</v>
      </c>
      <c r="F3588">
        <v>0</v>
      </c>
    </row>
    <row r="3589" hidden="1" spans="1:6">
      <c r="A3589" s="2" t="s">
        <v>3707</v>
      </c>
      <c r="B3589" s="3">
        <v>141</v>
      </c>
      <c r="D3589" s="24" t="s">
        <v>38</v>
      </c>
      <c r="E3589" s="56">
        <f>76/30</f>
        <v>2.53333333333333</v>
      </c>
      <c r="F3589">
        <v>0</v>
      </c>
    </row>
    <row r="3590" hidden="1" spans="1:6">
      <c r="A3590" s="2" t="s">
        <v>3708</v>
      </c>
      <c r="B3590" s="3">
        <v>141</v>
      </c>
      <c r="D3590" s="24" t="s">
        <v>40</v>
      </c>
      <c r="E3590" s="56">
        <f>110/30</f>
        <v>3.66666666666667</v>
      </c>
      <c r="F3590">
        <v>0</v>
      </c>
    </row>
    <row r="3591" hidden="1" spans="1:6">
      <c r="A3591" s="2" t="s">
        <v>3709</v>
      </c>
      <c r="B3591" s="3">
        <v>141</v>
      </c>
      <c r="D3591" s="24" t="s">
        <v>42</v>
      </c>
      <c r="E3591" s="56">
        <f>66/30</f>
        <v>2.2</v>
      </c>
      <c r="F3591">
        <v>0</v>
      </c>
    </row>
    <row r="3592" hidden="1" spans="1:6">
      <c r="A3592" s="2" t="s">
        <v>3710</v>
      </c>
      <c r="B3592" s="3">
        <v>141</v>
      </c>
      <c r="D3592" s="24" t="s">
        <v>44</v>
      </c>
      <c r="E3592" s="56">
        <f>235/30</f>
        <v>7.83333333333333</v>
      </c>
      <c r="F3592">
        <v>0</v>
      </c>
    </row>
    <row r="3593" hidden="1" spans="1:6">
      <c r="A3593" s="2" t="s">
        <v>3711</v>
      </c>
      <c r="B3593" s="3">
        <v>141</v>
      </c>
      <c r="D3593" s="24" t="s">
        <v>46</v>
      </c>
      <c r="E3593" s="56">
        <f>301/30</f>
        <v>10.0333333333333</v>
      </c>
      <c r="F3593">
        <v>0</v>
      </c>
    </row>
    <row r="3594" hidden="1" spans="1:6">
      <c r="A3594" s="2" t="s">
        <v>3712</v>
      </c>
      <c r="B3594" s="3">
        <v>141</v>
      </c>
      <c r="D3594" s="24" t="s">
        <v>86</v>
      </c>
      <c r="E3594" s="56">
        <f>418/30</f>
        <v>13.9333333333333</v>
      </c>
      <c r="F3594">
        <v>0</v>
      </c>
    </row>
    <row r="3595" hidden="1" spans="1:6">
      <c r="A3595" s="2" t="s">
        <v>3713</v>
      </c>
      <c r="B3595" s="3">
        <v>141</v>
      </c>
      <c r="D3595" s="24" t="s">
        <v>50</v>
      </c>
      <c r="E3595" s="56">
        <f>340/30</f>
        <v>11.3333333333333</v>
      </c>
      <c r="F3595">
        <v>0</v>
      </c>
    </row>
    <row r="3596" hidden="1" spans="1:6">
      <c r="A3596" s="2" t="s">
        <v>3714</v>
      </c>
      <c r="B3596" s="3">
        <v>141</v>
      </c>
      <c r="D3596" s="24" t="s">
        <v>92</v>
      </c>
      <c r="E3596" s="56">
        <f>52/30</f>
        <v>1.73333333333333</v>
      </c>
      <c r="F3596">
        <v>0</v>
      </c>
    </row>
    <row r="3597" hidden="1" spans="1:6">
      <c r="A3597" s="2" t="s">
        <v>3715</v>
      </c>
      <c r="B3597" s="3">
        <v>141</v>
      </c>
      <c r="D3597" s="24" t="s">
        <v>109</v>
      </c>
      <c r="E3597" s="56">
        <f>115/30</f>
        <v>3.83333333333333</v>
      </c>
      <c r="F3597">
        <v>0</v>
      </c>
    </row>
    <row r="3598" hidden="1" spans="1:6">
      <c r="A3598" s="2" t="s">
        <v>3716</v>
      </c>
      <c r="B3598" s="3">
        <v>141</v>
      </c>
      <c r="D3598" s="24" t="s">
        <v>97</v>
      </c>
      <c r="E3598" s="56">
        <f>77/30</f>
        <v>2.56666666666667</v>
      </c>
      <c r="F3598">
        <v>0</v>
      </c>
    </row>
    <row r="3599" hidden="1" spans="1:6">
      <c r="A3599" s="2" t="s">
        <v>3717</v>
      </c>
      <c r="B3599" s="3">
        <v>141</v>
      </c>
      <c r="D3599" s="24" t="s">
        <v>77</v>
      </c>
      <c r="E3599" s="56">
        <f>65/30</f>
        <v>2.16666666666667</v>
      </c>
      <c r="F3599">
        <v>0</v>
      </c>
    </row>
    <row r="3600" hidden="1" spans="1:6">
      <c r="A3600" s="2" t="s">
        <v>3718</v>
      </c>
      <c r="B3600" s="3">
        <v>141</v>
      </c>
      <c r="D3600" s="24" t="s">
        <v>54</v>
      </c>
      <c r="E3600" s="56">
        <f>62/30</f>
        <v>2.06666666666667</v>
      </c>
      <c r="F3600">
        <v>0</v>
      </c>
    </row>
    <row r="3601" hidden="1" spans="1:11">
      <c r="A3601" s="2" t="s">
        <v>3719</v>
      </c>
      <c r="B3601" s="3">
        <v>141</v>
      </c>
      <c r="D3601" s="24" t="s">
        <v>57</v>
      </c>
      <c r="E3601" s="56">
        <f>100/30</f>
        <v>3.33333333333333</v>
      </c>
      <c r="F3601">
        <v>0</v>
      </c>
      <c r="G3601" s="24" t="s">
        <v>61</v>
      </c>
      <c r="H3601" s="24" t="s">
        <v>62</v>
      </c>
      <c r="I3601" s="24" t="s">
        <v>3720</v>
      </c>
      <c r="J3601" s="24" t="s">
        <v>3721</v>
      </c>
      <c r="K3601" s="24" t="s">
        <v>95</v>
      </c>
    </row>
    <row r="3602" hidden="1" spans="1:6">
      <c r="A3602" s="2" t="s">
        <v>3722</v>
      </c>
      <c r="B3602" s="3">
        <v>30088</v>
      </c>
      <c r="D3602" s="24" t="s">
        <v>36</v>
      </c>
      <c r="E3602" s="56">
        <f>109/30</f>
        <v>3.63333333333333</v>
      </c>
      <c r="F3602">
        <v>0</v>
      </c>
    </row>
    <row r="3603" hidden="1" spans="1:6">
      <c r="A3603" s="2" t="s">
        <v>3723</v>
      </c>
      <c r="B3603" s="3">
        <v>30088</v>
      </c>
      <c r="D3603" s="24" t="s">
        <v>38</v>
      </c>
      <c r="E3603" s="56">
        <f>157/30</f>
        <v>5.23333333333333</v>
      </c>
      <c r="F3603">
        <v>0</v>
      </c>
    </row>
    <row r="3604" hidden="1" spans="1:6">
      <c r="A3604" s="2" t="s">
        <v>3724</v>
      </c>
      <c r="B3604" s="3">
        <v>30088</v>
      </c>
      <c r="D3604" s="24" t="s">
        <v>40</v>
      </c>
      <c r="E3604" s="56">
        <f>67/30</f>
        <v>2.23333333333333</v>
      </c>
      <c r="F3604">
        <v>0</v>
      </c>
    </row>
    <row r="3605" hidden="1" spans="1:6">
      <c r="A3605" s="2" t="s">
        <v>3725</v>
      </c>
      <c r="B3605" s="3">
        <v>30088</v>
      </c>
      <c r="D3605" s="24" t="s">
        <v>42</v>
      </c>
      <c r="E3605" s="56">
        <f>138/30</f>
        <v>4.6</v>
      </c>
      <c r="F3605">
        <v>0</v>
      </c>
    </row>
    <row r="3606" hidden="1" spans="1:6">
      <c r="A3606" s="2" t="s">
        <v>3726</v>
      </c>
      <c r="B3606" s="3">
        <v>30088</v>
      </c>
      <c r="D3606" s="24" t="s">
        <v>44</v>
      </c>
      <c r="E3606" s="56">
        <f>67/30</f>
        <v>2.23333333333333</v>
      </c>
      <c r="F3606">
        <v>0</v>
      </c>
    </row>
    <row r="3607" hidden="1" spans="1:6">
      <c r="A3607" s="2" t="s">
        <v>3727</v>
      </c>
      <c r="B3607" s="3">
        <v>30088</v>
      </c>
      <c r="D3607" s="24" t="s">
        <v>46</v>
      </c>
      <c r="E3607" s="56">
        <f>373/30</f>
        <v>12.4333333333333</v>
      </c>
      <c r="F3607">
        <v>0</v>
      </c>
    </row>
    <row r="3608" hidden="1" spans="1:6">
      <c r="A3608" s="2" t="s">
        <v>3728</v>
      </c>
      <c r="B3608" s="3">
        <v>30088</v>
      </c>
      <c r="D3608" s="24" t="s">
        <v>86</v>
      </c>
      <c r="E3608" s="56">
        <f>360/30</f>
        <v>12</v>
      </c>
      <c r="F3608">
        <v>0</v>
      </c>
    </row>
    <row r="3609" hidden="1" spans="1:6">
      <c r="A3609" s="2" t="s">
        <v>3729</v>
      </c>
      <c r="B3609" s="3">
        <v>30088</v>
      </c>
      <c r="D3609" s="24" t="s">
        <v>50</v>
      </c>
      <c r="E3609" s="56">
        <f>271/30</f>
        <v>9.03333333333333</v>
      </c>
      <c r="F3609">
        <v>0</v>
      </c>
    </row>
    <row r="3610" hidden="1" spans="1:11">
      <c r="A3610" s="2" t="s">
        <v>3730</v>
      </c>
      <c r="B3610" s="3">
        <v>30088</v>
      </c>
      <c r="D3610" s="24" t="s">
        <v>204</v>
      </c>
      <c r="E3610" s="56">
        <f>90/30</f>
        <v>3</v>
      </c>
      <c r="F3610">
        <v>0</v>
      </c>
      <c r="G3610">
        <v>0</v>
      </c>
      <c r="H3610">
        <v>2</v>
      </c>
      <c r="I3610">
        <v>4607</v>
      </c>
      <c r="J3610" t="s">
        <v>58</v>
      </c>
      <c r="K3610">
        <v>1</v>
      </c>
    </row>
    <row r="3611" hidden="1" spans="1:11">
      <c r="A3611" s="2" t="s">
        <v>3731</v>
      </c>
      <c r="B3611" s="3">
        <v>30088</v>
      </c>
      <c r="D3611" t="s">
        <v>236</v>
      </c>
      <c r="E3611" s="56">
        <f>52/30</f>
        <v>1.73333333333333</v>
      </c>
      <c r="F3611">
        <v>0</v>
      </c>
      <c r="G3611">
        <v>0</v>
      </c>
      <c r="H3611">
        <v>2</v>
      </c>
      <c r="I3611">
        <v>4606</v>
      </c>
      <c r="J3611" t="s">
        <v>58</v>
      </c>
      <c r="K3611">
        <v>1</v>
      </c>
    </row>
    <row r="3612" hidden="1" spans="1:6">
      <c r="A3612" s="2" t="s">
        <v>3732</v>
      </c>
      <c r="B3612" s="3">
        <v>142</v>
      </c>
      <c r="D3612" s="24" t="s">
        <v>92</v>
      </c>
      <c r="E3612" s="56">
        <f>68/30</f>
        <v>2.26666666666667</v>
      </c>
      <c r="F3612">
        <v>0</v>
      </c>
    </row>
    <row r="3613" hidden="1" spans="1:6">
      <c r="A3613" s="2" t="s">
        <v>3733</v>
      </c>
      <c r="B3613" s="3">
        <v>142</v>
      </c>
      <c r="D3613" s="24" t="s">
        <v>109</v>
      </c>
      <c r="E3613" s="56">
        <f>80/30</f>
        <v>2.66666666666667</v>
      </c>
      <c r="F3613">
        <v>0</v>
      </c>
    </row>
    <row r="3614" hidden="1" spans="1:6">
      <c r="A3614" s="2" t="s">
        <v>3734</v>
      </c>
      <c r="B3614" s="3">
        <v>142</v>
      </c>
      <c r="D3614" s="24" t="s">
        <v>97</v>
      </c>
      <c r="E3614" s="56">
        <f>100/30</f>
        <v>3.33333333333333</v>
      </c>
      <c r="F3614">
        <v>0</v>
      </c>
    </row>
    <row r="3615" hidden="1" spans="1:6">
      <c r="A3615" s="2" t="s">
        <v>3735</v>
      </c>
      <c r="B3615" s="3">
        <v>142</v>
      </c>
      <c r="D3615" s="24" t="s">
        <v>77</v>
      </c>
      <c r="E3615" s="56">
        <f>86/30</f>
        <v>2.86666666666667</v>
      </c>
      <c r="F3615">
        <v>0</v>
      </c>
    </row>
    <row r="3616" hidden="1" spans="1:6">
      <c r="A3616" s="2" t="s">
        <v>3736</v>
      </c>
      <c r="B3616" s="3">
        <v>142</v>
      </c>
      <c r="D3616" s="24" t="s">
        <v>54</v>
      </c>
      <c r="E3616" s="56">
        <f>115/30</f>
        <v>3.83333333333333</v>
      </c>
      <c r="F3616">
        <v>0</v>
      </c>
    </row>
    <row r="3617" hidden="1" spans="1:11">
      <c r="A3617" s="2" t="s">
        <v>3737</v>
      </c>
      <c r="B3617" s="3">
        <v>142</v>
      </c>
      <c r="D3617" s="24" t="s">
        <v>57</v>
      </c>
      <c r="E3617" s="56">
        <f>136/30</f>
        <v>4.53333333333333</v>
      </c>
      <c r="F3617">
        <v>0</v>
      </c>
      <c r="G3617">
        <v>0</v>
      </c>
      <c r="H3617">
        <v>2</v>
      </c>
      <c r="I3617">
        <v>4603</v>
      </c>
      <c r="J3617" t="s">
        <v>58</v>
      </c>
      <c r="K3617">
        <v>1</v>
      </c>
    </row>
    <row r="3618" hidden="1" spans="1:11">
      <c r="A3618" s="2" t="s">
        <v>3738</v>
      </c>
      <c r="B3618" s="3">
        <v>142</v>
      </c>
      <c r="D3618" s="24" t="s">
        <v>204</v>
      </c>
      <c r="E3618" s="56">
        <f>90/30</f>
        <v>3</v>
      </c>
      <c r="F3618">
        <v>0</v>
      </c>
      <c r="G3618">
        <v>0</v>
      </c>
      <c r="H3618">
        <v>2</v>
      </c>
      <c r="I3618">
        <v>4607</v>
      </c>
      <c r="J3618" t="s">
        <v>58</v>
      </c>
      <c r="K3618">
        <v>1</v>
      </c>
    </row>
    <row r="3619" hidden="1" spans="1:11">
      <c r="A3619" s="2" t="s">
        <v>3739</v>
      </c>
      <c r="B3619" s="3">
        <v>142</v>
      </c>
      <c r="D3619" t="s">
        <v>236</v>
      </c>
      <c r="E3619" s="56">
        <f>52/30</f>
        <v>1.73333333333333</v>
      </c>
      <c r="F3619">
        <v>0</v>
      </c>
      <c r="G3619">
        <v>0</v>
      </c>
      <c r="H3619">
        <v>2</v>
      </c>
      <c r="I3619">
        <v>4606</v>
      </c>
      <c r="J3619" t="s">
        <v>58</v>
      </c>
      <c r="K3619">
        <v>1</v>
      </c>
    </row>
    <row r="3620" hidden="1" spans="1:11">
      <c r="A3620" s="2" t="s">
        <v>3740</v>
      </c>
      <c r="B3620" s="3">
        <v>400105</v>
      </c>
      <c r="D3620" s="24" t="s">
        <v>54</v>
      </c>
      <c r="E3620">
        <f>250/30</f>
        <v>8.33333333333333</v>
      </c>
      <c r="F3620" s="10">
        <v>0</v>
      </c>
      <c r="G3620" s="10">
        <v>0</v>
      </c>
      <c r="H3620" s="10">
        <v>2</v>
      </c>
      <c r="I3620" s="10">
        <v>848</v>
      </c>
      <c r="J3620" s="10" t="s">
        <v>403</v>
      </c>
      <c r="K3620" s="10">
        <v>1</v>
      </c>
    </row>
    <row r="3621" hidden="1" spans="1:11">
      <c r="A3621" s="2" t="s">
        <v>3741</v>
      </c>
      <c r="B3621" s="3">
        <v>400105</v>
      </c>
      <c r="D3621" s="24" t="s">
        <v>57</v>
      </c>
      <c r="E3621">
        <f>55/30</f>
        <v>1.83333333333333</v>
      </c>
      <c r="F3621" s="10">
        <v>0</v>
      </c>
      <c r="G3621" s="10">
        <v>0</v>
      </c>
      <c r="H3621" s="10">
        <v>2</v>
      </c>
      <c r="I3621" s="10">
        <v>896</v>
      </c>
      <c r="J3621" s="11" t="s">
        <v>58</v>
      </c>
      <c r="K3621" s="10">
        <v>1</v>
      </c>
    </row>
    <row r="3622" hidden="1" spans="1:6">
      <c r="A3622" s="2" t="s">
        <v>3742</v>
      </c>
      <c r="B3622" s="3">
        <v>143</v>
      </c>
      <c r="D3622" s="113" t="s">
        <v>36</v>
      </c>
      <c r="E3622" s="56">
        <f>70/30</f>
        <v>2.33333333333333</v>
      </c>
      <c r="F3622">
        <v>0</v>
      </c>
    </row>
    <row r="3623" hidden="1" spans="1:6">
      <c r="A3623" s="2" t="s">
        <v>3743</v>
      </c>
      <c r="B3623" s="3">
        <v>143</v>
      </c>
      <c r="D3623" s="113" t="s">
        <v>38</v>
      </c>
      <c r="E3623" s="56">
        <f>114/30</f>
        <v>3.8</v>
      </c>
      <c r="F3623">
        <v>0</v>
      </c>
    </row>
    <row r="3624" hidden="1" spans="1:6">
      <c r="A3624" s="2" t="s">
        <v>3744</v>
      </c>
      <c r="B3624" s="3">
        <v>143</v>
      </c>
      <c r="D3624" s="113" t="s">
        <v>40</v>
      </c>
      <c r="E3624" s="56">
        <f>220/30</f>
        <v>7.33333333333333</v>
      </c>
      <c r="F3624">
        <v>0</v>
      </c>
    </row>
    <row r="3625" hidden="1" spans="1:6">
      <c r="A3625" s="2" t="s">
        <v>3745</v>
      </c>
      <c r="B3625" s="3">
        <v>143</v>
      </c>
      <c r="D3625" s="113" t="s">
        <v>42</v>
      </c>
      <c r="E3625" s="56">
        <f>170/30</f>
        <v>5.66666666666667</v>
      </c>
      <c r="F3625">
        <v>0</v>
      </c>
    </row>
    <row r="3626" hidden="1" spans="1:6">
      <c r="A3626" s="2" t="s">
        <v>3746</v>
      </c>
      <c r="B3626" s="3">
        <v>143</v>
      </c>
      <c r="D3626" s="113" t="s">
        <v>44</v>
      </c>
      <c r="E3626" s="56">
        <f>123/30</f>
        <v>4.1</v>
      </c>
      <c r="F3626">
        <v>0</v>
      </c>
    </row>
    <row r="3627" hidden="1" spans="1:6">
      <c r="A3627" s="2" t="s">
        <v>3747</v>
      </c>
      <c r="B3627" s="3">
        <v>143</v>
      </c>
      <c r="D3627" s="113" t="s">
        <v>46</v>
      </c>
      <c r="E3627" s="56">
        <f>321/30</f>
        <v>10.7</v>
      </c>
      <c r="F3627">
        <v>0</v>
      </c>
    </row>
    <row r="3628" hidden="1" spans="1:6">
      <c r="A3628" s="2" t="s">
        <v>3748</v>
      </c>
      <c r="B3628" s="3">
        <v>143</v>
      </c>
      <c r="D3628" s="113" t="s">
        <v>86</v>
      </c>
      <c r="E3628" s="56">
        <f>310/30</f>
        <v>10.3333333333333</v>
      </c>
      <c r="F3628">
        <v>0</v>
      </c>
    </row>
    <row r="3629" hidden="1" spans="1:6">
      <c r="A3629" s="2" t="s">
        <v>3749</v>
      </c>
      <c r="B3629" s="3">
        <v>143</v>
      </c>
      <c r="D3629" s="113" t="s">
        <v>50</v>
      </c>
      <c r="E3629" s="56">
        <f>326/30</f>
        <v>10.8666666666667</v>
      </c>
      <c r="F3629">
        <v>0</v>
      </c>
    </row>
    <row r="3630" hidden="1" spans="1:6">
      <c r="A3630" s="2" t="s">
        <v>3750</v>
      </c>
      <c r="B3630" s="3">
        <v>143</v>
      </c>
      <c r="D3630" s="19" t="s">
        <v>92</v>
      </c>
      <c r="E3630" s="56">
        <f>74/30</f>
        <v>2.46666666666667</v>
      </c>
      <c r="F3630">
        <v>0</v>
      </c>
    </row>
    <row r="3631" hidden="1" spans="1:6">
      <c r="A3631" s="2" t="s">
        <v>3751</v>
      </c>
      <c r="B3631" s="3">
        <v>143</v>
      </c>
      <c r="D3631" s="19" t="s">
        <v>109</v>
      </c>
      <c r="E3631" s="56">
        <f>81/30</f>
        <v>2.7</v>
      </c>
      <c r="F3631">
        <v>0</v>
      </c>
    </row>
    <row r="3632" hidden="1" spans="1:6">
      <c r="A3632" s="2" t="s">
        <v>3752</v>
      </c>
      <c r="B3632" s="3">
        <v>143</v>
      </c>
      <c r="D3632" s="19" t="s">
        <v>97</v>
      </c>
      <c r="E3632" s="56">
        <f>76/30</f>
        <v>2.53333333333333</v>
      </c>
      <c r="F3632">
        <v>0</v>
      </c>
    </row>
    <row r="3633" hidden="1" spans="1:6">
      <c r="A3633" s="2" t="s">
        <v>3753</v>
      </c>
      <c r="B3633" s="3">
        <v>143</v>
      </c>
      <c r="D3633" s="19" t="s">
        <v>77</v>
      </c>
      <c r="E3633" s="56">
        <f>82/30</f>
        <v>2.73333333333333</v>
      </c>
      <c r="F3633">
        <v>0</v>
      </c>
    </row>
    <row r="3634" hidden="1" spans="1:6">
      <c r="A3634" s="2" t="s">
        <v>3754</v>
      </c>
      <c r="B3634" s="3">
        <v>143</v>
      </c>
      <c r="D3634" s="19" t="s">
        <v>54</v>
      </c>
      <c r="E3634" s="56"/>
      <c r="F3634">
        <v>0</v>
      </c>
    </row>
    <row r="3635" hidden="1" spans="1:6">
      <c r="A3635" s="2" t="s">
        <v>3755</v>
      </c>
      <c r="B3635" s="3">
        <v>143</v>
      </c>
      <c r="D3635" s="19" t="s">
        <v>57</v>
      </c>
      <c r="E3635" s="56">
        <f>85/30</f>
        <v>2.83333333333333</v>
      </c>
      <c r="F3635">
        <v>0</v>
      </c>
    </row>
    <row r="3636" hidden="1" spans="1:12">
      <c r="A3636" s="2" t="s">
        <v>3756</v>
      </c>
      <c r="B3636" s="3">
        <v>143</v>
      </c>
      <c r="D3636" s="19" t="s">
        <v>1776</v>
      </c>
      <c r="E3636">
        <f>153/30</f>
        <v>5.1</v>
      </c>
      <c r="F3636">
        <v>0</v>
      </c>
      <c r="G3636" s="10">
        <v>0</v>
      </c>
      <c r="H3636" s="10">
        <v>2</v>
      </c>
      <c r="I3636" s="10">
        <v>4622</v>
      </c>
      <c r="J3636" s="11" t="s">
        <v>58</v>
      </c>
      <c r="K3636">
        <v>1</v>
      </c>
      <c r="L3636" s="10"/>
    </row>
    <row r="3637" hidden="1" spans="1:6">
      <c r="A3637" s="2" t="s">
        <v>3757</v>
      </c>
      <c r="B3637" s="3">
        <v>4014301</v>
      </c>
      <c r="D3637" s="113" t="s">
        <v>36</v>
      </c>
      <c r="E3637" s="56">
        <f>70/30</f>
        <v>2.33333333333333</v>
      </c>
      <c r="F3637">
        <v>0</v>
      </c>
    </row>
    <row r="3638" hidden="1" spans="1:6">
      <c r="A3638" s="2" t="s">
        <v>3758</v>
      </c>
      <c r="B3638" s="3">
        <v>4014301</v>
      </c>
      <c r="D3638" s="113" t="s">
        <v>38</v>
      </c>
      <c r="E3638" s="56">
        <f>114/30</f>
        <v>3.8</v>
      </c>
      <c r="F3638">
        <v>0</v>
      </c>
    </row>
    <row r="3639" hidden="1" spans="1:6">
      <c r="A3639" s="2" t="s">
        <v>3759</v>
      </c>
      <c r="B3639" s="3">
        <v>4014301</v>
      </c>
      <c r="D3639" s="113" t="s">
        <v>40</v>
      </c>
      <c r="E3639" s="56">
        <f>220/30</f>
        <v>7.33333333333333</v>
      </c>
      <c r="F3639">
        <v>0</v>
      </c>
    </row>
    <row r="3640" hidden="1" spans="1:6">
      <c r="A3640" s="2" t="s">
        <v>3760</v>
      </c>
      <c r="B3640" s="3">
        <v>4014301</v>
      </c>
      <c r="D3640" s="113" t="s">
        <v>42</v>
      </c>
      <c r="E3640" s="56">
        <f>170/30</f>
        <v>5.66666666666667</v>
      </c>
      <c r="F3640">
        <v>0</v>
      </c>
    </row>
    <row r="3641" hidden="1" spans="1:6">
      <c r="A3641" s="2" t="s">
        <v>3761</v>
      </c>
      <c r="B3641" s="3">
        <v>4014301</v>
      </c>
      <c r="D3641" s="113" t="s">
        <v>44</v>
      </c>
      <c r="E3641" s="56">
        <f>123/30</f>
        <v>4.1</v>
      </c>
      <c r="F3641">
        <v>0</v>
      </c>
    </row>
    <row r="3642" hidden="1" spans="1:6">
      <c r="A3642" s="2" t="s">
        <v>3762</v>
      </c>
      <c r="B3642" s="3">
        <v>4014301</v>
      </c>
      <c r="D3642" s="113" t="s">
        <v>46</v>
      </c>
      <c r="E3642" s="56">
        <f>321/30</f>
        <v>10.7</v>
      </c>
      <c r="F3642">
        <v>0</v>
      </c>
    </row>
    <row r="3643" hidden="1" spans="1:6">
      <c r="A3643" s="2" t="s">
        <v>3763</v>
      </c>
      <c r="B3643" s="3">
        <v>4014301</v>
      </c>
      <c r="D3643" s="113" t="s">
        <v>86</v>
      </c>
      <c r="E3643" s="56">
        <f>310/30</f>
        <v>10.3333333333333</v>
      </c>
      <c r="F3643">
        <v>0</v>
      </c>
    </row>
    <row r="3644" hidden="1" spans="1:6">
      <c r="A3644" s="2" t="s">
        <v>3764</v>
      </c>
      <c r="B3644" s="3">
        <v>4014301</v>
      </c>
      <c r="D3644" s="113" t="s">
        <v>50</v>
      </c>
      <c r="E3644" s="56">
        <f>326/30</f>
        <v>10.8666666666667</v>
      </c>
      <c r="F3644">
        <v>0</v>
      </c>
    </row>
    <row r="3645" hidden="1" spans="1:6">
      <c r="A3645" s="2" t="s">
        <v>3765</v>
      </c>
      <c r="B3645" s="3">
        <v>4014301</v>
      </c>
      <c r="D3645" s="19" t="s">
        <v>92</v>
      </c>
      <c r="E3645" s="56">
        <f>74/30</f>
        <v>2.46666666666667</v>
      </c>
      <c r="F3645">
        <v>0</v>
      </c>
    </row>
    <row r="3646" hidden="1" spans="1:6">
      <c r="A3646" s="2" t="s">
        <v>3766</v>
      </c>
      <c r="B3646" s="3">
        <v>4014301</v>
      </c>
      <c r="D3646" s="19" t="s">
        <v>109</v>
      </c>
      <c r="E3646" s="56">
        <f>81/30</f>
        <v>2.7</v>
      </c>
      <c r="F3646">
        <v>0</v>
      </c>
    </row>
    <row r="3647" hidden="1" spans="1:6">
      <c r="A3647" s="2" t="s">
        <v>3767</v>
      </c>
      <c r="B3647" s="3">
        <v>4014301</v>
      </c>
      <c r="D3647" s="19" t="s">
        <v>97</v>
      </c>
      <c r="E3647" s="56">
        <f>76/30</f>
        <v>2.53333333333333</v>
      </c>
      <c r="F3647">
        <v>0</v>
      </c>
    </row>
    <row r="3648" hidden="1" spans="1:6">
      <c r="A3648" s="2" t="s">
        <v>3768</v>
      </c>
      <c r="B3648" s="3">
        <v>4014301</v>
      </c>
      <c r="D3648" s="19" t="s">
        <v>77</v>
      </c>
      <c r="E3648" s="56">
        <f>82/30</f>
        <v>2.73333333333333</v>
      </c>
      <c r="F3648">
        <v>0</v>
      </c>
    </row>
    <row r="3649" hidden="1" spans="1:11">
      <c r="A3649" s="2" t="s">
        <v>3769</v>
      </c>
      <c r="B3649" s="3">
        <v>4014301</v>
      </c>
      <c r="D3649" s="19" t="s">
        <v>1776</v>
      </c>
      <c r="E3649">
        <f>153/30</f>
        <v>5.1</v>
      </c>
      <c r="F3649">
        <v>0</v>
      </c>
      <c r="G3649" s="10">
        <v>0</v>
      </c>
      <c r="H3649" s="10">
        <v>2</v>
      </c>
      <c r="I3649" s="10">
        <v>4622</v>
      </c>
      <c r="J3649" s="11" t="s">
        <v>58</v>
      </c>
      <c r="K3649">
        <v>1</v>
      </c>
    </row>
    <row r="3650" hidden="1" spans="1:6">
      <c r="A3650" s="2" t="s">
        <v>3770</v>
      </c>
      <c r="B3650" s="3">
        <v>4014302</v>
      </c>
      <c r="D3650" s="113" t="s">
        <v>36</v>
      </c>
      <c r="E3650" s="56">
        <f>70/30</f>
        <v>2.33333333333333</v>
      </c>
      <c r="F3650">
        <v>0</v>
      </c>
    </row>
    <row r="3651" hidden="1" spans="1:6">
      <c r="A3651" s="2" t="s">
        <v>3771</v>
      </c>
      <c r="B3651" s="3">
        <v>4014302</v>
      </c>
      <c r="D3651" s="113" t="s">
        <v>38</v>
      </c>
      <c r="E3651" s="56">
        <f>114/30</f>
        <v>3.8</v>
      </c>
      <c r="F3651">
        <v>0</v>
      </c>
    </row>
    <row r="3652" hidden="1" spans="1:6">
      <c r="A3652" s="2" t="s">
        <v>3772</v>
      </c>
      <c r="B3652" s="3">
        <v>4014302</v>
      </c>
      <c r="D3652" s="113" t="s">
        <v>40</v>
      </c>
      <c r="E3652" s="56">
        <f>220/30</f>
        <v>7.33333333333333</v>
      </c>
      <c r="F3652">
        <v>0</v>
      </c>
    </row>
    <row r="3653" hidden="1" spans="1:6">
      <c r="A3653" s="2" t="s">
        <v>3773</v>
      </c>
      <c r="B3653" s="3">
        <v>4014302</v>
      </c>
      <c r="D3653" s="113" t="s">
        <v>42</v>
      </c>
      <c r="E3653" s="56">
        <f>170/30</f>
        <v>5.66666666666667</v>
      </c>
      <c r="F3653">
        <v>0</v>
      </c>
    </row>
    <row r="3654" hidden="1" spans="1:6">
      <c r="A3654" s="2" t="s">
        <v>3774</v>
      </c>
      <c r="B3654" s="3">
        <v>4014302</v>
      </c>
      <c r="D3654" s="113" t="s">
        <v>44</v>
      </c>
      <c r="E3654" s="56">
        <f>123/30</f>
        <v>4.1</v>
      </c>
      <c r="F3654">
        <v>0</v>
      </c>
    </row>
    <row r="3655" hidden="1" spans="1:6">
      <c r="A3655" s="2" t="s">
        <v>3775</v>
      </c>
      <c r="B3655" s="3">
        <v>4014302</v>
      </c>
      <c r="D3655" s="113" t="s">
        <v>46</v>
      </c>
      <c r="E3655" s="56">
        <f>321/30</f>
        <v>10.7</v>
      </c>
      <c r="F3655">
        <v>0</v>
      </c>
    </row>
    <row r="3656" hidden="1" spans="1:6">
      <c r="A3656" s="2" t="s">
        <v>3776</v>
      </c>
      <c r="B3656" s="3">
        <v>4014302</v>
      </c>
      <c r="D3656" s="113" t="s">
        <v>86</v>
      </c>
      <c r="E3656" s="56">
        <f>310/30</f>
        <v>10.3333333333333</v>
      </c>
      <c r="F3656">
        <v>0</v>
      </c>
    </row>
    <row r="3657" hidden="1" spans="1:6">
      <c r="A3657" s="2" t="s">
        <v>3777</v>
      </c>
      <c r="B3657" s="3">
        <v>4014302</v>
      </c>
      <c r="D3657" s="113" t="s">
        <v>50</v>
      </c>
      <c r="E3657" s="56">
        <f>326/30</f>
        <v>10.8666666666667</v>
      </c>
      <c r="F3657">
        <v>0</v>
      </c>
    </row>
    <row r="3658" hidden="1" spans="1:6">
      <c r="A3658" s="2" t="s">
        <v>3778</v>
      </c>
      <c r="B3658" s="3">
        <v>4014302</v>
      </c>
      <c r="D3658" s="19" t="s">
        <v>92</v>
      </c>
      <c r="E3658" s="56">
        <f>74/30</f>
        <v>2.46666666666667</v>
      </c>
      <c r="F3658">
        <v>0</v>
      </c>
    </row>
    <row r="3659" hidden="1" spans="1:6">
      <c r="A3659" s="2" t="s">
        <v>3779</v>
      </c>
      <c r="B3659" s="3">
        <v>4014302</v>
      </c>
      <c r="D3659" s="19" t="s">
        <v>109</v>
      </c>
      <c r="E3659" s="56">
        <f>81/30</f>
        <v>2.7</v>
      </c>
      <c r="F3659">
        <v>0</v>
      </c>
    </row>
    <row r="3660" hidden="1" spans="1:6">
      <c r="A3660" s="2" t="s">
        <v>3780</v>
      </c>
      <c r="B3660" s="3">
        <v>4014302</v>
      </c>
      <c r="D3660" s="19" t="s">
        <v>97</v>
      </c>
      <c r="E3660" s="56">
        <f>76/30</f>
        <v>2.53333333333333</v>
      </c>
      <c r="F3660">
        <v>0</v>
      </c>
    </row>
    <row r="3661" hidden="1" spans="1:6">
      <c r="A3661" s="2" t="s">
        <v>3781</v>
      </c>
      <c r="B3661" s="3">
        <v>4014302</v>
      </c>
      <c r="D3661" s="19" t="s">
        <v>77</v>
      </c>
      <c r="E3661" s="56">
        <f>82/30</f>
        <v>2.73333333333333</v>
      </c>
      <c r="F3661">
        <v>0</v>
      </c>
    </row>
    <row r="3662" hidden="1" spans="1:11">
      <c r="A3662" s="2" t="s">
        <v>3782</v>
      </c>
      <c r="B3662" s="3">
        <v>4014302</v>
      </c>
      <c r="D3662" s="19" t="s">
        <v>1776</v>
      </c>
      <c r="E3662">
        <f>153/30</f>
        <v>5.1</v>
      </c>
      <c r="F3662">
        <v>0</v>
      </c>
      <c r="G3662" s="10">
        <v>0</v>
      </c>
      <c r="H3662" s="10">
        <v>2</v>
      </c>
      <c r="I3662" s="10">
        <v>4622</v>
      </c>
      <c r="J3662" s="11" t="s">
        <v>58</v>
      </c>
      <c r="K3662">
        <v>1</v>
      </c>
    </row>
    <row r="3663" hidden="1" spans="1:6">
      <c r="A3663" s="2" t="s">
        <v>3783</v>
      </c>
      <c r="B3663" s="3">
        <v>144</v>
      </c>
      <c r="D3663" s="37" t="s">
        <v>36</v>
      </c>
      <c r="E3663" s="147">
        <f>86/30</f>
        <v>2.86666666666667</v>
      </c>
      <c r="F3663">
        <v>0</v>
      </c>
    </row>
    <row r="3664" hidden="1" spans="1:6">
      <c r="A3664" s="2" t="s">
        <v>3784</v>
      </c>
      <c r="B3664" s="3">
        <v>144</v>
      </c>
      <c r="D3664" s="37" t="s">
        <v>38</v>
      </c>
      <c r="E3664" s="147">
        <f>68/30</f>
        <v>2.26666666666667</v>
      </c>
      <c r="F3664">
        <v>0</v>
      </c>
    </row>
    <row r="3665" hidden="1" spans="1:6">
      <c r="A3665" s="2" t="s">
        <v>3785</v>
      </c>
      <c r="B3665" s="3">
        <v>144</v>
      </c>
      <c r="D3665" s="37" t="s">
        <v>40</v>
      </c>
      <c r="E3665" s="147">
        <f>92/30</f>
        <v>3.06666666666667</v>
      </c>
      <c r="F3665">
        <v>0</v>
      </c>
    </row>
    <row r="3666" hidden="1" spans="1:6">
      <c r="A3666" s="2" t="s">
        <v>3786</v>
      </c>
      <c r="B3666" s="3">
        <v>144</v>
      </c>
      <c r="D3666" s="37" t="s">
        <v>42</v>
      </c>
      <c r="E3666" s="147">
        <f>115/30</f>
        <v>3.83333333333333</v>
      </c>
      <c r="F3666">
        <v>0</v>
      </c>
    </row>
    <row r="3667" hidden="1" spans="1:6">
      <c r="A3667" s="2" t="s">
        <v>3787</v>
      </c>
      <c r="B3667" s="3">
        <v>144</v>
      </c>
      <c r="D3667" s="37" t="s">
        <v>44</v>
      </c>
      <c r="E3667" s="147">
        <f>88/30</f>
        <v>2.93333333333333</v>
      </c>
      <c r="F3667">
        <v>0</v>
      </c>
    </row>
    <row r="3668" hidden="1" spans="1:6">
      <c r="A3668" s="2" t="s">
        <v>3788</v>
      </c>
      <c r="B3668" s="3">
        <v>144</v>
      </c>
      <c r="D3668" s="37" t="s">
        <v>46</v>
      </c>
      <c r="E3668" s="147">
        <f>368/30</f>
        <v>12.2666666666667</v>
      </c>
      <c r="F3668">
        <v>0</v>
      </c>
    </row>
    <row r="3669" hidden="1" spans="1:6">
      <c r="A3669" s="2" t="s">
        <v>3789</v>
      </c>
      <c r="B3669" s="3">
        <v>144</v>
      </c>
      <c r="D3669" s="37" t="s">
        <v>86</v>
      </c>
      <c r="E3669" s="147">
        <f>323/30</f>
        <v>10.7666666666667</v>
      </c>
      <c r="F3669">
        <v>0</v>
      </c>
    </row>
    <row r="3670" hidden="1" spans="1:6">
      <c r="A3670" s="2" t="s">
        <v>3790</v>
      </c>
      <c r="B3670" s="3">
        <v>144</v>
      </c>
      <c r="D3670" s="37" t="s">
        <v>50</v>
      </c>
      <c r="E3670" s="147">
        <f>388/30</f>
        <v>12.9333333333333</v>
      </c>
      <c r="F3670">
        <v>0</v>
      </c>
    </row>
    <row r="3671" hidden="1" spans="1:6">
      <c r="A3671" s="2" t="s">
        <v>3791</v>
      </c>
      <c r="B3671" s="3">
        <v>144</v>
      </c>
      <c r="D3671" t="s">
        <v>92</v>
      </c>
      <c r="E3671">
        <f>74/30</f>
        <v>2.46666666666667</v>
      </c>
      <c r="F3671">
        <v>0</v>
      </c>
    </row>
    <row r="3672" hidden="1" spans="1:6">
      <c r="A3672" s="2" t="s">
        <v>3792</v>
      </c>
      <c r="B3672" s="3">
        <v>144</v>
      </c>
      <c r="D3672" t="s">
        <v>109</v>
      </c>
      <c r="E3672">
        <f>103/30</f>
        <v>3.43333333333333</v>
      </c>
      <c r="F3672">
        <v>0</v>
      </c>
    </row>
    <row r="3673" hidden="1" spans="1:6">
      <c r="A3673" s="2" t="s">
        <v>3793</v>
      </c>
      <c r="B3673" s="3">
        <v>144</v>
      </c>
      <c r="D3673" t="s">
        <v>97</v>
      </c>
      <c r="E3673">
        <f>105/30</f>
        <v>3.5</v>
      </c>
      <c r="F3673">
        <v>0</v>
      </c>
    </row>
    <row r="3674" hidden="1" spans="1:6">
      <c r="A3674" s="2" t="s">
        <v>3794</v>
      </c>
      <c r="B3674" s="3">
        <v>144</v>
      </c>
      <c r="D3674" t="s">
        <v>77</v>
      </c>
      <c r="E3674">
        <f>95/30</f>
        <v>3.16666666666667</v>
      </c>
      <c r="F3674">
        <v>0</v>
      </c>
    </row>
    <row r="3675" hidden="1" spans="1:6">
      <c r="A3675" s="2" t="s">
        <v>3795</v>
      </c>
      <c r="B3675" s="3">
        <v>144</v>
      </c>
      <c r="D3675" t="s">
        <v>54</v>
      </c>
      <c r="E3675">
        <f>82/30</f>
        <v>2.73333333333333</v>
      </c>
      <c r="F3675">
        <v>0</v>
      </c>
    </row>
    <row r="3676" hidden="1" spans="1:10">
      <c r="A3676" s="2" t="s">
        <v>3796</v>
      </c>
      <c r="B3676" s="3">
        <v>144</v>
      </c>
      <c r="D3676" t="s">
        <v>57</v>
      </c>
      <c r="E3676">
        <f>167/30</f>
        <v>5.56666666666667</v>
      </c>
      <c r="F3676">
        <v>0</v>
      </c>
      <c r="G3676" s="10"/>
      <c r="H3676" s="10"/>
      <c r="I3676" s="10"/>
      <c r="J3676" s="11"/>
    </row>
    <row r="3677" s="20" customFormat="1" hidden="1" spans="1:12">
      <c r="A3677" s="117" t="s">
        <v>3797</v>
      </c>
      <c r="B3677" s="118">
        <v>145</v>
      </c>
      <c r="D3677" s="20" t="s">
        <v>36</v>
      </c>
      <c r="E3677" s="148">
        <f>78/30</f>
        <v>2.6</v>
      </c>
      <c r="F3677" s="20">
        <v>0</v>
      </c>
      <c r="L3677" s="119"/>
    </row>
    <row r="3678" s="20" customFormat="1" hidden="1" spans="1:12">
      <c r="A3678" s="117" t="s">
        <v>3798</v>
      </c>
      <c r="B3678" s="118">
        <v>145</v>
      </c>
      <c r="D3678" s="20" t="s">
        <v>38</v>
      </c>
      <c r="E3678" s="148">
        <f>84/30</f>
        <v>2.8</v>
      </c>
      <c r="F3678" s="20">
        <v>0</v>
      </c>
      <c r="L3678" s="119"/>
    </row>
    <row r="3679" s="20" customFormat="1" hidden="1" spans="1:12">
      <c r="A3679" s="117" t="s">
        <v>3799</v>
      </c>
      <c r="B3679" s="118">
        <v>145</v>
      </c>
      <c r="D3679" s="20" t="s">
        <v>40</v>
      </c>
      <c r="E3679" s="148">
        <f>137/30</f>
        <v>4.56666666666667</v>
      </c>
      <c r="F3679" s="20">
        <v>0</v>
      </c>
      <c r="L3679" s="119"/>
    </row>
    <row r="3680" s="20" customFormat="1" hidden="1" spans="1:12">
      <c r="A3680" s="117" t="s">
        <v>3800</v>
      </c>
      <c r="B3680" s="118">
        <v>145</v>
      </c>
      <c r="D3680" s="20" t="s">
        <v>42</v>
      </c>
      <c r="E3680" s="148">
        <f>75/30</f>
        <v>2.5</v>
      </c>
      <c r="F3680" s="20">
        <v>0</v>
      </c>
      <c r="L3680" s="119"/>
    </row>
    <row r="3681" s="20" customFormat="1" hidden="1" spans="1:12">
      <c r="A3681" s="117" t="s">
        <v>3801</v>
      </c>
      <c r="B3681" s="118">
        <v>145</v>
      </c>
      <c r="D3681" s="20" t="s">
        <v>44</v>
      </c>
      <c r="E3681" s="148">
        <f>72/30</f>
        <v>2.4</v>
      </c>
      <c r="F3681" s="20">
        <v>0</v>
      </c>
      <c r="L3681" s="119"/>
    </row>
    <row r="3682" s="20" customFormat="1" hidden="1" spans="1:12">
      <c r="A3682" s="117" t="s">
        <v>3802</v>
      </c>
      <c r="B3682" s="118">
        <v>145</v>
      </c>
      <c r="D3682" s="20" t="s">
        <v>46</v>
      </c>
      <c r="E3682" s="148">
        <f>258/30</f>
        <v>8.6</v>
      </c>
      <c r="F3682" s="20">
        <v>0</v>
      </c>
      <c r="L3682" s="119"/>
    </row>
    <row r="3683" s="20" customFormat="1" hidden="1" spans="1:12">
      <c r="A3683" s="117" t="s">
        <v>3803</v>
      </c>
      <c r="B3683" s="118">
        <v>145</v>
      </c>
      <c r="D3683" s="20" t="s">
        <v>86</v>
      </c>
      <c r="E3683" s="148">
        <f>390/30</f>
        <v>13</v>
      </c>
      <c r="F3683" s="20">
        <v>0</v>
      </c>
      <c r="L3683" s="119"/>
    </row>
    <row r="3684" s="20" customFormat="1" hidden="1" spans="1:12">
      <c r="A3684" s="117" t="s">
        <v>3804</v>
      </c>
      <c r="B3684" s="118">
        <v>145</v>
      </c>
      <c r="D3684" s="20" t="s">
        <v>50</v>
      </c>
      <c r="E3684" s="148">
        <f>376/30</f>
        <v>12.5333333333333</v>
      </c>
      <c r="F3684" s="20">
        <v>0</v>
      </c>
      <c r="L3684" s="119"/>
    </row>
    <row r="3685" s="20" customFormat="1" hidden="1" spans="1:12">
      <c r="A3685" s="117" t="s">
        <v>3805</v>
      </c>
      <c r="B3685" s="118">
        <v>145</v>
      </c>
      <c r="D3685" s="20" t="s">
        <v>92</v>
      </c>
      <c r="E3685" s="148">
        <f>87/30</f>
        <v>2.9</v>
      </c>
      <c r="F3685" s="20">
        <v>0</v>
      </c>
      <c r="L3685" s="119"/>
    </row>
    <row r="3686" s="20" customFormat="1" hidden="1" spans="1:12">
      <c r="A3686" s="117" t="s">
        <v>3806</v>
      </c>
      <c r="B3686" s="118">
        <v>145</v>
      </c>
      <c r="D3686" s="20" t="s">
        <v>97</v>
      </c>
      <c r="E3686" s="148">
        <f>102/30</f>
        <v>3.4</v>
      </c>
      <c r="F3686" s="20">
        <v>0</v>
      </c>
      <c r="L3686" s="119"/>
    </row>
    <row r="3687" s="20" customFormat="1" hidden="1" spans="1:12">
      <c r="A3687" s="117" t="s">
        <v>3807</v>
      </c>
      <c r="B3687" s="118">
        <v>145</v>
      </c>
      <c r="D3687" s="20" t="s">
        <v>77</v>
      </c>
      <c r="E3687" s="148">
        <f>57/30</f>
        <v>1.9</v>
      </c>
      <c r="F3687" s="20">
        <v>0</v>
      </c>
      <c r="L3687" s="119"/>
    </row>
    <row r="3688" s="20" customFormat="1" hidden="1" spans="1:12">
      <c r="A3688" s="117" t="s">
        <v>3808</v>
      </c>
      <c r="B3688" s="118">
        <v>145</v>
      </c>
      <c r="D3688" s="20" t="s">
        <v>54</v>
      </c>
      <c r="E3688" s="148">
        <f>50/30</f>
        <v>1.66666666666667</v>
      </c>
      <c r="F3688" s="20">
        <v>0</v>
      </c>
      <c r="L3688" s="119"/>
    </row>
    <row r="3689" s="20" customFormat="1" hidden="1" spans="1:12">
      <c r="A3689" s="117" t="s">
        <v>3809</v>
      </c>
      <c r="B3689" s="118">
        <v>145</v>
      </c>
      <c r="D3689" s="20" t="s">
        <v>57</v>
      </c>
      <c r="E3689" s="148">
        <f>94/30</f>
        <v>3.13333333333333</v>
      </c>
      <c r="F3689" s="20">
        <v>0</v>
      </c>
      <c r="G3689" s="10">
        <v>0</v>
      </c>
      <c r="H3689" s="10">
        <v>2</v>
      </c>
      <c r="I3689" s="10">
        <v>4680</v>
      </c>
      <c r="J3689" s="11" t="s">
        <v>58</v>
      </c>
      <c r="K3689" s="20">
        <v>1</v>
      </c>
      <c r="L3689" s="119"/>
    </row>
    <row r="3690" hidden="1" spans="1:11">
      <c r="A3690" s="2" t="s">
        <v>3810</v>
      </c>
      <c r="B3690" s="3">
        <v>4012602</v>
      </c>
      <c r="C3690">
        <v>3</v>
      </c>
      <c r="D3690" t="s">
        <v>36</v>
      </c>
      <c r="E3690">
        <v>1.86666666666667</v>
      </c>
      <c r="F3690">
        <v>0</v>
      </c>
      <c r="G3690">
        <v>0</v>
      </c>
      <c r="H3690">
        <v>2</v>
      </c>
      <c r="I3690">
        <v>4080</v>
      </c>
      <c r="J3690" t="s">
        <v>3116</v>
      </c>
      <c r="K3690">
        <v>1</v>
      </c>
    </row>
    <row r="3691" hidden="1" spans="1:11">
      <c r="A3691" s="2" t="s">
        <v>3811</v>
      </c>
      <c r="B3691" s="3">
        <v>4012602</v>
      </c>
      <c r="C3691">
        <v>3</v>
      </c>
      <c r="D3691" t="s">
        <v>38</v>
      </c>
      <c r="E3691">
        <v>3.16666666666667</v>
      </c>
      <c r="F3691">
        <v>0</v>
      </c>
      <c r="G3691">
        <v>0</v>
      </c>
      <c r="H3691">
        <v>2</v>
      </c>
      <c r="I3691">
        <v>4080</v>
      </c>
      <c r="J3691" t="s">
        <v>3116</v>
      </c>
      <c r="K3691">
        <v>1</v>
      </c>
    </row>
    <row r="3692" hidden="1" spans="1:11">
      <c r="A3692" s="2" t="s">
        <v>3812</v>
      </c>
      <c r="B3692" s="3">
        <v>4012602</v>
      </c>
      <c r="C3692">
        <v>3</v>
      </c>
      <c r="D3692" t="s">
        <v>40</v>
      </c>
      <c r="E3692">
        <v>3.76666666666667</v>
      </c>
      <c r="F3692">
        <v>0</v>
      </c>
      <c r="G3692">
        <v>0</v>
      </c>
      <c r="H3692">
        <v>2</v>
      </c>
      <c r="I3692">
        <v>4080</v>
      </c>
      <c r="J3692" t="s">
        <v>3116</v>
      </c>
      <c r="K3692">
        <v>1</v>
      </c>
    </row>
    <row r="3693" hidden="1" spans="1:11">
      <c r="A3693" s="2" t="s">
        <v>3813</v>
      </c>
      <c r="B3693" s="3">
        <v>4012602</v>
      </c>
      <c r="C3693">
        <v>3</v>
      </c>
      <c r="D3693" t="s">
        <v>42</v>
      </c>
      <c r="E3693">
        <v>2.53333333333333</v>
      </c>
      <c r="F3693">
        <v>0</v>
      </c>
      <c r="G3693">
        <v>0</v>
      </c>
      <c r="H3693">
        <v>2</v>
      </c>
      <c r="I3693">
        <v>4080</v>
      </c>
      <c r="J3693" t="s">
        <v>3116</v>
      </c>
      <c r="K3693">
        <v>1</v>
      </c>
    </row>
    <row r="3694" hidden="1" spans="1:11">
      <c r="A3694" s="2" t="s">
        <v>3814</v>
      </c>
      <c r="B3694" s="3">
        <v>4012602</v>
      </c>
      <c r="C3694">
        <v>3</v>
      </c>
      <c r="D3694" t="s">
        <v>44</v>
      </c>
      <c r="E3694">
        <v>10.4333333333333</v>
      </c>
      <c r="F3694">
        <v>0</v>
      </c>
      <c r="G3694">
        <v>0</v>
      </c>
      <c r="H3694">
        <v>2</v>
      </c>
      <c r="I3694">
        <v>4080</v>
      </c>
      <c r="J3694" t="s">
        <v>3116</v>
      </c>
      <c r="K3694">
        <v>1</v>
      </c>
    </row>
    <row r="3695" hidden="1" spans="1:11">
      <c r="A3695" s="2" t="s">
        <v>3815</v>
      </c>
      <c r="B3695" s="3">
        <v>4012602</v>
      </c>
      <c r="C3695">
        <v>3</v>
      </c>
      <c r="D3695" t="s">
        <v>46</v>
      </c>
      <c r="E3695">
        <v>12.3333333333333</v>
      </c>
      <c r="F3695">
        <v>0</v>
      </c>
      <c r="G3695">
        <v>0</v>
      </c>
      <c r="H3695">
        <v>2</v>
      </c>
      <c r="I3695">
        <v>4080</v>
      </c>
      <c r="J3695" t="s">
        <v>3116</v>
      </c>
      <c r="K3695">
        <v>1</v>
      </c>
    </row>
    <row r="3696" hidden="1" spans="1:11">
      <c r="A3696" s="2" t="s">
        <v>3816</v>
      </c>
      <c r="B3696" s="3">
        <v>4012602</v>
      </c>
      <c r="C3696">
        <v>3</v>
      </c>
      <c r="D3696" t="s">
        <v>86</v>
      </c>
      <c r="E3696">
        <v>1.4</v>
      </c>
      <c r="F3696">
        <v>0</v>
      </c>
      <c r="G3696">
        <v>0</v>
      </c>
      <c r="H3696">
        <v>2</v>
      </c>
      <c r="I3696">
        <v>4080</v>
      </c>
      <c r="J3696" t="s">
        <v>3116</v>
      </c>
      <c r="K3696">
        <v>1</v>
      </c>
    </row>
    <row r="3697" s="1" customFormat="1" hidden="1" spans="1:12">
      <c r="A3697" s="5" t="s">
        <v>3817</v>
      </c>
      <c r="B3697" s="54">
        <v>4012602</v>
      </c>
      <c r="C3697" s="1">
        <v>3</v>
      </c>
      <c r="D3697" s="1" t="s">
        <v>48</v>
      </c>
      <c r="E3697" s="1">
        <v>17</v>
      </c>
      <c r="F3697" s="1">
        <v>0</v>
      </c>
      <c r="L3697" s="7"/>
    </row>
    <row r="3698" hidden="1" spans="1:11">
      <c r="A3698" s="2" t="s">
        <v>3818</v>
      </c>
      <c r="B3698" s="3">
        <v>4012602</v>
      </c>
      <c r="C3698">
        <v>3</v>
      </c>
      <c r="D3698" t="s">
        <v>92</v>
      </c>
      <c r="E3698">
        <v>2.7</v>
      </c>
      <c r="F3698">
        <v>0</v>
      </c>
      <c r="G3698">
        <v>0</v>
      </c>
      <c r="H3698">
        <v>2</v>
      </c>
      <c r="I3698">
        <v>4080</v>
      </c>
      <c r="J3698" t="s">
        <v>3116</v>
      </c>
      <c r="K3698">
        <v>1</v>
      </c>
    </row>
    <row r="3699" hidden="1" spans="1:11">
      <c r="A3699" s="2" t="s">
        <v>3819</v>
      </c>
      <c r="B3699" s="3">
        <v>4012602</v>
      </c>
      <c r="C3699">
        <v>3</v>
      </c>
      <c r="D3699" t="s">
        <v>109</v>
      </c>
      <c r="E3699">
        <v>3.1</v>
      </c>
      <c r="F3699">
        <v>0</v>
      </c>
      <c r="G3699">
        <v>0</v>
      </c>
      <c r="H3699">
        <v>2</v>
      </c>
      <c r="I3699">
        <v>4080</v>
      </c>
      <c r="J3699" t="s">
        <v>3116</v>
      </c>
      <c r="K3699">
        <v>1</v>
      </c>
    </row>
    <row r="3700" hidden="1" spans="1:11">
      <c r="A3700" s="2" t="s">
        <v>3820</v>
      </c>
      <c r="B3700" s="3">
        <v>4012602</v>
      </c>
      <c r="C3700">
        <v>3</v>
      </c>
      <c r="D3700" t="s">
        <v>97</v>
      </c>
      <c r="E3700">
        <v>2.86666666666667</v>
      </c>
      <c r="F3700">
        <v>0</v>
      </c>
      <c r="G3700">
        <v>0</v>
      </c>
      <c r="H3700">
        <v>2</v>
      </c>
      <c r="I3700">
        <v>4080</v>
      </c>
      <c r="J3700" t="s">
        <v>3116</v>
      </c>
      <c r="K3700">
        <v>1</v>
      </c>
    </row>
    <row r="3701" hidden="1" spans="1:11">
      <c r="A3701" s="2" t="s">
        <v>3821</v>
      </c>
      <c r="B3701" s="3">
        <v>4012602</v>
      </c>
      <c r="C3701">
        <v>3</v>
      </c>
      <c r="D3701" t="s">
        <v>77</v>
      </c>
      <c r="E3701">
        <v>4.26666666666667</v>
      </c>
      <c r="F3701">
        <v>0</v>
      </c>
      <c r="G3701">
        <v>0</v>
      </c>
      <c r="H3701">
        <v>2</v>
      </c>
      <c r="I3701">
        <v>4080</v>
      </c>
      <c r="J3701" t="s">
        <v>3116</v>
      </c>
      <c r="K3701">
        <v>1</v>
      </c>
    </row>
    <row r="3702" hidden="1" spans="1:11">
      <c r="A3702" s="2" t="s">
        <v>3822</v>
      </c>
      <c r="B3702" s="3">
        <v>4012602</v>
      </c>
      <c r="C3702">
        <v>3</v>
      </c>
      <c r="D3702" t="s">
        <v>54</v>
      </c>
      <c r="E3702">
        <v>1.66666666666667</v>
      </c>
      <c r="F3702">
        <v>0</v>
      </c>
      <c r="G3702">
        <v>0</v>
      </c>
      <c r="H3702">
        <v>2</v>
      </c>
      <c r="I3702">
        <v>4080</v>
      </c>
      <c r="J3702" t="s">
        <v>3116</v>
      </c>
      <c r="K3702">
        <v>1</v>
      </c>
    </row>
    <row r="3703" hidden="1" spans="1:11">
      <c r="A3703" s="2" t="s">
        <v>3823</v>
      </c>
      <c r="B3703" s="3">
        <v>4012602</v>
      </c>
      <c r="C3703">
        <v>3</v>
      </c>
      <c r="D3703" t="s">
        <v>57</v>
      </c>
      <c r="E3703">
        <v>4.03333333333333</v>
      </c>
      <c r="F3703">
        <v>0</v>
      </c>
      <c r="G3703" t="s">
        <v>942</v>
      </c>
      <c r="H3703" t="s">
        <v>943</v>
      </c>
      <c r="I3703" t="s">
        <v>3132</v>
      </c>
      <c r="J3703" t="s">
        <v>3133</v>
      </c>
      <c r="K3703" t="s">
        <v>1869</v>
      </c>
    </row>
    <row r="3704" hidden="1" spans="1:11">
      <c r="A3704" s="2" t="s">
        <v>3824</v>
      </c>
      <c r="B3704" s="3">
        <v>4012602</v>
      </c>
      <c r="C3704">
        <v>3</v>
      </c>
      <c r="D3704" t="s">
        <v>1047</v>
      </c>
      <c r="E3704">
        <v>2.36666666666667</v>
      </c>
      <c r="F3704">
        <v>0</v>
      </c>
      <c r="G3704">
        <v>0</v>
      </c>
      <c r="H3704">
        <v>2</v>
      </c>
      <c r="I3704">
        <v>4080</v>
      </c>
      <c r="J3704" t="s">
        <v>3116</v>
      </c>
      <c r="K3704">
        <v>1</v>
      </c>
    </row>
    <row r="3705" hidden="1" spans="1:11">
      <c r="A3705" s="2" t="s">
        <v>3825</v>
      </c>
      <c r="B3705" s="3">
        <v>4012602</v>
      </c>
      <c r="D3705" t="s">
        <v>2198</v>
      </c>
      <c r="E3705">
        <v>2</v>
      </c>
      <c r="F3705">
        <v>1</v>
      </c>
      <c r="G3705">
        <v>0</v>
      </c>
      <c r="H3705">
        <v>2</v>
      </c>
      <c r="I3705">
        <v>4080</v>
      </c>
      <c r="J3705" t="s">
        <v>3116</v>
      </c>
      <c r="K3705">
        <v>1</v>
      </c>
    </row>
    <row r="3706" hidden="1" spans="1:11">
      <c r="A3706" s="2" t="s">
        <v>3826</v>
      </c>
      <c r="B3706" s="3">
        <v>4012602</v>
      </c>
      <c r="D3706" t="s">
        <v>2182</v>
      </c>
      <c r="E3706">
        <v>1.33333333333333</v>
      </c>
      <c r="F3706">
        <v>0</v>
      </c>
      <c r="G3706">
        <v>0</v>
      </c>
      <c r="H3706">
        <v>2</v>
      </c>
      <c r="I3706">
        <v>4080</v>
      </c>
      <c r="J3706" t="s">
        <v>3116</v>
      </c>
      <c r="K3706">
        <v>1</v>
      </c>
    </row>
    <row r="3707" hidden="1" spans="1:11">
      <c r="A3707" s="2" t="s">
        <v>3827</v>
      </c>
      <c r="B3707" s="3">
        <v>4012602</v>
      </c>
      <c r="D3707" t="s">
        <v>2184</v>
      </c>
      <c r="E3707">
        <v>2</v>
      </c>
      <c r="F3707">
        <v>0</v>
      </c>
      <c r="G3707">
        <v>0</v>
      </c>
      <c r="H3707">
        <v>2</v>
      </c>
      <c r="I3707">
        <v>4080</v>
      </c>
      <c r="J3707" t="s">
        <v>3116</v>
      </c>
      <c r="K3707">
        <v>1</v>
      </c>
    </row>
    <row r="3708" hidden="1" spans="1:11">
      <c r="A3708" s="2" t="s">
        <v>3828</v>
      </c>
      <c r="B3708" s="3">
        <v>4012602</v>
      </c>
      <c r="D3708" t="s">
        <v>2186</v>
      </c>
      <c r="E3708">
        <v>1.63333333333333</v>
      </c>
      <c r="F3708">
        <v>0</v>
      </c>
      <c r="G3708">
        <v>0</v>
      </c>
      <c r="H3708">
        <v>2</v>
      </c>
      <c r="I3708">
        <v>4080</v>
      </c>
      <c r="J3708" t="s">
        <v>3116</v>
      </c>
      <c r="K3708">
        <v>1</v>
      </c>
    </row>
    <row r="3709" hidden="1" spans="1:11">
      <c r="A3709" s="2" t="s">
        <v>3829</v>
      </c>
      <c r="B3709" s="3">
        <v>4012602</v>
      </c>
      <c r="D3709" t="s">
        <v>2188</v>
      </c>
      <c r="E3709">
        <v>0.8</v>
      </c>
      <c r="F3709">
        <v>0</v>
      </c>
      <c r="G3709">
        <v>0</v>
      </c>
      <c r="H3709">
        <v>2</v>
      </c>
      <c r="I3709">
        <v>4080</v>
      </c>
      <c r="J3709" t="s">
        <v>3116</v>
      </c>
      <c r="K3709">
        <v>1</v>
      </c>
    </row>
    <row r="3710" hidden="1" spans="1:11">
      <c r="A3710" s="2" t="s">
        <v>3830</v>
      </c>
      <c r="B3710" s="3">
        <v>4012602</v>
      </c>
      <c r="D3710" t="s">
        <v>2190</v>
      </c>
      <c r="E3710">
        <v>0.8</v>
      </c>
      <c r="F3710">
        <v>0</v>
      </c>
      <c r="G3710">
        <v>0</v>
      </c>
      <c r="H3710">
        <v>2</v>
      </c>
      <c r="I3710">
        <v>4080</v>
      </c>
      <c r="J3710" t="s">
        <v>3116</v>
      </c>
      <c r="K3710">
        <v>1</v>
      </c>
    </row>
    <row r="3711" hidden="1" spans="1:11">
      <c r="A3711" s="2" t="s">
        <v>3831</v>
      </c>
      <c r="B3711" s="3">
        <v>4012602</v>
      </c>
      <c r="D3711" t="s">
        <v>2192</v>
      </c>
      <c r="E3711">
        <v>0.8</v>
      </c>
      <c r="F3711">
        <v>0</v>
      </c>
      <c r="G3711">
        <v>0</v>
      </c>
      <c r="H3711">
        <v>2</v>
      </c>
      <c r="I3711">
        <v>4080</v>
      </c>
      <c r="J3711" t="s">
        <v>3116</v>
      </c>
      <c r="K3711">
        <v>1</v>
      </c>
    </row>
    <row r="3712" hidden="1" spans="1:11">
      <c r="A3712" s="2" t="s">
        <v>3832</v>
      </c>
      <c r="B3712" s="3">
        <v>4012602</v>
      </c>
      <c r="D3712" t="s">
        <v>2194</v>
      </c>
      <c r="E3712">
        <v>0.8</v>
      </c>
      <c r="F3712">
        <v>0</v>
      </c>
      <c r="G3712">
        <v>0</v>
      </c>
      <c r="H3712">
        <v>2</v>
      </c>
      <c r="I3712">
        <v>4080</v>
      </c>
      <c r="J3712" t="s">
        <v>3116</v>
      </c>
      <c r="K3712">
        <v>1</v>
      </c>
    </row>
    <row r="3713" hidden="1" spans="1:11">
      <c r="A3713" s="2" t="s">
        <v>3833</v>
      </c>
      <c r="B3713" s="3">
        <v>4012602</v>
      </c>
      <c r="D3713" t="s">
        <v>300</v>
      </c>
      <c r="E3713">
        <v>1</v>
      </c>
      <c r="F3713">
        <v>0</v>
      </c>
      <c r="G3713">
        <v>0</v>
      </c>
      <c r="H3713">
        <v>2</v>
      </c>
      <c r="I3713">
        <v>4080</v>
      </c>
      <c r="J3713" t="s">
        <v>3116</v>
      </c>
      <c r="K3713">
        <v>1</v>
      </c>
    </row>
    <row r="3714" hidden="1" spans="1:11">
      <c r="A3714" s="2" t="s">
        <v>3834</v>
      </c>
      <c r="B3714" s="3">
        <v>4012602</v>
      </c>
      <c r="D3714" t="s">
        <v>2178</v>
      </c>
      <c r="E3714">
        <v>1</v>
      </c>
      <c r="F3714">
        <v>0</v>
      </c>
      <c r="G3714">
        <v>0</v>
      </c>
      <c r="H3714">
        <v>2</v>
      </c>
      <c r="I3714">
        <v>4080</v>
      </c>
      <c r="J3714" t="s">
        <v>3116</v>
      </c>
      <c r="K3714">
        <v>1</v>
      </c>
    </row>
    <row r="3715" hidden="1" spans="1:11">
      <c r="A3715" s="2" t="s">
        <v>3835</v>
      </c>
      <c r="B3715" s="3">
        <v>4012602</v>
      </c>
      <c r="D3715" t="s">
        <v>2196</v>
      </c>
      <c r="E3715">
        <v>1.4</v>
      </c>
      <c r="F3715">
        <v>0</v>
      </c>
      <c r="G3715">
        <v>0</v>
      </c>
      <c r="H3715">
        <v>2</v>
      </c>
      <c r="I3715">
        <v>4080</v>
      </c>
      <c r="J3715" t="s">
        <v>3116</v>
      </c>
      <c r="K3715">
        <v>1</v>
      </c>
    </row>
    <row r="3716" hidden="1" spans="1:11">
      <c r="A3716" s="2" t="s">
        <v>3836</v>
      </c>
      <c r="B3716" s="3">
        <v>4012602</v>
      </c>
      <c r="D3716" t="s">
        <v>130</v>
      </c>
      <c r="E3716">
        <v>2</v>
      </c>
      <c r="F3716">
        <v>1</v>
      </c>
      <c r="G3716">
        <v>0</v>
      </c>
      <c r="H3716">
        <v>2</v>
      </c>
      <c r="I3716">
        <v>4080</v>
      </c>
      <c r="J3716" t="s">
        <v>3116</v>
      </c>
      <c r="K3716">
        <v>1</v>
      </c>
    </row>
    <row r="3717" hidden="1" spans="1:11">
      <c r="A3717" s="2" t="s">
        <v>3837</v>
      </c>
      <c r="B3717" s="3">
        <v>4012602</v>
      </c>
      <c r="D3717" t="s">
        <v>264</v>
      </c>
      <c r="E3717">
        <v>2</v>
      </c>
      <c r="F3717">
        <v>1</v>
      </c>
      <c r="G3717">
        <v>0</v>
      </c>
      <c r="H3717">
        <v>2</v>
      </c>
      <c r="I3717">
        <v>4080</v>
      </c>
      <c r="J3717" t="s">
        <v>3116</v>
      </c>
      <c r="K3717">
        <v>1</v>
      </c>
    </row>
    <row r="3718" hidden="1" spans="1:11">
      <c r="A3718" s="2" t="s">
        <v>3838</v>
      </c>
      <c r="B3718" s="3">
        <v>4012602</v>
      </c>
      <c r="D3718" t="s">
        <v>270</v>
      </c>
      <c r="E3718">
        <v>2</v>
      </c>
      <c r="F3718">
        <v>1</v>
      </c>
      <c r="G3718">
        <v>0</v>
      </c>
      <c r="H3718">
        <v>2</v>
      </c>
      <c r="I3718">
        <v>4080</v>
      </c>
      <c r="J3718" t="s">
        <v>3116</v>
      </c>
      <c r="K3718">
        <v>1</v>
      </c>
    </row>
    <row r="3719" hidden="1" spans="1:11">
      <c r="A3719" s="2" t="s">
        <v>3839</v>
      </c>
      <c r="B3719" s="3">
        <v>4012602</v>
      </c>
      <c r="D3719" t="s">
        <v>2618</v>
      </c>
      <c r="E3719">
        <v>2</v>
      </c>
      <c r="F3719">
        <v>1</v>
      </c>
      <c r="G3719">
        <v>0</v>
      </c>
      <c r="H3719">
        <v>2</v>
      </c>
      <c r="I3719">
        <v>4080</v>
      </c>
      <c r="J3719" t="s">
        <v>3116</v>
      </c>
      <c r="K3719">
        <v>1</v>
      </c>
    </row>
    <row r="3720" hidden="1" spans="1:11">
      <c r="A3720" s="2" t="s">
        <v>3840</v>
      </c>
      <c r="B3720" s="3">
        <v>4012602</v>
      </c>
      <c r="D3720" t="s">
        <v>261</v>
      </c>
      <c r="E3720">
        <v>0.8</v>
      </c>
      <c r="F3720">
        <v>1</v>
      </c>
      <c r="G3720">
        <v>0</v>
      </c>
      <c r="H3720">
        <v>2</v>
      </c>
      <c r="I3720">
        <v>4080</v>
      </c>
      <c r="J3720" t="s">
        <v>3116</v>
      </c>
      <c r="K3720">
        <v>1</v>
      </c>
    </row>
    <row r="3721" hidden="1" spans="1:11">
      <c r="A3721" s="2" t="s">
        <v>3841</v>
      </c>
      <c r="B3721" s="3">
        <v>4012602</v>
      </c>
      <c r="D3721" t="s">
        <v>236</v>
      </c>
      <c r="E3721">
        <v>1.4</v>
      </c>
      <c r="F3721">
        <v>0</v>
      </c>
      <c r="G3721">
        <v>0</v>
      </c>
      <c r="H3721">
        <v>2</v>
      </c>
      <c r="I3721">
        <v>4080</v>
      </c>
      <c r="J3721" t="s">
        <v>3116</v>
      </c>
      <c r="K3721">
        <v>1</v>
      </c>
    </row>
    <row r="3722" hidden="1" spans="1:11">
      <c r="A3722" s="2" t="s">
        <v>3842</v>
      </c>
      <c r="B3722" s="3">
        <v>4012602</v>
      </c>
      <c r="D3722" t="s">
        <v>2629</v>
      </c>
      <c r="E3722">
        <v>2.5</v>
      </c>
      <c r="F3722">
        <v>0</v>
      </c>
      <c r="G3722">
        <v>0</v>
      </c>
      <c r="H3722">
        <v>2</v>
      </c>
      <c r="I3722">
        <v>4080</v>
      </c>
      <c r="J3722" t="s">
        <v>3116</v>
      </c>
      <c r="K3722">
        <v>1</v>
      </c>
    </row>
    <row r="3723" hidden="1" spans="1:11">
      <c r="A3723" s="2" t="s">
        <v>3843</v>
      </c>
      <c r="B3723" s="3">
        <v>4012602</v>
      </c>
      <c r="D3723" t="s">
        <v>268</v>
      </c>
      <c r="E3723">
        <v>2.33333333333333</v>
      </c>
      <c r="F3723">
        <v>1</v>
      </c>
      <c r="G3723">
        <v>0</v>
      </c>
      <c r="H3723">
        <v>2</v>
      </c>
      <c r="I3723">
        <v>4080</v>
      </c>
      <c r="J3723" t="s">
        <v>3116</v>
      </c>
      <c r="K3723">
        <v>1</v>
      </c>
    </row>
    <row r="3724" hidden="1" spans="1:11">
      <c r="A3724" s="2" t="s">
        <v>3844</v>
      </c>
      <c r="B3724" s="3">
        <v>4012602</v>
      </c>
      <c r="D3724" t="s">
        <v>266</v>
      </c>
      <c r="E3724">
        <v>1.2</v>
      </c>
      <c r="F3724">
        <v>1</v>
      </c>
      <c r="G3724">
        <v>0</v>
      </c>
      <c r="H3724">
        <v>2</v>
      </c>
      <c r="I3724">
        <v>4080</v>
      </c>
      <c r="J3724" t="s">
        <v>3116</v>
      </c>
      <c r="K3724">
        <v>1</v>
      </c>
    </row>
    <row r="3725" hidden="1" spans="1:11">
      <c r="A3725" s="2" t="s">
        <v>3845</v>
      </c>
      <c r="B3725" s="3">
        <v>4012602</v>
      </c>
      <c r="D3725" t="s">
        <v>2633</v>
      </c>
      <c r="E3725">
        <v>1.2</v>
      </c>
      <c r="F3725">
        <v>1</v>
      </c>
      <c r="G3725">
        <v>0</v>
      </c>
      <c r="H3725">
        <v>2</v>
      </c>
      <c r="I3725">
        <v>4080</v>
      </c>
      <c r="J3725" t="s">
        <v>3116</v>
      </c>
      <c r="K3725">
        <v>1</v>
      </c>
    </row>
    <row r="3726" hidden="1" spans="1:11">
      <c r="A3726" s="2" t="s">
        <v>3846</v>
      </c>
      <c r="B3726" s="3">
        <v>4012602</v>
      </c>
      <c r="D3726" t="s">
        <v>204</v>
      </c>
      <c r="E3726">
        <v>1.5</v>
      </c>
      <c r="F3726">
        <v>0</v>
      </c>
      <c r="G3726">
        <v>0</v>
      </c>
      <c r="H3726">
        <v>2</v>
      </c>
      <c r="I3726">
        <v>4080</v>
      </c>
      <c r="J3726" t="s">
        <v>3116</v>
      </c>
      <c r="K3726">
        <v>1</v>
      </c>
    </row>
    <row r="3727" hidden="1" spans="1:11">
      <c r="A3727" s="2" t="s">
        <v>3847</v>
      </c>
      <c r="B3727" s="3">
        <v>4012602</v>
      </c>
      <c r="D3727" t="s">
        <v>1776</v>
      </c>
      <c r="E3727" s="6">
        <v>3.33333333333333</v>
      </c>
      <c r="F3727">
        <v>0</v>
      </c>
      <c r="G3727" t="s">
        <v>61</v>
      </c>
      <c r="H3727" t="s">
        <v>62</v>
      </c>
      <c r="I3727" t="s">
        <v>3190</v>
      </c>
      <c r="J3727" t="s">
        <v>3191</v>
      </c>
      <c r="K3727" t="s">
        <v>95</v>
      </c>
    </row>
    <row r="3728" s="1" customFormat="1" hidden="1" spans="1:12">
      <c r="A3728" s="5" t="s">
        <v>3848</v>
      </c>
      <c r="B3728" s="54">
        <v>4013202</v>
      </c>
      <c r="D3728" s="1" t="s">
        <v>36</v>
      </c>
      <c r="E3728" s="1">
        <f>118/30</f>
        <v>3.93333333333333</v>
      </c>
      <c r="F3728" s="1">
        <v>0</v>
      </c>
      <c r="L3728" s="7"/>
    </row>
    <row r="3729" s="1" customFormat="1" hidden="1" spans="1:12">
      <c r="A3729" s="5" t="s">
        <v>3849</v>
      </c>
      <c r="B3729" s="54">
        <v>4013202</v>
      </c>
      <c r="D3729" s="1" t="s">
        <v>412</v>
      </c>
      <c r="E3729" s="1">
        <f>145/30</f>
        <v>4.83333333333333</v>
      </c>
      <c r="F3729" s="1">
        <v>0</v>
      </c>
      <c r="L3729" s="7"/>
    </row>
    <row r="3730" s="1" customFormat="1" hidden="1" spans="1:12">
      <c r="A3730" s="5" t="s">
        <v>3850</v>
      </c>
      <c r="B3730" s="54">
        <v>4013202</v>
      </c>
      <c r="D3730" s="1" t="s">
        <v>133</v>
      </c>
      <c r="E3730" s="1">
        <f>90/30</f>
        <v>3</v>
      </c>
      <c r="F3730" s="1">
        <v>0</v>
      </c>
      <c r="L3730" s="7"/>
    </row>
    <row r="3731" s="1" customFormat="1" hidden="1" spans="1:12">
      <c r="A3731" s="5" t="s">
        <v>3851</v>
      </c>
      <c r="B3731" s="54">
        <v>4013202</v>
      </c>
      <c r="D3731" s="1" t="s">
        <v>1826</v>
      </c>
      <c r="E3731" s="1">
        <f>156/30</f>
        <v>5.2</v>
      </c>
      <c r="F3731" s="1">
        <v>0</v>
      </c>
      <c r="L3731" s="7"/>
    </row>
    <row r="3732" s="1" customFormat="1" hidden="1" spans="1:12">
      <c r="A3732" s="5" t="s">
        <v>3852</v>
      </c>
      <c r="B3732" s="54">
        <v>4013202</v>
      </c>
      <c r="D3732" s="1" t="s">
        <v>140</v>
      </c>
      <c r="E3732" s="1">
        <f>254/30</f>
        <v>8.46666666666667</v>
      </c>
      <c r="F3732" s="1">
        <v>0</v>
      </c>
      <c r="L3732" s="7"/>
    </row>
    <row r="3733" s="1" customFormat="1" hidden="1" spans="1:12">
      <c r="A3733" s="5" t="s">
        <v>3853</v>
      </c>
      <c r="B3733" s="54">
        <v>4013202</v>
      </c>
      <c r="D3733" s="1" t="s">
        <v>44</v>
      </c>
      <c r="E3733" s="1">
        <f>480/30</f>
        <v>16</v>
      </c>
      <c r="F3733" s="1">
        <v>0</v>
      </c>
      <c r="L3733" s="7"/>
    </row>
    <row r="3734" s="1" customFormat="1" hidden="1" spans="1:12">
      <c r="A3734" s="5" t="s">
        <v>3854</v>
      </c>
      <c r="B3734" s="54">
        <v>4013202</v>
      </c>
      <c r="D3734" s="1" t="s">
        <v>92</v>
      </c>
      <c r="E3734" s="1">
        <f>102/30</f>
        <v>3.4</v>
      </c>
      <c r="F3734" s="1">
        <v>0</v>
      </c>
      <c r="L3734" s="7"/>
    </row>
    <row r="3735" s="1" customFormat="1" hidden="1" spans="1:12">
      <c r="A3735" s="5" t="s">
        <v>3855</v>
      </c>
      <c r="B3735" s="54">
        <v>4013202</v>
      </c>
      <c r="D3735" s="1" t="s">
        <v>109</v>
      </c>
      <c r="E3735" s="1">
        <f>70/30</f>
        <v>2.33333333333333</v>
      </c>
      <c r="F3735" s="1">
        <v>0</v>
      </c>
      <c r="L3735" s="7"/>
    </row>
    <row r="3736" s="1" customFormat="1" hidden="1" spans="1:12">
      <c r="A3736" s="5" t="s">
        <v>3856</v>
      </c>
      <c r="B3736" s="54">
        <v>4013202</v>
      </c>
      <c r="D3736" s="1" t="s">
        <v>97</v>
      </c>
      <c r="E3736" s="1">
        <f>52/30</f>
        <v>1.73333333333333</v>
      </c>
      <c r="F3736" s="1">
        <v>0</v>
      </c>
      <c r="L3736" s="7"/>
    </row>
    <row r="3737" s="1" customFormat="1" hidden="1" spans="1:12">
      <c r="A3737" s="5" t="s">
        <v>3857</v>
      </c>
      <c r="B3737" s="54">
        <v>4013202</v>
      </c>
      <c r="D3737" s="1" t="s">
        <v>77</v>
      </c>
      <c r="E3737" s="1">
        <f>52/30</f>
        <v>1.73333333333333</v>
      </c>
      <c r="F3737" s="1">
        <v>0</v>
      </c>
      <c r="L3737" s="7"/>
    </row>
    <row r="3738" s="1" customFormat="1" hidden="1" spans="1:12">
      <c r="A3738" s="5" t="s">
        <v>3858</v>
      </c>
      <c r="B3738" s="54">
        <v>4013202</v>
      </c>
      <c r="D3738" s="1" t="s">
        <v>54</v>
      </c>
      <c r="E3738" s="1">
        <f>78/30</f>
        <v>2.6</v>
      </c>
      <c r="F3738" s="1">
        <v>0</v>
      </c>
      <c r="L3738" s="7"/>
    </row>
    <row r="3739" s="1" customFormat="1" hidden="1" spans="1:12">
      <c r="A3739" s="5" t="s">
        <v>3859</v>
      </c>
      <c r="B3739" s="54">
        <v>4013202</v>
      </c>
      <c r="D3739" s="1" t="s">
        <v>57</v>
      </c>
      <c r="E3739" s="1">
        <f>85/30</f>
        <v>2.83333333333333</v>
      </c>
      <c r="F3739" s="1">
        <v>0</v>
      </c>
      <c r="G3739" s="1">
        <v>0</v>
      </c>
      <c r="H3739" s="1">
        <v>2</v>
      </c>
      <c r="I3739" s="1">
        <v>4702</v>
      </c>
      <c r="J3739" s="1" t="s">
        <v>58</v>
      </c>
      <c r="K3739" s="1">
        <v>1</v>
      </c>
      <c r="L3739" s="7"/>
    </row>
    <row r="3740" s="1" customFormat="1" hidden="1" spans="1:12">
      <c r="A3740" s="5" t="s">
        <v>3860</v>
      </c>
      <c r="B3740" s="54">
        <v>4013202</v>
      </c>
      <c r="D3740" s="1" t="s">
        <v>1406</v>
      </c>
      <c r="E3740" s="1">
        <f>85/30</f>
        <v>2.83333333333333</v>
      </c>
      <c r="F3740" s="1">
        <v>0</v>
      </c>
      <c r="L3740" s="7"/>
    </row>
    <row r="3741" hidden="1" spans="1:6">
      <c r="A3741" s="2" t="s">
        <v>3861</v>
      </c>
      <c r="B3741" s="3">
        <v>146</v>
      </c>
      <c r="D3741" s="113" t="s">
        <v>36</v>
      </c>
      <c r="E3741" s="56">
        <f>68/30</f>
        <v>2.26666666666667</v>
      </c>
      <c r="F3741">
        <v>0</v>
      </c>
    </row>
    <row r="3742" hidden="1" spans="1:6">
      <c r="A3742" s="2" t="s">
        <v>3862</v>
      </c>
      <c r="B3742" s="3">
        <v>146</v>
      </c>
      <c r="D3742" s="113" t="s">
        <v>38</v>
      </c>
      <c r="E3742" s="56">
        <f>114/30</f>
        <v>3.8</v>
      </c>
      <c r="F3742">
        <v>0</v>
      </c>
    </row>
    <row r="3743" hidden="1" spans="1:6">
      <c r="A3743" s="2" t="s">
        <v>3863</v>
      </c>
      <c r="B3743" s="3">
        <v>146</v>
      </c>
      <c r="D3743" s="113" t="s">
        <v>40</v>
      </c>
      <c r="E3743" s="56">
        <f>113/30</f>
        <v>3.76666666666667</v>
      </c>
      <c r="F3743">
        <v>0</v>
      </c>
    </row>
    <row r="3744" hidden="1" spans="1:6">
      <c r="A3744" s="2" t="s">
        <v>3864</v>
      </c>
      <c r="B3744" s="3">
        <v>146</v>
      </c>
      <c r="D3744" s="113" t="s">
        <v>42</v>
      </c>
      <c r="E3744" s="56">
        <f>79/30</f>
        <v>2.63333333333333</v>
      </c>
      <c r="F3744">
        <v>0</v>
      </c>
    </row>
    <row r="3745" hidden="1" spans="1:6">
      <c r="A3745" s="2" t="s">
        <v>3865</v>
      </c>
      <c r="B3745" s="3">
        <v>146</v>
      </c>
      <c r="D3745" s="113" t="s">
        <v>44</v>
      </c>
      <c r="E3745" s="56">
        <f>104/30</f>
        <v>3.46666666666667</v>
      </c>
      <c r="F3745">
        <v>0</v>
      </c>
    </row>
    <row r="3746" hidden="1" spans="1:6">
      <c r="A3746" s="2" t="s">
        <v>3866</v>
      </c>
      <c r="B3746" s="3">
        <v>146</v>
      </c>
      <c r="D3746" s="113" t="s">
        <v>86</v>
      </c>
      <c r="E3746" s="56">
        <f>310/30</f>
        <v>10.3333333333333</v>
      </c>
      <c r="F3746">
        <v>0</v>
      </c>
    </row>
    <row r="3747" hidden="1" spans="1:6">
      <c r="A3747" s="2" t="s">
        <v>3867</v>
      </c>
      <c r="B3747" s="3">
        <v>146</v>
      </c>
      <c r="D3747" s="113" t="s">
        <v>50</v>
      </c>
      <c r="E3747" s="56">
        <f>366/30</f>
        <v>12.2</v>
      </c>
      <c r="F3747">
        <v>0</v>
      </c>
    </row>
    <row r="3748" hidden="1" spans="1:6">
      <c r="A3748" s="2" t="s">
        <v>3868</v>
      </c>
      <c r="B3748" s="3">
        <v>146</v>
      </c>
      <c r="D3748" s="113" t="s">
        <v>90</v>
      </c>
      <c r="E3748" s="56">
        <f>308/30</f>
        <v>10.2666666666667</v>
      </c>
      <c r="F3748">
        <v>0</v>
      </c>
    </row>
    <row r="3749" hidden="1" spans="1:6">
      <c r="A3749" s="2" t="s">
        <v>3869</v>
      </c>
      <c r="B3749" s="3">
        <v>146</v>
      </c>
      <c r="D3749" s="19" t="s">
        <v>92</v>
      </c>
      <c r="E3749" s="56">
        <f>91/30</f>
        <v>3.03333333333333</v>
      </c>
      <c r="F3749">
        <v>0</v>
      </c>
    </row>
    <row r="3750" hidden="1" spans="1:6">
      <c r="A3750" s="2" t="s">
        <v>3870</v>
      </c>
      <c r="B3750" s="3">
        <v>146</v>
      </c>
      <c r="D3750" s="19" t="s">
        <v>109</v>
      </c>
      <c r="E3750" s="56">
        <f>91/30</f>
        <v>3.03333333333333</v>
      </c>
      <c r="F3750">
        <v>0</v>
      </c>
    </row>
    <row r="3751" hidden="1" spans="1:6">
      <c r="A3751" s="2" t="s">
        <v>3871</v>
      </c>
      <c r="B3751" s="3">
        <v>146</v>
      </c>
      <c r="D3751" s="19" t="s">
        <v>97</v>
      </c>
      <c r="E3751" s="56">
        <f>91/30</f>
        <v>3.03333333333333</v>
      </c>
      <c r="F3751">
        <v>0</v>
      </c>
    </row>
    <row r="3752" hidden="1" spans="1:6">
      <c r="A3752" s="2" t="s">
        <v>3872</v>
      </c>
      <c r="B3752" s="3">
        <v>146</v>
      </c>
      <c r="D3752" s="19" t="s">
        <v>77</v>
      </c>
      <c r="E3752" s="56">
        <f>74/30</f>
        <v>2.46666666666667</v>
      </c>
      <c r="F3752">
        <v>0</v>
      </c>
    </row>
    <row r="3753" hidden="1" spans="1:6">
      <c r="A3753" s="2" t="s">
        <v>3873</v>
      </c>
      <c r="B3753" s="3">
        <v>146</v>
      </c>
      <c r="D3753" s="19" t="s">
        <v>54</v>
      </c>
      <c r="E3753" s="56">
        <f>86/30</f>
        <v>2.86666666666667</v>
      </c>
      <c r="F3753">
        <v>0</v>
      </c>
    </row>
    <row r="3754" hidden="1" spans="1:12">
      <c r="A3754" s="2" t="s">
        <v>3874</v>
      </c>
      <c r="B3754" s="3">
        <v>146</v>
      </c>
      <c r="D3754" s="19" t="s">
        <v>57</v>
      </c>
      <c r="E3754" s="56">
        <f>157/30</f>
        <v>5.23333333333333</v>
      </c>
      <c r="F3754">
        <v>0</v>
      </c>
      <c r="G3754" s="10">
        <v>0</v>
      </c>
      <c r="H3754" s="10">
        <v>2</v>
      </c>
      <c r="I3754" s="10">
        <v>4714</v>
      </c>
      <c r="J3754" s="11" t="s">
        <v>58</v>
      </c>
      <c r="K3754">
        <v>1</v>
      </c>
      <c r="L3754" s="10"/>
    </row>
    <row r="3755" s="24" customFormat="1" hidden="1" spans="1:12">
      <c r="A3755" s="139" t="s">
        <v>3875</v>
      </c>
      <c r="B3755" s="140">
        <v>30090</v>
      </c>
      <c r="D3755" s="24" t="s">
        <v>50</v>
      </c>
      <c r="E3755" s="56">
        <f>366/30</f>
        <v>12.2</v>
      </c>
      <c r="F3755" s="24">
        <v>0</v>
      </c>
      <c r="G3755" t="s">
        <v>61</v>
      </c>
      <c r="H3755" t="s">
        <v>62</v>
      </c>
      <c r="I3755" t="s">
        <v>3876</v>
      </c>
      <c r="J3755" t="s">
        <v>3877</v>
      </c>
      <c r="K3755" t="s">
        <v>95</v>
      </c>
      <c r="L3755" s="143"/>
    </row>
    <row r="3756" hidden="1" spans="1:6">
      <c r="A3756" s="2" t="s">
        <v>3878</v>
      </c>
      <c r="B3756" s="3">
        <v>4014601</v>
      </c>
      <c r="D3756" s="113" t="s">
        <v>36</v>
      </c>
      <c r="E3756" s="56">
        <f>68/30</f>
        <v>2.26666666666667</v>
      </c>
      <c r="F3756">
        <v>0</v>
      </c>
    </row>
    <row r="3757" hidden="1" spans="1:6">
      <c r="A3757" s="2" t="s">
        <v>3879</v>
      </c>
      <c r="B3757" s="3">
        <v>4014601</v>
      </c>
      <c r="D3757" s="113" t="s">
        <v>38</v>
      </c>
      <c r="E3757" s="56">
        <f>114/30</f>
        <v>3.8</v>
      </c>
      <c r="F3757">
        <v>0</v>
      </c>
    </row>
    <row r="3758" hidden="1" spans="1:6">
      <c r="A3758" s="2" t="s">
        <v>3880</v>
      </c>
      <c r="B3758" s="3">
        <v>4014601</v>
      </c>
      <c r="D3758" s="113" t="s">
        <v>40</v>
      </c>
      <c r="E3758" s="56">
        <f>113/30</f>
        <v>3.76666666666667</v>
      </c>
      <c r="F3758">
        <v>0</v>
      </c>
    </row>
    <row r="3759" hidden="1" spans="1:6">
      <c r="A3759" s="2" t="s">
        <v>3881</v>
      </c>
      <c r="B3759" s="3">
        <v>4014601</v>
      </c>
      <c r="D3759" s="113" t="s">
        <v>42</v>
      </c>
      <c r="E3759" s="56">
        <f>79/30</f>
        <v>2.63333333333333</v>
      </c>
      <c r="F3759">
        <v>0</v>
      </c>
    </row>
    <row r="3760" hidden="1" spans="1:6">
      <c r="A3760" s="2" t="s">
        <v>3882</v>
      </c>
      <c r="B3760" s="3">
        <v>4014601</v>
      </c>
      <c r="D3760" s="113" t="s">
        <v>44</v>
      </c>
      <c r="E3760" s="56">
        <f>104/30</f>
        <v>3.46666666666667</v>
      </c>
      <c r="F3760">
        <v>0</v>
      </c>
    </row>
    <row r="3761" hidden="1" spans="1:6">
      <c r="A3761" s="2" t="s">
        <v>3883</v>
      </c>
      <c r="B3761" s="3">
        <v>4014601</v>
      </c>
      <c r="D3761" s="113" t="s">
        <v>86</v>
      </c>
      <c r="E3761" s="56">
        <f>310/30</f>
        <v>10.3333333333333</v>
      </c>
      <c r="F3761">
        <v>0</v>
      </c>
    </row>
    <row r="3762" hidden="1" spans="1:6">
      <c r="A3762" s="2" t="s">
        <v>3884</v>
      </c>
      <c r="B3762" s="3">
        <v>4014601</v>
      </c>
      <c r="D3762" s="113" t="s">
        <v>50</v>
      </c>
      <c r="E3762" s="56">
        <f>366/30</f>
        <v>12.2</v>
      </c>
      <c r="F3762">
        <v>0</v>
      </c>
    </row>
    <row r="3763" hidden="1" spans="1:6">
      <c r="A3763" s="2" t="s">
        <v>3885</v>
      </c>
      <c r="B3763" s="3">
        <v>4014601</v>
      </c>
      <c r="D3763" s="113" t="s">
        <v>90</v>
      </c>
      <c r="E3763" s="56">
        <f>308/30</f>
        <v>10.2666666666667</v>
      </c>
      <c r="F3763">
        <v>0</v>
      </c>
    </row>
    <row r="3764" hidden="1" spans="1:6">
      <c r="A3764" s="2" t="s">
        <v>3886</v>
      </c>
      <c r="B3764" s="3">
        <v>4014601</v>
      </c>
      <c r="D3764" s="19" t="s">
        <v>92</v>
      </c>
      <c r="E3764" s="56">
        <f t="shared" ref="E3764:E3766" si="18">91/30</f>
        <v>3.03333333333333</v>
      </c>
      <c r="F3764">
        <v>0</v>
      </c>
    </row>
    <row r="3765" hidden="1" spans="1:6">
      <c r="A3765" s="2" t="s">
        <v>3887</v>
      </c>
      <c r="B3765" s="3">
        <v>4014601</v>
      </c>
      <c r="D3765" s="19" t="s">
        <v>109</v>
      </c>
      <c r="E3765" s="56">
        <f t="shared" si="18"/>
        <v>3.03333333333333</v>
      </c>
      <c r="F3765">
        <v>0</v>
      </c>
    </row>
    <row r="3766" hidden="1" spans="1:6">
      <c r="A3766" s="2" t="s">
        <v>3888</v>
      </c>
      <c r="B3766" s="3">
        <v>4014601</v>
      </c>
      <c r="D3766" s="19" t="s">
        <v>97</v>
      </c>
      <c r="E3766" s="56">
        <f t="shared" si="18"/>
        <v>3.03333333333333</v>
      </c>
      <c r="F3766">
        <v>0</v>
      </c>
    </row>
    <row r="3767" hidden="1" spans="1:6">
      <c r="A3767" s="2" t="s">
        <v>3889</v>
      </c>
      <c r="B3767" s="3">
        <v>4014601</v>
      </c>
      <c r="D3767" s="19" t="s">
        <v>77</v>
      </c>
      <c r="E3767" s="56">
        <f>74/30</f>
        <v>2.46666666666667</v>
      </c>
      <c r="F3767">
        <v>0</v>
      </c>
    </row>
    <row r="3768" hidden="1" spans="1:6">
      <c r="A3768" s="2" t="s">
        <v>3890</v>
      </c>
      <c r="B3768" s="3">
        <v>4014601</v>
      </c>
      <c r="D3768" s="19" t="s">
        <v>54</v>
      </c>
      <c r="E3768" s="56">
        <f>86/30</f>
        <v>2.86666666666667</v>
      </c>
      <c r="F3768">
        <v>0</v>
      </c>
    </row>
    <row r="3769" hidden="1" spans="1:12">
      <c r="A3769" s="2" t="s">
        <v>3891</v>
      </c>
      <c r="B3769" s="3">
        <v>4014601</v>
      </c>
      <c r="D3769" s="19" t="s">
        <v>57</v>
      </c>
      <c r="E3769" s="56">
        <f>157/30</f>
        <v>5.23333333333333</v>
      </c>
      <c r="F3769">
        <v>0</v>
      </c>
      <c r="G3769" s="10">
        <v>0</v>
      </c>
      <c r="H3769" s="10">
        <v>2</v>
      </c>
      <c r="I3769" s="10">
        <v>4714</v>
      </c>
      <c r="J3769" s="11" t="s">
        <v>58</v>
      </c>
      <c r="K3769">
        <v>1</v>
      </c>
      <c r="L3769" s="10"/>
    </row>
    <row r="3770" s="26" customFormat="1" hidden="1" spans="1:12">
      <c r="A3770" s="149" t="s">
        <v>3892</v>
      </c>
      <c r="B3770" s="150">
        <v>147</v>
      </c>
      <c r="D3770" s="151" t="s">
        <v>36</v>
      </c>
      <c r="E3770" s="151">
        <f>111/30</f>
        <v>3.7</v>
      </c>
      <c r="F3770" s="26">
        <v>0</v>
      </c>
      <c r="L3770" s="149"/>
    </row>
    <row r="3771" s="26" customFormat="1" hidden="1" spans="1:12">
      <c r="A3771" s="149" t="s">
        <v>3893</v>
      </c>
      <c r="B3771" s="150">
        <v>147</v>
      </c>
      <c r="D3771" s="151" t="s">
        <v>38</v>
      </c>
      <c r="E3771" s="151">
        <f>111/30</f>
        <v>3.7</v>
      </c>
      <c r="F3771" s="26">
        <v>0</v>
      </c>
      <c r="L3771" s="149"/>
    </row>
    <row r="3772" s="26" customFormat="1" hidden="1" spans="1:12">
      <c r="A3772" s="149" t="s">
        <v>3894</v>
      </c>
      <c r="B3772" s="150">
        <v>147</v>
      </c>
      <c r="D3772" s="151" t="s">
        <v>40</v>
      </c>
      <c r="E3772" s="151">
        <f>69/30</f>
        <v>2.3</v>
      </c>
      <c r="F3772" s="26">
        <v>0</v>
      </c>
      <c r="L3772" s="149"/>
    </row>
    <row r="3773" s="26" customFormat="1" hidden="1" spans="1:12">
      <c r="A3773" s="149" t="s">
        <v>3895</v>
      </c>
      <c r="B3773" s="150">
        <v>147</v>
      </c>
      <c r="D3773" s="151" t="s">
        <v>42</v>
      </c>
      <c r="E3773" s="151">
        <f>75/30</f>
        <v>2.5</v>
      </c>
      <c r="F3773" s="26">
        <v>0</v>
      </c>
      <c r="L3773" s="149"/>
    </row>
    <row r="3774" s="26" customFormat="1" hidden="1" spans="1:12">
      <c r="A3774" s="149" t="s">
        <v>3896</v>
      </c>
      <c r="B3774" s="150">
        <v>147</v>
      </c>
      <c r="D3774" s="151" t="s">
        <v>44</v>
      </c>
      <c r="E3774" s="151">
        <f>76/30</f>
        <v>2.53333333333333</v>
      </c>
      <c r="F3774" s="26">
        <v>0</v>
      </c>
      <c r="L3774" s="149"/>
    </row>
    <row r="3775" s="26" customFormat="1" hidden="1" spans="1:12">
      <c r="A3775" s="149" t="s">
        <v>3897</v>
      </c>
      <c r="B3775" s="150">
        <v>147</v>
      </c>
      <c r="D3775" s="151" t="s">
        <v>46</v>
      </c>
      <c r="E3775" s="151">
        <f>90/30</f>
        <v>3</v>
      </c>
      <c r="F3775" s="26">
        <v>0</v>
      </c>
      <c r="L3775" s="149"/>
    </row>
    <row r="3776" s="26" customFormat="1" hidden="1" spans="1:12">
      <c r="A3776" s="149" t="s">
        <v>3898</v>
      </c>
      <c r="B3776" s="150">
        <v>147</v>
      </c>
      <c r="D3776" s="151" t="s">
        <v>86</v>
      </c>
      <c r="E3776" s="151">
        <f>265/30</f>
        <v>8.83333333333333</v>
      </c>
      <c r="F3776" s="26">
        <v>0</v>
      </c>
      <c r="L3776" s="149"/>
    </row>
    <row r="3777" s="26" customFormat="1" hidden="1" spans="1:12">
      <c r="A3777" s="149" t="s">
        <v>3899</v>
      </c>
      <c r="B3777" s="150">
        <v>147</v>
      </c>
      <c r="D3777" s="151" t="s">
        <v>50</v>
      </c>
      <c r="E3777" s="151">
        <f>243/30</f>
        <v>8.1</v>
      </c>
      <c r="F3777" s="26">
        <v>0</v>
      </c>
      <c r="L3777" s="149"/>
    </row>
    <row r="3778" s="26" customFormat="1" hidden="1" spans="1:12">
      <c r="A3778" s="149" t="s">
        <v>3900</v>
      </c>
      <c r="B3778" s="150">
        <v>147</v>
      </c>
      <c r="D3778" s="151" t="s">
        <v>90</v>
      </c>
      <c r="E3778" s="151">
        <f>457/30</f>
        <v>15.2333333333333</v>
      </c>
      <c r="F3778" s="26">
        <v>0</v>
      </c>
      <c r="L3778" s="149"/>
    </row>
    <row r="3779" s="26" customFormat="1" hidden="1" spans="1:12">
      <c r="A3779" s="149" t="s">
        <v>3901</v>
      </c>
      <c r="B3779" s="150">
        <v>147</v>
      </c>
      <c r="D3779" s="26" t="s">
        <v>92</v>
      </c>
      <c r="E3779" s="151">
        <f>55/30</f>
        <v>1.83333333333333</v>
      </c>
      <c r="F3779" s="26">
        <v>0</v>
      </c>
      <c r="L3779" s="149"/>
    </row>
    <row r="3780" s="26" customFormat="1" hidden="1" spans="1:12">
      <c r="A3780" s="149" t="s">
        <v>3902</v>
      </c>
      <c r="B3780" s="150">
        <v>147</v>
      </c>
      <c r="D3780" s="26" t="s">
        <v>109</v>
      </c>
      <c r="E3780" s="151">
        <f>78/30</f>
        <v>2.6</v>
      </c>
      <c r="F3780" s="26">
        <v>0</v>
      </c>
      <c r="L3780" s="149"/>
    </row>
    <row r="3781" s="26" customFormat="1" hidden="1" spans="1:12">
      <c r="A3781" s="149" t="s">
        <v>3903</v>
      </c>
      <c r="B3781" s="150">
        <v>147</v>
      </c>
      <c r="D3781" s="26" t="s">
        <v>97</v>
      </c>
      <c r="E3781" s="151">
        <f>73/30</f>
        <v>2.43333333333333</v>
      </c>
      <c r="F3781" s="26">
        <v>0</v>
      </c>
      <c r="L3781" s="149"/>
    </row>
    <row r="3782" s="26" customFormat="1" hidden="1" spans="1:12">
      <c r="A3782" s="149" t="s">
        <v>3904</v>
      </c>
      <c r="B3782" s="150">
        <v>147</v>
      </c>
      <c r="D3782" s="26" t="s">
        <v>77</v>
      </c>
      <c r="E3782" s="151">
        <f>58/30</f>
        <v>1.93333333333333</v>
      </c>
      <c r="F3782" s="26">
        <v>0</v>
      </c>
      <c r="L3782" s="149"/>
    </row>
    <row r="3783" s="26" customFormat="1" hidden="1" spans="1:12">
      <c r="A3783" s="149" t="s">
        <v>3905</v>
      </c>
      <c r="B3783" s="150">
        <v>147</v>
      </c>
      <c r="D3783" s="26" t="s">
        <v>54</v>
      </c>
      <c r="E3783" s="151">
        <f>76/30</f>
        <v>2.53333333333333</v>
      </c>
      <c r="F3783" s="26">
        <v>0</v>
      </c>
      <c r="L3783" s="149"/>
    </row>
    <row r="3784" s="26" customFormat="1" hidden="1" spans="1:12">
      <c r="A3784" s="149" t="s">
        <v>3906</v>
      </c>
      <c r="B3784" s="150">
        <v>147</v>
      </c>
      <c r="D3784" s="26" t="s">
        <v>57</v>
      </c>
      <c r="E3784" s="151">
        <f>76/30</f>
        <v>2.53333333333333</v>
      </c>
      <c r="F3784" s="26">
        <v>0</v>
      </c>
      <c r="G3784" s="152">
        <v>0</v>
      </c>
      <c r="H3784" s="152">
        <v>2</v>
      </c>
      <c r="I3784" s="152">
        <v>4736</v>
      </c>
      <c r="J3784" s="153" t="s">
        <v>58</v>
      </c>
      <c r="K3784" s="26">
        <v>1</v>
      </c>
      <c r="L3784" s="152"/>
    </row>
    <row r="3785" s="26" customFormat="1" hidden="1" spans="1:12">
      <c r="A3785" s="149" t="s">
        <v>3907</v>
      </c>
      <c r="B3785" s="150">
        <v>30092</v>
      </c>
      <c r="D3785" s="26" t="s">
        <v>46</v>
      </c>
      <c r="E3785" s="151">
        <f>329/30</f>
        <v>10.9666666666667</v>
      </c>
      <c r="F3785" s="26">
        <v>0</v>
      </c>
      <c r="G3785" s="26">
        <v>0</v>
      </c>
      <c r="H3785" s="26">
        <v>2</v>
      </c>
      <c r="I3785" s="26">
        <v>4738</v>
      </c>
      <c r="J3785" s="26" t="s">
        <v>2951</v>
      </c>
      <c r="K3785" s="26">
        <v>1</v>
      </c>
      <c r="L3785" s="149"/>
    </row>
    <row r="3786" s="26" customFormat="1" hidden="1" spans="1:12">
      <c r="A3786" s="149" t="s">
        <v>3908</v>
      </c>
      <c r="B3786" s="150">
        <v>4014701</v>
      </c>
      <c r="D3786" s="151" t="s">
        <v>36</v>
      </c>
      <c r="E3786" s="151">
        <f>111/30</f>
        <v>3.7</v>
      </c>
      <c r="F3786" s="26">
        <v>0</v>
      </c>
      <c r="L3786" s="149"/>
    </row>
    <row r="3787" s="26" customFormat="1" hidden="1" spans="1:12">
      <c r="A3787" s="149" t="s">
        <v>3909</v>
      </c>
      <c r="B3787" s="150">
        <v>4014701</v>
      </c>
      <c r="D3787" s="151" t="s">
        <v>38</v>
      </c>
      <c r="E3787" s="151">
        <f>111/30</f>
        <v>3.7</v>
      </c>
      <c r="F3787" s="26">
        <v>0</v>
      </c>
      <c r="L3787" s="149"/>
    </row>
    <row r="3788" s="26" customFormat="1" hidden="1" spans="1:12">
      <c r="A3788" s="149" t="s">
        <v>3910</v>
      </c>
      <c r="B3788" s="150">
        <v>4014701</v>
      </c>
      <c r="D3788" s="151" t="s">
        <v>40</v>
      </c>
      <c r="E3788" s="151">
        <f>69/30</f>
        <v>2.3</v>
      </c>
      <c r="F3788" s="26">
        <v>0</v>
      </c>
      <c r="L3788" s="149"/>
    </row>
    <row r="3789" s="26" customFormat="1" hidden="1" spans="1:12">
      <c r="A3789" s="149" t="s">
        <v>3911</v>
      </c>
      <c r="B3789" s="150">
        <v>4014701</v>
      </c>
      <c r="D3789" s="151" t="s">
        <v>42</v>
      </c>
      <c r="E3789" s="151">
        <f>75/30</f>
        <v>2.5</v>
      </c>
      <c r="F3789" s="26">
        <v>0</v>
      </c>
      <c r="L3789" s="149"/>
    </row>
    <row r="3790" s="26" customFormat="1" hidden="1" spans="1:12">
      <c r="A3790" s="149" t="s">
        <v>3912</v>
      </c>
      <c r="B3790" s="150">
        <v>4014701</v>
      </c>
      <c r="D3790" s="151" t="s">
        <v>44</v>
      </c>
      <c r="E3790" s="151">
        <f>76/30</f>
        <v>2.53333333333333</v>
      </c>
      <c r="F3790" s="26">
        <v>0</v>
      </c>
      <c r="L3790" s="149"/>
    </row>
    <row r="3791" s="26" customFormat="1" hidden="1" spans="1:12">
      <c r="A3791" s="149" t="s">
        <v>3913</v>
      </c>
      <c r="B3791" s="150">
        <v>4014701</v>
      </c>
      <c r="D3791" s="151" t="s">
        <v>46</v>
      </c>
      <c r="E3791" s="151">
        <f>90/30</f>
        <v>3</v>
      </c>
      <c r="F3791" s="26">
        <v>0</v>
      </c>
      <c r="L3791" s="149"/>
    </row>
    <row r="3792" s="26" customFormat="1" hidden="1" spans="1:12">
      <c r="A3792" s="149" t="s">
        <v>3914</v>
      </c>
      <c r="B3792" s="150">
        <v>4014701</v>
      </c>
      <c r="D3792" s="151" t="s">
        <v>86</v>
      </c>
      <c r="E3792" s="151">
        <f>265/30</f>
        <v>8.83333333333333</v>
      </c>
      <c r="F3792" s="26">
        <v>0</v>
      </c>
      <c r="L3792" s="149"/>
    </row>
    <row r="3793" s="26" customFormat="1" hidden="1" spans="1:12">
      <c r="A3793" s="149" t="s">
        <v>3915</v>
      </c>
      <c r="B3793" s="150">
        <v>4014701</v>
      </c>
      <c r="D3793" s="151" t="s">
        <v>50</v>
      </c>
      <c r="E3793" s="151">
        <f>243/30</f>
        <v>8.1</v>
      </c>
      <c r="F3793" s="26">
        <v>0</v>
      </c>
      <c r="L3793" s="149"/>
    </row>
    <row r="3794" s="26" customFormat="1" hidden="1" spans="1:12">
      <c r="A3794" s="149" t="s">
        <v>3916</v>
      </c>
      <c r="B3794" s="150">
        <v>4014701</v>
      </c>
      <c r="D3794" s="151" t="s">
        <v>90</v>
      </c>
      <c r="E3794" s="151">
        <f>457/30</f>
        <v>15.2333333333333</v>
      </c>
      <c r="F3794" s="26">
        <v>0</v>
      </c>
      <c r="L3794" s="149"/>
    </row>
    <row r="3795" s="26" customFormat="1" hidden="1" spans="1:12">
      <c r="A3795" s="149" t="s">
        <v>3917</v>
      </c>
      <c r="B3795" s="150">
        <v>4014701</v>
      </c>
      <c r="D3795" s="26" t="s">
        <v>92</v>
      </c>
      <c r="E3795" s="151">
        <f>55/30</f>
        <v>1.83333333333333</v>
      </c>
      <c r="F3795" s="26">
        <v>0</v>
      </c>
      <c r="L3795" s="149"/>
    </row>
    <row r="3796" s="26" customFormat="1" hidden="1" spans="1:12">
      <c r="A3796" s="149" t="s">
        <v>3918</v>
      </c>
      <c r="B3796" s="150">
        <v>4014701</v>
      </c>
      <c r="D3796" s="26" t="s">
        <v>109</v>
      </c>
      <c r="E3796" s="151">
        <f>78/30</f>
        <v>2.6</v>
      </c>
      <c r="F3796" s="26">
        <v>0</v>
      </c>
      <c r="L3796" s="149"/>
    </row>
    <row r="3797" s="26" customFormat="1" hidden="1" spans="1:12">
      <c r="A3797" s="149" t="s">
        <v>3919</v>
      </c>
      <c r="B3797" s="150">
        <v>4014701</v>
      </c>
      <c r="D3797" s="26" t="s">
        <v>97</v>
      </c>
      <c r="E3797" s="151">
        <f>73/30</f>
        <v>2.43333333333333</v>
      </c>
      <c r="F3797" s="26">
        <v>0</v>
      </c>
      <c r="L3797" s="149"/>
    </row>
    <row r="3798" s="26" customFormat="1" hidden="1" spans="1:12">
      <c r="A3798" s="149" t="s">
        <v>3920</v>
      </c>
      <c r="B3798" s="150">
        <v>4014701</v>
      </c>
      <c r="D3798" s="26" t="s">
        <v>77</v>
      </c>
      <c r="E3798" s="151">
        <f>58/30</f>
        <v>1.93333333333333</v>
      </c>
      <c r="F3798" s="26">
        <v>0</v>
      </c>
      <c r="L3798" s="149"/>
    </row>
    <row r="3799" s="26" customFormat="1" hidden="1" spans="1:12">
      <c r="A3799" s="149" t="s">
        <v>3921</v>
      </c>
      <c r="B3799" s="150">
        <v>4014701</v>
      </c>
      <c r="D3799" s="26" t="s">
        <v>54</v>
      </c>
      <c r="E3799" s="151">
        <f>76/30</f>
        <v>2.53333333333333</v>
      </c>
      <c r="F3799" s="26">
        <v>0</v>
      </c>
      <c r="L3799" s="149"/>
    </row>
    <row r="3800" s="26" customFormat="1" hidden="1" spans="1:12">
      <c r="A3800" s="149" t="s">
        <v>3922</v>
      </c>
      <c r="B3800" s="150">
        <v>4014701</v>
      </c>
      <c r="D3800" s="26" t="s">
        <v>57</v>
      </c>
      <c r="E3800" s="151">
        <f>76/30</f>
        <v>2.53333333333333</v>
      </c>
      <c r="F3800" s="26">
        <v>0</v>
      </c>
      <c r="G3800" s="152">
        <v>0</v>
      </c>
      <c r="H3800" s="152">
        <v>2</v>
      </c>
      <c r="I3800" s="152">
        <v>4736</v>
      </c>
      <c r="J3800" s="153" t="s">
        <v>58</v>
      </c>
      <c r="K3800" s="26">
        <v>1</v>
      </c>
      <c r="L3800" s="152"/>
    </row>
    <row r="3801" s="23" customFormat="1" hidden="1" spans="1:12">
      <c r="A3801" s="137" t="s">
        <v>3923</v>
      </c>
      <c r="B3801" s="138">
        <v>148</v>
      </c>
      <c r="D3801" s="23" t="s">
        <v>36</v>
      </c>
      <c r="E3801" s="24">
        <f>92/30</f>
        <v>3.06666666666667</v>
      </c>
      <c r="F3801" s="23">
        <v>0</v>
      </c>
      <c r="L3801" s="142"/>
    </row>
    <row r="3802" s="23" customFormat="1" hidden="1" spans="1:12">
      <c r="A3802" s="137" t="s">
        <v>3924</v>
      </c>
      <c r="B3802" s="138">
        <v>148</v>
      </c>
      <c r="D3802" s="23" t="s">
        <v>44</v>
      </c>
      <c r="E3802" s="24">
        <f t="shared" ref="E3802:E3806" si="19">117/30</f>
        <v>3.9</v>
      </c>
      <c r="F3802" s="23">
        <v>0</v>
      </c>
      <c r="L3802" s="142"/>
    </row>
    <row r="3803" s="23" customFormat="1" hidden="1" spans="1:12">
      <c r="A3803" s="137" t="s">
        <v>3925</v>
      </c>
      <c r="B3803" s="138">
        <v>148</v>
      </c>
      <c r="D3803" s="23" t="s">
        <v>46</v>
      </c>
      <c r="E3803" s="24">
        <f t="shared" si="19"/>
        <v>3.9</v>
      </c>
      <c r="F3803" s="23">
        <v>0</v>
      </c>
      <c r="L3803" s="142"/>
    </row>
    <row r="3804" s="23" customFormat="1" hidden="1" spans="1:12">
      <c r="A3804" s="137" t="s">
        <v>3926</v>
      </c>
      <c r="B3804" s="138">
        <v>148</v>
      </c>
      <c r="D3804" s="23" t="s">
        <v>42</v>
      </c>
      <c r="E3804" s="24">
        <f>470/30</f>
        <v>15.6666666666667</v>
      </c>
      <c r="F3804" s="23">
        <v>0</v>
      </c>
      <c r="L3804" s="142"/>
    </row>
    <row r="3805" s="23" customFormat="1" hidden="1" spans="1:12">
      <c r="A3805" s="137" t="s">
        <v>3927</v>
      </c>
      <c r="B3805" s="138">
        <v>148</v>
      </c>
      <c r="D3805" s="23" t="s">
        <v>44</v>
      </c>
      <c r="E3805" s="24">
        <f t="shared" si="19"/>
        <v>3.9</v>
      </c>
      <c r="F3805" s="23">
        <v>0</v>
      </c>
      <c r="L3805" s="142"/>
    </row>
    <row r="3806" s="23" customFormat="1" hidden="1" spans="1:12">
      <c r="A3806" s="137" t="s">
        <v>3928</v>
      </c>
      <c r="B3806" s="138">
        <v>148</v>
      </c>
      <c r="D3806" s="23" t="s">
        <v>46</v>
      </c>
      <c r="E3806" s="24">
        <f t="shared" si="19"/>
        <v>3.9</v>
      </c>
      <c r="F3806" s="23">
        <v>0</v>
      </c>
      <c r="L3806" s="142"/>
    </row>
    <row r="3807" s="23" customFormat="1" hidden="1" spans="1:12">
      <c r="A3807" s="137" t="s">
        <v>3929</v>
      </c>
      <c r="B3807" s="138">
        <v>148</v>
      </c>
      <c r="D3807" s="23" t="s">
        <v>52</v>
      </c>
      <c r="E3807" s="24">
        <f>460/30</f>
        <v>15.3333333333333</v>
      </c>
      <c r="F3807" s="23">
        <v>0</v>
      </c>
      <c r="L3807" s="142"/>
    </row>
    <row r="3808" s="23" customFormat="1" hidden="1" spans="1:12">
      <c r="A3808" s="137" t="s">
        <v>3930</v>
      </c>
      <c r="B3808" s="138">
        <v>30095</v>
      </c>
      <c r="D3808" s="23" t="s">
        <v>86</v>
      </c>
      <c r="E3808" s="24">
        <f>140/30</f>
        <v>4.66666666666667</v>
      </c>
      <c r="F3808" s="23">
        <v>0</v>
      </c>
      <c r="L3808" s="142"/>
    </row>
    <row r="3809" s="23" customFormat="1" hidden="1" spans="1:12">
      <c r="A3809" s="137" t="s">
        <v>3931</v>
      </c>
      <c r="B3809" s="138">
        <v>30095</v>
      </c>
      <c r="D3809" s="23" t="s">
        <v>90</v>
      </c>
      <c r="E3809" s="24">
        <f>142/30</f>
        <v>4.73333333333333</v>
      </c>
      <c r="F3809" s="23">
        <v>0</v>
      </c>
      <c r="L3809" s="142"/>
    </row>
    <row r="3810" s="23" customFormat="1" hidden="1" spans="1:12">
      <c r="A3810" s="137" t="s">
        <v>3932</v>
      </c>
      <c r="B3810" s="138">
        <v>30095</v>
      </c>
      <c r="D3810" s="23" t="s">
        <v>48</v>
      </c>
      <c r="E3810" s="24">
        <f>334/30</f>
        <v>11.1333333333333</v>
      </c>
      <c r="F3810" s="23">
        <v>0</v>
      </c>
      <c r="L3810" s="142"/>
    </row>
    <row r="3811" s="23" customFormat="1" hidden="1" spans="1:12">
      <c r="A3811" s="137" t="s">
        <v>3933</v>
      </c>
      <c r="B3811" s="138">
        <v>30095</v>
      </c>
      <c r="D3811" s="23" t="s">
        <v>52</v>
      </c>
      <c r="E3811" s="24">
        <f>460/30</f>
        <v>15.3333333333333</v>
      </c>
      <c r="F3811" s="23">
        <v>0</v>
      </c>
      <c r="L3811" s="142"/>
    </row>
    <row r="3812" s="23" customFormat="1" hidden="1" spans="1:12">
      <c r="A3812" s="137" t="s">
        <v>3934</v>
      </c>
      <c r="B3812" s="138">
        <v>30095</v>
      </c>
      <c r="D3812" s="23" t="s">
        <v>140</v>
      </c>
      <c r="E3812" s="24">
        <f>113/30</f>
        <v>3.76666666666667</v>
      </c>
      <c r="F3812" s="23">
        <v>0</v>
      </c>
      <c r="L3812" s="142"/>
    </row>
    <row r="3813" s="23" customFormat="1" hidden="1" spans="1:12">
      <c r="A3813" s="137" t="s">
        <v>3935</v>
      </c>
      <c r="B3813" s="138">
        <v>30096</v>
      </c>
      <c r="D3813" s="23" t="s">
        <v>90</v>
      </c>
      <c r="E3813" s="24">
        <v>4.73333333333333</v>
      </c>
      <c r="F3813" s="23">
        <v>0</v>
      </c>
      <c r="G3813" s="23">
        <v>0</v>
      </c>
      <c r="H3813" s="23">
        <v>2</v>
      </c>
      <c r="I3813" s="58">
        <v>4748</v>
      </c>
      <c r="J3813" s="23" t="s">
        <v>58</v>
      </c>
      <c r="K3813" s="23">
        <v>0</v>
      </c>
      <c r="L3813" s="142"/>
    </row>
    <row r="3814" s="23" customFormat="1" ht="16.5" hidden="1" spans="1:12">
      <c r="A3814" s="137" t="s">
        <v>3936</v>
      </c>
      <c r="B3814" s="138">
        <v>30096</v>
      </c>
      <c r="D3814" s="23" t="s">
        <v>140</v>
      </c>
      <c r="E3814" s="24">
        <v>3.76666666666667</v>
      </c>
      <c r="F3814" s="23">
        <v>0</v>
      </c>
      <c r="G3814" s="23">
        <v>0</v>
      </c>
      <c r="H3814" s="23">
        <v>2</v>
      </c>
      <c r="I3814" s="154">
        <v>4750</v>
      </c>
      <c r="J3814" s="23" t="s">
        <v>58</v>
      </c>
      <c r="K3814" s="23">
        <v>0</v>
      </c>
      <c r="L3814" s="142"/>
    </row>
    <row r="3815" s="26" customFormat="1" hidden="1" spans="1:12">
      <c r="A3815" s="149" t="s">
        <v>3937</v>
      </c>
      <c r="B3815" s="150">
        <v>148</v>
      </c>
      <c r="D3815" s="26" t="s">
        <v>92</v>
      </c>
      <c r="E3815" s="151">
        <f>74/30</f>
        <v>2.46666666666667</v>
      </c>
      <c r="F3815" s="26">
        <v>0</v>
      </c>
      <c r="L3815" s="149"/>
    </row>
    <row r="3816" s="26" customFormat="1" hidden="1" spans="1:12">
      <c r="A3816" s="149" t="s">
        <v>3938</v>
      </c>
      <c r="B3816" s="150">
        <v>148</v>
      </c>
      <c r="D3816" s="26" t="s">
        <v>109</v>
      </c>
      <c r="E3816" s="151">
        <f>82/30</f>
        <v>2.73333333333333</v>
      </c>
      <c r="F3816" s="26">
        <v>0</v>
      </c>
      <c r="L3816" s="149"/>
    </row>
    <row r="3817" s="26" customFormat="1" hidden="1" spans="1:12">
      <c r="A3817" s="149" t="s">
        <v>3939</v>
      </c>
      <c r="B3817" s="150">
        <v>148</v>
      </c>
      <c r="D3817" s="26" t="s">
        <v>97</v>
      </c>
      <c r="E3817" s="151">
        <f>60/30</f>
        <v>2</v>
      </c>
      <c r="F3817" s="26">
        <v>0</v>
      </c>
      <c r="L3817" s="149"/>
    </row>
    <row r="3818" s="26" customFormat="1" hidden="1" spans="1:12">
      <c r="A3818" s="149" t="s">
        <v>3940</v>
      </c>
      <c r="B3818" s="150">
        <v>148</v>
      </c>
      <c r="D3818" s="26" t="s">
        <v>77</v>
      </c>
      <c r="E3818" s="151">
        <f>60/30</f>
        <v>2</v>
      </c>
      <c r="F3818" s="26">
        <v>0</v>
      </c>
      <c r="L3818" s="149"/>
    </row>
    <row r="3819" s="26" customFormat="1" hidden="1" spans="1:12">
      <c r="A3819" s="149" t="s">
        <v>3941</v>
      </c>
      <c r="B3819" s="150">
        <v>148</v>
      </c>
      <c r="D3819" s="26" t="s">
        <v>54</v>
      </c>
      <c r="E3819" s="151">
        <f>60/30</f>
        <v>2</v>
      </c>
      <c r="F3819" s="26">
        <v>0</v>
      </c>
      <c r="L3819" s="149"/>
    </row>
    <row r="3820" s="26" customFormat="1" hidden="1" spans="1:12">
      <c r="A3820" s="149" t="s">
        <v>3942</v>
      </c>
      <c r="B3820" s="150">
        <v>148</v>
      </c>
      <c r="D3820" s="26" t="s">
        <v>57</v>
      </c>
      <c r="E3820" s="151">
        <f>150/30</f>
        <v>5</v>
      </c>
      <c r="F3820" s="26">
        <v>0</v>
      </c>
      <c r="G3820" s="152" t="s">
        <v>61</v>
      </c>
      <c r="H3820" s="152" t="s">
        <v>62</v>
      </c>
      <c r="I3820" s="152" t="s">
        <v>3943</v>
      </c>
      <c r="J3820" s="153" t="s">
        <v>556</v>
      </c>
      <c r="K3820" s="26" t="s">
        <v>95</v>
      </c>
      <c r="L3820" s="152"/>
    </row>
    <row r="3821" hidden="1" spans="1:11">
      <c r="A3821" s="149" t="s">
        <v>3944</v>
      </c>
      <c r="B3821" s="150">
        <v>148</v>
      </c>
      <c r="C3821">
        <v>3</v>
      </c>
      <c r="D3821" s="24" t="s">
        <v>204</v>
      </c>
      <c r="E3821" s="1">
        <f>68/30</f>
        <v>2.26666666666667</v>
      </c>
      <c r="F3821">
        <v>0</v>
      </c>
      <c r="G3821">
        <v>0</v>
      </c>
      <c r="H3821">
        <v>2</v>
      </c>
      <c r="I3821">
        <v>4783</v>
      </c>
      <c r="J3821" t="s">
        <v>58</v>
      </c>
      <c r="K3821">
        <v>1</v>
      </c>
    </row>
    <row r="3822" hidden="1" spans="1:11">
      <c r="A3822" s="149" t="s">
        <v>3945</v>
      </c>
      <c r="B3822" s="150">
        <v>148</v>
      </c>
      <c r="C3822">
        <v>3</v>
      </c>
      <c r="D3822" t="s">
        <v>236</v>
      </c>
      <c r="E3822" s="1">
        <f>60/30</f>
        <v>2</v>
      </c>
      <c r="F3822">
        <v>0</v>
      </c>
      <c r="G3822">
        <v>0</v>
      </c>
      <c r="H3822">
        <v>2</v>
      </c>
      <c r="I3822">
        <v>4782</v>
      </c>
      <c r="J3822" t="s">
        <v>58</v>
      </c>
      <c r="K3822">
        <v>1</v>
      </c>
    </row>
    <row r="3823" s="23" customFormat="1" hidden="1" spans="1:12">
      <c r="A3823" s="137" t="s">
        <v>3946</v>
      </c>
      <c r="B3823" s="138">
        <v>4014801</v>
      </c>
      <c r="D3823" s="23" t="s">
        <v>36</v>
      </c>
      <c r="E3823" s="24">
        <v>3.06666666666667</v>
      </c>
      <c r="F3823" s="23">
        <v>0</v>
      </c>
      <c r="L3823" s="142"/>
    </row>
    <row r="3824" s="23" customFormat="1" hidden="1" spans="1:12">
      <c r="A3824" s="137" t="s">
        <v>3947</v>
      </c>
      <c r="B3824" s="138">
        <v>4014801</v>
      </c>
      <c r="D3824" s="23" t="s">
        <v>44</v>
      </c>
      <c r="E3824" s="24">
        <v>3.9</v>
      </c>
      <c r="F3824" s="23">
        <v>0</v>
      </c>
      <c r="L3824" s="142"/>
    </row>
    <row r="3825" s="23" customFormat="1" hidden="1" spans="1:12">
      <c r="A3825" s="137" t="s">
        <v>3948</v>
      </c>
      <c r="B3825" s="138">
        <v>4014801</v>
      </c>
      <c r="D3825" s="23" t="s">
        <v>46</v>
      </c>
      <c r="E3825" s="24">
        <v>3.9</v>
      </c>
      <c r="F3825" s="23">
        <v>0</v>
      </c>
      <c r="L3825" s="142"/>
    </row>
    <row r="3826" s="23" customFormat="1" hidden="1" spans="1:12">
      <c r="A3826" s="137" t="s">
        <v>3949</v>
      </c>
      <c r="B3826" s="138">
        <v>4014801</v>
      </c>
      <c r="D3826" s="23" t="s">
        <v>42</v>
      </c>
      <c r="E3826" s="24">
        <v>15.6666666666667</v>
      </c>
      <c r="F3826" s="23">
        <v>0</v>
      </c>
      <c r="L3826" s="142"/>
    </row>
    <row r="3827" s="23" customFormat="1" hidden="1" spans="1:12">
      <c r="A3827" s="137" t="s">
        <v>3950</v>
      </c>
      <c r="B3827" s="138">
        <v>4014801</v>
      </c>
      <c r="D3827" s="23" t="s">
        <v>44</v>
      </c>
      <c r="E3827" s="24">
        <v>3.9</v>
      </c>
      <c r="F3827" s="23">
        <v>0</v>
      </c>
      <c r="L3827" s="142"/>
    </row>
    <row r="3828" s="23" customFormat="1" hidden="1" spans="1:12">
      <c r="A3828" s="137" t="s">
        <v>3951</v>
      </c>
      <c r="B3828" s="138">
        <v>4014801</v>
      </c>
      <c r="D3828" s="23" t="s">
        <v>46</v>
      </c>
      <c r="E3828" s="24">
        <v>3.9</v>
      </c>
      <c r="F3828" s="23">
        <v>0</v>
      </c>
      <c r="L3828" s="142"/>
    </row>
    <row r="3829" s="23" customFormat="1" hidden="1" spans="1:12">
      <c r="A3829" s="137" t="s">
        <v>3952</v>
      </c>
      <c r="B3829" s="138">
        <v>4014801</v>
      </c>
      <c r="D3829" s="23" t="s">
        <v>52</v>
      </c>
      <c r="E3829" s="24">
        <v>15.3333333333333</v>
      </c>
      <c r="F3829" s="23">
        <v>0</v>
      </c>
      <c r="L3829" s="142"/>
    </row>
    <row r="3830" s="26" customFormat="1" hidden="1" spans="1:12">
      <c r="A3830" s="149" t="s">
        <v>3953</v>
      </c>
      <c r="B3830" s="150">
        <v>4014801</v>
      </c>
      <c r="D3830" s="26" t="s">
        <v>92</v>
      </c>
      <c r="E3830" s="151">
        <v>2.46666666666667</v>
      </c>
      <c r="F3830" s="26">
        <v>0</v>
      </c>
      <c r="L3830" s="149"/>
    </row>
    <row r="3831" s="26" customFormat="1" hidden="1" spans="1:12">
      <c r="A3831" s="149" t="s">
        <v>3954</v>
      </c>
      <c r="B3831" s="150">
        <v>4014801</v>
      </c>
      <c r="D3831" s="26" t="s">
        <v>109</v>
      </c>
      <c r="E3831" s="151">
        <v>2.73333333333333</v>
      </c>
      <c r="F3831" s="26">
        <v>0</v>
      </c>
      <c r="L3831" s="149"/>
    </row>
    <row r="3832" s="26" customFormat="1" hidden="1" spans="1:12">
      <c r="A3832" s="149" t="s">
        <v>3955</v>
      </c>
      <c r="B3832" s="150">
        <v>4014801</v>
      </c>
      <c r="D3832" s="26" t="s">
        <v>97</v>
      </c>
      <c r="E3832" s="151">
        <v>2</v>
      </c>
      <c r="F3832" s="26">
        <v>0</v>
      </c>
      <c r="L3832" s="149"/>
    </row>
    <row r="3833" s="26" customFormat="1" hidden="1" spans="1:12">
      <c r="A3833" s="149" t="s">
        <v>3956</v>
      </c>
      <c r="B3833" s="150">
        <v>4014801</v>
      </c>
      <c r="D3833" s="26" t="s">
        <v>77</v>
      </c>
      <c r="E3833" s="151">
        <v>2</v>
      </c>
      <c r="F3833" s="26">
        <v>0</v>
      </c>
      <c r="L3833" s="149"/>
    </row>
    <row r="3834" s="26" customFormat="1" hidden="1" spans="1:12">
      <c r="A3834" s="149" t="s">
        <v>3957</v>
      </c>
      <c r="B3834" s="150">
        <v>4014801</v>
      </c>
      <c r="D3834" s="26" t="s">
        <v>54</v>
      </c>
      <c r="E3834" s="151">
        <v>2</v>
      </c>
      <c r="F3834" s="26">
        <v>0</v>
      </c>
      <c r="L3834" s="149"/>
    </row>
    <row r="3835" s="26" customFormat="1" hidden="1" spans="1:12">
      <c r="A3835" s="149" t="s">
        <v>3958</v>
      </c>
      <c r="B3835" s="150">
        <v>4014801</v>
      </c>
      <c r="D3835" s="26" t="s">
        <v>57</v>
      </c>
      <c r="E3835" s="151">
        <v>5</v>
      </c>
      <c r="F3835" s="26">
        <v>0</v>
      </c>
      <c r="G3835" s="152" t="s">
        <v>61</v>
      </c>
      <c r="H3835" s="152" t="s">
        <v>62</v>
      </c>
      <c r="I3835" s="152" t="s">
        <v>3943</v>
      </c>
      <c r="J3835" s="153" t="s">
        <v>556</v>
      </c>
      <c r="K3835" s="26" t="s">
        <v>95</v>
      </c>
      <c r="L3835" s="152"/>
    </row>
    <row r="3836" hidden="1" spans="1:11">
      <c r="A3836" s="149" t="s">
        <v>3959</v>
      </c>
      <c r="B3836" s="150">
        <v>4014801</v>
      </c>
      <c r="C3836">
        <v>3</v>
      </c>
      <c r="D3836" s="24" t="s">
        <v>204</v>
      </c>
      <c r="E3836" s="1">
        <v>2.26666666666667</v>
      </c>
      <c r="F3836">
        <v>0</v>
      </c>
      <c r="G3836">
        <v>0</v>
      </c>
      <c r="H3836">
        <v>2</v>
      </c>
      <c r="I3836">
        <v>4783</v>
      </c>
      <c r="J3836" t="s">
        <v>58</v>
      </c>
      <c r="K3836">
        <v>1</v>
      </c>
    </row>
    <row r="3837" hidden="1" spans="1:11">
      <c r="A3837" s="149" t="s">
        <v>3960</v>
      </c>
      <c r="B3837" s="150">
        <v>4014801</v>
      </c>
      <c r="C3837">
        <v>3</v>
      </c>
      <c r="D3837" t="s">
        <v>236</v>
      </c>
      <c r="E3837" s="1">
        <v>2</v>
      </c>
      <c r="F3837">
        <v>0</v>
      </c>
      <c r="G3837">
        <v>0</v>
      </c>
      <c r="H3837">
        <v>2</v>
      </c>
      <c r="I3837">
        <v>4782</v>
      </c>
      <c r="J3837" t="s">
        <v>58</v>
      </c>
      <c r="K3837">
        <v>1</v>
      </c>
    </row>
    <row r="3838" s="26" customFormat="1" hidden="1" spans="1:12">
      <c r="A3838" s="149" t="s">
        <v>3961</v>
      </c>
      <c r="B3838" s="150">
        <v>4014801</v>
      </c>
      <c r="D3838" s="26" t="s">
        <v>1788</v>
      </c>
      <c r="E3838" s="151">
        <f>110/30</f>
        <v>3.66666666666667</v>
      </c>
      <c r="F3838" s="26">
        <v>0</v>
      </c>
      <c r="L3838" s="149"/>
    </row>
    <row r="3839" s="26" customFormat="1" hidden="1" spans="1:12">
      <c r="A3839" s="149" t="s">
        <v>3962</v>
      </c>
      <c r="B3839" s="150">
        <v>4014801</v>
      </c>
      <c r="D3839" s="26" t="s">
        <v>2929</v>
      </c>
      <c r="E3839" s="151">
        <f>110/30</f>
        <v>3.66666666666667</v>
      </c>
      <c r="F3839" s="26">
        <v>0</v>
      </c>
      <c r="L3839" s="149"/>
    </row>
    <row r="3840" s="26" customFormat="1" hidden="1" spans="1:12">
      <c r="A3840" s="149" t="s">
        <v>3963</v>
      </c>
      <c r="B3840" s="150">
        <v>4014801</v>
      </c>
      <c r="D3840" s="26" t="s">
        <v>3964</v>
      </c>
      <c r="E3840" s="151">
        <f>104/30</f>
        <v>3.46666666666667</v>
      </c>
      <c r="F3840" s="26">
        <v>0</v>
      </c>
      <c r="L3840" s="149"/>
    </row>
    <row r="3841" s="26" customFormat="1" hidden="1" spans="1:12">
      <c r="A3841" s="149" t="s">
        <v>3965</v>
      </c>
      <c r="B3841" s="150">
        <v>4014801</v>
      </c>
      <c r="D3841" s="26" t="s">
        <v>3966</v>
      </c>
      <c r="E3841" s="151">
        <f>90/30</f>
        <v>3</v>
      </c>
      <c r="F3841" s="26">
        <v>0</v>
      </c>
      <c r="L3841" s="149"/>
    </row>
    <row r="3842" s="26" customFormat="1" hidden="1" spans="1:12">
      <c r="A3842" s="149" t="s">
        <v>3967</v>
      </c>
      <c r="B3842" s="150">
        <v>4014801</v>
      </c>
      <c r="D3842" s="26" t="s">
        <v>3968</v>
      </c>
      <c r="E3842" s="151">
        <f>90/30</f>
        <v>3</v>
      </c>
      <c r="F3842" s="26">
        <v>0</v>
      </c>
      <c r="L3842" s="149"/>
    </row>
    <row r="3843" s="26" customFormat="1" hidden="1" spans="1:12">
      <c r="A3843" s="149" t="s">
        <v>3969</v>
      </c>
      <c r="B3843" s="150">
        <v>4014801</v>
      </c>
      <c r="D3843" s="26" t="s">
        <v>3970</v>
      </c>
      <c r="E3843" s="151">
        <f>118/30</f>
        <v>3.93333333333333</v>
      </c>
      <c r="F3843" s="26">
        <v>0</v>
      </c>
      <c r="G3843" s="26">
        <v>0</v>
      </c>
      <c r="H3843" s="26">
        <v>2</v>
      </c>
      <c r="I3843" s="26">
        <v>4779</v>
      </c>
      <c r="J3843" s="26" t="s">
        <v>58</v>
      </c>
      <c r="K3843" s="26">
        <v>1</v>
      </c>
      <c r="L3843" s="152"/>
    </row>
    <row r="3844" s="26" customFormat="1" hidden="1" spans="1:12">
      <c r="A3844" s="149" t="s">
        <v>3971</v>
      </c>
      <c r="B3844" s="150">
        <v>30097</v>
      </c>
      <c r="D3844" s="26" t="s">
        <v>1788</v>
      </c>
      <c r="E3844" s="151">
        <f>110/30</f>
        <v>3.66666666666667</v>
      </c>
      <c r="F3844" s="26">
        <v>0</v>
      </c>
      <c r="L3844" s="149"/>
    </row>
    <row r="3845" s="26" customFormat="1" hidden="1" spans="1:12">
      <c r="A3845" s="149" t="s">
        <v>3972</v>
      </c>
      <c r="B3845" s="150">
        <v>30097</v>
      </c>
      <c r="D3845" s="26" t="s">
        <v>2929</v>
      </c>
      <c r="E3845" s="151">
        <f>110/30</f>
        <v>3.66666666666667</v>
      </c>
      <c r="F3845" s="26">
        <v>0</v>
      </c>
      <c r="L3845" s="149"/>
    </row>
    <row r="3846" s="26" customFormat="1" hidden="1" spans="1:12">
      <c r="A3846" s="149" t="s">
        <v>3973</v>
      </c>
      <c r="B3846" s="150">
        <v>30097</v>
      </c>
      <c r="D3846" s="26" t="s">
        <v>3964</v>
      </c>
      <c r="E3846" s="151">
        <f>104/30</f>
        <v>3.46666666666667</v>
      </c>
      <c r="F3846" s="26">
        <v>0</v>
      </c>
      <c r="L3846" s="149"/>
    </row>
    <row r="3847" s="26" customFormat="1" hidden="1" spans="1:12">
      <c r="A3847" s="149" t="s">
        <v>3974</v>
      </c>
      <c r="B3847" s="150">
        <v>30097</v>
      </c>
      <c r="D3847" s="26" t="s">
        <v>3966</v>
      </c>
      <c r="E3847" s="151">
        <f>90/30</f>
        <v>3</v>
      </c>
      <c r="F3847" s="26">
        <v>0</v>
      </c>
      <c r="L3847" s="149"/>
    </row>
    <row r="3848" s="26" customFormat="1" hidden="1" spans="1:12">
      <c r="A3848" s="149" t="s">
        <v>3975</v>
      </c>
      <c r="B3848" s="150">
        <v>30097</v>
      </c>
      <c r="D3848" s="26" t="s">
        <v>3968</v>
      </c>
      <c r="E3848" s="151">
        <f>90/30</f>
        <v>3</v>
      </c>
      <c r="F3848" s="26">
        <v>0</v>
      </c>
      <c r="L3848" s="149"/>
    </row>
    <row r="3849" s="26" customFormat="1" hidden="1" spans="1:12">
      <c r="A3849" s="149" t="s">
        <v>3976</v>
      </c>
      <c r="B3849" s="150">
        <v>30097</v>
      </c>
      <c r="D3849" s="26" t="s">
        <v>3970</v>
      </c>
      <c r="E3849" s="151">
        <f>118/30</f>
        <v>3.93333333333333</v>
      </c>
      <c r="F3849" s="26">
        <v>0</v>
      </c>
      <c r="L3849" s="152"/>
    </row>
    <row r="3850" hidden="1" spans="1:6">
      <c r="A3850" s="2" t="s">
        <v>3977</v>
      </c>
      <c r="B3850" s="3">
        <v>30098</v>
      </c>
      <c r="D3850" t="s">
        <v>90</v>
      </c>
      <c r="E3850">
        <f>187/30</f>
        <v>6.23333333333333</v>
      </c>
      <c r="F3850">
        <v>0</v>
      </c>
    </row>
    <row r="3851" hidden="1" spans="1:6">
      <c r="A3851" s="2" t="s">
        <v>3978</v>
      </c>
      <c r="B3851" s="3">
        <v>30098</v>
      </c>
      <c r="D3851" t="s">
        <v>48</v>
      </c>
      <c r="E3851">
        <f>220/30</f>
        <v>7.33333333333333</v>
      </c>
      <c r="F3851">
        <v>0</v>
      </c>
    </row>
    <row r="3852" hidden="1" spans="1:6">
      <c r="A3852" s="2" t="s">
        <v>3979</v>
      </c>
      <c r="B3852" s="3">
        <v>30098</v>
      </c>
      <c r="D3852" t="s">
        <v>52</v>
      </c>
      <c r="E3852">
        <f>195/30</f>
        <v>6.5</v>
      </c>
      <c r="F3852">
        <v>0</v>
      </c>
    </row>
    <row r="3853" hidden="1" spans="1:11">
      <c r="A3853" s="2" t="s">
        <v>3980</v>
      </c>
      <c r="B3853" s="3">
        <v>122</v>
      </c>
      <c r="D3853" t="s">
        <v>1776</v>
      </c>
      <c r="E3853">
        <f>191/30</f>
        <v>6.36666666666667</v>
      </c>
      <c r="F3853">
        <v>0</v>
      </c>
      <c r="G3853">
        <v>0</v>
      </c>
      <c r="H3853">
        <v>2</v>
      </c>
      <c r="I3853">
        <v>4792</v>
      </c>
      <c r="J3853" t="s">
        <v>58</v>
      </c>
      <c r="K3853">
        <v>1</v>
      </c>
    </row>
    <row r="3854" hidden="1" spans="1:11">
      <c r="A3854" s="2">
        <v>401220127</v>
      </c>
      <c r="B3854" s="3">
        <v>4012201</v>
      </c>
      <c r="D3854" t="s">
        <v>1776</v>
      </c>
      <c r="E3854">
        <f>191/30</f>
        <v>6.36666666666667</v>
      </c>
      <c r="F3854">
        <v>0</v>
      </c>
      <c r="G3854">
        <v>0</v>
      </c>
      <c r="H3854">
        <v>2</v>
      </c>
      <c r="I3854">
        <v>4792</v>
      </c>
      <c r="J3854" t="s">
        <v>58</v>
      </c>
      <c r="K3854">
        <v>1</v>
      </c>
    </row>
    <row r="3855" s="23" customFormat="1" hidden="1" spans="1:12">
      <c r="A3855" s="137" t="s">
        <v>3981</v>
      </c>
      <c r="B3855" s="138">
        <v>149</v>
      </c>
      <c r="D3855" s="23" t="s">
        <v>36</v>
      </c>
      <c r="E3855" s="24">
        <f>58/30</f>
        <v>1.93333333333333</v>
      </c>
      <c r="F3855" s="23">
        <v>0</v>
      </c>
      <c r="L3855" s="142"/>
    </row>
    <row r="3856" s="23" customFormat="1" hidden="1" spans="1:12">
      <c r="A3856" s="137" t="s">
        <v>3982</v>
      </c>
      <c r="B3856" s="138">
        <v>149</v>
      </c>
      <c r="D3856" s="23" t="s">
        <v>38</v>
      </c>
      <c r="E3856" s="24">
        <f>74/30</f>
        <v>2.46666666666667</v>
      </c>
      <c r="F3856" s="23">
        <v>0</v>
      </c>
      <c r="L3856" s="142"/>
    </row>
    <row r="3857" s="23" customFormat="1" hidden="1" spans="1:12">
      <c r="A3857" s="137" t="s">
        <v>3983</v>
      </c>
      <c r="B3857" s="138">
        <v>149</v>
      </c>
      <c r="D3857" s="23" t="s">
        <v>40</v>
      </c>
      <c r="E3857" s="24">
        <f>88/30</f>
        <v>2.93333333333333</v>
      </c>
      <c r="F3857" s="23">
        <v>0</v>
      </c>
      <c r="L3857" s="142"/>
    </row>
    <row r="3858" s="23" customFormat="1" hidden="1" spans="1:12">
      <c r="A3858" s="137" t="s">
        <v>3984</v>
      </c>
      <c r="B3858" s="138">
        <v>149</v>
      </c>
      <c r="D3858" s="23" t="s">
        <v>42</v>
      </c>
      <c r="E3858" s="24">
        <f>111/30</f>
        <v>3.7</v>
      </c>
      <c r="F3858" s="23">
        <v>0</v>
      </c>
      <c r="L3858" s="142"/>
    </row>
    <row r="3859" s="23" customFormat="1" hidden="1" spans="1:12">
      <c r="A3859" s="137" t="s">
        <v>3985</v>
      </c>
      <c r="B3859" s="138">
        <v>149</v>
      </c>
      <c r="D3859" s="23" t="s">
        <v>44</v>
      </c>
      <c r="E3859" s="24">
        <f>95/30</f>
        <v>3.16666666666667</v>
      </c>
      <c r="F3859" s="23">
        <v>0</v>
      </c>
      <c r="L3859" s="142"/>
    </row>
    <row r="3860" s="23" customFormat="1" hidden="1" spans="1:12">
      <c r="A3860" s="137" t="s">
        <v>3986</v>
      </c>
      <c r="B3860" s="138">
        <v>149</v>
      </c>
      <c r="D3860" s="23" t="s">
        <v>46</v>
      </c>
      <c r="E3860" s="24">
        <f>224/30</f>
        <v>7.46666666666667</v>
      </c>
      <c r="F3860" s="23">
        <v>0</v>
      </c>
      <c r="L3860" s="142"/>
    </row>
    <row r="3861" s="23" customFormat="1" hidden="1" spans="1:12">
      <c r="A3861" s="137" t="s">
        <v>3987</v>
      </c>
      <c r="B3861" s="138">
        <v>149</v>
      </c>
      <c r="D3861" s="23" t="s">
        <v>86</v>
      </c>
      <c r="E3861" s="24">
        <f>163/30</f>
        <v>5.43333333333333</v>
      </c>
      <c r="F3861" s="23">
        <v>0</v>
      </c>
      <c r="L3861" s="142"/>
    </row>
    <row r="3862" s="23" customFormat="1" hidden="1" spans="1:12">
      <c r="A3862" s="137" t="s">
        <v>3988</v>
      </c>
      <c r="B3862" s="138">
        <v>149</v>
      </c>
      <c r="D3862" s="23" t="s">
        <v>50</v>
      </c>
      <c r="E3862" s="24">
        <f>199/30</f>
        <v>6.63333333333333</v>
      </c>
      <c r="F3862" s="23">
        <v>0</v>
      </c>
      <c r="L3862" s="142"/>
    </row>
    <row r="3863" s="23" customFormat="1" hidden="1" spans="1:12">
      <c r="A3863" s="137" t="s">
        <v>3989</v>
      </c>
      <c r="B3863" s="138">
        <v>30099</v>
      </c>
      <c r="D3863" s="23" t="s">
        <v>86</v>
      </c>
      <c r="E3863" s="24">
        <f>163/30</f>
        <v>5.43333333333333</v>
      </c>
      <c r="F3863" s="23">
        <v>0</v>
      </c>
      <c r="L3863" s="142"/>
    </row>
    <row r="3864" s="26" customFormat="1" hidden="1" spans="1:12">
      <c r="A3864" s="149" t="s">
        <v>3990</v>
      </c>
      <c r="B3864" s="150">
        <v>149</v>
      </c>
      <c r="D3864" s="26" t="s">
        <v>92</v>
      </c>
      <c r="E3864" s="151">
        <f>105/30</f>
        <v>3.5</v>
      </c>
      <c r="F3864" s="26">
        <v>0</v>
      </c>
      <c r="L3864" s="149"/>
    </row>
    <row r="3865" s="26" customFormat="1" hidden="1" spans="1:12">
      <c r="A3865" s="149" t="s">
        <v>3991</v>
      </c>
      <c r="B3865" s="150">
        <v>149</v>
      </c>
      <c r="D3865" s="26" t="s">
        <v>109</v>
      </c>
      <c r="E3865" s="151">
        <f>85/30</f>
        <v>2.83333333333333</v>
      </c>
      <c r="F3865" s="26">
        <v>0</v>
      </c>
      <c r="L3865" s="149"/>
    </row>
    <row r="3866" s="26" customFormat="1" hidden="1" spans="1:12">
      <c r="A3866" s="149" t="s">
        <v>3992</v>
      </c>
      <c r="B3866" s="150">
        <v>149</v>
      </c>
      <c r="D3866" s="26" t="s">
        <v>97</v>
      </c>
      <c r="E3866" s="151">
        <f>130/30</f>
        <v>4.33333333333333</v>
      </c>
      <c r="F3866" s="26">
        <v>0</v>
      </c>
      <c r="L3866" s="149"/>
    </row>
    <row r="3867" s="26" customFormat="1" hidden="1" spans="1:12">
      <c r="A3867" s="149" t="s">
        <v>3993</v>
      </c>
      <c r="B3867" s="150">
        <v>149</v>
      </c>
      <c r="D3867" s="26" t="s">
        <v>77</v>
      </c>
      <c r="E3867" s="151">
        <f>110/30</f>
        <v>3.66666666666667</v>
      </c>
      <c r="F3867" s="26">
        <v>0</v>
      </c>
      <c r="L3867" s="149"/>
    </row>
    <row r="3868" s="26" customFormat="1" hidden="1" spans="1:12">
      <c r="A3868" s="149" t="s">
        <v>3994</v>
      </c>
      <c r="B3868" s="150">
        <v>149</v>
      </c>
      <c r="D3868" s="26" t="s">
        <v>54</v>
      </c>
      <c r="E3868" s="151">
        <f>153/30</f>
        <v>5.1</v>
      </c>
      <c r="F3868" s="26">
        <v>0</v>
      </c>
      <c r="L3868" s="149"/>
    </row>
    <row r="3869" s="26" customFormat="1" hidden="1" spans="1:12">
      <c r="A3869" s="149" t="s">
        <v>3995</v>
      </c>
      <c r="B3869" s="150">
        <v>149</v>
      </c>
      <c r="D3869" s="26" t="s">
        <v>57</v>
      </c>
      <c r="E3869" s="151">
        <f>100/30</f>
        <v>3.33333333333333</v>
      </c>
      <c r="F3869" s="26">
        <v>0</v>
      </c>
      <c r="G3869" s="26" t="s">
        <v>61</v>
      </c>
      <c r="H3869" s="26" t="s">
        <v>62</v>
      </c>
      <c r="I3869" s="26" t="s">
        <v>3996</v>
      </c>
      <c r="J3869" s="26" t="s">
        <v>3997</v>
      </c>
      <c r="K3869" s="26" t="s">
        <v>95</v>
      </c>
      <c r="L3869" s="152"/>
    </row>
    <row r="3870" s="23" customFormat="1" hidden="1" spans="1:12">
      <c r="A3870" s="137" t="s">
        <v>3998</v>
      </c>
      <c r="B3870" s="138">
        <v>4014901</v>
      </c>
      <c r="D3870" s="23" t="s">
        <v>36</v>
      </c>
      <c r="E3870" s="24">
        <v>1.93333333333333</v>
      </c>
      <c r="F3870" s="23">
        <v>0</v>
      </c>
      <c r="L3870" s="142"/>
    </row>
    <row r="3871" s="23" customFormat="1" hidden="1" spans="1:12">
      <c r="A3871" s="137" t="s">
        <v>3999</v>
      </c>
      <c r="B3871" s="138">
        <v>4014901</v>
      </c>
      <c r="D3871" s="23" t="s">
        <v>38</v>
      </c>
      <c r="E3871" s="24">
        <v>2.46666666666667</v>
      </c>
      <c r="F3871" s="23">
        <v>0</v>
      </c>
      <c r="L3871" s="142"/>
    </row>
    <row r="3872" s="23" customFormat="1" hidden="1" spans="1:12">
      <c r="A3872" s="137" t="s">
        <v>4000</v>
      </c>
      <c r="B3872" s="138">
        <v>4014901</v>
      </c>
      <c r="D3872" s="23" t="s">
        <v>40</v>
      </c>
      <c r="E3872" s="24">
        <v>2.93333333333333</v>
      </c>
      <c r="F3872" s="23">
        <v>0</v>
      </c>
      <c r="L3872" s="142"/>
    </row>
    <row r="3873" s="23" customFormat="1" hidden="1" spans="1:12">
      <c r="A3873" s="137" t="s">
        <v>4001</v>
      </c>
      <c r="B3873" s="138">
        <v>4014901</v>
      </c>
      <c r="D3873" s="23" t="s">
        <v>42</v>
      </c>
      <c r="E3873" s="24">
        <v>3.7</v>
      </c>
      <c r="F3873" s="23">
        <v>0</v>
      </c>
      <c r="L3873" s="142"/>
    </row>
    <row r="3874" s="23" customFormat="1" hidden="1" spans="1:12">
      <c r="A3874" s="137" t="s">
        <v>4002</v>
      </c>
      <c r="B3874" s="138">
        <v>4014901</v>
      </c>
      <c r="D3874" s="23" t="s">
        <v>44</v>
      </c>
      <c r="E3874" s="24">
        <v>3.16666666666667</v>
      </c>
      <c r="F3874" s="23">
        <v>0</v>
      </c>
      <c r="L3874" s="142"/>
    </row>
    <row r="3875" s="23" customFormat="1" hidden="1" spans="1:12">
      <c r="A3875" s="137" t="s">
        <v>4003</v>
      </c>
      <c r="B3875" s="138">
        <v>149</v>
      </c>
      <c r="D3875" s="23" t="s">
        <v>46</v>
      </c>
      <c r="E3875" s="24">
        <v>7.46666666666667</v>
      </c>
      <c r="F3875" s="23">
        <v>0</v>
      </c>
      <c r="L3875" s="142"/>
    </row>
    <row r="3876" s="23" customFormat="1" hidden="1" spans="1:12">
      <c r="A3876" s="137" t="s">
        <v>4004</v>
      </c>
      <c r="B3876" s="138">
        <v>149</v>
      </c>
      <c r="D3876" s="23" t="s">
        <v>86</v>
      </c>
      <c r="E3876" s="24">
        <v>5.43333333333333</v>
      </c>
      <c r="F3876" s="23">
        <v>0</v>
      </c>
      <c r="L3876" s="142"/>
    </row>
    <row r="3877" s="23" customFormat="1" hidden="1" spans="1:12">
      <c r="A3877" s="137" t="s">
        <v>4005</v>
      </c>
      <c r="B3877" s="138">
        <v>4014901</v>
      </c>
      <c r="D3877" s="23" t="s">
        <v>50</v>
      </c>
      <c r="E3877" s="24">
        <v>6.63333333333333</v>
      </c>
      <c r="F3877" s="23">
        <v>0</v>
      </c>
      <c r="L3877" s="142"/>
    </row>
    <row r="3878" s="26" customFormat="1" hidden="1" spans="1:12">
      <c r="A3878" s="149" t="s">
        <v>4006</v>
      </c>
      <c r="B3878" s="150">
        <v>4014901</v>
      </c>
      <c r="D3878" s="26" t="s">
        <v>92</v>
      </c>
      <c r="E3878" s="151">
        <v>3.5</v>
      </c>
      <c r="F3878" s="26">
        <v>0</v>
      </c>
      <c r="L3878" s="149"/>
    </row>
    <row r="3879" s="26" customFormat="1" hidden="1" spans="1:12">
      <c r="A3879" s="149" t="s">
        <v>4007</v>
      </c>
      <c r="B3879" s="150">
        <v>4014901</v>
      </c>
      <c r="D3879" s="26" t="s">
        <v>109</v>
      </c>
      <c r="E3879" s="151">
        <v>2.83333333333333</v>
      </c>
      <c r="F3879" s="26">
        <v>0</v>
      </c>
      <c r="L3879" s="149"/>
    </row>
    <row r="3880" s="26" customFormat="1" hidden="1" spans="1:12">
      <c r="A3880" s="149" t="s">
        <v>4008</v>
      </c>
      <c r="B3880" s="150">
        <v>4014901</v>
      </c>
      <c r="D3880" s="26" t="s">
        <v>97</v>
      </c>
      <c r="E3880" s="151">
        <v>4.33333333333333</v>
      </c>
      <c r="F3880" s="26">
        <v>0</v>
      </c>
      <c r="L3880" s="149"/>
    </row>
    <row r="3881" s="26" customFormat="1" hidden="1" spans="1:12">
      <c r="A3881" s="149" t="s">
        <v>4009</v>
      </c>
      <c r="B3881" s="150">
        <v>4014901</v>
      </c>
      <c r="D3881" s="26" t="s">
        <v>77</v>
      </c>
      <c r="E3881" s="151">
        <v>3.66666666666667</v>
      </c>
      <c r="F3881" s="26">
        <v>0</v>
      </c>
      <c r="L3881" s="149"/>
    </row>
    <row r="3882" s="26" customFormat="1" hidden="1" spans="1:12">
      <c r="A3882" s="149" t="s">
        <v>4010</v>
      </c>
      <c r="B3882" s="150">
        <v>4014901</v>
      </c>
      <c r="D3882" s="26" t="s">
        <v>54</v>
      </c>
      <c r="E3882" s="151">
        <v>5.1</v>
      </c>
      <c r="F3882" s="26">
        <v>0</v>
      </c>
      <c r="L3882" s="149"/>
    </row>
    <row r="3883" s="26" customFormat="1" hidden="1" spans="1:12">
      <c r="A3883" s="149" t="s">
        <v>4011</v>
      </c>
      <c r="B3883" s="150">
        <v>4014901</v>
      </c>
      <c r="D3883" s="26" t="s">
        <v>57</v>
      </c>
      <c r="E3883" s="151">
        <v>3.33333333333333</v>
      </c>
      <c r="F3883" s="26">
        <v>0</v>
      </c>
      <c r="G3883" s="26" t="s">
        <v>61</v>
      </c>
      <c r="H3883" s="26" t="s">
        <v>62</v>
      </c>
      <c r="I3883" s="26" t="s">
        <v>3996</v>
      </c>
      <c r="J3883" s="26" t="s">
        <v>3997</v>
      </c>
      <c r="K3883" s="26" t="s">
        <v>95</v>
      </c>
      <c r="L3883" s="152"/>
    </row>
    <row r="3884" s="23" customFormat="1" hidden="1" spans="1:12">
      <c r="A3884" s="137" t="s">
        <v>4012</v>
      </c>
      <c r="B3884" s="138">
        <v>4014902</v>
      </c>
      <c r="D3884" s="23" t="s">
        <v>36</v>
      </c>
      <c r="E3884" s="24">
        <v>1.93333333333333</v>
      </c>
      <c r="F3884" s="23">
        <v>0</v>
      </c>
      <c r="L3884" s="142"/>
    </row>
    <row r="3885" s="23" customFormat="1" hidden="1" spans="1:12">
      <c r="A3885" s="137" t="s">
        <v>4013</v>
      </c>
      <c r="B3885" s="138">
        <v>4014902</v>
      </c>
      <c r="D3885" s="23" t="s">
        <v>38</v>
      </c>
      <c r="E3885" s="24">
        <v>2.46666666666667</v>
      </c>
      <c r="F3885" s="23">
        <v>0</v>
      </c>
      <c r="L3885" s="142"/>
    </row>
    <row r="3886" s="23" customFormat="1" hidden="1" spans="1:12">
      <c r="A3886" s="137" t="s">
        <v>4014</v>
      </c>
      <c r="B3886" s="138">
        <v>4014902</v>
      </c>
      <c r="D3886" s="23" t="s">
        <v>40</v>
      </c>
      <c r="E3886" s="24">
        <v>2.93333333333333</v>
      </c>
      <c r="F3886" s="23">
        <v>0</v>
      </c>
      <c r="L3886" s="142"/>
    </row>
    <row r="3887" s="23" customFormat="1" hidden="1" spans="1:12">
      <c r="A3887" s="137" t="s">
        <v>4015</v>
      </c>
      <c r="B3887" s="138">
        <v>4014902</v>
      </c>
      <c r="D3887" s="23" t="s">
        <v>42</v>
      </c>
      <c r="E3887" s="24">
        <v>3.7</v>
      </c>
      <c r="F3887" s="23">
        <v>0</v>
      </c>
      <c r="L3887" s="142"/>
    </row>
    <row r="3888" s="23" customFormat="1" hidden="1" spans="1:12">
      <c r="A3888" s="137" t="s">
        <v>4016</v>
      </c>
      <c r="B3888" s="138">
        <v>4014902</v>
      </c>
      <c r="D3888" s="23" t="s">
        <v>44</v>
      </c>
      <c r="E3888" s="24">
        <v>3.16666666666667</v>
      </c>
      <c r="F3888" s="23">
        <v>0</v>
      </c>
      <c r="L3888" s="142"/>
    </row>
    <row r="3889" s="23" customFormat="1" hidden="1" spans="1:12">
      <c r="A3889" s="137" t="s">
        <v>4017</v>
      </c>
      <c r="B3889" s="138">
        <v>4014902</v>
      </c>
      <c r="D3889" s="23" t="s">
        <v>46</v>
      </c>
      <c r="E3889" s="24">
        <v>7.46666666666667</v>
      </c>
      <c r="F3889" s="23">
        <v>0</v>
      </c>
      <c r="L3889" s="142"/>
    </row>
    <row r="3890" s="23" customFormat="1" hidden="1" spans="1:12">
      <c r="A3890" s="137" t="s">
        <v>4018</v>
      </c>
      <c r="B3890" s="138">
        <v>4014902</v>
      </c>
      <c r="D3890" s="23" t="s">
        <v>86</v>
      </c>
      <c r="E3890" s="24">
        <v>5.43333333333333</v>
      </c>
      <c r="F3890" s="23">
        <v>0</v>
      </c>
      <c r="L3890" s="142"/>
    </row>
    <row r="3891" s="23" customFormat="1" hidden="1" spans="1:12">
      <c r="A3891" s="137" t="s">
        <v>4019</v>
      </c>
      <c r="B3891" s="138">
        <v>4014902</v>
      </c>
      <c r="D3891" s="23" t="s">
        <v>50</v>
      </c>
      <c r="E3891" s="24">
        <v>6.63333333333333</v>
      </c>
      <c r="F3891" s="23">
        <v>0</v>
      </c>
      <c r="L3891" s="142"/>
    </row>
    <row r="3892" s="26" customFormat="1" hidden="1" spans="1:12">
      <c r="A3892" s="149" t="s">
        <v>4020</v>
      </c>
      <c r="B3892" s="150">
        <v>4014902</v>
      </c>
      <c r="D3892" s="26" t="s">
        <v>92</v>
      </c>
      <c r="E3892" s="151">
        <v>3.5</v>
      </c>
      <c r="F3892" s="26">
        <v>0</v>
      </c>
      <c r="L3892" s="149"/>
    </row>
    <row r="3893" s="26" customFormat="1" hidden="1" spans="1:12">
      <c r="A3893" s="149" t="s">
        <v>4021</v>
      </c>
      <c r="B3893" s="150">
        <v>4014902</v>
      </c>
      <c r="D3893" s="26" t="s">
        <v>109</v>
      </c>
      <c r="E3893" s="151">
        <v>2.83333333333333</v>
      </c>
      <c r="F3893" s="26">
        <v>0</v>
      </c>
      <c r="L3893" s="149"/>
    </row>
    <row r="3894" s="26" customFormat="1" hidden="1" spans="1:12">
      <c r="A3894" s="149" t="s">
        <v>4022</v>
      </c>
      <c r="B3894" s="150">
        <v>4014902</v>
      </c>
      <c r="D3894" s="26" t="s">
        <v>97</v>
      </c>
      <c r="E3894" s="151">
        <v>4.33333333333333</v>
      </c>
      <c r="F3894" s="26">
        <v>0</v>
      </c>
      <c r="L3894" s="149"/>
    </row>
    <row r="3895" s="26" customFormat="1" hidden="1" spans="1:12">
      <c r="A3895" s="149" t="s">
        <v>4023</v>
      </c>
      <c r="B3895" s="150">
        <v>4014902</v>
      </c>
      <c r="D3895" s="26" t="s">
        <v>77</v>
      </c>
      <c r="E3895" s="151">
        <v>3.66666666666667</v>
      </c>
      <c r="F3895" s="26">
        <v>0</v>
      </c>
      <c r="L3895" s="149"/>
    </row>
    <row r="3896" s="26" customFormat="1" hidden="1" spans="1:12">
      <c r="A3896" s="149" t="s">
        <v>4024</v>
      </c>
      <c r="B3896" s="150">
        <v>4014902</v>
      </c>
      <c r="D3896" s="26" t="s">
        <v>54</v>
      </c>
      <c r="E3896" s="151">
        <v>5.1</v>
      </c>
      <c r="F3896" s="26">
        <v>0</v>
      </c>
      <c r="L3896" s="149"/>
    </row>
    <row r="3897" s="26" customFormat="1" hidden="1" spans="1:12">
      <c r="A3897" s="149" t="s">
        <v>4025</v>
      </c>
      <c r="B3897" s="150">
        <v>4014902</v>
      </c>
      <c r="D3897" s="26" t="s">
        <v>57</v>
      </c>
      <c r="E3897" s="151">
        <v>3.33333333333333</v>
      </c>
      <c r="F3897" s="26">
        <v>0</v>
      </c>
      <c r="G3897" s="26" t="s">
        <v>61</v>
      </c>
      <c r="H3897" s="26" t="s">
        <v>62</v>
      </c>
      <c r="I3897" s="26" t="s">
        <v>3996</v>
      </c>
      <c r="J3897" s="26" t="s">
        <v>3997</v>
      </c>
      <c r="K3897" s="26" t="s">
        <v>95</v>
      </c>
      <c r="L3897" s="152"/>
    </row>
    <row r="3898" s="23" customFormat="1" hidden="1" spans="1:12">
      <c r="A3898" s="137" t="s">
        <v>4026</v>
      </c>
      <c r="B3898" s="138">
        <v>4014903</v>
      </c>
      <c r="D3898" s="23" t="s">
        <v>36</v>
      </c>
      <c r="E3898" s="24">
        <v>1.93333333333333</v>
      </c>
      <c r="F3898" s="23">
        <v>0</v>
      </c>
      <c r="L3898" s="142"/>
    </row>
    <row r="3899" s="23" customFormat="1" hidden="1" spans="1:12">
      <c r="A3899" s="137" t="s">
        <v>4027</v>
      </c>
      <c r="B3899" s="138">
        <v>4014903</v>
      </c>
      <c r="D3899" s="23" t="s">
        <v>38</v>
      </c>
      <c r="E3899" s="24">
        <v>2.46666666666667</v>
      </c>
      <c r="F3899" s="23">
        <v>0</v>
      </c>
      <c r="L3899" s="142"/>
    </row>
    <row r="3900" s="23" customFormat="1" hidden="1" spans="1:12">
      <c r="A3900" s="137" t="s">
        <v>4028</v>
      </c>
      <c r="B3900" s="138">
        <v>4014903</v>
      </c>
      <c r="D3900" s="23" t="s">
        <v>40</v>
      </c>
      <c r="E3900" s="24">
        <v>2.93333333333333</v>
      </c>
      <c r="F3900" s="23">
        <v>0</v>
      </c>
      <c r="L3900" s="142"/>
    </row>
    <row r="3901" s="23" customFormat="1" hidden="1" spans="1:12">
      <c r="A3901" s="137" t="s">
        <v>4029</v>
      </c>
      <c r="B3901" s="138">
        <v>4014903</v>
      </c>
      <c r="D3901" s="23" t="s">
        <v>42</v>
      </c>
      <c r="E3901" s="24">
        <v>3.7</v>
      </c>
      <c r="F3901" s="23">
        <v>0</v>
      </c>
      <c r="L3901" s="142"/>
    </row>
    <row r="3902" s="23" customFormat="1" hidden="1" spans="1:12">
      <c r="A3902" s="137" t="s">
        <v>4030</v>
      </c>
      <c r="B3902" s="138">
        <v>4014903</v>
      </c>
      <c r="D3902" s="23" t="s">
        <v>44</v>
      </c>
      <c r="E3902" s="24">
        <v>3.16666666666667</v>
      </c>
      <c r="F3902" s="23">
        <v>0</v>
      </c>
      <c r="L3902" s="142"/>
    </row>
    <row r="3903" s="23" customFormat="1" hidden="1" spans="1:12">
      <c r="A3903" s="137" t="s">
        <v>4031</v>
      </c>
      <c r="B3903" s="138">
        <v>149</v>
      </c>
      <c r="D3903" s="23" t="s">
        <v>46</v>
      </c>
      <c r="E3903" s="24">
        <v>7.46666666666667</v>
      </c>
      <c r="F3903" s="23">
        <v>0</v>
      </c>
      <c r="L3903" s="142"/>
    </row>
    <row r="3904" s="23" customFormat="1" hidden="1" spans="1:12">
      <c r="A3904" s="137" t="s">
        <v>4032</v>
      </c>
      <c r="B3904" s="138">
        <v>149</v>
      </c>
      <c r="D3904" s="23" t="s">
        <v>86</v>
      </c>
      <c r="E3904" s="24">
        <v>5.43333333333333</v>
      </c>
      <c r="F3904" s="23">
        <v>0</v>
      </c>
      <c r="L3904" s="142"/>
    </row>
    <row r="3905" s="23" customFormat="1" hidden="1" spans="1:12">
      <c r="A3905" s="137" t="s">
        <v>4033</v>
      </c>
      <c r="B3905" s="138">
        <v>4014903</v>
      </c>
      <c r="D3905" s="23" t="s">
        <v>50</v>
      </c>
      <c r="E3905" s="24">
        <v>6.63333333333333</v>
      </c>
      <c r="F3905" s="23">
        <v>0</v>
      </c>
      <c r="L3905" s="142"/>
    </row>
    <row r="3906" s="26" customFormat="1" hidden="1" spans="1:12">
      <c r="A3906" s="149" t="s">
        <v>4034</v>
      </c>
      <c r="B3906" s="150">
        <v>4014903</v>
      </c>
      <c r="D3906" s="26" t="s">
        <v>92</v>
      </c>
      <c r="E3906" s="151">
        <v>3.5</v>
      </c>
      <c r="F3906" s="26">
        <v>0</v>
      </c>
      <c r="L3906" s="149"/>
    </row>
    <row r="3907" s="26" customFormat="1" hidden="1" spans="1:12">
      <c r="A3907" s="149" t="s">
        <v>4035</v>
      </c>
      <c r="B3907" s="150">
        <v>4014903</v>
      </c>
      <c r="D3907" s="26" t="s">
        <v>109</v>
      </c>
      <c r="E3907" s="151">
        <v>2.83333333333333</v>
      </c>
      <c r="F3907" s="26">
        <v>0</v>
      </c>
      <c r="L3907" s="149"/>
    </row>
    <row r="3908" s="26" customFormat="1" hidden="1" spans="1:12">
      <c r="A3908" s="149" t="s">
        <v>4036</v>
      </c>
      <c r="B3908" s="150">
        <v>4014903</v>
      </c>
      <c r="D3908" s="26" t="s">
        <v>97</v>
      </c>
      <c r="E3908" s="151">
        <v>4.33333333333333</v>
      </c>
      <c r="F3908" s="26">
        <v>0</v>
      </c>
      <c r="L3908" s="149"/>
    </row>
    <row r="3909" s="26" customFormat="1" hidden="1" spans="1:12">
      <c r="A3909" s="149" t="s">
        <v>4037</v>
      </c>
      <c r="B3909" s="150">
        <v>4014903</v>
      </c>
      <c r="D3909" s="26" t="s">
        <v>77</v>
      </c>
      <c r="E3909" s="151">
        <v>3.66666666666667</v>
      </c>
      <c r="F3909" s="26">
        <v>0</v>
      </c>
      <c r="L3909" s="149"/>
    </row>
    <row r="3910" s="26" customFormat="1" hidden="1" spans="1:12">
      <c r="A3910" s="149" t="s">
        <v>4038</v>
      </c>
      <c r="B3910" s="150">
        <v>4014903</v>
      </c>
      <c r="D3910" s="26" t="s">
        <v>54</v>
      </c>
      <c r="E3910" s="151">
        <v>5.1</v>
      </c>
      <c r="F3910" s="26">
        <v>0</v>
      </c>
      <c r="L3910" s="149"/>
    </row>
    <row r="3911" s="26" customFormat="1" hidden="1" spans="1:12">
      <c r="A3911" s="149" t="s">
        <v>4039</v>
      </c>
      <c r="B3911" s="150">
        <v>4014903</v>
      </c>
      <c r="D3911" s="26" t="s">
        <v>57</v>
      </c>
      <c r="E3911" s="151">
        <v>3.33333333333333</v>
      </c>
      <c r="F3911" s="26">
        <v>0</v>
      </c>
      <c r="G3911" s="26" t="s">
        <v>61</v>
      </c>
      <c r="H3911" s="26" t="s">
        <v>62</v>
      </c>
      <c r="I3911" s="26" t="s">
        <v>3996</v>
      </c>
      <c r="J3911" s="26" t="s">
        <v>3997</v>
      </c>
      <c r="K3911" s="26" t="s">
        <v>95</v>
      </c>
      <c r="L3911" s="152"/>
    </row>
    <row r="3912" ht="16.5" hidden="1" spans="1:9">
      <c r="A3912" s="2" t="s">
        <v>4040</v>
      </c>
      <c r="B3912" s="3">
        <v>94</v>
      </c>
      <c r="C3912">
        <v>3</v>
      </c>
      <c r="D3912" t="s">
        <v>52</v>
      </c>
      <c r="E3912" s="24">
        <v>2.03333333333333</v>
      </c>
      <c r="F3912">
        <v>0</v>
      </c>
      <c r="I3912" s="91"/>
    </row>
    <row r="3913" ht="16.5" hidden="1" spans="1:9">
      <c r="A3913" s="2" t="s">
        <v>4041</v>
      </c>
      <c r="B3913" s="3">
        <v>94</v>
      </c>
      <c r="C3913">
        <v>3</v>
      </c>
      <c r="D3913" t="s">
        <v>140</v>
      </c>
      <c r="E3913" s="24">
        <v>2.76666666666667</v>
      </c>
      <c r="F3913">
        <v>0</v>
      </c>
      <c r="I3913" s="91"/>
    </row>
    <row r="3914" ht="16.5" hidden="1" spans="1:9">
      <c r="A3914" s="2" t="s">
        <v>4042</v>
      </c>
      <c r="B3914" s="3">
        <v>94</v>
      </c>
      <c r="C3914">
        <v>3</v>
      </c>
      <c r="D3914" t="s">
        <v>133</v>
      </c>
      <c r="E3914" s="24">
        <v>11.0333333333333</v>
      </c>
      <c r="F3914">
        <v>0</v>
      </c>
      <c r="I3914" s="91"/>
    </row>
    <row r="3915" ht="16.5" hidden="1" spans="1:11">
      <c r="A3915" s="2" t="s">
        <v>4043</v>
      </c>
      <c r="B3915" s="3">
        <v>94</v>
      </c>
      <c r="C3915">
        <v>3</v>
      </c>
      <c r="D3915" t="s">
        <v>1776</v>
      </c>
      <c r="E3915" s="24">
        <f>100/30</f>
        <v>3.33333333333333</v>
      </c>
      <c r="F3915">
        <v>0</v>
      </c>
      <c r="G3915">
        <v>0</v>
      </c>
      <c r="H3915">
        <v>2</v>
      </c>
      <c r="I3915" s="91">
        <v>4825</v>
      </c>
      <c r="J3915" t="s">
        <v>58</v>
      </c>
      <c r="K3915">
        <v>1</v>
      </c>
    </row>
    <row r="3916" ht="16.5" hidden="1" spans="1:9">
      <c r="A3916" s="2" t="s">
        <v>4044</v>
      </c>
      <c r="B3916" s="3">
        <v>409401</v>
      </c>
      <c r="C3916">
        <v>3</v>
      </c>
      <c r="D3916" t="s">
        <v>52</v>
      </c>
      <c r="E3916" s="24">
        <v>2.03333333333333</v>
      </c>
      <c r="F3916">
        <v>0</v>
      </c>
      <c r="I3916" s="91"/>
    </row>
    <row r="3917" ht="16.5" hidden="1" spans="1:9">
      <c r="A3917" s="2" t="s">
        <v>4045</v>
      </c>
      <c r="B3917" s="3">
        <v>409401</v>
      </c>
      <c r="C3917">
        <v>3</v>
      </c>
      <c r="D3917" t="s">
        <v>140</v>
      </c>
      <c r="E3917" s="24">
        <v>2.76666666666667</v>
      </c>
      <c r="F3917">
        <v>0</v>
      </c>
      <c r="I3917" s="91"/>
    </row>
    <row r="3918" ht="16.5" hidden="1" spans="1:9">
      <c r="A3918" s="2" t="s">
        <v>4046</v>
      </c>
      <c r="B3918" s="3">
        <v>409401</v>
      </c>
      <c r="C3918">
        <v>3</v>
      </c>
      <c r="D3918" t="s">
        <v>133</v>
      </c>
      <c r="E3918" s="24">
        <v>11.0333333333333</v>
      </c>
      <c r="F3918">
        <v>0</v>
      </c>
      <c r="I3918" s="91"/>
    </row>
    <row r="3919" ht="16.5" hidden="1" spans="1:11">
      <c r="A3919" s="2" t="s">
        <v>4047</v>
      </c>
      <c r="B3919" s="3">
        <v>409401</v>
      </c>
      <c r="C3919">
        <v>3</v>
      </c>
      <c r="D3919" t="s">
        <v>1776</v>
      </c>
      <c r="E3919" s="24">
        <f>100/30</f>
        <v>3.33333333333333</v>
      </c>
      <c r="F3919">
        <v>0</v>
      </c>
      <c r="G3919">
        <v>0</v>
      </c>
      <c r="H3919">
        <v>2</v>
      </c>
      <c r="I3919" s="91">
        <v>4825</v>
      </c>
      <c r="J3919" t="s">
        <v>58</v>
      </c>
      <c r="K3919">
        <v>1</v>
      </c>
    </row>
    <row r="3920" s="23" customFormat="1" hidden="1" spans="1:12">
      <c r="A3920" s="137" t="s">
        <v>4048</v>
      </c>
      <c r="B3920" s="138">
        <v>150</v>
      </c>
      <c r="D3920" s="23" t="s">
        <v>36</v>
      </c>
      <c r="E3920" s="24">
        <v>3</v>
      </c>
      <c r="F3920" s="23">
        <v>0</v>
      </c>
      <c r="G3920" s="23">
        <v>0</v>
      </c>
      <c r="H3920" s="23">
        <v>2</v>
      </c>
      <c r="I3920" s="23">
        <v>4851</v>
      </c>
      <c r="J3920" s="23" t="s">
        <v>4049</v>
      </c>
      <c r="K3920" s="23">
        <v>1</v>
      </c>
      <c r="L3920" s="142"/>
    </row>
    <row r="3921" s="23" customFormat="1" hidden="1" spans="1:12">
      <c r="A3921" s="137" t="s">
        <v>4050</v>
      </c>
      <c r="B3921" s="138">
        <v>150</v>
      </c>
      <c r="D3921" s="23" t="s">
        <v>38</v>
      </c>
      <c r="E3921" s="24">
        <v>3.06666666666667</v>
      </c>
      <c r="F3921" s="23">
        <v>0</v>
      </c>
      <c r="G3921" s="23">
        <v>0</v>
      </c>
      <c r="H3921" s="23">
        <v>2</v>
      </c>
      <c r="I3921" s="23">
        <v>4851</v>
      </c>
      <c r="J3921" s="23" t="s">
        <v>4049</v>
      </c>
      <c r="K3921" s="23">
        <v>1</v>
      </c>
      <c r="L3921" s="142"/>
    </row>
    <row r="3922" s="23" customFormat="1" hidden="1" spans="1:12">
      <c r="A3922" s="137" t="s">
        <v>4051</v>
      </c>
      <c r="B3922" s="138">
        <v>150</v>
      </c>
      <c r="D3922" s="23" t="s">
        <v>40</v>
      </c>
      <c r="E3922" s="24">
        <v>3.96666666666667</v>
      </c>
      <c r="F3922" s="23">
        <v>0</v>
      </c>
      <c r="G3922" s="23">
        <v>0</v>
      </c>
      <c r="H3922" s="23">
        <v>2</v>
      </c>
      <c r="I3922" s="23">
        <v>4851</v>
      </c>
      <c r="J3922" s="23" t="s">
        <v>4049</v>
      </c>
      <c r="K3922" s="23">
        <v>1</v>
      </c>
      <c r="L3922" s="142"/>
    </row>
    <row r="3923" s="23" customFormat="1" hidden="1" spans="1:12">
      <c r="A3923" s="137" t="s">
        <v>4052</v>
      </c>
      <c r="B3923" s="138">
        <v>150</v>
      </c>
      <c r="D3923" s="23" t="s">
        <v>42</v>
      </c>
      <c r="E3923" s="24">
        <v>2.53333333333333</v>
      </c>
      <c r="F3923" s="23">
        <v>0</v>
      </c>
      <c r="G3923" s="23">
        <v>0</v>
      </c>
      <c r="H3923" s="23">
        <v>2</v>
      </c>
      <c r="I3923" s="23">
        <v>4851</v>
      </c>
      <c r="J3923" s="23" t="s">
        <v>4049</v>
      </c>
      <c r="K3923" s="23">
        <v>1</v>
      </c>
      <c r="L3923" s="142"/>
    </row>
    <row r="3924" s="23" customFormat="1" hidden="1" spans="1:12">
      <c r="A3924" s="137" t="s">
        <v>4053</v>
      </c>
      <c r="B3924" s="138">
        <v>150</v>
      </c>
      <c r="D3924" s="23" t="s">
        <v>44</v>
      </c>
      <c r="E3924" s="24">
        <v>2.3</v>
      </c>
      <c r="F3924" s="23">
        <v>0</v>
      </c>
      <c r="G3924" s="23">
        <v>0</v>
      </c>
      <c r="H3924" s="23">
        <v>2</v>
      </c>
      <c r="I3924" s="23">
        <v>4851</v>
      </c>
      <c r="J3924" s="23" t="s">
        <v>4049</v>
      </c>
      <c r="K3924" s="23">
        <v>1</v>
      </c>
      <c r="L3924" s="142"/>
    </row>
    <row r="3925" s="23" customFormat="1" hidden="1" spans="1:12">
      <c r="A3925" s="137" t="s">
        <v>4054</v>
      </c>
      <c r="B3925" s="138">
        <v>150</v>
      </c>
      <c r="D3925" s="23" t="s">
        <v>46</v>
      </c>
      <c r="E3925" s="24">
        <v>11.4</v>
      </c>
      <c r="F3925" s="23">
        <v>0</v>
      </c>
      <c r="G3925" s="23">
        <v>0</v>
      </c>
      <c r="H3925" s="23">
        <v>2</v>
      </c>
      <c r="I3925" s="23">
        <v>4851</v>
      </c>
      <c r="J3925" s="23" t="s">
        <v>4049</v>
      </c>
      <c r="K3925" s="23">
        <v>1</v>
      </c>
      <c r="L3925" s="142"/>
    </row>
    <row r="3926" s="23" customFormat="1" hidden="1" spans="1:12">
      <c r="A3926" s="137" t="s">
        <v>4055</v>
      </c>
      <c r="B3926" s="138">
        <v>150</v>
      </c>
      <c r="D3926" s="23" t="s">
        <v>86</v>
      </c>
      <c r="E3926" s="24">
        <v>8.2</v>
      </c>
      <c r="F3926" s="23">
        <v>0</v>
      </c>
      <c r="G3926" s="23">
        <v>0</v>
      </c>
      <c r="H3926" s="23">
        <v>2</v>
      </c>
      <c r="I3926" s="23">
        <v>4851</v>
      </c>
      <c r="J3926" s="23" t="s">
        <v>4049</v>
      </c>
      <c r="K3926" s="23">
        <v>1</v>
      </c>
      <c r="L3926" s="142"/>
    </row>
    <row r="3927" s="23" customFormat="1" hidden="1" spans="1:12">
      <c r="A3927" s="137" t="s">
        <v>4056</v>
      </c>
      <c r="B3927" s="138">
        <v>150</v>
      </c>
      <c r="D3927" s="23" t="s">
        <v>50</v>
      </c>
      <c r="E3927" s="24">
        <v>7.66666666666667</v>
      </c>
      <c r="F3927" s="23">
        <v>0</v>
      </c>
      <c r="G3927" s="23">
        <v>0</v>
      </c>
      <c r="H3927" s="23">
        <v>2</v>
      </c>
      <c r="I3927" s="23">
        <v>4851</v>
      </c>
      <c r="J3927" s="23" t="s">
        <v>4049</v>
      </c>
      <c r="K3927" s="23">
        <v>1</v>
      </c>
      <c r="L3927" s="142"/>
    </row>
    <row r="3928" s="26" customFormat="1" hidden="1" spans="1:12">
      <c r="A3928" s="149" t="s">
        <v>4057</v>
      </c>
      <c r="B3928" s="150">
        <v>150</v>
      </c>
      <c r="D3928" s="26" t="s">
        <v>92</v>
      </c>
      <c r="E3928" s="151">
        <v>2.7</v>
      </c>
      <c r="F3928" s="26">
        <v>0</v>
      </c>
      <c r="G3928" s="26">
        <v>0</v>
      </c>
      <c r="H3928" s="26">
        <v>2</v>
      </c>
      <c r="I3928" s="26">
        <v>4851</v>
      </c>
      <c r="J3928" s="26" t="s">
        <v>4049</v>
      </c>
      <c r="K3928" s="26">
        <v>1</v>
      </c>
      <c r="L3928" s="149"/>
    </row>
    <row r="3929" s="26" customFormat="1" hidden="1" spans="1:12">
      <c r="A3929" s="149" t="s">
        <v>4058</v>
      </c>
      <c r="B3929" s="150">
        <v>150</v>
      </c>
      <c r="D3929" s="26" t="s">
        <v>109</v>
      </c>
      <c r="E3929" s="151">
        <v>2.2</v>
      </c>
      <c r="F3929" s="26">
        <v>0</v>
      </c>
      <c r="G3929" s="26">
        <v>0</v>
      </c>
      <c r="H3929" s="26">
        <v>2</v>
      </c>
      <c r="I3929" s="26">
        <v>4851</v>
      </c>
      <c r="J3929" s="26" t="s">
        <v>4049</v>
      </c>
      <c r="K3929" s="26">
        <v>1</v>
      </c>
      <c r="L3929" s="149"/>
    </row>
    <row r="3930" s="26" customFormat="1" hidden="1" spans="1:12">
      <c r="A3930" s="149" t="s">
        <v>4059</v>
      </c>
      <c r="B3930" s="150">
        <v>150</v>
      </c>
      <c r="D3930" s="26" t="s">
        <v>97</v>
      </c>
      <c r="E3930" s="151">
        <v>2.26666666666667</v>
      </c>
      <c r="F3930" s="26">
        <v>0</v>
      </c>
      <c r="G3930" s="26">
        <v>0</v>
      </c>
      <c r="H3930" s="26">
        <v>2</v>
      </c>
      <c r="I3930" s="26">
        <v>4851</v>
      </c>
      <c r="J3930" s="26" t="s">
        <v>4049</v>
      </c>
      <c r="K3930" s="26">
        <v>1</v>
      </c>
      <c r="L3930" s="149"/>
    </row>
    <row r="3931" s="26" customFormat="1" hidden="1" spans="1:12">
      <c r="A3931" s="149" t="s">
        <v>4060</v>
      </c>
      <c r="B3931" s="150">
        <v>150</v>
      </c>
      <c r="D3931" s="26" t="s">
        <v>77</v>
      </c>
      <c r="E3931" s="151">
        <v>3.16666666666667</v>
      </c>
      <c r="F3931" s="26">
        <v>0</v>
      </c>
      <c r="G3931" s="26">
        <v>0</v>
      </c>
      <c r="H3931" s="26">
        <v>2</v>
      </c>
      <c r="I3931" s="26">
        <v>4851</v>
      </c>
      <c r="J3931" s="26" t="s">
        <v>4049</v>
      </c>
      <c r="K3931" s="26">
        <v>1</v>
      </c>
      <c r="L3931" s="149"/>
    </row>
    <row r="3932" s="26" customFormat="1" hidden="1" spans="1:12">
      <c r="A3932" s="149" t="s">
        <v>4061</v>
      </c>
      <c r="B3932" s="150">
        <v>150</v>
      </c>
      <c r="D3932" s="26" t="s">
        <v>54</v>
      </c>
      <c r="E3932" s="151">
        <v>3.33333333333333</v>
      </c>
      <c r="F3932" s="26">
        <v>0</v>
      </c>
      <c r="G3932" s="26">
        <v>0</v>
      </c>
      <c r="H3932" s="26">
        <v>2</v>
      </c>
      <c r="I3932" s="26">
        <v>4851</v>
      </c>
      <c r="J3932" s="26" t="s">
        <v>4049</v>
      </c>
      <c r="K3932" s="26">
        <v>1</v>
      </c>
      <c r="L3932" s="149"/>
    </row>
    <row r="3933" s="26" customFormat="1" hidden="1" spans="1:12">
      <c r="A3933" s="149" t="s">
        <v>4062</v>
      </c>
      <c r="B3933" s="150">
        <v>150</v>
      </c>
      <c r="D3933" s="26" t="s">
        <v>57</v>
      </c>
      <c r="E3933" s="151">
        <v>3.43333333333333</v>
      </c>
      <c r="F3933" s="26">
        <v>0</v>
      </c>
      <c r="G3933" s="26" t="s">
        <v>61</v>
      </c>
      <c r="H3933" s="26" t="s">
        <v>62</v>
      </c>
      <c r="I3933" s="26" t="s">
        <v>4063</v>
      </c>
      <c r="J3933" s="26" t="s">
        <v>4064</v>
      </c>
      <c r="K3933" s="26" t="s">
        <v>95</v>
      </c>
      <c r="L3933" s="152"/>
    </row>
    <row r="3934" hidden="1" spans="1:11">
      <c r="A3934" s="2" t="s">
        <v>4065</v>
      </c>
      <c r="B3934" s="3">
        <v>150</v>
      </c>
      <c r="C3934">
        <v>3</v>
      </c>
      <c r="D3934" t="s">
        <v>1047</v>
      </c>
      <c r="E3934">
        <v>1.83333333333333</v>
      </c>
      <c r="F3934">
        <v>0</v>
      </c>
      <c r="G3934">
        <v>0</v>
      </c>
      <c r="H3934">
        <v>2</v>
      </c>
      <c r="I3934">
        <v>4851</v>
      </c>
      <c r="J3934" t="s">
        <v>4049</v>
      </c>
      <c r="K3934">
        <v>1</v>
      </c>
    </row>
    <row r="3935" hidden="1" spans="1:11">
      <c r="A3935" s="2" t="s">
        <v>4066</v>
      </c>
      <c r="B3935" s="3">
        <v>150</v>
      </c>
      <c r="D3935" t="s">
        <v>2198</v>
      </c>
      <c r="E3935">
        <v>2</v>
      </c>
      <c r="F3935">
        <v>1</v>
      </c>
      <c r="G3935">
        <v>0</v>
      </c>
      <c r="H3935">
        <v>2</v>
      </c>
      <c r="I3935">
        <v>4851</v>
      </c>
      <c r="J3935" t="s">
        <v>4049</v>
      </c>
      <c r="K3935">
        <v>1</v>
      </c>
    </row>
    <row r="3936" hidden="1" spans="1:11">
      <c r="A3936" s="2" t="s">
        <v>4067</v>
      </c>
      <c r="B3936" s="3">
        <v>150</v>
      </c>
      <c r="D3936" t="s">
        <v>2182</v>
      </c>
      <c r="E3936">
        <v>1.3</v>
      </c>
      <c r="F3936">
        <v>0</v>
      </c>
      <c r="G3936">
        <v>0</v>
      </c>
      <c r="H3936">
        <v>2</v>
      </c>
      <c r="I3936">
        <v>4851</v>
      </c>
      <c r="J3936" t="s">
        <v>4049</v>
      </c>
      <c r="K3936">
        <v>1</v>
      </c>
    </row>
    <row r="3937" hidden="1" spans="1:11">
      <c r="A3937" s="2" t="s">
        <v>4068</v>
      </c>
      <c r="B3937" s="3">
        <v>150</v>
      </c>
      <c r="D3937" t="s">
        <v>2184</v>
      </c>
      <c r="E3937">
        <v>2</v>
      </c>
      <c r="F3937">
        <v>0</v>
      </c>
      <c r="G3937">
        <v>0</v>
      </c>
      <c r="H3937">
        <v>2</v>
      </c>
      <c r="I3937">
        <v>4851</v>
      </c>
      <c r="J3937" t="s">
        <v>4049</v>
      </c>
      <c r="K3937">
        <v>1</v>
      </c>
    </row>
    <row r="3938" hidden="1" spans="1:11">
      <c r="A3938" s="2" t="s">
        <v>4069</v>
      </c>
      <c r="B3938" s="3">
        <v>150</v>
      </c>
      <c r="D3938" t="s">
        <v>2186</v>
      </c>
      <c r="E3938">
        <v>1.53333333333333</v>
      </c>
      <c r="F3938">
        <v>0</v>
      </c>
      <c r="G3938">
        <v>0</v>
      </c>
      <c r="H3938">
        <v>2</v>
      </c>
      <c r="I3938">
        <v>4851</v>
      </c>
      <c r="J3938" t="s">
        <v>4049</v>
      </c>
      <c r="K3938">
        <v>1</v>
      </c>
    </row>
    <row r="3939" hidden="1" spans="1:11">
      <c r="A3939" s="2" t="s">
        <v>4070</v>
      </c>
      <c r="B3939" s="3">
        <v>150</v>
      </c>
      <c r="D3939" t="s">
        <v>2188</v>
      </c>
      <c r="E3939">
        <v>0.733333333333333</v>
      </c>
      <c r="F3939">
        <v>0</v>
      </c>
      <c r="G3939">
        <v>0</v>
      </c>
      <c r="H3939">
        <v>2</v>
      </c>
      <c r="I3939">
        <v>4851</v>
      </c>
      <c r="J3939" t="s">
        <v>4049</v>
      </c>
      <c r="K3939">
        <v>1</v>
      </c>
    </row>
    <row r="3940" hidden="1" spans="1:11">
      <c r="A3940" s="2" t="s">
        <v>4071</v>
      </c>
      <c r="B3940" s="3">
        <v>150</v>
      </c>
      <c r="D3940" t="s">
        <v>2190</v>
      </c>
      <c r="E3940">
        <v>0.733333333333333</v>
      </c>
      <c r="F3940">
        <v>0</v>
      </c>
      <c r="G3940">
        <v>0</v>
      </c>
      <c r="H3940">
        <v>2</v>
      </c>
      <c r="I3940">
        <v>4851</v>
      </c>
      <c r="J3940" t="s">
        <v>4049</v>
      </c>
      <c r="K3940">
        <v>1</v>
      </c>
    </row>
    <row r="3941" hidden="1" spans="1:11">
      <c r="A3941" s="2" t="s">
        <v>4072</v>
      </c>
      <c r="B3941" s="3">
        <v>150</v>
      </c>
      <c r="D3941" t="s">
        <v>2192</v>
      </c>
      <c r="E3941">
        <v>0.733333333333333</v>
      </c>
      <c r="F3941">
        <v>0</v>
      </c>
      <c r="G3941">
        <v>0</v>
      </c>
      <c r="H3941">
        <v>2</v>
      </c>
      <c r="I3941">
        <v>4851</v>
      </c>
      <c r="J3941" t="s">
        <v>4049</v>
      </c>
      <c r="K3941">
        <v>1</v>
      </c>
    </row>
    <row r="3942" hidden="1" spans="1:11">
      <c r="A3942" s="2" t="s">
        <v>4073</v>
      </c>
      <c r="B3942" s="3">
        <v>150</v>
      </c>
      <c r="D3942" t="s">
        <v>2194</v>
      </c>
      <c r="E3942">
        <v>0.733333333333333</v>
      </c>
      <c r="F3942">
        <v>0</v>
      </c>
      <c r="G3942">
        <v>0</v>
      </c>
      <c r="H3942">
        <v>2</v>
      </c>
      <c r="I3942">
        <v>4851</v>
      </c>
      <c r="J3942" t="s">
        <v>4049</v>
      </c>
      <c r="K3942">
        <v>1</v>
      </c>
    </row>
    <row r="3943" hidden="1" spans="1:11">
      <c r="A3943" s="2" t="s">
        <v>4074</v>
      </c>
      <c r="B3943" s="3">
        <v>150</v>
      </c>
      <c r="D3943" t="s">
        <v>300</v>
      </c>
      <c r="E3943">
        <v>1</v>
      </c>
      <c r="F3943">
        <v>0</v>
      </c>
      <c r="G3943">
        <v>0</v>
      </c>
      <c r="H3943">
        <v>2</v>
      </c>
      <c r="I3943">
        <v>4851</v>
      </c>
      <c r="J3943" t="s">
        <v>4049</v>
      </c>
      <c r="K3943">
        <v>1</v>
      </c>
    </row>
    <row r="3944" hidden="1" spans="1:11">
      <c r="A3944" s="2" t="s">
        <v>4075</v>
      </c>
      <c r="B3944" s="3">
        <v>150</v>
      </c>
      <c r="D3944" t="s">
        <v>2178</v>
      </c>
      <c r="E3944">
        <v>1</v>
      </c>
      <c r="F3944">
        <v>0</v>
      </c>
      <c r="G3944">
        <v>0</v>
      </c>
      <c r="H3944">
        <v>2</v>
      </c>
      <c r="I3944">
        <v>4851</v>
      </c>
      <c r="J3944" t="s">
        <v>4049</v>
      </c>
      <c r="K3944">
        <v>1</v>
      </c>
    </row>
    <row r="3945" hidden="1" spans="1:11">
      <c r="A3945" s="2" t="s">
        <v>4076</v>
      </c>
      <c r="B3945" s="3">
        <v>150</v>
      </c>
      <c r="D3945" t="s">
        <v>2196</v>
      </c>
      <c r="E3945">
        <v>1.6</v>
      </c>
      <c r="F3945">
        <v>0</v>
      </c>
      <c r="G3945">
        <v>0</v>
      </c>
      <c r="H3945">
        <v>2</v>
      </c>
      <c r="I3945">
        <v>4851</v>
      </c>
      <c r="J3945" t="s">
        <v>4049</v>
      </c>
      <c r="K3945">
        <v>1</v>
      </c>
    </row>
    <row r="3946" hidden="1" spans="1:11">
      <c r="A3946" s="2" t="s">
        <v>4077</v>
      </c>
      <c r="B3946" s="3">
        <v>150</v>
      </c>
      <c r="D3946" t="s">
        <v>130</v>
      </c>
      <c r="E3946">
        <v>1.66666666666667</v>
      </c>
      <c r="F3946">
        <v>1</v>
      </c>
      <c r="G3946">
        <v>0</v>
      </c>
      <c r="H3946">
        <v>2</v>
      </c>
      <c r="I3946">
        <v>4851</v>
      </c>
      <c r="J3946" t="s">
        <v>4049</v>
      </c>
      <c r="K3946">
        <v>1</v>
      </c>
    </row>
    <row r="3947" hidden="1" spans="1:11">
      <c r="A3947" s="2" t="s">
        <v>4078</v>
      </c>
      <c r="B3947" s="3">
        <v>150</v>
      </c>
      <c r="D3947" t="s">
        <v>264</v>
      </c>
      <c r="E3947">
        <v>2</v>
      </c>
      <c r="F3947">
        <v>1</v>
      </c>
      <c r="G3947">
        <v>0</v>
      </c>
      <c r="H3947">
        <v>2</v>
      </c>
      <c r="I3947">
        <v>4851</v>
      </c>
      <c r="J3947" t="s">
        <v>4049</v>
      </c>
      <c r="K3947">
        <v>1</v>
      </c>
    </row>
    <row r="3948" hidden="1" spans="1:11">
      <c r="A3948" s="2" t="s">
        <v>4079</v>
      </c>
      <c r="B3948" s="3">
        <v>150</v>
      </c>
      <c r="D3948" t="s">
        <v>270</v>
      </c>
      <c r="E3948">
        <v>2</v>
      </c>
      <c r="F3948">
        <v>1</v>
      </c>
      <c r="G3948">
        <v>0</v>
      </c>
      <c r="H3948">
        <v>2</v>
      </c>
      <c r="I3948">
        <v>4851</v>
      </c>
      <c r="J3948" t="s">
        <v>4049</v>
      </c>
      <c r="K3948">
        <v>1</v>
      </c>
    </row>
    <row r="3949" hidden="1" spans="1:11">
      <c r="A3949" s="2" t="s">
        <v>4080</v>
      </c>
      <c r="B3949" s="3">
        <v>150</v>
      </c>
      <c r="D3949" t="s">
        <v>2618</v>
      </c>
      <c r="E3949">
        <v>2</v>
      </c>
      <c r="F3949">
        <v>1</v>
      </c>
      <c r="G3949">
        <v>0</v>
      </c>
      <c r="H3949">
        <v>2</v>
      </c>
      <c r="I3949">
        <v>4851</v>
      </c>
      <c r="J3949" t="s">
        <v>4049</v>
      </c>
      <c r="K3949">
        <v>1</v>
      </c>
    </row>
    <row r="3950" hidden="1" spans="1:11">
      <c r="A3950" s="2" t="s">
        <v>4081</v>
      </c>
      <c r="B3950" s="3">
        <v>150</v>
      </c>
      <c r="D3950" t="s">
        <v>261</v>
      </c>
      <c r="E3950">
        <v>0.666666666666667</v>
      </c>
      <c r="F3950">
        <v>1</v>
      </c>
      <c r="G3950">
        <v>0</v>
      </c>
      <c r="H3950">
        <v>2</v>
      </c>
      <c r="I3950">
        <v>4851</v>
      </c>
      <c r="J3950" t="s">
        <v>4049</v>
      </c>
      <c r="K3950">
        <v>1</v>
      </c>
    </row>
    <row r="3951" hidden="1" spans="1:11">
      <c r="A3951" s="2" t="s">
        <v>4082</v>
      </c>
      <c r="B3951" s="3">
        <v>150</v>
      </c>
      <c r="D3951" t="s">
        <v>236</v>
      </c>
      <c r="E3951">
        <v>1.93333333333333</v>
      </c>
      <c r="F3951">
        <v>0</v>
      </c>
      <c r="G3951">
        <v>0</v>
      </c>
      <c r="H3951">
        <v>2</v>
      </c>
      <c r="I3951">
        <v>4851</v>
      </c>
      <c r="J3951" t="s">
        <v>4049</v>
      </c>
      <c r="K3951">
        <v>1</v>
      </c>
    </row>
    <row r="3952" hidden="1" spans="1:11">
      <c r="A3952" s="2" t="s">
        <v>4083</v>
      </c>
      <c r="B3952" s="3">
        <v>150</v>
      </c>
      <c r="D3952" t="s">
        <v>2629</v>
      </c>
      <c r="E3952">
        <v>2.5</v>
      </c>
      <c r="F3952">
        <v>0</v>
      </c>
      <c r="G3952">
        <v>0</v>
      </c>
      <c r="H3952">
        <v>2</v>
      </c>
      <c r="I3952">
        <v>4851</v>
      </c>
      <c r="J3952" t="s">
        <v>4049</v>
      </c>
      <c r="K3952">
        <v>1</v>
      </c>
    </row>
    <row r="3953" hidden="1" spans="1:11">
      <c r="A3953" s="2" t="s">
        <v>4084</v>
      </c>
      <c r="B3953" s="3">
        <v>150</v>
      </c>
      <c r="D3953" t="s">
        <v>268</v>
      </c>
      <c r="E3953">
        <v>2</v>
      </c>
      <c r="F3953">
        <v>1</v>
      </c>
      <c r="G3953">
        <v>0</v>
      </c>
      <c r="H3953">
        <v>2</v>
      </c>
      <c r="I3953">
        <v>4851</v>
      </c>
      <c r="J3953" t="s">
        <v>4049</v>
      </c>
      <c r="K3953">
        <v>1</v>
      </c>
    </row>
    <row r="3954" hidden="1" spans="1:11">
      <c r="A3954" s="2" t="s">
        <v>4085</v>
      </c>
      <c r="B3954" s="3">
        <v>150</v>
      </c>
      <c r="D3954" t="s">
        <v>266</v>
      </c>
      <c r="E3954">
        <v>1.2</v>
      </c>
      <c r="F3954">
        <v>1</v>
      </c>
      <c r="G3954">
        <v>0</v>
      </c>
      <c r="H3954">
        <v>2</v>
      </c>
      <c r="I3954">
        <v>4851</v>
      </c>
      <c r="J3954" t="s">
        <v>4049</v>
      </c>
      <c r="K3954">
        <v>1</v>
      </c>
    </row>
    <row r="3955" hidden="1" spans="1:11">
      <c r="A3955" s="2" t="s">
        <v>4086</v>
      </c>
      <c r="B3955" s="3">
        <v>150</v>
      </c>
      <c r="D3955" t="s">
        <v>2633</v>
      </c>
      <c r="E3955">
        <v>1.2</v>
      </c>
      <c r="F3955">
        <v>1</v>
      </c>
      <c r="G3955">
        <v>0</v>
      </c>
      <c r="H3955">
        <v>2</v>
      </c>
      <c r="I3955">
        <v>4851</v>
      </c>
      <c r="J3955" t="s">
        <v>4049</v>
      </c>
      <c r="K3955">
        <v>1</v>
      </c>
    </row>
    <row r="3956" hidden="1" spans="1:11">
      <c r="A3956" s="2" t="s">
        <v>4087</v>
      </c>
      <c r="B3956" s="3">
        <v>150</v>
      </c>
      <c r="D3956" t="s">
        <v>204</v>
      </c>
      <c r="E3956">
        <v>2.16666666666667</v>
      </c>
      <c r="F3956">
        <v>0</v>
      </c>
      <c r="G3956">
        <v>0</v>
      </c>
      <c r="H3956">
        <v>2</v>
      </c>
      <c r="I3956">
        <v>4851</v>
      </c>
      <c r="J3956" t="s">
        <v>4049</v>
      </c>
      <c r="K3956">
        <v>1</v>
      </c>
    </row>
    <row r="3957" s="1" customFormat="1" hidden="1" spans="1:12">
      <c r="A3957" s="2" t="s">
        <v>4088</v>
      </c>
      <c r="B3957" s="54">
        <v>150</v>
      </c>
      <c r="D3957" s="1" t="s">
        <v>60</v>
      </c>
      <c r="E3957" s="1">
        <v>2.2</v>
      </c>
      <c r="F3957" s="1">
        <v>0</v>
      </c>
      <c r="G3957" s="1">
        <v>0</v>
      </c>
      <c r="H3957" s="1">
        <v>2</v>
      </c>
      <c r="I3957" s="1">
        <v>4851</v>
      </c>
      <c r="J3957" s="1" t="s">
        <v>4049</v>
      </c>
      <c r="K3957" s="1">
        <v>1</v>
      </c>
      <c r="L3957" s="7"/>
    </row>
    <row r="3958" s="23" customFormat="1" hidden="1" spans="1:12">
      <c r="A3958" s="137" t="s">
        <v>4089</v>
      </c>
      <c r="B3958" s="138">
        <v>4015001</v>
      </c>
      <c r="D3958" s="23" t="s">
        <v>36</v>
      </c>
      <c r="E3958" s="24">
        <v>3</v>
      </c>
      <c r="F3958" s="23">
        <v>0</v>
      </c>
      <c r="G3958" s="23">
        <v>0</v>
      </c>
      <c r="H3958" s="23">
        <v>2</v>
      </c>
      <c r="I3958" s="23">
        <v>4851</v>
      </c>
      <c r="J3958" s="23" t="s">
        <v>4049</v>
      </c>
      <c r="K3958" s="23">
        <v>1</v>
      </c>
      <c r="L3958" s="142"/>
    </row>
    <row r="3959" s="23" customFormat="1" hidden="1" spans="1:12">
      <c r="A3959" s="137" t="s">
        <v>4090</v>
      </c>
      <c r="B3959" s="138">
        <v>4015001</v>
      </c>
      <c r="D3959" s="23" t="s">
        <v>38</v>
      </c>
      <c r="E3959" s="24">
        <v>3.06666666666667</v>
      </c>
      <c r="F3959" s="23">
        <v>0</v>
      </c>
      <c r="G3959" s="23">
        <v>0</v>
      </c>
      <c r="H3959" s="23">
        <v>2</v>
      </c>
      <c r="I3959" s="23">
        <v>4851</v>
      </c>
      <c r="J3959" s="23" t="s">
        <v>4049</v>
      </c>
      <c r="K3959" s="23">
        <v>1</v>
      </c>
      <c r="L3959" s="142"/>
    </row>
    <row r="3960" s="23" customFormat="1" hidden="1" spans="1:12">
      <c r="A3960" s="137" t="s">
        <v>4091</v>
      </c>
      <c r="B3960" s="138">
        <v>4015001</v>
      </c>
      <c r="D3960" s="23" t="s">
        <v>40</v>
      </c>
      <c r="E3960" s="24">
        <v>3.96666666666667</v>
      </c>
      <c r="F3960" s="23">
        <v>0</v>
      </c>
      <c r="G3960" s="23">
        <v>0</v>
      </c>
      <c r="H3960" s="23">
        <v>2</v>
      </c>
      <c r="I3960" s="23">
        <v>4851</v>
      </c>
      <c r="J3960" s="23" t="s">
        <v>4049</v>
      </c>
      <c r="K3960" s="23">
        <v>1</v>
      </c>
      <c r="L3960" s="142"/>
    </row>
    <row r="3961" s="23" customFormat="1" hidden="1" spans="1:12">
      <c r="A3961" s="137" t="s">
        <v>4092</v>
      </c>
      <c r="B3961" s="138">
        <v>4015001</v>
      </c>
      <c r="D3961" s="23" t="s">
        <v>42</v>
      </c>
      <c r="E3961" s="24">
        <v>2.53333333333333</v>
      </c>
      <c r="F3961" s="23">
        <v>0</v>
      </c>
      <c r="G3961" s="23">
        <v>0</v>
      </c>
      <c r="H3961" s="23">
        <v>2</v>
      </c>
      <c r="I3961" s="23">
        <v>4851</v>
      </c>
      <c r="J3961" s="23" t="s">
        <v>4049</v>
      </c>
      <c r="K3961" s="23">
        <v>1</v>
      </c>
      <c r="L3961" s="142"/>
    </row>
    <row r="3962" s="23" customFormat="1" hidden="1" spans="1:12">
      <c r="A3962" s="137" t="s">
        <v>4093</v>
      </c>
      <c r="B3962" s="138">
        <v>4015001</v>
      </c>
      <c r="D3962" s="23" t="s">
        <v>44</v>
      </c>
      <c r="E3962" s="24">
        <v>2.3</v>
      </c>
      <c r="F3962" s="23">
        <v>0</v>
      </c>
      <c r="G3962" s="23">
        <v>0</v>
      </c>
      <c r="H3962" s="23">
        <v>2</v>
      </c>
      <c r="I3962" s="23">
        <v>4851</v>
      </c>
      <c r="J3962" s="23" t="s">
        <v>4049</v>
      </c>
      <c r="K3962" s="23">
        <v>1</v>
      </c>
      <c r="L3962" s="142"/>
    </row>
    <row r="3963" s="23" customFormat="1" hidden="1" spans="1:12">
      <c r="A3963" s="137" t="s">
        <v>4094</v>
      </c>
      <c r="B3963" s="138">
        <v>4015001</v>
      </c>
      <c r="D3963" s="23" t="s">
        <v>46</v>
      </c>
      <c r="E3963" s="24">
        <v>11.4</v>
      </c>
      <c r="F3963" s="23">
        <v>0</v>
      </c>
      <c r="G3963" s="23">
        <v>0</v>
      </c>
      <c r="H3963" s="23">
        <v>2</v>
      </c>
      <c r="I3963" s="23">
        <v>4851</v>
      </c>
      <c r="J3963" s="23" t="s">
        <v>4049</v>
      </c>
      <c r="K3963" s="23">
        <v>1</v>
      </c>
      <c r="L3963" s="142"/>
    </row>
    <row r="3964" s="23" customFormat="1" hidden="1" spans="1:12">
      <c r="A3964" s="137" t="s">
        <v>4095</v>
      </c>
      <c r="B3964" s="138">
        <v>4015001</v>
      </c>
      <c r="D3964" s="23" t="s">
        <v>86</v>
      </c>
      <c r="E3964" s="24">
        <v>8.2</v>
      </c>
      <c r="F3964" s="23">
        <v>0</v>
      </c>
      <c r="G3964" s="23">
        <v>0</v>
      </c>
      <c r="H3964" s="23">
        <v>2</v>
      </c>
      <c r="I3964" s="23">
        <v>4851</v>
      </c>
      <c r="J3964" s="23" t="s">
        <v>4049</v>
      </c>
      <c r="K3964" s="23">
        <v>1</v>
      </c>
      <c r="L3964" s="142"/>
    </row>
    <row r="3965" s="23" customFormat="1" hidden="1" spans="1:12">
      <c r="A3965" s="137" t="s">
        <v>4096</v>
      </c>
      <c r="B3965" s="138">
        <v>4015001</v>
      </c>
      <c r="D3965" s="23" t="s">
        <v>50</v>
      </c>
      <c r="E3965" s="24">
        <v>7.66666666666667</v>
      </c>
      <c r="F3965" s="23">
        <v>0</v>
      </c>
      <c r="G3965" s="23">
        <v>0</v>
      </c>
      <c r="H3965" s="23">
        <v>2</v>
      </c>
      <c r="I3965" s="23">
        <v>4851</v>
      </c>
      <c r="J3965" s="23" t="s">
        <v>4049</v>
      </c>
      <c r="K3965" s="23">
        <v>1</v>
      </c>
      <c r="L3965" s="142"/>
    </row>
    <row r="3966" s="26" customFormat="1" hidden="1" spans="1:12">
      <c r="A3966" s="149" t="s">
        <v>4097</v>
      </c>
      <c r="B3966" s="150">
        <v>4015001</v>
      </c>
      <c r="D3966" s="26" t="s">
        <v>92</v>
      </c>
      <c r="E3966" s="151">
        <v>2.7</v>
      </c>
      <c r="F3966" s="26">
        <v>0</v>
      </c>
      <c r="G3966" s="26">
        <v>0</v>
      </c>
      <c r="H3966" s="26">
        <v>2</v>
      </c>
      <c r="I3966" s="26">
        <v>4851</v>
      </c>
      <c r="J3966" s="26" t="s">
        <v>4049</v>
      </c>
      <c r="K3966" s="26">
        <v>1</v>
      </c>
      <c r="L3966" s="149"/>
    </row>
    <row r="3967" s="26" customFormat="1" hidden="1" spans="1:12">
      <c r="A3967" s="149" t="s">
        <v>4098</v>
      </c>
      <c r="B3967" s="150">
        <v>4015001</v>
      </c>
      <c r="D3967" s="26" t="s">
        <v>109</v>
      </c>
      <c r="E3967" s="151">
        <v>2.2</v>
      </c>
      <c r="F3967" s="26">
        <v>0</v>
      </c>
      <c r="G3967" s="26">
        <v>0</v>
      </c>
      <c r="H3967" s="26">
        <v>2</v>
      </c>
      <c r="I3967" s="26">
        <v>4851</v>
      </c>
      <c r="J3967" s="26" t="s">
        <v>4049</v>
      </c>
      <c r="K3967" s="26">
        <v>1</v>
      </c>
      <c r="L3967" s="149"/>
    </row>
    <row r="3968" s="26" customFormat="1" hidden="1" spans="1:12">
      <c r="A3968" s="149" t="s">
        <v>4099</v>
      </c>
      <c r="B3968" s="150">
        <v>4015001</v>
      </c>
      <c r="D3968" s="26" t="s">
        <v>97</v>
      </c>
      <c r="E3968" s="151">
        <v>2.26666666666667</v>
      </c>
      <c r="F3968" s="26">
        <v>0</v>
      </c>
      <c r="G3968" s="26">
        <v>0</v>
      </c>
      <c r="H3968" s="26">
        <v>2</v>
      </c>
      <c r="I3968" s="26">
        <v>4851</v>
      </c>
      <c r="J3968" s="26" t="s">
        <v>4049</v>
      </c>
      <c r="K3968" s="26">
        <v>1</v>
      </c>
      <c r="L3968" s="149"/>
    </row>
    <row r="3969" s="26" customFormat="1" hidden="1" spans="1:12">
      <c r="A3969" s="149" t="s">
        <v>4100</v>
      </c>
      <c r="B3969" s="150">
        <v>4015001</v>
      </c>
      <c r="D3969" s="26" t="s">
        <v>77</v>
      </c>
      <c r="E3969" s="151">
        <v>3.16666666666667</v>
      </c>
      <c r="F3969" s="26">
        <v>0</v>
      </c>
      <c r="G3969" s="26">
        <v>0</v>
      </c>
      <c r="H3969" s="26">
        <v>2</v>
      </c>
      <c r="I3969" s="26">
        <v>4851</v>
      </c>
      <c r="J3969" s="26" t="s">
        <v>4049</v>
      </c>
      <c r="K3969" s="26">
        <v>1</v>
      </c>
      <c r="L3969" s="149"/>
    </row>
    <row r="3970" s="26" customFormat="1" hidden="1" spans="1:12">
      <c r="A3970" s="149" t="s">
        <v>4101</v>
      </c>
      <c r="B3970" s="150">
        <v>4015001</v>
      </c>
      <c r="D3970" s="26" t="s">
        <v>54</v>
      </c>
      <c r="E3970" s="151">
        <v>3.33333333333333</v>
      </c>
      <c r="F3970" s="26">
        <v>0</v>
      </c>
      <c r="G3970" s="26">
        <v>0</v>
      </c>
      <c r="H3970" s="26">
        <v>2</v>
      </c>
      <c r="I3970" s="26">
        <v>4851</v>
      </c>
      <c r="J3970" s="26" t="s">
        <v>4049</v>
      </c>
      <c r="K3970" s="26">
        <v>1</v>
      </c>
      <c r="L3970" s="149"/>
    </row>
    <row r="3971" s="26" customFormat="1" hidden="1" spans="1:12">
      <c r="A3971" s="149" t="s">
        <v>4102</v>
      </c>
      <c r="B3971" s="150">
        <v>4015001</v>
      </c>
      <c r="D3971" s="26" t="s">
        <v>57</v>
      </c>
      <c r="E3971" s="151">
        <v>3.43333333333333</v>
      </c>
      <c r="F3971" s="26">
        <v>0</v>
      </c>
      <c r="G3971" s="26" t="s">
        <v>61</v>
      </c>
      <c r="H3971" s="26" t="s">
        <v>62</v>
      </c>
      <c r="I3971" s="26" t="s">
        <v>4063</v>
      </c>
      <c r="J3971" s="26" t="s">
        <v>4064</v>
      </c>
      <c r="K3971" s="26" t="s">
        <v>95</v>
      </c>
      <c r="L3971" s="152"/>
    </row>
    <row r="3972" hidden="1" spans="1:11">
      <c r="A3972" s="2" t="s">
        <v>4103</v>
      </c>
      <c r="B3972" s="3">
        <v>4015001</v>
      </c>
      <c r="C3972">
        <v>3</v>
      </c>
      <c r="D3972" t="s">
        <v>1047</v>
      </c>
      <c r="E3972">
        <v>1.83333333333333</v>
      </c>
      <c r="F3972">
        <v>0</v>
      </c>
      <c r="G3972">
        <v>0</v>
      </c>
      <c r="H3972">
        <v>2</v>
      </c>
      <c r="I3972">
        <v>4851</v>
      </c>
      <c r="J3972" t="s">
        <v>4049</v>
      </c>
      <c r="K3972">
        <v>1</v>
      </c>
    </row>
    <row r="3973" hidden="1" spans="1:11">
      <c r="A3973" s="2" t="s">
        <v>4104</v>
      </c>
      <c r="B3973" s="3">
        <v>4015001</v>
      </c>
      <c r="D3973" t="s">
        <v>2198</v>
      </c>
      <c r="E3973">
        <v>2</v>
      </c>
      <c r="F3973">
        <v>1</v>
      </c>
      <c r="G3973">
        <v>0</v>
      </c>
      <c r="H3973">
        <v>2</v>
      </c>
      <c r="I3973">
        <v>4851</v>
      </c>
      <c r="J3973" t="s">
        <v>4049</v>
      </c>
      <c r="K3973">
        <v>1</v>
      </c>
    </row>
    <row r="3974" hidden="1" spans="1:11">
      <c r="A3974" s="2" t="s">
        <v>4105</v>
      </c>
      <c r="B3974" s="3">
        <v>4015001</v>
      </c>
      <c r="D3974" t="s">
        <v>2182</v>
      </c>
      <c r="E3974">
        <v>1.3</v>
      </c>
      <c r="F3974">
        <v>0</v>
      </c>
      <c r="G3974">
        <v>0</v>
      </c>
      <c r="H3974">
        <v>2</v>
      </c>
      <c r="I3974">
        <v>4851</v>
      </c>
      <c r="J3974" t="s">
        <v>4049</v>
      </c>
      <c r="K3974">
        <v>1</v>
      </c>
    </row>
    <row r="3975" hidden="1" spans="1:11">
      <c r="A3975" s="2" t="s">
        <v>4106</v>
      </c>
      <c r="B3975" s="3">
        <v>4015001</v>
      </c>
      <c r="D3975" t="s">
        <v>2184</v>
      </c>
      <c r="E3975">
        <v>2</v>
      </c>
      <c r="F3975">
        <v>0</v>
      </c>
      <c r="G3975">
        <v>0</v>
      </c>
      <c r="H3975">
        <v>2</v>
      </c>
      <c r="I3975">
        <v>4851</v>
      </c>
      <c r="J3975" t="s">
        <v>4049</v>
      </c>
      <c r="K3975">
        <v>1</v>
      </c>
    </row>
    <row r="3976" hidden="1" spans="1:11">
      <c r="A3976" s="2" t="s">
        <v>4107</v>
      </c>
      <c r="B3976" s="3">
        <v>4015001</v>
      </c>
      <c r="D3976" t="s">
        <v>2186</v>
      </c>
      <c r="E3976">
        <v>1.53333333333333</v>
      </c>
      <c r="F3976">
        <v>0</v>
      </c>
      <c r="G3976">
        <v>0</v>
      </c>
      <c r="H3976">
        <v>2</v>
      </c>
      <c r="I3976">
        <v>4851</v>
      </c>
      <c r="J3976" t="s">
        <v>4049</v>
      </c>
      <c r="K3976">
        <v>1</v>
      </c>
    </row>
    <row r="3977" hidden="1" spans="1:11">
      <c r="A3977" s="2" t="s">
        <v>4108</v>
      </c>
      <c r="B3977" s="3">
        <v>4015001</v>
      </c>
      <c r="D3977" t="s">
        <v>2188</v>
      </c>
      <c r="E3977">
        <v>0.733333333333333</v>
      </c>
      <c r="F3977">
        <v>0</v>
      </c>
      <c r="G3977">
        <v>0</v>
      </c>
      <c r="H3977">
        <v>2</v>
      </c>
      <c r="I3977">
        <v>4851</v>
      </c>
      <c r="J3977" t="s">
        <v>4049</v>
      </c>
      <c r="K3977">
        <v>1</v>
      </c>
    </row>
    <row r="3978" hidden="1" spans="1:11">
      <c r="A3978" s="2" t="s">
        <v>4109</v>
      </c>
      <c r="B3978" s="3">
        <v>4015001</v>
      </c>
      <c r="D3978" t="s">
        <v>2190</v>
      </c>
      <c r="E3978">
        <v>0.733333333333333</v>
      </c>
      <c r="F3978">
        <v>0</v>
      </c>
      <c r="G3978">
        <v>0</v>
      </c>
      <c r="H3978">
        <v>2</v>
      </c>
      <c r="I3978">
        <v>4851</v>
      </c>
      <c r="J3978" t="s">
        <v>4049</v>
      </c>
      <c r="K3978">
        <v>1</v>
      </c>
    </row>
    <row r="3979" hidden="1" spans="1:11">
      <c r="A3979" s="2" t="s">
        <v>4110</v>
      </c>
      <c r="B3979" s="3">
        <v>4015001</v>
      </c>
      <c r="D3979" t="s">
        <v>2192</v>
      </c>
      <c r="E3979">
        <v>0.733333333333333</v>
      </c>
      <c r="F3979">
        <v>0</v>
      </c>
      <c r="G3979">
        <v>0</v>
      </c>
      <c r="H3979">
        <v>2</v>
      </c>
      <c r="I3979">
        <v>4851</v>
      </c>
      <c r="J3979" t="s">
        <v>4049</v>
      </c>
      <c r="K3979">
        <v>1</v>
      </c>
    </row>
    <row r="3980" hidden="1" spans="1:11">
      <c r="A3980" s="2" t="s">
        <v>4111</v>
      </c>
      <c r="B3980" s="3">
        <v>4015001</v>
      </c>
      <c r="D3980" t="s">
        <v>2194</v>
      </c>
      <c r="E3980">
        <v>0.733333333333333</v>
      </c>
      <c r="F3980">
        <v>0</v>
      </c>
      <c r="G3980">
        <v>0</v>
      </c>
      <c r="H3980">
        <v>2</v>
      </c>
      <c r="I3980">
        <v>4851</v>
      </c>
      <c r="J3980" t="s">
        <v>4049</v>
      </c>
      <c r="K3980">
        <v>1</v>
      </c>
    </row>
    <row r="3981" hidden="1" spans="1:11">
      <c r="A3981" s="2" t="s">
        <v>4112</v>
      </c>
      <c r="B3981" s="3">
        <v>4015001</v>
      </c>
      <c r="D3981" t="s">
        <v>300</v>
      </c>
      <c r="E3981">
        <v>1</v>
      </c>
      <c r="F3981">
        <v>0</v>
      </c>
      <c r="G3981">
        <v>0</v>
      </c>
      <c r="H3981">
        <v>2</v>
      </c>
      <c r="I3981">
        <v>4851</v>
      </c>
      <c r="J3981" t="s">
        <v>4049</v>
      </c>
      <c r="K3981">
        <v>1</v>
      </c>
    </row>
    <row r="3982" hidden="1" spans="1:11">
      <c r="A3982" s="2" t="s">
        <v>4113</v>
      </c>
      <c r="B3982" s="3">
        <v>4015001</v>
      </c>
      <c r="D3982" t="s">
        <v>2178</v>
      </c>
      <c r="E3982">
        <v>1</v>
      </c>
      <c r="F3982">
        <v>0</v>
      </c>
      <c r="G3982">
        <v>0</v>
      </c>
      <c r="H3982">
        <v>2</v>
      </c>
      <c r="I3982">
        <v>4851</v>
      </c>
      <c r="J3982" t="s">
        <v>4049</v>
      </c>
      <c r="K3982">
        <v>1</v>
      </c>
    </row>
    <row r="3983" hidden="1" spans="1:11">
      <c r="A3983" s="2" t="s">
        <v>4114</v>
      </c>
      <c r="B3983" s="3">
        <v>4015001</v>
      </c>
      <c r="D3983" t="s">
        <v>2196</v>
      </c>
      <c r="E3983">
        <v>1.6</v>
      </c>
      <c r="F3983">
        <v>0</v>
      </c>
      <c r="G3983">
        <v>0</v>
      </c>
      <c r="H3983">
        <v>2</v>
      </c>
      <c r="I3983">
        <v>4851</v>
      </c>
      <c r="J3983" t="s">
        <v>4049</v>
      </c>
      <c r="K3983">
        <v>1</v>
      </c>
    </row>
    <row r="3984" hidden="1" spans="1:11">
      <c r="A3984" s="2" t="s">
        <v>4115</v>
      </c>
      <c r="B3984" s="3">
        <v>4015001</v>
      </c>
      <c r="D3984" t="s">
        <v>130</v>
      </c>
      <c r="E3984">
        <v>1.66666666666667</v>
      </c>
      <c r="F3984">
        <v>1</v>
      </c>
      <c r="G3984">
        <v>0</v>
      </c>
      <c r="H3984">
        <v>2</v>
      </c>
      <c r="I3984">
        <v>4851</v>
      </c>
      <c r="J3984" t="s">
        <v>4049</v>
      </c>
      <c r="K3984">
        <v>1</v>
      </c>
    </row>
    <row r="3985" hidden="1" spans="1:11">
      <c r="A3985" s="2" t="s">
        <v>4116</v>
      </c>
      <c r="B3985" s="3">
        <v>4015001</v>
      </c>
      <c r="D3985" t="s">
        <v>264</v>
      </c>
      <c r="E3985">
        <v>2</v>
      </c>
      <c r="F3985">
        <v>1</v>
      </c>
      <c r="G3985">
        <v>0</v>
      </c>
      <c r="H3985">
        <v>2</v>
      </c>
      <c r="I3985">
        <v>4851</v>
      </c>
      <c r="J3985" t="s">
        <v>4049</v>
      </c>
      <c r="K3985">
        <v>1</v>
      </c>
    </row>
    <row r="3986" hidden="1" spans="1:11">
      <c r="A3986" s="2" t="s">
        <v>4117</v>
      </c>
      <c r="B3986" s="3">
        <v>4015001</v>
      </c>
      <c r="D3986" t="s">
        <v>270</v>
      </c>
      <c r="E3986">
        <v>2</v>
      </c>
      <c r="F3986">
        <v>1</v>
      </c>
      <c r="G3986">
        <v>0</v>
      </c>
      <c r="H3986">
        <v>2</v>
      </c>
      <c r="I3986">
        <v>4851</v>
      </c>
      <c r="J3986" t="s">
        <v>4049</v>
      </c>
      <c r="K3986">
        <v>1</v>
      </c>
    </row>
    <row r="3987" hidden="1" spans="1:11">
      <c r="A3987" s="2" t="s">
        <v>4118</v>
      </c>
      <c r="B3987" s="3">
        <v>4015001</v>
      </c>
      <c r="D3987" t="s">
        <v>2618</v>
      </c>
      <c r="E3987">
        <v>2</v>
      </c>
      <c r="F3987">
        <v>1</v>
      </c>
      <c r="G3987">
        <v>0</v>
      </c>
      <c r="H3987">
        <v>2</v>
      </c>
      <c r="I3987">
        <v>4851</v>
      </c>
      <c r="J3987" t="s">
        <v>4049</v>
      </c>
      <c r="K3987">
        <v>1</v>
      </c>
    </row>
    <row r="3988" hidden="1" spans="1:11">
      <c r="A3988" s="2" t="s">
        <v>4119</v>
      </c>
      <c r="B3988" s="3">
        <v>4015001</v>
      </c>
      <c r="D3988" t="s">
        <v>261</v>
      </c>
      <c r="E3988">
        <v>0.666666666666667</v>
      </c>
      <c r="F3988">
        <v>1</v>
      </c>
      <c r="G3988">
        <v>0</v>
      </c>
      <c r="H3988">
        <v>2</v>
      </c>
      <c r="I3988">
        <v>4851</v>
      </c>
      <c r="J3988" t="s">
        <v>4049</v>
      </c>
      <c r="K3988">
        <v>1</v>
      </c>
    </row>
    <row r="3989" hidden="1" spans="1:11">
      <c r="A3989" s="2" t="s">
        <v>4120</v>
      </c>
      <c r="B3989" s="3">
        <v>4015001</v>
      </c>
      <c r="D3989" t="s">
        <v>236</v>
      </c>
      <c r="E3989">
        <v>1.93333333333333</v>
      </c>
      <c r="F3989">
        <v>0</v>
      </c>
      <c r="G3989">
        <v>0</v>
      </c>
      <c r="H3989">
        <v>2</v>
      </c>
      <c r="I3989">
        <v>4851</v>
      </c>
      <c r="J3989" t="s">
        <v>4049</v>
      </c>
      <c r="K3989">
        <v>1</v>
      </c>
    </row>
    <row r="3990" hidden="1" spans="1:11">
      <c r="A3990" s="2" t="s">
        <v>4121</v>
      </c>
      <c r="B3990" s="3">
        <v>4015001</v>
      </c>
      <c r="D3990" t="s">
        <v>2629</v>
      </c>
      <c r="E3990">
        <v>2.5</v>
      </c>
      <c r="F3990">
        <v>0</v>
      </c>
      <c r="G3990">
        <v>0</v>
      </c>
      <c r="H3990">
        <v>2</v>
      </c>
      <c r="I3990">
        <v>4851</v>
      </c>
      <c r="J3990" t="s">
        <v>4049</v>
      </c>
      <c r="K3990">
        <v>1</v>
      </c>
    </row>
    <row r="3991" hidden="1" spans="1:11">
      <c r="A3991" s="2" t="s">
        <v>4122</v>
      </c>
      <c r="B3991" s="3">
        <v>4015001</v>
      </c>
      <c r="D3991" t="s">
        <v>268</v>
      </c>
      <c r="E3991">
        <v>2</v>
      </c>
      <c r="F3991">
        <v>1</v>
      </c>
      <c r="G3991">
        <v>0</v>
      </c>
      <c r="H3991">
        <v>2</v>
      </c>
      <c r="I3991">
        <v>4851</v>
      </c>
      <c r="J3991" t="s">
        <v>4049</v>
      </c>
      <c r="K3991">
        <v>1</v>
      </c>
    </row>
    <row r="3992" hidden="1" spans="1:11">
      <c r="A3992" s="2" t="s">
        <v>4123</v>
      </c>
      <c r="B3992" s="3">
        <v>4015001</v>
      </c>
      <c r="D3992" t="s">
        <v>266</v>
      </c>
      <c r="E3992">
        <v>1.2</v>
      </c>
      <c r="F3992">
        <v>1</v>
      </c>
      <c r="G3992">
        <v>0</v>
      </c>
      <c r="H3992">
        <v>2</v>
      </c>
      <c r="I3992">
        <v>4851</v>
      </c>
      <c r="J3992" t="s">
        <v>4049</v>
      </c>
      <c r="K3992">
        <v>1</v>
      </c>
    </row>
    <row r="3993" hidden="1" spans="1:11">
      <c r="A3993" s="2" t="s">
        <v>4124</v>
      </c>
      <c r="B3993" s="3">
        <v>4015001</v>
      </c>
      <c r="D3993" t="s">
        <v>2633</v>
      </c>
      <c r="E3993">
        <v>1.2</v>
      </c>
      <c r="F3993">
        <v>1</v>
      </c>
      <c r="G3993">
        <v>0</v>
      </c>
      <c r="H3993">
        <v>2</v>
      </c>
      <c r="I3993">
        <v>4851</v>
      </c>
      <c r="J3993" t="s">
        <v>4049</v>
      </c>
      <c r="K3993">
        <v>1</v>
      </c>
    </row>
    <row r="3994" hidden="1" spans="1:11">
      <c r="A3994" s="2" t="s">
        <v>4125</v>
      </c>
      <c r="B3994" s="3">
        <v>4015001</v>
      </c>
      <c r="D3994" t="s">
        <v>204</v>
      </c>
      <c r="E3994">
        <v>2.16666666666667</v>
      </c>
      <c r="F3994">
        <v>0</v>
      </c>
      <c r="G3994">
        <v>0</v>
      </c>
      <c r="H3994">
        <v>2</v>
      </c>
      <c r="I3994">
        <v>4851</v>
      </c>
      <c r="J3994" t="s">
        <v>4049</v>
      </c>
      <c r="K3994">
        <v>1</v>
      </c>
    </row>
    <row r="3995" s="1" customFormat="1" hidden="1" spans="1:12">
      <c r="A3995" s="2" t="s">
        <v>4126</v>
      </c>
      <c r="B3995" s="54">
        <v>4015001</v>
      </c>
      <c r="D3995" s="1" t="s">
        <v>60</v>
      </c>
      <c r="E3995" s="1">
        <v>2.2</v>
      </c>
      <c r="F3995" s="1">
        <v>0</v>
      </c>
      <c r="G3995" s="1">
        <v>0</v>
      </c>
      <c r="H3995" s="1">
        <v>2</v>
      </c>
      <c r="I3995" s="1">
        <v>4851</v>
      </c>
      <c r="J3995" s="1" t="s">
        <v>4049</v>
      </c>
      <c r="K3995" s="1">
        <v>1</v>
      </c>
      <c r="L3995" s="7"/>
    </row>
    <row r="3996" s="26" customFormat="1" hidden="1" spans="1:12">
      <c r="A3996" s="2" t="s">
        <v>4127</v>
      </c>
      <c r="B3996" s="150">
        <v>4015001</v>
      </c>
      <c r="D3996" s="26" t="s">
        <v>1776</v>
      </c>
      <c r="E3996" s="151">
        <f>36/30</f>
        <v>1.2</v>
      </c>
      <c r="F3996" s="26">
        <v>0</v>
      </c>
      <c r="G3996" s="26" t="s">
        <v>2273</v>
      </c>
      <c r="H3996" s="26" t="s">
        <v>2274</v>
      </c>
      <c r="I3996" s="26" t="s">
        <v>4128</v>
      </c>
      <c r="J3996" s="26" t="s">
        <v>4129</v>
      </c>
      <c r="K3996" s="26" t="s">
        <v>3242</v>
      </c>
      <c r="L3996" s="152"/>
    </row>
    <row r="3997" hidden="1" spans="1:6">
      <c r="A3997" s="3">
        <v>200501</v>
      </c>
      <c r="B3997" s="3">
        <v>2005</v>
      </c>
      <c r="C3997">
        <v>3</v>
      </c>
      <c r="D3997" s="26" t="s">
        <v>92</v>
      </c>
      <c r="E3997" s="151">
        <v>2.7</v>
      </c>
      <c r="F3997" s="26">
        <v>0</v>
      </c>
    </row>
    <row r="3998" hidden="1" spans="1:6">
      <c r="A3998" s="3">
        <v>200502</v>
      </c>
      <c r="B3998" s="3">
        <v>2005</v>
      </c>
      <c r="C3998">
        <v>3</v>
      </c>
      <c r="D3998" s="26" t="s">
        <v>109</v>
      </c>
      <c r="E3998" s="151">
        <v>2.2</v>
      </c>
      <c r="F3998" s="26">
        <v>0</v>
      </c>
    </row>
    <row r="3999" hidden="1" spans="1:6">
      <c r="A3999" s="3">
        <v>201601</v>
      </c>
      <c r="B3999" s="3">
        <v>2016</v>
      </c>
      <c r="C3999">
        <v>3</v>
      </c>
      <c r="D3999" s="26" t="s">
        <v>92</v>
      </c>
      <c r="E3999" s="151">
        <v>2.7</v>
      </c>
      <c r="F3999" s="26">
        <v>0</v>
      </c>
    </row>
    <row r="4000" hidden="1" spans="1:6">
      <c r="A4000" s="3">
        <v>201602</v>
      </c>
      <c r="B4000" s="3">
        <v>2016</v>
      </c>
      <c r="C4000">
        <v>3</v>
      </c>
      <c r="D4000" s="26" t="s">
        <v>109</v>
      </c>
      <c r="E4000" s="151">
        <v>2.2</v>
      </c>
      <c r="F4000" s="26">
        <v>0</v>
      </c>
    </row>
    <row r="4001" hidden="1" spans="1:11">
      <c r="A4001" s="3">
        <v>401030220</v>
      </c>
      <c r="B4001" s="3">
        <v>4010302</v>
      </c>
      <c r="C4001">
        <v>3</v>
      </c>
      <c r="D4001" t="s">
        <v>57</v>
      </c>
      <c r="E4001">
        <v>3.5</v>
      </c>
      <c r="F4001">
        <v>0</v>
      </c>
      <c r="G4001">
        <v>0</v>
      </c>
      <c r="H4001">
        <v>2</v>
      </c>
      <c r="I4001">
        <v>3150</v>
      </c>
      <c r="J4001" t="s">
        <v>58</v>
      </c>
      <c r="K4001">
        <v>0</v>
      </c>
    </row>
    <row r="4002" hidden="1" spans="1:11">
      <c r="A4002" s="3">
        <v>401030221</v>
      </c>
      <c r="B4002" s="3">
        <v>4010302</v>
      </c>
      <c r="C4002">
        <v>3</v>
      </c>
      <c r="D4002" t="s">
        <v>1776</v>
      </c>
      <c r="E4002">
        <f>105/30</f>
        <v>3.5</v>
      </c>
      <c r="F4002">
        <v>0</v>
      </c>
      <c r="G4002">
        <v>0</v>
      </c>
      <c r="H4002">
        <v>2</v>
      </c>
      <c r="I4002">
        <v>4885</v>
      </c>
      <c r="J4002" t="s">
        <v>58</v>
      </c>
      <c r="K4002">
        <v>0</v>
      </c>
    </row>
    <row r="4003" s="27" customFormat="1" hidden="1" spans="1:12">
      <c r="A4003" s="155" t="s">
        <v>4130</v>
      </c>
      <c r="B4003" s="156">
        <v>151</v>
      </c>
      <c r="D4003" s="27" t="s">
        <v>36</v>
      </c>
      <c r="E4003" s="157">
        <v>2.7</v>
      </c>
      <c r="F4003" s="27">
        <v>0</v>
      </c>
      <c r="J4003" s="160"/>
      <c r="K4003" s="27">
        <v>1</v>
      </c>
      <c r="L4003" s="161"/>
    </row>
    <row r="4004" s="27" customFormat="1" hidden="1" spans="1:12">
      <c r="A4004" s="155" t="s">
        <v>4131</v>
      </c>
      <c r="B4004" s="156">
        <v>151</v>
      </c>
      <c r="D4004" s="27" t="s">
        <v>38</v>
      </c>
      <c r="E4004" s="157">
        <v>2.067</v>
      </c>
      <c r="F4004" s="27">
        <v>0</v>
      </c>
      <c r="J4004" s="160"/>
      <c r="K4004" s="27">
        <v>1</v>
      </c>
      <c r="L4004" s="161"/>
    </row>
    <row r="4005" s="27" customFormat="1" hidden="1" spans="1:12">
      <c r="A4005" s="155" t="s">
        <v>4132</v>
      </c>
      <c r="B4005" s="156">
        <v>151</v>
      </c>
      <c r="D4005" s="27" t="s">
        <v>40</v>
      </c>
      <c r="E4005" s="157">
        <v>2.867</v>
      </c>
      <c r="F4005" s="27">
        <v>0</v>
      </c>
      <c r="J4005" s="160"/>
      <c r="K4005" s="27">
        <v>1</v>
      </c>
      <c r="L4005" s="161"/>
    </row>
    <row r="4006" s="27" customFormat="1" hidden="1" spans="1:12">
      <c r="A4006" s="155" t="s">
        <v>4133</v>
      </c>
      <c r="B4006" s="156">
        <v>151</v>
      </c>
      <c r="D4006" s="27" t="s">
        <v>42</v>
      </c>
      <c r="E4006" s="157">
        <v>13.1</v>
      </c>
      <c r="F4006" s="27">
        <v>0</v>
      </c>
      <c r="J4006" s="160"/>
      <c r="K4006" s="27">
        <v>1</v>
      </c>
      <c r="L4006" s="161"/>
    </row>
    <row r="4007" s="27" customFormat="1" hidden="1" spans="1:12">
      <c r="A4007" s="155" t="s">
        <v>4134</v>
      </c>
      <c r="B4007" s="156">
        <v>151</v>
      </c>
      <c r="D4007" s="27" t="s">
        <v>44</v>
      </c>
      <c r="E4007" s="157">
        <v>6.267</v>
      </c>
      <c r="F4007" s="27">
        <v>0</v>
      </c>
      <c r="J4007" s="160"/>
      <c r="K4007" s="27">
        <v>1</v>
      </c>
      <c r="L4007" s="161"/>
    </row>
    <row r="4008" s="28" customFormat="1" hidden="1" spans="1:12">
      <c r="A4008" s="158">
        <v>15120</v>
      </c>
      <c r="B4008" s="159">
        <v>151</v>
      </c>
      <c r="D4008" s="28" t="s">
        <v>92</v>
      </c>
      <c r="E4008" s="157">
        <v>1.7</v>
      </c>
      <c r="F4008" s="28">
        <v>0</v>
      </c>
      <c r="J4008" s="162"/>
      <c r="K4008" s="28">
        <v>1</v>
      </c>
      <c r="L4008" s="163"/>
    </row>
    <row r="4009" s="28" customFormat="1" hidden="1" spans="1:12">
      <c r="A4009" s="158">
        <v>15121</v>
      </c>
      <c r="B4009" s="159">
        <v>151</v>
      </c>
      <c r="D4009" s="28" t="s">
        <v>109</v>
      </c>
      <c r="E4009" s="157">
        <v>3.8</v>
      </c>
      <c r="F4009" s="28">
        <v>0</v>
      </c>
      <c r="J4009" s="162"/>
      <c r="K4009" s="28">
        <v>1</v>
      </c>
      <c r="L4009" s="163"/>
    </row>
    <row r="4010" s="28" customFormat="1" hidden="1" spans="1:12">
      <c r="A4010" s="158">
        <v>15122</v>
      </c>
      <c r="B4010" s="159">
        <v>151</v>
      </c>
      <c r="D4010" s="28" t="s">
        <v>97</v>
      </c>
      <c r="E4010" s="157">
        <v>2.667</v>
      </c>
      <c r="F4010" s="28">
        <v>0</v>
      </c>
      <c r="J4010" s="162"/>
      <c r="K4010" s="28">
        <v>1</v>
      </c>
      <c r="L4010" s="163"/>
    </row>
    <row r="4011" s="28" customFormat="1" hidden="1" spans="1:12">
      <c r="A4011" s="158">
        <v>15123</v>
      </c>
      <c r="B4011" s="159">
        <v>151</v>
      </c>
      <c r="D4011" s="28" t="s">
        <v>77</v>
      </c>
      <c r="E4011" s="157">
        <v>2.867</v>
      </c>
      <c r="F4011" s="28">
        <v>0</v>
      </c>
      <c r="J4011" s="162"/>
      <c r="K4011" s="28">
        <v>1</v>
      </c>
      <c r="L4011" s="163"/>
    </row>
    <row r="4012" s="28" customFormat="1" hidden="1" spans="1:12">
      <c r="A4012" s="158">
        <v>15124</v>
      </c>
      <c r="B4012" s="159">
        <v>151</v>
      </c>
      <c r="D4012" s="28" t="s">
        <v>54</v>
      </c>
      <c r="E4012" s="157">
        <v>2.433</v>
      </c>
      <c r="F4012" s="28">
        <v>0</v>
      </c>
      <c r="J4012" s="162"/>
      <c r="K4012" s="28">
        <v>1</v>
      </c>
      <c r="L4012" s="163"/>
    </row>
    <row r="4013" s="28" customFormat="1" hidden="1" spans="1:12">
      <c r="A4013" s="158">
        <v>15125</v>
      </c>
      <c r="B4013" s="159">
        <v>151</v>
      </c>
      <c r="D4013" s="28" t="s">
        <v>57</v>
      </c>
      <c r="E4013" s="157">
        <v>2.667</v>
      </c>
      <c r="F4013" s="28">
        <v>0</v>
      </c>
      <c r="G4013" s="28">
        <v>0</v>
      </c>
      <c r="H4013" s="28">
        <v>2</v>
      </c>
      <c r="I4013" s="28">
        <v>4923</v>
      </c>
      <c r="J4013" s="28" t="s">
        <v>58</v>
      </c>
      <c r="K4013" s="28">
        <v>1</v>
      </c>
      <c r="L4013" s="164"/>
    </row>
    <row r="4014" s="28" customFormat="1" hidden="1" spans="1:12">
      <c r="A4014" s="158">
        <v>15126</v>
      </c>
      <c r="B4014" s="159">
        <v>151</v>
      </c>
      <c r="D4014" s="28" t="s">
        <v>1776</v>
      </c>
      <c r="E4014" s="157">
        <v>1.2</v>
      </c>
      <c r="F4014" s="28">
        <v>0</v>
      </c>
      <c r="G4014" s="28" t="s">
        <v>61</v>
      </c>
      <c r="H4014" s="28" t="s">
        <v>62</v>
      </c>
      <c r="I4014" s="28" t="s">
        <v>4135</v>
      </c>
      <c r="J4014" s="28" t="s">
        <v>4136</v>
      </c>
      <c r="K4014" s="28" t="s">
        <v>95</v>
      </c>
      <c r="L4014" s="164"/>
    </row>
    <row r="4015" s="27" customFormat="1" hidden="1" spans="1:12">
      <c r="A4015" s="155">
        <v>15127</v>
      </c>
      <c r="B4015" s="156">
        <v>151</v>
      </c>
      <c r="C4015" s="27">
        <v>3</v>
      </c>
      <c r="D4015" s="27" t="s">
        <v>1047</v>
      </c>
      <c r="E4015" s="157">
        <v>1.833</v>
      </c>
      <c r="F4015" s="27">
        <v>0</v>
      </c>
      <c r="J4015" s="160"/>
      <c r="K4015" s="27">
        <v>1</v>
      </c>
      <c r="L4015" s="161"/>
    </row>
    <row r="4016" s="27" customFormat="1" hidden="1" spans="1:12">
      <c r="A4016" s="155">
        <v>15128</v>
      </c>
      <c r="B4016" s="156">
        <v>151</v>
      </c>
      <c r="D4016" s="27" t="s">
        <v>2198</v>
      </c>
      <c r="E4016" s="157">
        <v>1.333</v>
      </c>
      <c r="F4016" s="27">
        <v>1</v>
      </c>
      <c r="J4016" s="160"/>
      <c r="K4016" s="27">
        <v>1</v>
      </c>
      <c r="L4016" s="161"/>
    </row>
    <row r="4017" s="27" customFormat="1" hidden="1" spans="1:12">
      <c r="A4017" s="155">
        <v>15129</v>
      </c>
      <c r="B4017" s="156">
        <v>151</v>
      </c>
      <c r="D4017" s="27" t="s">
        <v>2182</v>
      </c>
      <c r="E4017" s="157">
        <v>1.2</v>
      </c>
      <c r="F4017" s="27">
        <v>0</v>
      </c>
      <c r="J4017" s="160"/>
      <c r="K4017" s="27">
        <v>1</v>
      </c>
      <c r="L4017" s="161"/>
    </row>
    <row r="4018" s="27" customFormat="1" hidden="1" spans="1:12">
      <c r="A4018" s="155">
        <v>15130</v>
      </c>
      <c r="B4018" s="156">
        <v>151</v>
      </c>
      <c r="D4018" s="27" t="s">
        <v>2184</v>
      </c>
      <c r="E4018" s="157">
        <v>1</v>
      </c>
      <c r="F4018" s="27">
        <v>0</v>
      </c>
      <c r="J4018" s="160"/>
      <c r="K4018" s="27">
        <v>1</v>
      </c>
      <c r="L4018" s="161"/>
    </row>
    <row r="4019" s="27" customFormat="1" hidden="1" spans="1:12">
      <c r="A4019" s="155">
        <v>15131</v>
      </c>
      <c r="B4019" s="156">
        <v>151</v>
      </c>
      <c r="D4019" s="27" t="s">
        <v>2186</v>
      </c>
      <c r="E4019" s="157">
        <v>1.733</v>
      </c>
      <c r="F4019" s="27">
        <v>0</v>
      </c>
      <c r="J4019" s="160"/>
      <c r="K4019" s="27">
        <v>1</v>
      </c>
      <c r="L4019" s="161"/>
    </row>
    <row r="4020" s="27" customFormat="1" hidden="1" spans="1:12">
      <c r="A4020" s="155">
        <v>15132</v>
      </c>
      <c r="B4020" s="156">
        <v>151</v>
      </c>
      <c r="D4020" s="27" t="s">
        <v>2188</v>
      </c>
      <c r="E4020" s="157">
        <v>0.8</v>
      </c>
      <c r="F4020" s="27">
        <v>0</v>
      </c>
      <c r="J4020" s="160"/>
      <c r="K4020" s="27">
        <v>1</v>
      </c>
      <c r="L4020" s="161"/>
    </row>
    <row r="4021" s="27" customFormat="1" hidden="1" spans="1:12">
      <c r="A4021" s="155">
        <v>15133</v>
      </c>
      <c r="B4021" s="156">
        <v>151</v>
      </c>
      <c r="D4021" s="27" t="s">
        <v>2190</v>
      </c>
      <c r="E4021" s="157">
        <v>1.067</v>
      </c>
      <c r="F4021" s="27">
        <v>0</v>
      </c>
      <c r="J4021" s="160"/>
      <c r="K4021" s="27">
        <v>1</v>
      </c>
      <c r="L4021" s="161"/>
    </row>
    <row r="4022" s="27" customFormat="1" hidden="1" spans="1:12">
      <c r="A4022" s="155">
        <v>15134</v>
      </c>
      <c r="B4022" s="156">
        <v>151</v>
      </c>
      <c r="D4022" s="27" t="s">
        <v>2192</v>
      </c>
      <c r="E4022" s="157">
        <v>0.8</v>
      </c>
      <c r="F4022" s="27">
        <v>0</v>
      </c>
      <c r="J4022" s="160"/>
      <c r="K4022" s="27">
        <v>1</v>
      </c>
      <c r="L4022" s="161"/>
    </row>
    <row r="4023" s="27" customFormat="1" hidden="1" spans="1:12">
      <c r="A4023" s="155">
        <v>15135</v>
      </c>
      <c r="B4023" s="156">
        <v>151</v>
      </c>
      <c r="D4023" s="27" t="s">
        <v>2194</v>
      </c>
      <c r="E4023" s="157">
        <v>0.8</v>
      </c>
      <c r="F4023" s="27">
        <v>0</v>
      </c>
      <c r="J4023" s="160"/>
      <c r="K4023" s="27">
        <v>1</v>
      </c>
      <c r="L4023" s="161"/>
    </row>
    <row r="4024" s="27" customFormat="1" hidden="1" spans="1:12">
      <c r="A4024" s="155">
        <v>15136</v>
      </c>
      <c r="B4024" s="156">
        <v>151</v>
      </c>
      <c r="D4024" s="27" t="s">
        <v>300</v>
      </c>
      <c r="E4024" s="157">
        <v>0.867</v>
      </c>
      <c r="F4024" s="27">
        <v>0</v>
      </c>
      <c r="J4024" s="160"/>
      <c r="K4024" s="27">
        <v>1</v>
      </c>
      <c r="L4024" s="161"/>
    </row>
    <row r="4025" s="27" customFormat="1" hidden="1" spans="1:12">
      <c r="A4025" s="155">
        <v>15137</v>
      </c>
      <c r="B4025" s="156">
        <v>151</v>
      </c>
      <c r="D4025" s="27" t="s">
        <v>2178</v>
      </c>
      <c r="E4025" s="157">
        <v>0.833</v>
      </c>
      <c r="F4025" s="27">
        <v>0</v>
      </c>
      <c r="J4025" s="160"/>
      <c r="K4025" s="27">
        <v>1</v>
      </c>
      <c r="L4025" s="161"/>
    </row>
    <row r="4026" s="27" customFormat="1" hidden="1" spans="1:12">
      <c r="A4026" s="155">
        <v>15138</v>
      </c>
      <c r="B4026" s="156">
        <v>151</v>
      </c>
      <c r="D4026" s="27" t="s">
        <v>2196</v>
      </c>
      <c r="E4026" s="157">
        <v>1.333</v>
      </c>
      <c r="F4026" s="27">
        <v>0</v>
      </c>
      <c r="J4026" s="160"/>
      <c r="K4026" s="27">
        <v>1</v>
      </c>
      <c r="L4026" s="161"/>
    </row>
    <row r="4027" s="27" customFormat="1" hidden="1" spans="1:12">
      <c r="A4027" s="155">
        <v>15139</v>
      </c>
      <c r="B4027" s="156">
        <v>151</v>
      </c>
      <c r="D4027" s="27" t="s">
        <v>130</v>
      </c>
      <c r="E4027" s="157">
        <v>2</v>
      </c>
      <c r="F4027" s="27">
        <v>1</v>
      </c>
      <c r="J4027" s="160"/>
      <c r="K4027" s="27">
        <v>1</v>
      </c>
      <c r="L4027" s="161"/>
    </row>
    <row r="4028" s="27" customFormat="1" hidden="1" spans="1:12">
      <c r="A4028" s="155">
        <v>15140</v>
      </c>
      <c r="B4028" s="156">
        <v>151</v>
      </c>
      <c r="D4028" s="27" t="s">
        <v>264</v>
      </c>
      <c r="E4028" s="157">
        <v>2</v>
      </c>
      <c r="F4028" s="27">
        <v>1</v>
      </c>
      <c r="J4028" s="160"/>
      <c r="K4028" s="27">
        <v>1</v>
      </c>
      <c r="L4028" s="161"/>
    </row>
    <row r="4029" s="27" customFormat="1" hidden="1" spans="1:12">
      <c r="A4029" s="155">
        <v>15141</v>
      </c>
      <c r="B4029" s="156">
        <v>151</v>
      </c>
      <c r="D4029" s="27" t="s">
        <v>270</v>
      </c>
      <c r="E4029" s="157">
        <v>2</v>
      </c>
      <c r="F4029" s="27">
        <v>1</v>
      </c>
      <c r="J4029" s="160"/>
      <c r="K4029" s="27">
        <v>1</v>
      </c>
      <c r="L4029" s="161"/>
    </row>
    <row r="4030" s="27" customFormat="1" hidden="1" spans="1:12">
      <c r="A4030" s="155">
        <v>15142</v>
      </c>
      <c r="B4030" s="156">
        <v>151</v>
      </c>
      <c r="D4030" s="27" t="s">
        <v>2618</v>
      </c>
      <c r="E4030" s="157">
        <v>2</v>
      </c>
      <c r="F4030" s="27">
        <v>1</v>
      </c>
      <c r="J4030" s="160"/>
      <c r="K4030" s="27">
        <v>1</v>
      </c>
      <c r="L4030" s="161"/>
    </row>
    <row r="4031" s="27" customFormat="1" hidden="1" spans="1:12">
      <c r="A4031" s="155">
        <v>15143</v>
      </c>
      <c r="B4031" s="156">
        <v>151</v>
      </c>
      <c r="D4031" s="27" t="s">
        <v>261</v>
      </c>
      <c r="E4031" s="157">
        <v>0.8</v>
      </c>
      <c r="F4031" s="27">
        <v>1</v>
      </c>
      <c r="J4031" s="160"/>
      <c r="K4031" s="27">
        <v>1</v>
      </c>
      <c r="L4031" s="161"/>
    </row>
    <row r="4032" s="27" customFormat="1" hidden="1" spans="1:12">
      <c r="A4032" s="155">
        <v>15144</v>
      </c>
      <c r="B4032" s="156">
        <v>151</v>
      </c>
      <c r="D4032" s="27" t="s">
        <v>236</v>
      </c>
      <c r="E4032" s="157">
        <v>2.667</v>
      </c>
      <c r="F4032" s="27">
        <v>0</v>
      </c>
      <c r="J4032" s="160"/>
      <c r="K4032" s="27">
        <v>1</v>
      </c>
      <c r="L4032" s="161"/>
    </row>
    <row r="4033" s="27" customFormat="1" hidden="1" spans="1:12">
      <c r="A4033" s="155">
        <v>15145</v>
      </c>
      <c r="B4033" s="156">
        <v>151</v>
      </c>
      <c r="D4033" s="27" t="s">
        <v>2629</v>
      </c>
      <c r="E4033" s="157">
        <v>2.433</v>
      </c>
      <c r="F4033" s="27">
        <v>0</v>
      </c>
      <c r="J4033" s="160"/>
      <c r="K4033" s="27">
        <v>1</v>
      </c>
      <c r="L4033" s="161"/>
    </row>
    <row r="4034" s="27" customFormat="1" hidden="1" spans="1:12">
      <c r="A4034" s="155">
        <v>15146</v>
      </c>
      <c r="B4034" s="156">
        <v>151</v>
      </c>
      <c r="D4034" s="27" t="s">
        <v>268</v>
      </c>
      <c r="E4034" s="157">
        <v>2.3</v>
      </c>
      <c r="F4034" s="27">
        <v>1</v>
      </c>
      <c r="J4034" s="160"/>
      <c r="K4034" s="27">
        <v>1</v>
      </c>
      <c r="L4034" s="161"/>
    </row>
    <row r="4035" s="27" customFormat="1" hidden="1" spans="1:12">
      <c r="A4035" s="155">
        <v>15147</v>
      </c>
      <c r="B4035" s="156">
        <v>151</v>
      </c>
      <c r="D4035" s="27" t="s">
        <v>266</v>
      </c>
      <c r="E4035" s="157">
        <v>1.133</v>
      </c>
      <c r="F4035" s="27">
        <v>1</v>
      </c>
      <c r="J4035" s="160"/>
      <c r="K4035" s="27">
        <v>1</v>
      </c>
      <c r="L4035" s="161"/>
    </row>
    <row r="4036" s="27" customFormat="1" hidden="1" spans="1:12">
      <c r="A4036" s="155">
        <v>15148</v>
      </c>
      <c r="B4036" s="156">
        <v>151</v>
      </c>
      <c r="D4036" s="27" t="s">
        <v>2633</v>
      </c>
      <c r="E4036" s="157">
        <v>1.133</v>
      </c>
      <c r="F4036" s="27">
        <v>1</v>
      </c>
      <c r="J4036" s="160"/>
      <c r="K4036" s="27">
        <v>1</v>
      </c>
      <c r="L4036" s="161"/>
    </row>
    <row r="4037" s="27" customFormat="1" hidden="1" spans="1:12">
      <c r="A4037" s="155">
        <v>15149</v>
      </c>
      <c r="B4037" s="156">
        <v>151</v>
      </c>
      <c r="D4037" s="27" t="s">
        <v>204</v>
      </c>
      <c r="E4037" s="157">
        <v>2.4</v>
      </c>
      <c r="F4037" s="27">
        <v>0</v>
      </c>
      <c r="J4037" s="160"/>
      <c r="K4037" s="27">
        <v>1</v>
      </c>
      <c r="L4037" s="161"/>
    </row>
    <row r="4038" s="27" customFormat="1" hidden="1" spans="1:12">
      <c r="A4038" s="155">
        <v>15150</v>
      </c>
      <c r="B4038" s="156">
        <v>151</v>
      </c>
      <c r="D4038" s="27" t="s">
        <v>60</v>
      </c>
      <c r="E4038" s="157">
        <v>1.833</v>
      </c>
      <c r="F4038" s="27">
        <v>0</v>
      </c>
      <c r="J4038" s="160"/>
      <c r="K4038" s="27">
        <v>1</v>
      </c>
      <c r="L4038" s="161"/>
    </row>
    <row r="4039" s="27" customFormat="1" hidden="1" spans="1:12">
      <c r="A4039" s="155">
        <v>15151</v>
      </c>
      <c r="B4039" s="156">
        <v>151</v>
      </c>
      <c r="D4039" s="27" t="s">
        <v>1788</v>
      </c>
      <c r="E4039" s="157">
        <v>3.333</v>
      </c>
      <c r="F4039" s="27">
        <v>0</v>
      </c>
      <c r="J4039" s="160"/>
      <c r="K4039" s="27">
        <v>1</v>
      </c>
      <c r="L4039" s="161"/>
    </row>
    <row r="4040" s="27" customFormat="1" hidden="1" spans="1:12">
      <c r="A4040" s="155">
        <v>15152</v>
      </c>
      <c r="B4040" s="156">
        <v>151</v>
      </c>
      <c r="D4040" s="27" t="s">
        <v>2621</v>
      </c>
      <c r="E4040" s="157">
        <v>0.833</v>
      </c>
      <c r="F4040" s="27">
        <v>1</v>
      </c>
      <c r="J4040" s="160"/>
      <c r="K4040" s="27">
        <v>1</v>
      </c>
      <c r="L4040" s="161"/>
    </row>
    <row r="4041" s="27" customFormat="1" hidden="1" spans="1:12">
      <c r="A4041" s="155">
        <v>15153</v>
      </c>
      <c r="B4041" s="156">
        <v>151</v>
      </c>
      <c r="D4041" s="27" t="s">
        <v>2623</v>
      </c>
      <c r="E4041" s="157">
        <f>60/30</f>
        <v>2</v>
      </c>
      <c r="F4041" s="27">
        <v>1</v>
      </c>
      <c r="J4041" s="160"/>
      <c r="K4041" s="27">
        <v>1</v>
      </c>
      <c r="L4041" s="161"/>
    </row>
    <row r="4042" s="29" customFormat="1" hidden="1" spans="1:12">
      <c r="A4042" s="165">
        <v>401510101</v>
      </c>
      <c r="B4042" s="166">
        <v>4015101</v>
      </c>
      <c r="D4042" s="29" t="s">
        <v>36</v>
      </c>
      <c r="E4042" s="157">
        <v>2.7</v>
      </c>
      <c r="F4042" s="29">
        <v>0</v>
      </c>
      <c r="J4042" s="169"/>
      <c r="K4042" s="29">
        <v>1</v>
      </c>
      <c r="L4042" s="170"/>
    </row>
    <row r="4043" s="29" customFormat="1" hidden="1" spans="1:12">
      <c r="A4043" s="165">
        <v>401510102</v>
      </c>
      <c r="B4043" s="166">
        <v>4015101</v>
      </c>
      <c r="D4043" s="29" t="s">
        <v>38</v>
      </c>
      <c r="E4043" s="157">
        <v>2.067</v>
      </c>
      <c r="F4043" s="29">
        <v>0</v>
      </c>
      <c r="J4043" s="169"/>
      <c r="K4043" s="29">
        <v>1</v>
      </c>
      <c r="L4043" s="170"/>
    </row>
    <row r="4044" s="29" customFormat="1" hidden="1" spans="1:12">
      <c r="A4044" s="165">
        <v>401510103</v>
      </c>
      <c r="B4044" s="166">
        <v>4015101</v>
      </c>
      <c r="D4044" s="29" t="s">
        <v>40</v>
      </c>
      <c r="E4044" s="157">
        <v>2.867</v>
      </c>
      <c r="F4044" s="29">
        <v>0</v>
      </c>
      <c r="J4044" s="169"/>
      <c r="K4044" s="29">
        <v>1</v>
      </c>
      <c r="L4044" s="170"/>
    </row>
    <row r="4045" s="29" customFormat="1" hidden="1" spans="1:12">
      <c r="A4045" s="165">
        <v>401510104</v>
      </c>
      <c r="B4045" s="166">
        <v>4015101</v>
      </c>
      <c r="D4045" s="29" t="s">
        <v>42</v>
      </c>
      <c r="E4045" s="157">
        <v>13.1</v>
      </c>
      <c r="F4045" s="29">
        <v>0</v>
      </c>
      <c r="J4045" s="169"/>
      <c r="K4045" s="29">
        <v>1</v>
      </c>
      <c r="L4045" s="170"/>
    </row>
    <row r="4046" s="29" customFormat="1" hidden="1" spans="1:12">
      <c r="A4046" s="165">
        <v>401510105</v>
      </c>
      <c r="B4046" s="166">
        <v>4015101</v>
      </c>
      <c r="D4046" s="29" t="s">
        <v>44</v>
      </c>
      <c r="E4046" s="157">
        <v>6.267</v>
      </c>
      <c r="F4046" s="29">
        <v>0</v>
      </c>
      <c r="J4046" s="169"/>
      <c r="K4046" s="29">
        <v>1</v>
      </c>
      <c r="L4046" s="170"/>
    </row>
    <row r="4047" s="28" customFormat="1" hidden="1" spans="1:12">
      <c r="A4047" s="158">
        <v>401510120</v>
      </c>
      <c r="B4047" s="159">
        <v>4015101</v>
      </c>
      <c r="D4047" s="28" t="s">
        <v>92</v>
      </c>
      <c r="E4047" s="157">
        <v>1.7</v>
      </c>
      <c r="F4047" s="28">
        <v>0</v>
      </c>
      <c r="J4047" s="162"/>
      <c r="K4047" s="28">
        <v>1</v>
      </c>
      <c r="L4047" s="163"/>
    </row>
    <row r="4048" s="28" customFormat="1" hidden="1" spans="1:12">
      <c r="A4048" s="158">
        <v>401510121</v>
      </c>
      <c r="B4048" s="159">
        <v>4015101</v>
      </c>
      <c r="D4048" s="28" t="s">
        <v>109</v>
      </c>
      <c r="E4048" s="157">
        <v>3.8</v>
      </c>
      <c r="F4048" s="28">
        <v>0</v>
      </c>
      <c r="J4048" s="162"/>
      <c r="K4048" s="28">
        <v>1</v>
      </c>
      <c r="L4048" s="163"/>
    </row>
    <row r="4049" s="28" customFormat="1" hidden="1" spans="1:12">
      <c r="A4049" s="158">
        <v>401510122</v>
      </c>
      <c r="B4049" s="159">
        <v>4015101</v>
      </c>
      <c r="D4049" s="28" t="s">
        <v>97</v>
      </c>
      <c r="E4049" s="157">
        <v>2.667</v>
      </c>
      <c r="F4049" s="28">
        <v>0</v>
      </c>
      <c r="J4049" s="162"/>
      <c r="K4049" s="28">
        <v>1</v>
      </c>
      <c r="L4049" s="163"/>
    </row>
    <row r="4050" s="28" customFormat="1" hidden="1" spans="1:12">
      <c r="A4050" s="158">
        <v>401510123</v>
      </c>
      <c r="B4050" s="159">
        <v>4015101</v>
      </c>
      <c r="D4050" s="28" t="s">
        <v>77</v>
      </c>
      <c r="E4050" s="157">
        <v>2.867</v>
      </c>
      <c r="F4050" s="28">
        <v>0</v>
      </c>
      <c r="J4050" s="162"/>
      <c r="K4050" s="28">
        <v>1</v>
      </c>
      <c r="L4050" s="163"/>
    </row>
    <row r="4051" s="28" customFormat="1" hidden="1" spans="1:12">
      <c r="A4051" s="158">
        <v>401510124</v>
      </c>
      <c r="B4051" s="159">
        <v>4015101</v>
      </c>
      <c r="D4051" s="28" t="s">
        <v>54</v>
      </c>
      <c r="E4051" s="157">
        <v>2.433</v>
      </c>
      <c r="F4051" s="28">
        <v>0</v>
      </c>
      <c r="J4051" s="162"/>
      <c r="K4051" s="28">
        <v>1</v>
      </c>
      <c r="L4051" s="163"/>
    </row>
    <row r="4052" s="28" customFormat="1" hidden="1" spans="1:12">
      <c r="A4052" s="158">
        <v>401510125</v>
      </c>
      <c r="B4052" s="159">
        <v>4015101</v>
      </c>
      <c r="D4052" s="28" t="s">
        <v>57</v>
      </c>
      <c r="E4052" s="157">
        <v>2.667</v>
      </c>
      <c r="F4052" s="28">
        <v>0</v>
      </c>
      <c r="G4052" s="28">
        <v>0</v>
      </c>
      <c r="H4052" s="28">
        <v>2</v>
      </c>
      <c r="I4052" s="28">
        <v>4923</v>
      </c>
      <c r="J4052" s="28" t="s">
        <v>58</v>
      </c>
      <c r="K4052" s="28">
        <v>1</v>
      </c>
      <c r="L4052" s="164"/>
    </row>
    <row r="4053" s="28" customFormat="1" hidden="1" spans="1:12">
      <c r="A4053" s="158">
        <v>401510126</v>
      </c>
      <c r="B4053" s="159">
        <v>4015101</v>
      </c>
      <c r="D4053" s="28" t="s">
        <v>1776</v>
      </c>
      <c r="E4053" s="157">
        <v>1.2</v>
      </c>
      <c r="F4053" s="28">
        <v>0</v>
      </c>
      <c r="G4053" s="28" t="s">
        <v>61</v>
      </c>
      <c r="H4053" s="28" t="s">
        <v>62</v>
      </c>
      <c r="I4053" s="28" t="s">
        <v>4135</v>
      </c>
      <c r="J4053" s="28" t="s">
        <v>4136</v>
      </c>
      <c r="K4053" s="28" t="s">
        <v>95</v>
      </c>
      <c r="L4053" s="164"/>
    </row>
    <row r="4054" s="29" customFormat="1" hidden="1" spans="1:12">
      <c r="A4054" s="165">
        <v>401510127</v>
      </c>
      <c r="B4054" s="166">
        <v>4015101</v>
      </c>
      <c r="C4054" s="29">
        <v>3</v>
      </c>
      <c r="D4054" s="29" t="s">
        <v>1047</v>
      </c>
      <c r="E4054" s="157">
        <v>1.833</v>
      </c>
      <c r="F4054" s="29">
        <v>0</v>
      </c>
      <c r="J4054" s="169"/>
      <c r="K4054" s="29">
        <v>1</v>
      </c>
      <c r="L4054" s="170"/>
    </row>
    <row r="4055" s="29" customFormat="1" hidden="1" spans="1:12">
      <c r="A4055" s="165">
        <v>401510128</v>
      </c>
      <c r="B4055" s="166">
        <v>4015101</v>
      </c>
      <c r="D4055" s="29" t="s">
        <v>2198</v>
      </c>
      <c r="E4055" s="157">
        <v>1.333</v>
      </c>
      <c r="F4055" s="29">
        <v>1</v>
      </c>
      <c r="J4055" s="169"/>
      <c r="K4055" s="29">
        <v>1</v>
      </c>
      <c r="L4055" s="170"/>
    </row>
    <row r="4056" s="29" customFormat="1" hidden="1" spans="1:12">
      <c r="A4056" s="165">
        <v>401510129</v>
      </c>
      <c r="B4056" s="166">
        <v>4015101</v>
      </c>
      <c r="D4056" s="29" t="s">
        <v>2182</v>
      </c>
      <c r="E4056" s="157">
        <v>1.2</v>
      </c>
      <c r="F4056" s="29">
        <v>0</v>
      </c>
      <c r="J4056" s="169"/>
      <c r="K4056" s="29">
        <v>1</v>
      </c>
      <c r="L4056" s="170"/>
    </row>
    <row r="4057" s="29" customFormat="1" hidden="1" spans="1:12">
      <c r="A4057" s="165">
        <v>401510130</v>
      </c>
      <c r="B4057" s="166">
        <v>4015101</v>
      </c>
      <c r="D4057" s="29" t="s">
        <v>2184</v>
      </c>
      <c r="E4057" s="157">
        <v>1</v>
      </c>
      <c r="F4057" s="29">
        <v>0</v>
      </c>
      <c r="J4057" s="169"/>
      <c r="K4057" s="29">
        <v>1</v>
      </c>
      <c r="L4057" s="170"/>
    </row>
    <row r="4058" s="29" customFormat="1" hidden="1" spans="1:12">
      <c r="A4058" s="165">
        <v>401510131</v>
      </c>
      <c r="B4058" s="166">
        <v>4015101</v>
      </c>
      <c r="D4058" s="29" t="s">
        <v>2186</v>
      </c>
      <c r="E4058" s="157">
        <v>1.733</v>
      </c>
      <c r="F4058" s="29">
        <v>0</v>
      </c>
      <c r="J4058" s="169"/>
      <c r="K4058" s="29">
        <v>1</v>
      </c>
      <c r="L4058" s="170"/>
    </row>
    <row r="4059" s="29" customFormat="1" hidden="1" spans="1:12">
      <c r="A4059" s="165">
        <v>401510132</v>
      </c>
      <c r="B4059" s="166">
        <v>4015101</v>
      </c>
      <c r="D4059" s="29" t="s">
        <v>2188</v>
      </c>
      <c r="E4059" s="157">
        <v>0.8</v>
      </c>
      <c r="F4059" s="29">
        <v>0</v>
      </c>
      <c r="J4059" s="169"/>
      <c r="K4059" s="29">
        <v>1</v>
      </c>
      <c r="L4059" s="170"/>
    </row>
    <row r="4060" s="29" customFormat="1" hidden="1" spans="1:12">
      <c r="A4060" s="165">
        <v>401510133</v>
      </c>
      <c r="B4060" s="166">
        <v>4015101</v>
      </c>
      <c r="D4060" s="29" t="s">
        <v>2190</v>
      </c>
      <c r="E4060" s="157">
        <v>1.067</v>
      </c>
      <c r="F4060" s="29">
        <v>0</v>
      </c>
      <c r="J4060" s="169"/>
      <c r="K4060" s="29">
        <v>1</v>
      </c>
      <c r="L4060" s="170"/>
    </row>
    <row r="4061" s="29" customFormat="1" hidden="1" spans="1:12">
      <c r="A4061" s="165">
        <v>401510134</v>
      </c>
      <c r="B4061" s="166">
        <v>4015101</v>
      </c>
      <c r="D4061" s="29" t="s">
        <v>2192</v>
      </c>
      <c r="E4061" s="157">
        <v>0.8</v>
      </c>
      <c r="F4061" s="29">
        <v>0</v>
      </c>
      <c r="J4061" s="169"/>
      <c r="K4061" s="29">
        <v>1</v>
      </c>
      <c r="L4061" s="170"/>
    </row>
    <row r="4062" s="29" customFormat="1" hidden="1" spans="1:12">
      <c r="A4062" s="165">
        <v>401510135</v>
      </c>
      <c r="B4062" s="166">
        <v>4015101</v>
      </c>
      <c r="D4062" s="29" t="s">
        <v>2194</v>
      </c>
      <c r="E4062" s="157">
        <v>0.8</v>
      </c>
      <c r="F4062" s="29">
        <v>0</v>
      </c>
      <c r="J4062" s="169"/>
      <c r="K4062" s="29">
        <v>1</v>
      </c>
      <c r="L4062" s="170"/>
    </row>
    <row r="4063" s="29" customFormat="1" hidden="1" spans="1:12">
      <c r="A4063" s="165">
        <v>401510136</v>
      </c>
      <c r="B4063" s="166">
        <v>4015101</v>
      </c>
      <c r="D4063" s="29" t="s">
        <v>300</v>
      </c>
      <c r="E4063" s="157">
        <v>0.867</v>
      </c>
      <c r="F4063" s="29">
        <v>0</v>
      </c>
      <c r="J4063" s="169"/>
      <c r="K4063" s="29">
        <v>1</v>
      </c>
      <c r="L4063" s="170"/>
    </row>
    <row r="4064" s="29" customFormat="1" hidden="1" spans="1:12">
      <c r="A4064" s="165">
        <v>401510137</v>
      </c>
      <c r="B4064" s="166">
        <v>4015101</v>
      </c>
      <c r="D4064" s="29" t="s">
        <v>2178</v>
      </c>
      <c r="E4064" s="157">
        <v>0.833</v>
      </c>
      <c r="F4064" s="29">
        <v>0</v>
      </c>
      <c r="J4064" s="169"/>
      <c r="K4064" s="29">
        <v>1</v>
      </c>
      <c r="L4064" s="170"/>
    </row>
    <row r="4065" s="29" customFormat="1" hidden="1" spans="1:12">
      <c r="A4065" s="165">
        <v>401510138</v>
      </c>
      <c r="B4065" s="166">
        <v>4015101</v>
      </c>
      <c r="D4065" s="29" t="s">
        <v>2196</v>
      </c>
      <c r="E4065" s="157">
        <v>1.333</v>
      </c>
      <c r="F4065" s="29">
        <v>0</v>
      </c>
      <c r="J4065" s="169"/>
      <c r="K4065" s="29">
        <v>1</v>
      </c>
      <c r="L4065" s="170"/>
    </row>
    <row r="4066" s="29" customFormat="1" hidden="1" spans="1:12">
      <c r="A4066" s="165">
        <v>401510139</v>
      </c>
      <c r="B4066" s="166">
        <v>4015101</v>
      </c>
      <c r="D4066" s="29" t="s">
        <v>130</v>
      </c>
      <c r="E4066" s="157">
        <v>2</v>
      </c>
      <c r="F4066" s="29">
        <v>1</v>
      </c>
      <c r="J4066" s="169"/>
      <c r="K4066" s="29">
        <v>1</v>
      </c>
      <c r="L4066" s="170"/>
    </row>
    <row r="4067" s="29" customFormat="1" hidden="1" spans="1:12">
      <c r="A4067" s="165">
        <v>401510140</v>
      </c>
      <c r="B4067" s="166">
        <v>4015101</v>
      </c>
      <c r="D4067" s="29" t="s">
        <v>264</v>
      </c>
      <c r="E4067" s="157">
        <v>2</v>
      </c>
      <c r="F4067" s="29">
        <v>1</v>
      </c>
      <c r="J4067" s="169"/>
      <c r="K4067" s="29">
        <v>1</v>
      </c>
      <c r="L4067" s="170"/>
    </row>
    <row r="4068" s="29" customFormat="1" hidden="1" spans="1:12">
      <c r="A4068" s="165">
        <v>401510141</v>
      </c>
      <c r="B4068" s="166">
        <v>4015101</v>
      </c>
      <c r="D4068" s="29" t="s">
        <v>270</v>
      </c>
      <c r="E4068" s="157">
        <v>2</v>
      </c>
      <c r="F4068" s="29">
        <v>1</v>
      </c>
      <c r="J4068" s="169"/>
      <c r="K4068" s="29">
        <v>1</v>
      </c>
      <c r="L4068" s="170"/>
    </row>
    <row r="4069" s="29" customFormat="1" hidden="1" spans="1:12">
      <c r="A4069" s="165">
        <v>401510142</v>
      </c>
      <c r="B4069" s="166">
        <v>4015101</v>
      </c>
      <c r="D4069" s="29" t="s">
        <v>2618</v>
      </c>
      <c r="E4069" s="157">
        <v>2</v>
      </c>
      <c r="F4069" s="29">
        <v>1</v>
      </c>
      <c r="J4069" s="169"/>
      <c r="K4069" s="29">
        <v>1</v>
      </c>
      <c r="L4069" s="170"/>
    </row>
    <row r="4070" s="29" customFormat="1" hidden="1" spans="1:12">
      <c r="A4070" s="165">
        <v>401510143</v>
      </c>
      <c r="B4070" s="166">
        <v>4015101</v>
      </c>
      <c r="D4070" s="29" t="s">
        <v>261</v>
      </c>
      <c r="E4070" s="157">
        <v>0.8</v>
      </c>
      <c r="F4070" s="29">
        <v>1</v>
      </c>
      <c r="J4070" s="169"/>
      <c r="K4070" s="29">
        <v>1</v>
      </c>
      <c r="L4070" s="170"/>
    </row>
    <row r="4071" s="29" customFormat="1" hidden="1" spans="1:12">
      <c r="A4071" s="165">
        <v>401510144</v>
      </c>
      <c r="B4071" s="166">
        <v>4015101</v>
      </c>
      <c r="D4071" s="29" t="s">
        <v>236</v>
      </c>
      <c r="E4071" s="157">
        <v>2.667</v>
      </c>
      <c r="F4071" s="29">
        <v>0</v>
      </c>
      <c r="J4071" s="169"/>
      <c r="K4071" s="29">
        <v>1</v>
      </c>
      <c r="L4071" s="170"/>
    </row>
    <row r="4072" s="29" customFormat="1" hidden="1" spans="1:12">
      <c r="A4072" s="165">
        <v>401510145</v>
      </c>
      <c r="B4072" s="166">
        <v>4015101</v>
      </c>
      <c r="D4072" s="29" t="s">
        <v>2629</v>
      </c>
      <c r="E4072" s="157">
        <v>2.433</v>
      </c>
      <c r="F4072" s="29">
        <v>0</v>
      </c>
      <c r="J4072" s="169"/>
      <c r="K4072" s="29">
        <v>1</v>
      </c>
      <c r="L4072" s="170"/>
    </row>
    <row r="4073" s="29" customFormat="1" hidden="1" spans="1:12">
      <c r="A4073" s="165">
        <v>401510146</v>
      </c>
      <c r="B4073" s="166">
        <v>4015101</v>
      </c>
      <c r="D4073" s="29" t="s">
        <v>268</v>
      </c>
      <c r="E4073" s="157">
        <v>2.3</v>
      </c>
      <c r="F4073" s="29">
        <v>1</v>
      </c>
      <c r="J4073" s="169"/>
      <c r="K4073" s="29">
        <v>1</v>
      </c>
      <c r="L4073" s="170"/>
    </row>
    <row r="4074" s="29" customFormat="1" hidden="1" spans="1:12">
      <c r="A4074" s="165">
        <v>401510147</v>
      </c>
      <c r="B4074" s="166">
        <v>4015101</v>
      </c>
      <c r="D4074" s="29" t="s">
        <v>266</v>
      </c>
      <c r="E4074" s="157">
        <v>1.133</v>
      </c>
      <c r="F4074" s="29">
        <v>1</v>
      </c>
      <c r="J4074" s="169"/>
      <c r="K4074" s="29">
        <v>1</v>
      </c>
      <c r="L4074" s="170"/>
    </row>
    <row r="4075" s="29" customFormat="1" hidden="1" spans="1:12">
      <c r="A4075" s="165">
        <v>401510148</v>
      </c>
      <c r="B4075" s="166">
        <v>4015101</v>
      </c>
      <c r="D4075" s="29" t="s">
        <v>2633</v>
      </c>
      <c r="E4075" s="157">
        <v>1.133</v>
      </c>
      <c r="F4075" s="29">
        <v>1</v>
      </c>
      <c r="J4075" s="169"/>
      <c r="K4075" s="29">
        <v>1</v>
      </c>
      <c r="L4075" s="170"/>
    </row>
    <row r="4076" s="29" customFormat="1" hidden="1" spans="1:12">
      <c r="A4076" s="165">
        <v>401510149</v>
      </c>
      <c r="B4076" s="166">
        <v>4015101</v>
      </c>
      <c r="D4076" s="29" t="s">
        <v>204</v>
      </c>
      <c r="E4076" s="157">
        <v>2.4</v>
      </c>
      <c r="F4076" s="29">
        <v>0</v>
      </c>
      <c r="J4076" s="169"/>
      <c r="K4076" s="29">
        <v>1</v>
      </c>
      <c r="L4076" s="170"/>
    </row>
    <row r="4077" s="29" customFormat="1" hidden="1" spans="1:12">
      <c r="A4077" s="165">
        <v>401510150</v>
      </c>
      <c r="B4077" s="166">
        <v>4015101</v>
      </c>
      <c r="D4077" s="29" t="s">
        <v>60</v>
      </c>
      <c r="E4077" s="157">
        <v>1.833</v>
      </c>
      <c r="F4077" s="29">
        <v>0</v>
      </c>
      <c r="J4077" s="169"/>
      <c r="K4077" s="29">
        <v>1</v>
      </c>
      <c r="L4077" s="170"/>
    </row>
    <row r="4078" s="29" customFormat="1" hidden="1" spans="1:12">
      <c r="A4078" s="165">
        <v>401510151</v>
      </c>
      <c r="B4078" s="166">
        <v>4015101</v>
      </c>
      <c r="D4078" s="29" t="s">
        <v>1788</v>
      </c>
      <c r="E4078" s="157">
        <v>3.333</v>
      </c>
      <c r="F4078" s="29">
        <v>0</v>
      </c>
      <c r="J4078" s="169"/>
      <c r="K4078" s="29">
        <v>1</v>
      </c>
      <c r="L4078" s="170"/>
    </row>
    <row r="4079" s="29" customFormat="1" hidden="1" spans="1:12">
      <c r="A4079" s="165">
        <v>401510152</v>
      </c>
      <c r="B4079" s="166">
        <v>4015101</v>
      </c>
      <c r="D4079" s="29" t="s">
        <v>2621</v>
      </c>
      <c r="E4079" s="157">
        <v>0.833</v>
      </c>
      <c r="F4079" s="29">
        <v>1</v>
      </c>
      <c r="J4079" s="169"/>
      <c r="K4079" s="29">
        <v>1</v>
      </c>
      <c r="L4079" s="170"/>
    </row>
    <row r="4080" s="29" customFormat="1" hidden="1" spans="1:12">
      <c r="A4080" s="165">
        <v>401510153</v>
      </c>
      <c r="B4080" s="166">
        <v>4015101</v>
      </c>
      <c r="D4080" s="29" t="s">
        <v>2623</v>
      </c>
      <c r="E4080" s="157">
        <f>60/30</f>
        <v>2</v>
      </c>
      <c r="F4080" s="29">
        <v>1</v>
      </c>
      <c r="J4080" s="169"/>
      <c r="K4080" s="29">
        <v>1</v>
      </c>
      <c r="L4080" s="170"/>
    </row>
    <row r="4081" s="30" customFormat="1" hidden="1" spans="1:12">
      <c r="A4081" s="167">
        <v>3010401</v>
      </c>
      <c r="B4081" s="168">
        <v>30104</v>
      </c>
      <c r="D4081" s="30" t="s">
        <v>46</v>
      </c>
      <c r="E4081" s="157">
        <v>2.467</v>
      </c>
      <c r="F4081" s="30">
        <v>0</v>
      </c>
      <c r="G4081" s="30">
        <v>0</v>
      </c>
      <c r="H4081" s="30">
        <v>2</v>
      </c>
      <c r="I4081" s="30">
        <v>4851</v>
      </c>
      <c r="J4081" s="171" t="s">
        <v>4049</v>
      </c>
      <c r="K4081" s="30">
        <v>1</v>
      </c>
      <c r="L4081" s="172"/>
    </row>
    <row r="4082" s="30" customFormat="1" hidden="1" spans="1:12">
      <c r="A4082" s="167">
        <v>3010402</v>
      </c>
      <c r="B4082" s="168">
        <v>30104</v>
      </c>
      <c r="D4082" s="30" t="s">
        <v>86</v>
      </c>
      <c r="E4082" s="157">
        <v>2.133</v>
      </c>
      <c r="F4082" s="30">
        <v>0</v>
      </c>
      <c r="G4082" s="30">
        <v>0</v>
      </c>
      <c r="H4082" s="30">
        <v>2</v>
      </c>
      <c r="I4082" s="30">
        <v>4851</v>
      </c>
      <c r="J4082" s="171" t="s">
        <v>4049</v>
      </c>
      <c r="K4082" s="30">
        <v>1</v>
      </c>
      <c r="L4082" s="172"/>
    </row>
    <row r="4083" s="30" customFormat="1" hidden="1" spans="1:12">
      <c r="A4083" s="167">
        <v>3010403</v>
      </c>
      <c r="B4083" s="168">
        <v>30104</v>
      </c>
      <c r="D4083" s="30" t="s">
        <v>50</v>
      </c>
      <c r="E4083" s="157">
        <v>2.067</v>
      </c>
      <c r="F4083" s="30">
        <v>0</v>
      </c>
      <c r="G4083" s="30">
        <v>0</v>
      </c>
      <c r="H4083" s="30">
        <v>2</v>
      </c>
      <c r="I4083" s="30">
        <v>4851</v>
      </c>
      <c r="J4083" s="171" t="s">
        <v>4049</v>
      </c>
      <c r="K4083" s="30">
        <v>1</v>
      </c>
      <c r="L4083" s="172"/>
    </row>
    <row r="4084" s="30" customFormat="1" hidden="1" spans="1:12">
      <c r="A4084" s="167">
        <v>3010404</v>
      </c>
      <c r="B4084" s="168">
        <v>30104</v>
      </c>
      <c r="D4084" s="30" t="s">
        <v>90</v>
      </c>
      <c r="E4084" s="157">
        <v>6.3</v>
      </c>
      <c r="F4084" s="30">
        <v>0</v>
      </c>
      <c r="G4084" s="30">
        <v>0</v>
      </c>
      <c r="H4084" s="30">
        <v>2</v>
      </c>
      <c r="I4084" s="30">
        <v>4851</v>
      </c>
      <c r="J4084" s="171" t="s">
        <v>4049</v>
      </c>
      <c r="K4084" s="30">
        <v>1</v>
      </c>
      <c r="L4084" s="172"/>
    </row>
    <row r="4085" s="30" customFormat="1" hidden="1" spans="1:12">
      <c r="A4085" s="167">
        <v>3010420</v>
      </c>
      <c r="B4085" s="168">
        <v>30104</v>
      </c>
      <c r="C4085" s="30">
        <v>3</v>
      </c>
      <c r="D4085" s="30" t="s">
        <v>1047</v>
      </c>
      <c r="E4085" s="157">
        <v>1.833</v>
      </c>
      <c r="F4085" s="30">
        <v>0</v>
      </c>
      <c r="G4085" s="30">
        <v>0</v>
      </c>
      <c r="H4085" s="30">
        <v>2</v>
      </c>
      <c r="I4085" s="30">
        <v>4851</v>
      </c>
      <c r="J4085" s="171" t="s">
        <v>4049</v>
      </c>
      <c r="K4085" s="30">
        <v>1</v>
      </c>
      <c r="L4085" s="172"/>
    </row>
    <row r="4086" s="30" customFormat="1" hidden="1" spans="1:12">
      <c r="A4086" s="167">
        <v>3010421</v>
      </c>
      <c r="B4086" s="168">
        <v>30104</v>
      </c>
      <c r="D4086" s="30" t="s">
        <v>2198</v>
      </c>
      <c r="E4086" s="157">
        <v>1.333</v>
      </c>
      <c r="F4086" s="30">
        <v>1</v>
      </c>
      <c r="G4086" s="30">
        <v>0</v>
      </c>
      <c r="H4086" s="30">
        <v>2</v>
      </c>
      <c r="I4086" s="30">
        <v>4851</v>
      </c>
      <c r="J4086" s="171" t="s">
        <v>4049</v>
      </c>
      <c r="K4086" s="30">
        <v>1</v>
      </c>
      <c r="L4086" s="172"/>
    </row>
    <row r="4087" s="30" customFormat="1" hidden="1" spans="1:12">
      <c r="A4087" s="167">
        <v>3010422</v>
      </c>
      <c r="B4087" s="168">
        <v>30104</v>
      </c>
      <c r="D4087" s="30" t="s">
        <v>2182</v>
      </c>
      <c r="E4087" s="157">
        <v>1.2</v>
      </c>
      <c r="F4087" s="30">
        <v>1</v>
      </c>
      <c r="G4087" s="30">
        <v>0</v>
      </c>
      <c r="H4087" s="30">
        <v>2</v>
      </c>
      <c r="I4087" s="30">
        <v>4851</v>
      </c>
      <c r="J4087" s="171" t="s">
        <v>4049</v>
      </c>
      <c r="K4087" s="30">
        <v>1</v>
      </c>
      <c r="L4087" s="172"/>
    </row>
    <row r="4088" s="30" customFormat="1" hidden="1" spans="1:12">
      <c r="A4088" s="167">
        <v>3010423</v>
      </c>
      <c r="B4088" s="168">
        <v>30104</v>
      </c>
      <c r="D4088" s="30" t="s">
        <v>2184</v>
      </c>
      <c r="E4088" s="157">
        <v>1</v>
      </c>
      <c r="F4088" s="30">
        <v>1</v>
      </c>
      <c r="G4088" s="30">
        <v>0</v>
      </c>
      <c r="H4088" s="30">
        <v>2</v>
      </c>
      <c r="I4088" s="30">
        <v>4851</v>
      </c>
      <c r="J4088" s="171" t="s">
        <v>4049</v>
      </c>
      <c r="K4088" s="30">
        <v>1</v>
      </c>
      <c r="L4088" s="172"/>
    </row>
    <row r="4089" s="30" customFormat="1" hidden="1" spans="1:12">
      <c r="A4089" s="167">
        <v>3010424</v>
      </c>
      <c r="B4089" s="168">
        <v>30104</v>
      </c>
      <c r="D4089" s="30" t="s">
        <v>2186</v>
      </c>
      <c r="E4089" s="157">
        <v>1.233</v>
      </c>
      <c r="F4089" s="30">
        <v>1</v>
      </c>
      <c r="G4089" s="30">
        <v>0</v>
      </c>
      <c r="H4089" s="30">
        <v>2</v>
      </c>
      <c r="I4089" s="30">
        <v>4851</v>
      </c>
      <c r="J4089" s="171" t="s">
        <v>4049</v>
      </c>
      <c r="K4089" s="30">
        <v>1</v>
      </c>
      <c r="L4089" s="172"/>
    </row>
    <row r="4090" s="30" customFormat="1" hidden="1" spans="1:12">
      <c r="A4090" s="167">
        <v>3010425</v>
      </c>
      <c r="B4090" s="168">
        <v>30104</v>
      </c>
      <c r="D4090" s="30" t="s">
        <v>2188</v>
      </c>
      <c r="E4090" s="157">
        <v>1</v>
      </c>
      <c r="F4090" s="30">
        <v>1</v>
      </c>
      <c r="G4090" s="30">
        <v>0</v>
      </c>
      <c r="H4090" s="30">
        <v>2</v>
      </c>
      <c r="I4090" s="30">
        <v>4851</v>
      </c>
      <c r="J4090" s="171" t="s">
        <v>4049</v>
      </c>
      <c r="K4090" s="30">
        <v>1</v>
      </c>
      <c r="L4090" s="172"/>
    </row>
    <row r="4091" s="30" customFormat="1" hidden="1" spans="1:12">
      <c r="A4091" s="167">
        <v>3010426</v>
      </c>
      <c r="B4091" s="168">
        <v>30104</v>
      </c>
      <c r="D4091" s="30" t="s">
        <v>2190</v>
      </c>
      <c r="E4091" s="157">
        <v>1.067</v>
      </c>
      <c r="F4091" s="30">
        <v>1</v>
      </c>
      <c r="G4091" s="30">
        <v>0</v>
      </c>
      <c r="H4091" s="30">
        <v>2</v>
      </c>
      <c r="I4091" s="30">
        <v>4851</v>
      </c>
      <c r="J4091" s="171" t="s">
        <v>4049</v>
      </c>
      <c r="K4091" s="30">
        <v>1</v>
      </c>
      <c r="L4091" s="172"/>
    </row>
    <row r="4092" s="30" customFormat="1" hidden="1" spans="1:12">
      <c r="A4092" s="167">
        <v>3010427</v>
      </c>
      <c r="B4092" s="168">
        <v>30104</v>
      </c>
      <c r="D4092" s="30" t="s">
        <v>2192</v>
      </c>
      <c r="E4092" s="157">
        <v>1</v>
      </c>
      <c r="F4092" s="30">
        <v>1</v>
      </c>
      <c r="G4092" s="30">
        <v>0</v>
      </c>
      <c r="H4092" s="30">
        <v>2</v>
      </c>
      <c r="I4092" s="30">
        <v>4851</v>
      </c>
      <c r="J4092" s="171" t="s">
        <v>4049</v>
      </c>
      <c r="K4092" s="30">
        <v>1</v>
      </c>
      <c r="L4092" s="172"/>
    </row>
    <row r="4093" s="30" customFormat="1" hidden="1" spans="1:12">
      <c r="A4093" s="167">
        <v>3010428</v>
      </c>
      <c r="B4093" s="168">
        <v>30104</v>
      </c>
      <c r="D4093" s="30" t="s">
        <v>2194</v>
      </c>
      <c r="E4093" s="157">
        <v>1.067</v>
      </c>
      <c r="F4093" s="30">
        <v>1</v>
      </c>
      <c r="G4093" s="30">
        <v>0</v>
      </c>
      <c r="H4093" s="30">
        <v>2</v>
      </c>
      <c r="I4093" s="30">
        <v>4851</v>
      </c>
      <c r="J4093" s="171" t="s">
        <v>4049</v>
      </c>
      <c r="K4093" s="30">
        <v>1</v>
      </c>
      <c r="L4093" s="172"/>
    </row>
    <row r="4094" s="30" customFormat="1" hidden="1" spans="1:12">
      <c r="A4094" s="167">
        <v>3010429</v>
      </c>
      <c r="B4094" s="168">
        <v>30104</v>
      </c>
      <c r="D4094" s="30" t="s">
        <v>300</v>
      </c>
      <c r="E4094" s="157">
        <v>0.8</v>
      </c>
      <c r="F4094" s="30">
        <v>0</v>
      </c>
      <c r="G4094" s="30" t="s">
        <v>942</v>
      </c>
      <c r="H4094" s="30" t="s">
        <v>943</v>
      </c>
      <c r="I4094" s="30" t="s">
        <v>4137</v>
      </c>
      <c r="J4094" s="171" t="s">
        <v>4138</v>
      </c>
      <c r="K4094" s="30" t="s">
        <v>1869</v>
      </c>
      <c r="L4094" s="172"/>
    </row>
    <row r="4095" s="30" customFormat="1" hidden="1" spans="1:12">
      <c r="A4095" s="167">
        <v>3010430</v>
      </c>
      <c r="B4095" s="168">
        <v>30104</v>
      </c>
      <c r="D4095" s="30" t="s">
        <v>2178</v>
      </c>
      <c r="E4095" s="157">
        <v>0.8</v>
      </c>
      <c r="F4095" s="30">
        <v>0</v>
      </c>
      <c r="G4095" s="30" t="s">
        <v>942</v>
      </c>
      <c r="H4095" s="30" t="s">
        <v>943</v>
      </c>
      <c r="I4095" s="30" t="s">
        <v>4137</v>
      </c>
      <c r="J4095" s="171" t="s">
        <v>4138</v>
      </c>
      <c r="K4095" s="30" t="s">
        <v>1869</v>
      </c>
      <c r="L4095" s="172"/>
    </row>
    <row r="4096" s="30" customFormat="1" hidden="1" spans="1:12">
      <c r="A4096" s="167">
        <v>3010431</v>
      </c>
      <c r="B4096" s="168">
        <v>30104</v>
      </c>
      <c r="D4096" s="30" t="s">
        <v>2196</v>
      </c>
      <c r="E4096" s="157">
        <v>1.333</v>
      </c>
      <c r="F4096" s="30">
        <v>0</v>
      </c>
      <c r="G4096" s="30" t="s">
        <v>942</v>
      </c>
      <c r="H4096" s="30" t="s">
        <v>943</v>
      </c>
      <c r="I4096" s="30" t="s">
        <v>4137</v>
      </c>
      <c r="J4096" s="171" t="s">
        <v>4138</v>
      </c>
      <c r="K4096" s="30" t="s">
        <v>1869</v>
      </c>
      <c r="L4096" s="172"/>
    </row>
    <row r="4097" s="30" customFormat="1" hidden="1" spans="1:12">
      <c r="A4097" s="167">
        <v>3010432</v>
      </c>
      <c r="B4097" s="168">
        <v>30104</v>
      </c>
      <c r="D4097" s="30" t="s">
        <v>130</v>
      </c>
      <c r="E4097" s="157">
        <v>2</v>
      </c>
      <c r="F4097" s="30">
        <v>1</v>
      </c>
      <c r="G4097" s="30" t="s">
        <v>942</v>
      </c>
      <c r="H4097" s="30" t="s">
        <v>943</v>
      </c>
      <c r="I4097" s="30" t="s">
        <v>4137</v>
      </c>
      <c r="J4097" s="171" t="s">
        <v>4138</v>
      </c>
      <c r="K4097" s="30" t="s">
        <v>1869</v>
      </c>
      <c r="L4097" s="172"/>
    </row>
    <row r="4098" s="30" customFormat="1" hidden="1" spans="1:12">
      <c r="A4098" s="167">
        <v>3010433</v>
      </c>
      <c r="B4098" s="168">
        <v>30104</v>
      </c>
      <c r="D4098" s="30" t="s">
        <v>1788</v>
      </c>
      <c r="E4098" s="157">
        <v>3.333</v>
      </c>
      <c r="F4098" s="30">
        <v>1</v>
      </c>
      <c r="G4098" s="30">
        <v>0</v>
      </c>
      <c r="H4098" s="30">
        <v>2</v>
      </c>
      <c r="I4098" s="30">
        <v>4851</v>
      </c>
      <c r="J4098" s="171" t="s">
        <v>4049</v>
      </c>
      <c r="K4098" s="30">
        <v>1</v>
      </c>
      <c r="L4098" s="172"/>
    </row>
    <row r="4099" s="30" customFormat="1" hidden="1" spans="1:12">
      <c r="A4099" s="167">
        <v>3010434</v>
      </c>
      <c r="B4099" s="168">
        <v>30104</v>
      </c>
      <c r="D4099" s="30" t="s">
        <v>2621</v>
      </c>
      <c r="E4099" s="157">
        <v>0.833</v>
      </c>
      <c r="F4099" s="30">
        <v>1</v>
      </c>
      <c r="G4099" s="30">
        <v>0</v>
      </c>
      <c r="H4099" s="30">
        <v>2</v>
      </c>
      <c r="I4099" s="30">
        <v>4851</v>
      </c>
      <c r="J4099" s="171" t="s">
        <v>4049</v>
      </c>
      <c r="K4099" s="30">
        <v>1</v>
      </c>
      <c r="L4099" s="172"/>
    </row>
    <row r="4100" s="30" customFormat="1" hidden="1" spans="1:12">
      <c r="A4100" s="167">
        <v>3010435</v>
      </c>
      <c r="B4100" s="168">
        <v>30104</v>
      </c>
      <c r="D4100" s="30" t="s">
        <v>2623</v>
      </c>
      <c r="E4100" s="157">
        <v>2</v>
      </c>
      <c r="F4100" s="30">
        <v>1</v>
      </c>
      <c r="G4100" s="30">
        <v>0</v>
      </c>
      <c r="H4100" s="30">
        <v>2</v>
      </c>
      <c r="I4100" s="30">
        <v>4851</v>
      </c>
      <c r="J4100" s="171" t="s">
        <v>4049</v>
      </c>
      <c r="K4100" s="30">
        <v>1</v>
      </c>
      <c r="L4100" s="172"/>
    </row>
    <row r="4101" s="31" customFormat="1" hidden="1" spans="1:12">
      <c r="A4101" s="173">
        <v>3010301</v>
      </c>
      <c r="B4101" s="174">
        <v>30103</v>
      </c>
      <c r="D4101" s="31" t="s">
        <v>1788</v>
      </c>
      <c r="E4101" s="175">
        <v>3.333</v>
      </c>
      <c r="F4101" s="31">
        <v>1</v>
      </c>
      <c r="G4101" s="31">
        <v>0</v>
      </c>
      <c r="H4101" s="31">
        <v>2</v>
      </c>
      <c r="I4101" s="31">
        <v>4851</v>
      </c>
      <c r="J4101" s="179" t="s">
        <v>4049</v>
      </c>
      <c r="K4101" s="31">
        <v>1</v>
      </c>
      <c r="L4101" s="180"/>
    </row>
    <row r="4102" s="31" customFormat="1" hidden="1" spans="1:12">
      <c r="A4102" s="173">
        <v>3010302</v>
      </c>
      <c r="B4102" s="174">
        <v>30103</v>
      </c>
      <c r="D4102" s="31" t="s">
        <v>2621</v>
      </c>
      <c r="E4102" s="175">
        <v>0.833</v>
      </c>
      <c r="F4102" s="31">
        <v>1</v>
      </c>
      <c r="G4102" s="31">
        <v>0</v>
      </c>
      <c r="H4102" s="31">
        <v>2</v>
      </c>
      <c r="I4102" s="31">
        <v>4851</v>
      </c>
      <c r="J4102" s="179" t="s">
        <v>4049</v>
      </c>
      <c r="K4102" s="31">
        <v>1</v>
      </c>
      <c r="L4102" s="180"/>
    </row>
    <row r="4103" s="31" customFormat="1" hidden="1" spans="1:12">
      <c r="A4103" s="173">
        <v>3010303</v>
      </c>
      <c r="B4103" s="174">
        <v>30103</v>
      </c>
      <c r="D4103" s="31" t="s">
        <v>2623</v>
      </c>
      <c r="E4103" s="175">
        <v>2</v>
      </c>
      <c r="F4103" s="31">
        <v>1</v>
      </c>
      <c r="G4103" s="31">
        <v>0</v>
      </c>
      <c r="H4103" s="31">
        <v>2</v>
      </c>
      <c r="I4103" s="31">
        <v>4851</v>
      </c>
      <c r="J4103" s="179" t="s">
        <v>4049</v>
      </c>
      <c r="K4103" s="31">
        <v>1</v>
      </c>
      <c r="L4103" s="180"/>
    </row>
    <row r="4104" s="23" customFormat="1" hidden="1" spans="1:12">
      <c r="A4104" s="137" t="s">
        <v>4139</v>
      </c>
      <c r="B4104" s="138">
        <v>150</v>
      </c>
      <c r="D4104" s="23" t="s">
        <v>90</v>
      </c>
      <c r="E4104" s="24">
        <v>11.4</v>
      </c>
      <c r="F4104" s="23">
        <v>0</v>
      </c>
      <c r="G4104" s="23">
        <v>0</v>
      </c>
      <c r="H4104" s="23">
        <v>2</v>
      </c>
      <c r="I4104" s="23">
        <v>4851</v>
      </c>
      <c r="J4104" s="23" t="s">
        <v>4049</v>
      </c>
      <c r="K4104" s="23">
        <v>1</v>
      </c>
      <c r="L4104" s="142"/>
    </row>
    <row r="4105" s="23" customFormat="1" hidden="1" spans="1:12">
      <c r="A4105" s="137" t="s">
        <v>4140</v>
      </c>
      <c r="B4105" s="138">
        <v>150</v>
      </c>
      <c r="D4105" s="23" t="s">
        <v>48</v>
      </c>
      <c r="E4105" s="24">
        <v>8.2</v>
      </c>
      <c r="F4105" s="23">
        <v>0</v>
      </c>
      <c r="G4105" s="23">
        <v>0</v>
      </c>
      <c r="H4105" s="23">
        <v>2</v>
      </c>
      <c r="I4105" s="23">
        <v>4851</v>
      </c>
      <c r="J4105" s="23" t="s">
        <v>4049</v>
      </c>
      <c r="K4105" s="23">
        <v>1</v>
      </c>
      <c r="L4105" s="142"/>
    </row>
    <row r="4106" s="23" customFormat="1" hidden="1" spans="1:12">
      <c r="A4106" s="137" t="s">
        <v>4141</v>
      </c>
      <c r="B4106" s="138">
        <v>4015001</v>
      </c>
      <c r="D4106" s="23" t="s">
        <v>90</v>
      </c>
      <c r="E4106" s="24">
        <v>11.4</v>
      </c>
      <c r="F4106" s="23">
        <v>0</v>
      </c>
      <c r="G4106" s="23">
        <v>0</v>
      </c>
      <c r="H4106" s="23">
        <v>2</v>
      </c>
      <c r="I4106" s="23">
        <v>4851</v>
      </c>
      <c r="J4106" s="23" t="s">
        <v>4049</v>
      </c>
      <c r="K4106" s="23">
        <v>1</v>
      </c>
      <c r="L4106" s="142"/>
    </row>
    <row r="4107" s="23" customFormat="1" hidden="1" spans="1:12">
      <c r="A4107" s="137" t="s">
        <v>4142</v>
      </c>
      <c r="B4107" s="138">
        <v>4015001</v>
      </c>
      <c r="D4107" s="23" t="s">
        <v>48</v>
      </c>
      <c r="E4107" s="24">
        <v>8.2</v>
      </c>
      <c r="F4107" s="23">
        <v>0</v>
      </c>
      <c r="G4107" s="23">
        <v>0</v>
      </c>
      <c r="H4107" s="23">
        <v>2</v>
      </c>
      <c r="I4107" s="23">
        <v>4851</v>
      </c>
      <c r="J4107" s="23" t="s">
        <v>4049</v>
      </c>
      <c r="K4107" s="23">
        <v>1</v>
      </c>
      <c r="L4107" s="142"/>
    </row>
    <row r="4108" s="32" customFormat="1" ht="16.5" hidden="1" spans="1:12">
      <c r="A4108" s="176" t="s">
        <v>4143</v>
      </c>
      <c r="B4108" s="177">
        <v>42</v>
      </c>
      <c r="D4108" s="32" t="s">
        <v>48</v>
      </c>
      <c r="E4108" s="32">
        <f>86/30</f>
        <v>2.86666666666667</v>
      </c>
      <c r="F4108" s="32">
        <v>0</v>
      </c>
      <c r="I4108" s="181"/>
      <c r="L4108" s="182"/>
    </row>
    <row r="4109" s="32" customFormat="1" ht="16.5" hidden="1" spans="1:12">
      <c r="A4109" s="176" t="s">
        <v>4144</v>
      </c>
      <c r="B4109" s="177">
        <v>42</v>
      </c>
      <c r="D4109" s="32" t="s">
        <v>52</v>
      </c>
      <c r="E4109" s="32">
        <f>105/30</f>
        <v>3.5</v>
      </c>
      <c r="F4109" s="32">
        <v>0</v>
      </c>
      <c r="I4109" s="181"/>
      <c r="L4109" s="182"/>
    </row>
    <row r="4110" s="32" customFormat="1" ht="16.5" hidden="1" spans="1:12">
      <c r="A4110" s="176" t="s">
        <v>4145</v>
      </c>
      <c r="B4110" s="177">
        <v>42</v>
      </c>
      <c r="D4110" s="32" t="s">
        <v>140</v>
      </c>
      <c r="E4110" s="32">
        <f>406/30</f>
        <v>13.5333333333333</v>
      </c>
      <c r="F4110" s="32">
        <v>0</v>
      </c>
      <c r="I4110" s="181"/>
      <c r="L4110" s="182"/>
    </row>
    <row r="4111" s="32" customFormat="1" ht="16.5" hidden="1" spans="1:12">
      <c r="A4111" s="178" t="s">
        <v>4146</v>
      </c>
      <c r="B4111" s="177">
        <v>42</v>
      </c>
      <c r="C4111" s="32">
        <v>2</v>
      </c>
      <c r="D4111" s="32" t="s">
        <v>57</v>
      </c>
      <c r="E4111" s="32">
        <f>116/30</f>
        <v>3.86666666666667</v>
      </c>
      <c r="F4111" s="32">
        <v>0</v>
      </c>
      <c r="G4111" s="32">
        <v>0</v>
      </c>
      <c r="H4111" s="32">
        <v>2</v>
      </c>
      <c r="I4111" s="181">
        <v>4956</v>
      </c>
      <c r="J4111" s="32" t="s">
        <v>58</v>
      </c>
      <c r="K4111" s="32">
        <v>1</v>
      </c>
      <c r="L4111" s="182"/>
    </row>
    <row r="4112" s="32" customFormat="1" ht="16.5" hidden="1" spans="1:12">
      <c r="A4112" s="178" t="s">
        <v>4147</v>
      </c>
      <c r="B4112" s="177">
        <v>404201</v>
      </c>
      <c r="D4112" s="32" t="s">
        <v>48</v>
      </c>
      <c r="E4112" s="32">
        <f>86/30</f>
        <v>2.86666666666667</v>
      </c>
      <c r="F4112" s="32">
        <v>0</v>
      </c>
      <c r="I4112" s="181"/>
      <c r="L4112" s="182"/>
    </row>
    <row r="4113" s="32" customFormat="1" ht="16.5" hidden="1" spans="1:12">
      <c r="A4113" s="178" t="s">
        <v>4148</v>
      </c>
      <c r="B4113" s="177">
        <v>404201</v>
      </c>
      <c r="D4113" s="32" t="s">
        <v>52</v>
      </c>
      <c r="E4113" s="32">
        <f>105/30</f>
        <v>3.5</v>
      </c>
      <c r="F4113" s="32">
        <v>0</v>
      </c>
      <c r="I4113" s="181"/>
      <c r="L4113" s="182"/>
    </row>
    <row r="4114" s="32" customFormat="1" ht="16.5" hidden="1" spans="1:12">
      <c r="A4114" s="178" t="s">
        <v>4149</v>
      </c>
      <c r="B4114" s="177">
        <v>404201</v>
      </c>
      <c r="D4114" s="32" t="s">
        <v>140</v>
      </c>
      <c r="E4114" s="32">
        <f>406/30</f>
        <v>13.5333333333333</v>
      </c>
      <c r="F4114" s="32">
        <v>0</v>
      </c>
      <c r="I4114" s="181"/>
      <c r="L4114" s="182"/>
    </row>
    <row r="4115" s="32" customFormat="1" ht="16.5" hidden="1" spans="1:12">
      <c r="A4115" s="178" t="s">
        <v>4150</v>
      </c>
      <c r="B4115" s="177">
        <v>404201</v>
      </c>
      <c r="C4115" s="32">
        <v>2</v>
      </c>
      <c r="D4115" s="32" t="s">
        <v>57</v>
      </c>
      <c r="E4115" s="32">
        <f>116/30</f>
        <v>3.86666666666667</v>
      </c>
      <c r="F4115" s="32">
        <v>0</v>
      </c>
      <c r="G4115" s="32">
        <v>0</v>
      </c>
      <c r="H4115" s="32">
        <v>2</v>
      </c>
      <c r="I4115" s="181">
        <v>4956</v>
      </c>
      <c r="J4115" s="32" t="s">
        <v>58</v>
      </c>
      <c r="K4115" s="32">
        <v>1</v>
      </c>
      <c r="L4115" s="182"/>
    </row>
    <row r="4116" s="30" customFormat="1" hidden="1" spans="1:12">
      <c r="A4116" s="167">
        <v>15201</v>
      </c>
      <c r="B4116" s="168">
        <v>152</v>
      </c>
      <c r="D4116" s="30" t="s">
        <v>36</v>
      </c>
      <c r="E4116" s="157">
        <v>2.533333</v>
      </c>
      <c r="F4116" s="30">
        <v>0</v>
      </c>
      <c r="J4116" s="171"/>
      <c r="K4116" s="30">
        <v>1</v>
      </c>
      <c r="L4116" s="172"/>
    </row>
    <row r="4117" s="30" customFormat="1" hidden="1" spans="1:12">
      <c r="A4117" s="167">
        <v>15202</v>
      </c>
      <c r="B4117" s="168">
        <v>152</v>
      </c>
      <c r="D4117" s="30" t="s">
        <v>38</v>
      </c>
      <c r="E4117" s="157">
        <v>2.3</v>
      </c>
      <c r="F4117" s="30">
        <v>0</v>
      </c>
      <c r="J4117" s="171"/>
      <c r="K4117" s="30">
        <v>1</v>
      </c>
      <c r="L4117" s="172"/>
    </row>
    <row r="4118" s="30" customFormat="1" hidden="1" spans="1:12">
      <c r="A4118" s="167">
        <v>15203</v>
      </c>
      <c r="B4118" s="168">
        <v>152</v>
      </c>
      <c r="D4118" s="30" t="s">
        <v>40</v>
      </c>
      <c r="E4118" s="157">
        <v>2.033333</v>
      </c>
      <c r="F4118" s="30">
        <v>0</v>
      </c>
      <c r="J4118" s="171"/>
      <c r="K4118" s="30">
        <v>1</v>
      </c>
      <c r="L4118" s="172"/>
    </row>
    <row r="4119" s="30" customFormat="1" hidden="1" spans="1:12">
      <c r="A4119" s="167">
        <v>15204</v>
      </c>
      <c r="B4119" s="168">
        <v>152</v>
      </c>
      <c r="D4119" s="30" t="s">
        <v>42</v>
      </c>
      <c r="E4119" s="157">
        <v>3.7333333</v>
      </c>
      <c r="F4119" s="30">
        <v>0</v>
      </c>
      <c r="J4119" s="171"/>
      <c r="K4119" s="30">
        <v>1</v>
      </c>
      <c r="L4119" s="172"/>
    </row>
    <row r="4120" s="30" customFormat="1" hidden="1" spans="1:12">
      <c r="A4120" s="167">
        <v>15205</v>
      </c>
      <c r="B4120" s="168">
        <v>152</v>
      </c>
      <c r="D4120" s="30" t="s">
        <v>44</v>
      </c>
      <c r="E4120" s="157">
        <v>11.666667</v>
      </c>
      <c r="F4120" s="30">
        <v>0</v>
      </c>
      <c r="J4120" s="171"/>
      <c r="K4120" s="30">
        <v>1</v>
      </c>
      <c r="L4120" s="172"/>
    </row>
    <row r="4121" s="30" customFormat="1" hidden="1" spans="1:12">
      <c r="A4121" s="167">
        <v>15206</v>
      </c>
      <c r="B4121" s="168">
        <v>152</v>
      </c>
      <c r="D4121" s="30" t="s">
        <v>86</v>
      </c>
      <c r="E4121" s="157">
        <f>160/30</f>
        <v>5.33333333333333</v>
      </c>
      <c r="F4121" s="30">
        <v>0</v>
      </c>
      <c r="J4121" s="171"/>
      <c r="K4121" s="30">
        <v>1</v>
      </c>
      <c r="L4121" s="172"/>
    </row>
    <row r="4122" s="30" customFormat="1" hidden="1" spans="1:12">
      <c r="A4122" s="167" t="s">
        <v>4151</v>
      </c>
      <c r="B4122" s="168">
        <v>152</v>
      </c>
      <c r="D4122" s="30" t="s">
        <v>92</v>
      </c>
      <c r="E4122" s="157">
        <v>3</v>
      </c>
      <c r="F4122" s="30">
        <v>0</v>
      </c>
      <c r="J4122" s="171"/>
      <c r="K4122" s="30">
        <v>1</v>
      </c>
      <c r="L4122" s="172"/>
    </row>
    <row r="4123" s="30" customFormat="1" hidden="1" spans="1:12">
      <c r="A4123" s="167" t="s">
        <v>4152</v>
      </c>
      <c r="B4123" s="168">
        <v>152</v>
      </c>
      <c r="D4123" s="30" t="s">
        <v>109</v>
      </c>
      <c r="E4123" s="157">
        <v>2.33333333</v>
      </c>
      <c r="F4123" s="30">
        <v>0</v>
      </c>
      <c r="J4123" s="171"/>
      <c r="K4123" s="30">
        <v>1</v>
      </c>
      <c r="L4123" s="172"/>
    </row>
    <row r="4124" s="30" customFormat="1" hidden="1" spans="1:12">
      <c r="A4124" s="167" t="s">
        <v>4153</v>
      </c>
      <c r="B4124" s="168">
        <v>152</v>
      </c>
      <c r="D4124" s="30" t="s">
        <v>97</v>
      </c>
      <c r="E4124" s="157">
        <v>2</v>
      </c>
      <c r="F4124" s="30">
        <v>0</v>
      </c>
      <c r="J4124" s="171"/>
      <c r="K4124" s="30">
        <v>1</v>
      </c>
      <c r="L4124" s="172"/>
    </row>
    <row r="4125" s="30" customFormat="1" hidden="1" spans="1:12">
      <c r="A4125" s="167" t="s">
        <v>4154</v>
      </c>
      <c r="B4125" s="168">
        <v>152</v>
      </c>
      <c r="D4125" s="30" t="s">
        <v>77</v>
      </c>
      <c r="E4125" s="157">
        <v>2.666666</v>
      </c>
      <c r="F4125" s="30">
        <v>0</v>
      </c>
      <c r="J4125" s="171"/>
      <c r="K4125" s="30">
        <v>1</v>
      </c>
      <c r="L4125" s="172"/>
    </row>
    <row r="4126" s="30" customFormat="1" hidden="1" spans="1:12">
      <c r="A4126" s="167" t="s">
        <v>4155</v>
      </c>
      <c r="B4126" s="168">
        <v>152</v>
      </c>
      <c r="D4126" s="30" t="s">
        <v>54</v>
      </c>
      <c r="E4126" s="157">
        <v>3.83333333</v>
      </c>
      <c r="F4126" s="30">
        <v>0</v>
      </c>
      <c r="J4126" s="171"/>
      <c r="K4126" s="30">
        <v>1</v>
      </c>
      <c r="L4126" s="172"/>
    </row>
    <row r="4127" s="30" customFormat="1" hidden="1" spans="1:12">
      <c r="A4127" s="167" t="s">
        <v>4156</v>
      </c>
      <c r="B4127" s="168">
        <v>152</v>
      </c>
      <c r="D4127" s="30" t="s">
        <v>57</v>
      </c>
      <c r="E4127" s="157">
        <f>100/30</f>
        <v>3.33333333333333</v>
      </c>
      <c r="F4127" s="30">
        <v>0</v>
      </c>
      <c r="G4127" s="30">
        <v>0</v>
      </c>
      <c r="H4127" s="30">
        <v>2</v>
      </c>
      <c r="I4127" s="30">
        <v>4976</v>
      </c>
      <c r="J4127" s="171" t="s">
        <v>58</v>
      </c>
      <c r="K4127" s="30">
        <v>1</v>
      </c>
      <c r="L4127" s="172"/>
    </row>
    <row r="4128" s="30" customFormat="1" hidden="1" spans="1:12">
      <c r="A4128" s="167" t="s">
        <v>4157</v>
      </c>
      <c r="B4128" s="168">
        <v>152</v>
      </c>
      <c r="D4128" s="30" t="s">
        <v>1047</v>
      </c>
      <c r="E4128" s="157">
        <v>2</v>
      </c>
      <c r="F4128" s="30">
        <v>0</v>
      </c>
      <c r="J4128" s="171"/>
      <c r="K4128" s="30">
        <v>1</v>
      </c>
      <c r="L4128" s="172"/>
    </row>
    <row r="4129" s="30" customFormat="1" hidden="1" spans="1:12">
      <c r="A4129" s="167" t="s">
        <v>4158</v>
      </c>
      <c r="B4129" s="168">
        <v>152</v>
      </c>
      <c r="D4129" s="30" t="s">
        <v>60</v>
      </c>
      <c r="E4129" s="157">
        <f>87/30</f>
        <v>2.9</v>
      </c>
      <c r="F4129" s="30">
        <v>0</v>
      </c>
      <c r="J4129" s="171"/>
      <c r="K4129" s="30">
        <v>1</v>
      </c>
      <c r="L4129" s="172"/>
    </row>
    <row r="4130" s="30" customFormat="1" hidden="1" spans="1:12">
      <c r="A4130" s="167" t="s">
        <v>4159</v>
      </c>
      <c r="B4130" s="168">
        <v>152</v>
      </c>
      <c r="D4130" s="30" t="s">
        <v>2198</v>
      </c>
      <c r="E4130" s="157">
        <v>2</v>
      </c>
      <c r="F4130" s="30">
        <v>1</v>
      </c>
      <c r="J4130" s="171"/>
      <c r="K4130" s="30">
        <v>1</v>
      </c>
      <c r="L4130" s="172"/>
    </row>
    <row r="4131" s="30" customFormat="1" hidden="1" spans="1:12">
      <c r="A4131" s="167" t="s">
        <v>4160</v>
      </c>
      <c r="B4131" s="168">
        <v>152</v>
      </c>
      <c r="D4131" s="30" t="s">
        <v>2182</v>
      </c>
      <c r="E4131" s="157">
        <f>34/30</f>
        <v>1.13333333333333</v>
      </c>
      <c r="F4131" s="30">
        <v>0</v>
      </c>
      <c r="J4131" s="171"/>
      <c r="K4131" s="30">
        <v>1</v>
      </c>
      <c r="L4131" s="172"/>
    </row>
    <row r="4132" s="30" customFormat="1" hidden="1" spans="1:12">
      <c r="A4132" s="167" t="s">
        <v>4161</v>
      </c>
      <c r="B4132" s="168">
        <v>152</v>
      </c>
      <c r="D4132" s="30" t="s">
        <v>2184</v>
      </c>
      <c r="E4132" s="157">
        <f>40/30</f>
        <v>1.33333333333333</v>
      </c>
      <c r="F4132" s="30">
        <v>0</v>
      </c>
      <c r="J4132" s="171"/>
      <c r="K4132" s="30">
        <v>1</v>
      </c>
      <c r="L4132" s="172"/>
    </row>
    <row r="4133" s="30" customFormat="1" hidden="1" spans="1:12">
      <c r="A4133" s="167" t="s">
        <v>4162</v>
      </c>
      <c r="B4133" s="168">
        <v>152</v>
      </c>
      <c r="D4133" s="30" t="s">
        <v>2186</v>
      </c>
      <c r="E4133" s="157">
        <f>50/30</f>
        <v>1.66666666666667</v>
      </c>
      <c r="F4133" s="30">
        <v>0</v>
      </c>
      <c r="J4133" s="171"/>
      <c r="K4133" s="30">
        <v>1</v>
      </c>
      <c r="L4133" s="172"/>
    </row>
    <row r="4134" s="30" customFormat="1" hidden="1" spans="1:12">
      <c r="A4134" s="167" t="s">
        <v>4163</v>
      </c>
      <c r="B4134" s="168">
        <v>152</v>
      </c>
      <c r="D4134" s="30" t="s">
        <v>2188</v>
      </c>
      <c r="E4134" s="157">
        <f t="shared" ref="E4134:E4139" si="20">24/30</f>
        <v>0.8</v>
      </c>
      <c r="F4134" s="30">
        <v>0</v>
      </c>
      <c r="J4134" s="171"/>
      <c r="K4134" s="30">
        <v>1</v>
      </c>
      <c r="L4134" s="172"/>
    </row>
    <row r="4135" s="30" customFormat="1" hidden="1" spans="1:12">
      <c r="A4135" s="167" t="s">
        <v>4164</v>
      </c>
      <c r="B4135" s="168">
        <v>152</v>
      </c>
      <c r="D4135" s="30" t="s">
        <v>2190</v>
      </c>
      <c r="E4135" s="157">
        <f t="shared" si="20"/>
        <v>0.8</v>
      </c>
      <c r="F4135" s="30">
        <v>0</v>
      </c>
      <c r="J4135" s="171"/>
      <c r="K4135" s="30">
        <v>1</v>
      </c>
      <c r="L4135" s="172"/>
    </row>
    <row r="4136" s="30" customFormat="1" hidden="1" spans="1:12">
      <c r="A4136" s="167" t="s">
        <v>4165</v>
      </c>
      <c r="B4136" s="168">
        <v>152</v>
      </c>
      <c r="D4136" s="30" t="s">
        <v>2192</v>
      </c>
      <c r="E4136" s="157">
        <f t="shared" si="20"/>
        <v>0.8</v>
      </c>
      <c r="F4136" s="30">
        <v>0</v>
      </c>
      <c r="J4136" s="171"/>
      <c r="K4136" s="30">
        <v>1</v>
      </c>
      <c r="L4136" s="172"/>
    </row>
    <row r="4137" s="30" customFormat="1" hidden="1" spans="1:12">
      <c r="A4137" s="167" t="s">
        <v>4166</v>
      </c>
      <c r="B4137" s="168">
        <v>152</v>
      </c>
      <c r="D4137" s="30" t="s">
        <v>2194</v>
      </c>
      <c r="E4137" s="157">
        <f t="shared" si="20"/>
        <v>0.8</v>
      </c>
      <c r="F4137" s="30">
        <v>0</v>
      </c>
      <c r="J4137" s="171"/>
      <c r="K4137" s="30">
        <v>1</v>
      </c>
      <c r="L4137" s="172"/>
    </row>
    <row r="4138" s="30" customFormat="1" hidden="1" spans="1:12">
      <c r="A4138" s="167" t="s">
        <v>4167</v>
      </c>
      <c r="B4138" s="168">
        <v>152</v>
      </c>
      <c r="D4138" s="30" t="s">
        <v>300</v>
      </c>
      <c r="E4138" s="157">
        <f t="shared" si="20"/>
        <v>0.8</v>
      </c>
      <c r="F4138" s="30">
        <v>0</v>
      </c>
      <c r="J4138" s="171"/>
      <c r="K4138" s="30">
        <v>1</v>
      </c>
      <c r="L4138" s="172"/>
    </row>
    <row r="4139" s="30" customFormat="1" hidden="1" spans="1:12">
      <c r="A4139" s="167" t="s">
        <v>4168</v>
      </c>
      <c r="B4139" s="168">
        <v>152</v>
      </c>
      <c r="D4139" s="30" t="s">
        <v>2178</v>
      </c>
      <c r="E4139" s="157">
        <f t="shared" si="20"/>
        <v>0.8</v>
      </c>
      <c r="F4139" s="30">
        <v>0</v>
      </c>
      <c r="J4139" s="171"/>
      <c r="K4139" s="30">
        <v>1</v>
      </c>
      <c r="L4139" s="172"/>
    </row>
    <row r="4140" s="30" customFormat="1" hidden="1" spans="1:12">
      <c r="A4140" s="167" t="s">
        <v>4169</v>
      </c>
      <c r="B4140" s="168">
        <v>152</v>
      </c>
      <c r="D4140" s="30" t="s">
        <v>2196</v>
      </c>
      <c r="E4140" s="157">
        <f>50/30</f>
        <v>1.66666666666667</v>
      </c>
      <c r="F4140" s="30">
        <v>0</v>
      </c>
      <c r="J4140" s="171"/>
      <c r="K4140" s="30">
        <v>1</v>
      </c>
      <c r="L4140" s="172"/>
    </row>
    <row r="4141" s="30" customFormat="1" hidden="1" spans="1:12">
      <c r="A4141" s="167" t="s">
        <v>4170</v>
      </c>
      <c r="B4141" s="168">
        <v>152</v>
      </c>
      <c r="D4141" s="30" t="s">
        <v>2618</v>
      </c>
      <c r="E4141" s="157">
        <v>2</v>
      </c>
      <c r="F4141" s="30">
        <v>1</v>
      </c>
      <c r="J4141" s="171"/>
      <c r="K4141" s="30">
        <v>1</v>
      </c>
      <c r="L4141" s="172"/>
    </row>
    <row r="4142" s="30" customFormat="1" hidden="1" spans="1:12">
      <c r="A4142" s="167" t="s">
        <v>4171</v>
      </c>
      <c r="B4142" s="168">
        <v>152</v>
      </c>
      <c r="D4142" s="30" t="s">
        <v>261</v>
      </c>
      <c r="E4142" s="157">
        <f>24/30</f>
        <v>0.8</v>
      </c>
      <c r="F4142" s="30">
        <v>1</v>
      </c>
      <c r="J4142" s="171"/>
      <c r="K4142" s="30">
        <v>1</v>
      </c>
      <c r="L4142" s="172"/>
    </row>
    <row r="4143" s="30" customFormat="1" hidden="1" spans="1:12">
      <c r="A4143" s="167" t="s">
        <v>4172</v>
      </c>
      <c r="B4143" s="168">
        <v>152</v>
      </c>
      <c r="D4143" s="30" t="s">
        <v>236</v>
      </c>
      <c r="E4143" s="157">
        <v>2</v>
      </c>
      <c r="F4143" s="30">
        <v>0</v>
      </c>
      <c r="J4143" s="171"/>
      <c r="K4143" s="30">
        <v>1</v>
      </c>
      <c r="L4143" s="172"/>
    </row>
    <row r="4144" s="30" customFormat="1" hidden="1" spans="1:12">
      <c r="A4144" s="167" t="s">
        <v>4173</v>
      </c>
      <c r="B4144" s="168">
        <v>152</v>
      </c>
      <c r="D4144" s="30" t="s">
        <v>264</v>
      </c>
      <c r="E4144" s="157">
        <v>2</v>
      </c>
      <c r="F4144" s="30">
        <v>1</v>
      </c>
      <c r="J4144" s="171"/>
      <c r="K4144" s="30">
        <v>1</v>
      </c>
      <c r="L4144" s="172"/>
    </row>
    <row r="4145" s="30" customFormat="1" hidden="1" spans="1:12">
      <c r="A4145" s="167" t="s">
        <v>4174</v>
      </c>
      <c r="B4145" s="168">
        <v>152</v>
      </c>
      <c r="D4145" s="30" t="s">
        <v>130</v>
      </c>
      <c r="E4145" s="157">
        <v>2</v>
      </c>
      <c r="F4145" s="30">
        <v>1</v>
      </c>
      <c r="J4145" s="171"/>
      <c r="K4145" s="30">
        <v>1</v>
      </c>
      <c r="L4145" s="172"/>
    </row>
    <row r="4146" s="30" customFormat="1" hidden="1" spans="1:12">
      <c r="A4146" s="167" t="s">
        <v>4175</v>
      </c>
      <c r="B4146" s="168">
        <v>152</v>
      </c>
      <c r="D4146" s="30" t="s">
        <v>2629</v>
      </c>
      <c r="E4146" s="157">
        <f>85/30</f>
        <v>2.83333333333333</v>
      </c>
      <c r="F4146" s="30">
        <v>0</v>
      </c>
      <c r="J4146" s="171"/>
      <c r="K4146" s="30">
        <v>1</v>
      </c>
      <c r="L4146" s="172"/>
    </row>
    <row r="4147" s="30" customFormat="1" hidden="1" spans="1:12">
      <c r="A4147" s="167" t="s">
        <v>4176</v>
      </c>
      <c r="B4147" s="168">
        <v>152</v>
      </c>
      <c r="D4147" s="30" t="s">
        <v>268</v>
      </c>
      <c r="E4147" s="157">
        <v>2</v>
      </c>
      <c r="F4147" s="30">
        <v>1</v>
      </c>
      <c r="J4147" s="171"/>
      <c r="K4147" s="30">
        <v>1</v>
      </c>
      <c r="L4147" s="172"/>
    </row>
    <row r="4148" s="30" customFormat="1" hidden="1" spans="1:12">
      <c r="A4148" s="167" t="s">
        <v>4177</v>
      </c>
      <c r="B4148" s="168">
        <v>152</v>
      </c>
      <c r="D4148" s="30" t="s">
        <v>266</v>
      </c>
      <c r="E4148" s="157">
        <f>36/30</f>
        <v>1.2</v>
      </c>
      <c r="F4148" s="30">
        <v>1</v>
      </c>
      <c r="J4148" s="171"/>
      <c r="K4148" s="30">
        <v>1</v>
      </c>
      <c r="L4148" s="172"/>
    </row>
    <row r="4149" s="30" customFormat="1" hidden="1" spans="1:12">
      <c r="A4149" s="167" t="s">
        <v>4178</v>
      </c>
      <c r="B4149" s="168">
        <v>152</v>
      </c>
      <c r="D4149" s="30" t="s">
        <v>2633</v>
      </c>
      <c r="E4149" s="157">
        <f>36/30</f>
        <v>1.2</v>
      </c>
      <c r="F4149" s="30">
        <v>1</v>
      </c>
      <c r="J4149" s="171"/>
      <c r="K4149" s="30">
        <v>1</v>
      </c>
      <c r="L4149" s="172"/>
    </row>
    <row r="4150" s="30" customFormat="1" hidden="1" spans="1:12">
      <c r="A4150" s="167" t="s">
        <v>4179</v>
      </c>
      <c r="B4150" s="168">
        <v>152</v>
      </c>
      <c r="D4150" s="30" t="s">
        <v>204</v>
      </c>
      <c r="E4150" s="157">
        <f>40/30</f>
        <v>1.33333333333333</v>
      </c>
      <c r="F4150" s="30">
        <v>0</v>
      </c>
      <c r="J4150" s="171"/>
      <c r="K4150" s="30">
        <v>1</v>
      </c>
      <c r="L4150" s="172"/>
    </row>
    <row r="4151" s="30" customFormat="1" hidden="1" spans="1:12">
      <c r="A4151" s="167" t="s">
        <v>4180</v>
      </c>
      <c r="B4151" s="168">
        <v>152</v>
      </c>
      <c r="D4151" s="30" t="s">
        <v>270</v>
      </c>
      <c r="E4151" s="157">
        <v>2</v>
      </c>
      <c r="F4151" s="30">
        <v>1</v>
      </c>
      <c r="J4151" s="171"/>
      <c r="K4151" s="30">
        <v>1</v>
      </c>
      <c r="L4151" s="172"/>
    </row>
    <row r="4152" s="30" customFormat="1" hidden="1" spans="1:12">
      <c r="A4152" s="167" t="s">
        <v>4181</v>
      </c>
      <c r="B4152" s="168">
        <v>152</v>
      </c>
      <c r="D4152" s="30" t="s">
        <v>4182</v>
      </c>
      <c r="E4152" s="157">
        <f>160/30</f>
        <v>5.33333333333333</v>
      </c>
      <c r="F4152" s="30">
        <v>0</v>
      </c>
      <c r="J4152" s="171"/>
      <c r="K4152" s="30">
        <v>1</v>
      </c>
      <c r="L4152" s="172"/>
    </row>
    <row r="4153" s="29" customFormat="1" hidden="1" spans="1:12">
      <c r="A4153" s="165">
        <v>3010501</v>
      </c>
      <c r="B4153" s="166">
        <v>30105</v>
      </c>
      <c r="D4153" s="29" t="s">
        <v>46</v>
      </c>
      <c r="E4153" s="157">
        <f>70/30</f>
        <v>2.33333333333333</v>
      </c>
      <c r="F4153" s="29">
        <v>0</v>
      </c>
      <c r="J4153" s="169"/>
      <c r="K4153" s="29">
        <v>1</v>
      </c>
      <c r="L4153" s="170"/>
    </row>
    <row r="4154" s="29" customFormat="1" hidden="1" spans="1:12">
      <c r="A4154" s="165">
        <v>3010502</v>
      </c>
      <c r="B4154" s="166">
        <v>30105</v>
      </c>
      <c r="D4154" s="29" t="s">
        <v>86</v>
      </c>
      <c r="E4154" s="157">
        <f>200/30</f>
        <v>6.66666666666667</v>
      </c>
      <c r="F4154" s="29">
        <v>0</v>
      </c>
      <c r="G4154" s="29">
        <v>0</v>
      </c>
      <c r="H4154" s="29">
        <v>2</v>
      </c>
      <c r="I4154" s="29">
        <v>4980</v>
      </c>
      <c r="J4154" s="169" t="s">
        <v>4183</v>
      </c>
      <c r="K4154" s="29">
        <v>1</v>
      </c>
      <c r="L4154" s="170"/>
    </row>
    <row r="4155" s="29" customFormat="1" hidden="1" spans="1:12">
      <c r="A4155" s="165">
        <v>3010503</v>
      </c>
      <c r="B4155" s="166">
        <v>30105</v>
      </c>
      <c r="D4155" s="29" t="s">
        <v>50</v>
      </c>
      <c r="E4155" s="157">
        <f>102/30</f>
        <v>3.4</v>
      </c>
      <c r="F4155" s="29">
        <v>0</v>
      </c>
      <c r="J4155" s="169"/>
      <c r="K4155" s="29">
        <v>1</v>
      </c>
      <c r="L4155" s="170"/>
    </row>
    <row r="4156" s="29" customFormat="1" hidden="1" spans="1:12">
      <c r="A4156" s="165">
        <v>3010504</v>
      </c>
      <c r="B4156" s="166">
        <v>30105</v>
      </c>
      <c r="D4156" s="29" t="s">
        <v>90</v>
      </c>
      <c r="E4156" s="157">
        <f>250/30</f>
        <v>8.33333333333333</v>
      </c>
      <c r="F4156" s="29">
        <v>0</v>
      </c>
      <c r="J4156" s="169"/>
      <c r="K4156" s="29">
        <v>1</v>
      </c>
      <c r="L4156" s="170"/>
    </row>
    <row r="4157" s="29" customFormat="1" hidden="1" spans="1:12">
      <c r="A4157" s="165" t="s">
        <v>4184</v>
      </c>
      <c r="B4157" s="166">
        <v>30105</v>
      </c>
      <c r="D4157" s="29" t="s">
        <v>1047</v>
      </c>
      <c r="E4157" s="157">
        <f>65/30</f>
        <v>2.16666666666667</v>
      </c>
      <c r="F4157" s="29">
        <v>0</v>
      </c>
      <c r="J4157" s="169"/>
      <c r="K4157" s="29">
        <v>1</v>
      </c>
      <c r="L4157" s="170"/>
    </row>
    <row r="4158" s="29" customFormat="1" hidden="1" spans="1:12">
      <c r="A4158" s="165" t="s">
        <v>4185</v>
      </c>
      <c r="B4158" s="166">
        <v>30105</v>
      </c>
      <c r="D4158" s="29" t="s">
        <v>2198</v>
      </c>
      <c r="E4158" s="157">
        <f>48/30</f>
        <v>1.6</v>
      </c>
      <c r="F4158" s="29">
        <v>1</v>
      </c>
      <c r="J4158" s="169"/>
      <c r="K4158" s="29">
        <v>1</v>
      </c>
      <c r="L4158" s="170"/>
    </row>
    <row r="4159" s="29" customFormat="1" hidden="1" spans="1:12">
      <c r="A4159" s="165" t="s">
        <v>4186</v>
      </c>
      <c r="B4159" s="166">
        <v>30105</v>
      </c>
      <c r="D4159" s="29" t="s">
        <v>2182</v>
      </c>
      <c r="E4159" s="157">
        <f>33/30</f>
        <v>1.1</v>
      </c>
      <c r="F4159" s="29">
        <v>0</v>
      </c>
      <c r="J4159" s="169"/>
      <c r="K4159" s="29">
        <v>1</v>
      </c>
      <c r="L4159" s="170"/>
    </row>
    <row r="4160" s="29" customFormat="1" hidden="1" spans="1:12">
      <c r="A4160" s="165" t="s">
        <v>4187</v>
      </c>
      <c r="B4160" s="166">
        <v>30105</v>
      </c>
      <c r="D4160" s="29" t="s">
        <v>2184</v>
      </c>
      <c r="E4160" s="157">
        <v>1</v>
      </c>
      <c r="F4160" s="29">
        <v>0</v>
      </c>
      <c r="J4160" s="169"/>
      <c r="K4160" s="29">
        <v>1</v>
      </c>
      <c r="L4160" s="170"/>
    </row>
    <row r="4161" s="29" customFormat="1" hidden="1" spans="1:12">
      <c r="A4161" s="165" t="s">
        <v>4188</v>
      </c>
      <c r="B4161" s="166">
        <v>30105</v>
      </c>
      <c r="D4161" s="29" t="s">
        <v>2186</v>
      </c>
      <c r="E4161" s="157">
        <f>67/30</f>
        <v>2.23333333333333</v>
      </c>
      <c r="F4161" s="29">
        <v>0</v>
      </c>
      <c r="J4161" s="169"/>
      <c r="K4161" s="29">
        <v>1</v>
      </c>
      <c r="L4161" s="170"/>
    </row>
    <row r="4162" s="29" customFormat="1" hidden="1" spans="1:12">
      <c r="A4162" s="165" t="s">
        <v>4189</v>
      </c>
      <c r="B4162" s="166">
        <v>30105</v>
      </c>
      <c r="D4162" s="29" t="s">
        <v>2188</v>
      </c>
      <c r="E4162" s="157">
        <v>1</v>
      </c>
      <c r="F4162" s="29">
        <v>0</v>
      </c>
      <c r="J4162" s="169"/>
      <c r="K4162" s="29">
        <v>1</v>
      </c>
      <c r="L4162" s="170"/>
    </row>
    <row r="4163" s="29" customFormat="1" hidden="1" spans="1:12">
      <c r="A4163" s="165" t="s">
        <v>4190</v>
      </c>
      <c r="B4163" s="166">
        <v>30105</v>
      </c>
      <c r="D4163" s="29" t="s">
        <v>2190</v>
      </c>
      <c r="E4163" s="157">
        <v>1</v>
      </c>
      <c r="F4163" s="29">
        <v>0</v>
      </c>
      <c r="J4163" s="169"/>
      <c r="K4163" s="29">
        <v>1</v>
      </c>
      <c r="L4163" s="170"/>
    </row>
    <row r="4164" s="29" customFormat="1" hidden="1" spans="1:12">
      <c r="A4164" s="165" t="s">
        <v>4191</v>
      </c>
      <c r="B4164" s="166">
        <v>30105</v>
      </c>
      <c r="D4164" s="29" t="s">
        <v>2192</v>
      </c>
      <c r="E4164" s="157">
        <v>1</v>
      </c>
      <c r="F4164" s="29">
        <v>0</v>
      </c>
      <c r="J4164" s="169"/>
      <c r="K4164" s="29">
        <v>1</v>
      </c>
      <c r="L4164" s="170"/>
    </row>
    <row r="4165" s="29" customFormat="1" hidden="1" spans="1:12">
      <c r="A4165" s="165" t="s">
        <v>4192</v>
      </c>
      <c r="B4165" s="166">
        <v>30105</v>
      </c>
      <c r="D4165" s="29" t="s">
        <v>2194</v>
      </c>
      <c r="E4165" s="157">
        <v>1</v>
      </c>
      <c r="F4165" s="29">
        <v>0</v>
      </c>
      <c r="J4165" s="169"/>
      <c r="K4165" s="29">
        <v>1</v>
      </c>
      <c r="L4165" s="170"/>
    </row>
    <row r="4166" s="29" customFormat="1" hidden="1" spans="1:12">
      <c r="A4166" s="165" t="s">
        <v>4193</v>
      </c>
      <c r="B4166" s="166">
        <v>30105</v>
      </c>
      <c r="D4166" s="29" t="s">
        <v>300</v>
      </c>
      <c r="E4166" s="157">
        <v>1</v>
      </c>
      <c r="F4166" s="29">
        <v>0</v>
      </c>
      <c r="J4166" s="169"/>
      <c r="K4166" s="29">
        <v>1</v>
      </c>
      <c r="L4166" s="170"/>
    </row>
    <row r="4167" s="29" customFormat="1" hidden="1" spans="1:12">
      <c r="A4167" s="165" t="s">
        <v>4194</v>
      </c>
      <c r="B4167" s="166">
        <v>30105</v>
      </c>
      <c r="D4167" s="29" t="s">
        <v>2178</v>
      </c>
      <c r="E4167" s="157">
        <v>1</v>
      </c>
      <c r="F4167" s="29">
        <v>0</v>
      </c>
      <c r="J4167" s="169"/>
      <c r="K4167" s="29">
        <v>1</v>
      </c>
      <c r="L4167" s="170"/>
    </row>
    <row r="4168" s="29" customFormat="1" hidden="1" spans="1:12">
      <c r="A4168" s="165" t="s">
        <v>4195</v>
      </c>
      <c r="B4168" s="166">
        <v>30105</v>
      </c>
      <c r="D4168" s="29" t="s">
        <v>2196</v>
      </c>
      <c r="E4168" s="157">
        <f>45/30</f>
        <v>1.5</v>
      </c>
      <c r="F4168" s="29">
        <v>0</v>
      </c>
      <c r="J4168" s="169"/>
      <c r="K4168" s="29">
        <v>1</v>
      </c>
      <c r="L4168" s="170"/>
    </row>
    <row r="4169" s="29" customFormat="1" hidden="1" spans="1:12">
      <c r="A4169" s="165" t="s">
        <v>4196</v>
      </c>
      <c r="B4169" s="166">
        <v>30105</v>
      </c>
      <c r="D4169" s="29" t="s">
        <v>1788</v>
      </c>
      <c r="E4169" s="157">
        <f>40/30</f>
        <v>1.33333333333333</v>
      </c>
      <c r="F4169" s="29">
        <v>1</v>
      </c>
      <c r="J4169" s="169"/>
      <c r="K4169" s="29">
        <v>1</v>
      </c>
      <c r="L4169" s="170"/>
    </row>
    <row r="4170" s="29" customFormat="1" hidden="1" spans="1:12">
      <c r="A4170" s="165" t="s">
        <v>4197</v>
      </c>
      <c r="B4170" s="166">
        <v>30105</v>
      </c>
      <c r="D4170" s="29" t="s">
        <v>2621</v>
      </c>
      <c r="E4170" s="157">
        <f>20/30</f>
        <v>0.666666666666667</v>
      </c>
      <c r="F4170" s="29">
        <v>1</v>
      </c>
      <c r="J4170" s="169"/>
      <c r="K4170" s="29">
        <v>1</v>
      </c>
      <c r="L4170" s="170"/>
    </row>
    <row r="4171" s="29" customFormat="1" hidden="1" spans="1:12">
      <c r="A4171" s="165" t="s">
        <v>4198</v>
      </c>
      <c r="B4171" s="166">
        <v>30105</v>
      </c>
      <c r="D4171" s="29" t="s">
        <v>2623</v>
      </c>
      <c r="E4171" s="157">
        <v>2</v>
      </c>
      <c r="F4171" s="29">
        <v>1</v>
      </c>
      <c r="J4171" s="169"/>
      <c r="K4171" s="29">
        <v>1</v>
      </c>
      <c r="L4171" s="170"/>
    </row>
    <row r="4172" s="29" customFormat="1" hidden="1" spans="1:12">
      <c r="A4172" s="165" t="s">
        <v>4199</v>
      </c>
      <c r="B4172" s="166">
        <v>30105</v>
      </c>
      <c r="D4172" s="29" t="s">
        <v>130</v>
      </c>
      <c r="E4172" s="157">
        <f>40/30</f>
        <v>1.33333333333333</v>
      </c>
      <c r="F4172" s="29">
        <v>1</v>
      </c>
      <c r="J4172" s="169"/>
      <c r="K4172" s="29">
        <v>1</v>
      </c>
      <c r="L4172" s="170"/>
    </row>
    <row r="4173" s="26" customFormat="1" hidden="1" spans="1:12">
      <c r="A4173" s="149" t="s">
        <v>4200</v>
      </c>
      <c r="B4173" s="150">
        <v>4015201</v>
      </c>
      <c r="D4173" s="26" t="s">
        <v>36</v>
      </c>
      <c r="E4173" s="157">
        <v>2.533333</v>
      </c>
      <c r="F4173" s="26">
        <v>0</v>
      </c>
      <c r="K4173" s="26">
        <v>1</v>
      </c>
      <c r="L4173" s="152"/>
    </row>
    <row r="4174" s="26" customFormat="1" hidden="1" spans="1:12">
      <c r="A4174" s="149" t="s">
        <v>4201</v>
      </c>
      <c r="B4174" s="150">
        <v>4015201</v>
      </c>
      <c r="D4174" s="26" t="s">
        <v>38</v>
      </c>
      <c r="E4174" s="157">
        <v>2.3</v>
      </c>
      <c r="F4174" s="26">
        <v>0</v>
      </c>
      <c r="K4174" s="26">
        <v>1</v>
      </c>
      <c r="L4174" s="152"/>
    </row>
    <row r="4175" s="26" customFormat="1" hidden="1" spans="1:12">
      <c r="A4175" s="149" t="s">
        <v>4202</v>
      </c>
      <c r="B4175" s="150">
        <v>4015201</v>
      </c>
      <c r="D4175" s="26" t="s">
        <v>40</v>
      </c>
      <c r="E4175" s="157">
        <v>2.033333</v>
      </c>
      <c r="F4175" s="26">
        <v>0</v>
      </c>
      <c r="K4175" s="26">
        <v>1</v>
      </c>
      <c r="L4175" s="152"/>
    </row>
    <row r="4176" s="26" customFormat="1" hidden="1" spans="1:12">
      <c r="A4176" s="149" t="s">
        <v>4203</v>
      </c>
      <c r="B4176" s="150">
        <v>4015201</v>
      </c>
      <c r="D4176" s="26" t="s">
        <v>42</v>
      </c>
      <c r="E4176" s="157">
        <v>3.7333333</v>
      </c>
      <c r="F4176" s="26">
        <v>0</v>
      </c>
      <c r="K4176" s="26">
        <v>1</v>
      </c>
      <c r="L4176" s="152"/>
    </row>
    <row r="4177" s="26" customFormat="1" hidden="1" spans="1:12">
      <c r="A4177" s="149" t="s">
        <v>4204</v>
      </c>
      <c r="B4177" s="150">
        <v>4015201</v>
      </c>
      <c r="D4177" s="26" t="s">
        <v>44</v>
      </c>
      <c r="E4177" s="157">
        <v>11.666667</v>
      </c>
      <c r="F4177" s="26">
        <v>0</v>
      </c>
      <c r="K4177" s="26">
        <v>1</v>
      </c>
      <c r="L4177" s="152"/>
    </row>
    <row r="4178" s="26" customFormat="1" hidden="1" spans="1:12">
      <c r="A4178" s="149" t="s">
        <v>4205</v>
      </c>
      <c r="B4178" s="150">
        <v>4015201</v>
      </c>
      <c r="D4178" s="26" t="s">
        <v>86</v>
      </c>
      <c r="E4178" s="157">
        <f>160/30</f>
        <v>5.33333333333333</v>
      </c>
      <c r="F4178" s="26">
        <v>0</v>
      </c>
      <c r="K4178" s="26">
        <v>1</v>
      </c>
      <c r="L4178" s="152"/>
    </row>
    <row r="4179" s="26" customFormat="1" hidden="1" spans="1:12">
      <c r="A4179" s="149" t="s">
        <v>4206</v>
      </c>
      <c r="B4179" s="150">
        <v>4015201</v>
      </c>
      <c r="D4179" s="26" t="s">
        <v>92</v>
      </c>
      <c r="E4179" s="157">
        <v>3</v>
      </c>
      <c r="F4179" s="26">
        <v>0</v>
      </c>
      <c r="K4179" s="26">
        <v>1</v>
      </c>
      <c r="L4179" s="152"/>
    </row>
    <row r="4180" s="26" customFormat="1" hidden="1" spans="1:12">
      <c r="A4180" s="149" t="s">
        <v>4207</v>
      </c>
      <c r="B4180" s="150">
        <v>4015201</v>
      </c>
      <c r="D4180" s="26" t="s">
        <v>109</v>
      </c>
      <c r="E4180" s="157">
        <v>2.33333333</v>
      </c>
      <c r="F4180" s="26">
        <v>0</v>
      </c>
      <c r="K4180" s="26">
        <v>1</v>
      </c>
      <c r="L4180" s="152"/>
    </row>
    <row r="4181" s="26" customFormat="1" hidden="1" spans="1:12">
      <c r="A4181" s="149" t="s">
        <v>4208</v>
      </c>
      <c r="B4181" s="150">
        <v>4015201</v>
      </c>
      <c r="D4181" s="26" t="s">
        <v>97</v>
      </c>
      <c r="E4181" s="157">
        <v>2</v>
      </c>
      <c r="F4181" s="26">
        <v>0</v>
      </c>
      <c r="K4181" s="26">
        <v>1</v>
      </c>
      <c r="L4181" s="152"/>
    </row>
    <row r="4182" s="26" customFormat="1" hidden="1" spans="1:12">
      <c r="A4182" s="149" t="s">
        <v>4209</v>
      </c>
      <c r="B4182" s="150">
        <v>4015201</v>
      </c>
      <c r="D4182" s="26" t="s">
        <v>77</v>
      </c>
      <c r="E4182" s="157">
        <v>2.666666</v>
      </c>
      <c r="F4182" s="26">
        <v>0</v>
      </c>
      <c r="K4182" s="26">
        <v>1</v>
      </c>
      <c r="L4182" s="152"/>
    </row>
    <row r="4183" s="26" customFormat="1" hidden="1" spans="1:12">
      <c r="A4183" s="149" t="s">
        <v>4210</v>
      </c>
      <c r="B4183" s="150">
        <v>4015201</v>
      </c>
      <c r="D4183" s="26" t="s">
        <v>54</v>
      </c>
      <c r="E4183" s="157">
        <v>3.83333333</v>
      </c>
      <c r="F4183" s="26">
        <v>0</v>
      </c>
      <c r="K4183" s="26">
        <v>1</v>
      </c>
      <c r="L4183" s="152"/>
    </row>
    <row r="4184" s="26" customFormat="1" hidden="1" spans="1:12">
      <c r="A4184" s="149" t="s">
        <v>4211</v>
      </c>
      <c r="B4184" s="150">
        <v>4015201</v>
      </c>
      <c r="D4184" s="26" t="s">
        <v>57</v>
      </c>
      <c r="E4184" s="157">
        <f>100/30</f>
        <v>3.33333333333333</v>
      </c>
      <c r="F4184" s="26">
        <v>0</v>
      </c>
      <c r="G4184" s="26">
        <v>0</v>
      </c>
      <c r="H4184" s="26">
        <v>2</v>
      </c>
      <c r="I4184" s="26">
        <v>4976</v>
      </c>
      <c r="J4184" s="26" t="s">
        <v>58</v>
      </c>
      <c r="K4184" s="26">
        <v>1</v>
      </c>
      <c r="L4184" s="152"/>
    </row>
    <row r="4185" s="26" customFormat="1" hidden="1" spans="1:12">
      <c r="A4185" s="149" t="s">
        <v>4212</v>
      </c>
      <c r="B4185" s="150">
        <v>4015201</v>
      </c>
      <c r="D4185" s="26" t="s">
        <v>1047</v>
      </c>
      <c r="E4185" s="157">
        <v>2</v>
      </c>
      <c r="F4185" s="26">
        <v>0</v>
      </c>
      <c r="K4185" s="26">
        <v>1</v>
      </c>
      <c r="L4185" s="152"/>
    </row>
    <row r="4186" s="26" customFormat="1" hidden="1" spans="1:12">
      <c r="A4186" s="149" t="s">
        <v>4213</v>
      </c>
      <c r="B4186" s="150">
        <v>4015201</v>
      </c>
      <c r="D4186" s="26" t="s">
        <v>60</v>
      </c>
      <c r="E4186" s="157">
        <f>87/30</f>
        <v>2.9</v>
      </c>
      <c r="F4186" s="26">
        <v>0</v>
      </c>
      <c r="K4186" s="26">
        <v>1</v>
      </c>
      <c r="L4186" s="152"/>
    </row>
    <row r="4187" s="26" customFormat="1" hidden="1" spans="1:12">
      <c r="A4187" s="149" t="s">
        <v>4214</v>
      </c>
      <c r="B4187" s="150">
        <v>4015201</v>
      </c>
      <c r="D4187" s="26" t="s">
        <v>2198</v>
      </c>
      <c r="E4187" s="157">
        <v>2</v>
      </c>
      <c r="F4187" s="26">
        <v>1</v>
      </c>
      <c r="K4187" s="26">
        <v>1</v>
      </c>
      <c r="L4187" s="152"/>
    </row>
    <row r="4188" s="26" customFormat="1" hidden="1" spans="1:12">
      <c r="A4188" s="149" t="s">
        <v>4215</v>
      </c>
      <c r="B4188" s="150">
        <v>4015201</v>
      </c>
      <c r="D4188" s="26" t="s">
        <v>2182</v>
      </c>
      <c r="E4188" s="157">
        <f>34/30</f>
        <v>1.13333333333333</v>
      </c>
      <c r="F4188" s="26">
        <v>0</v>
      </c>
      <c r="K4188" s="26">
        <v>1</v>
      </c>
      <c r="L4188" s="152"/>
    </row>
    <row r="4189" s="26" customFormat="1" hidden="1" spans="1:12">
      <c r="A4189" s="149" t="s">
        <v>4216</v>
      </c>
      <c r="B4189" s="150">
        <v>4015201</v>
      </c>
      <c r="D4189" s="26" t="s">
        <v>2184</v>
      </c>
      <c r="E4189" s="157">
        <f>40/30</f>
        <v>1.33333333333333</v>
      </c>
      <c r="F4189" s="26">
        <v>0</v>
      </c>
      <c r="K4189" s="26">
        <v>1</v>
      </c>
      <c r="L4189" s="152"/>
    </row>
    <row r="4190" s="26" customFormat="1" hidden="1" spans="1:12">
      <c r="A4190" s="149" t="s">
        <v>4217</v>
      </c>
      <c r="B4190" s="150">
        <v>4015201</v>
      </c>
      <c r="D4190" s="26" t="s">
        <v>2186</v>
      </c>
      <c r="E4190" s="157">
        <f>50/30</f>
        <v>1.66666666666667</v>
      </c>
      <c r="F4190" s="26">
        <v>0</v>
      </c>
      <c r="K4190" s="26">
        <v>1</v>
      </c>
      <c r="L4190" s="152"/>
    </row>
    <row r="4191" s="26" customFormat="1" hidden="1" spans="1:12">
      <c r="A4191" s="149" t="s">
        <v>4218</v>
      </c>
      <c r="B4191" s="150">
        <v>4015201</v>
      </c>
      <c r="D4191" s="26" t="s">
        <v>2188</v>
      </c>
      <c r="E4191" s="157">
        <f t="shared" ref="E4191:E4196" si="21">24/30</f>
        <v>0.8</v>
      </c>
      <c r="F4191" s="26">
        <v>0</v>
      </c>
      <c r="K4191" s="26">
        <v>1</v>
      </c>
      <c r="L4191" s="152"/>
    </row>
    <row r="4192" s="26" customFormat="1" hidden="1" spans="1:12">
      <c r="A4192" s="149" t="s">
        <v>4219</v>
      </c>
      <c r="B4192" s="150">
        <v>4015201</v>
      </c>
      <c r="D4192" s="26" t="s">
        <v>2190</v>
      </c>
      <c r="E4192" s="157">
        <f t="shared" si="21"/>
        <v>0.8</v>
      </c>
      <c r="F4192" s="26">
        <v>0</v>
      </c>
      <c r="K4192" s="26">
        <v>1</v>
      </c>
      <c r="L4192" s="152"/>
    </row>
    <row r="4193" s="26" customFormat="1" hidden="1" spans="1:12">
      <c r="A4193" s="149" t="s">
        <v>4220</v>
      </c>
      <c r="B4193" s="150">
        <v>4015201</v>
      </c>
      <c r="D4193" s="26" t="s">
        <v>2192</v>
      </c>
      <c r="E4193" s="157">
        <f t="shared" si="21"/>
        <v>0.8</v>
      </c>
      <c r="F4193" s="26">
        <v>0</v>
      </c>
      <c r="K4193" s="26">
        <v>1</v>
      </c>
      <c r="L4193" s="152"/>
    </row>
    <row r="4194" s="26" customFormat="1" hidden="1" spans="1:12">
      <c r="A4194" s="149" t="s">
        <v>4221</v>
      </c>
      <c r="B4194" s="150">
        <v>4015201</v>
      </c>
      <c r="D4194" s="26" t="s">
        <v>2194</v>
      </c>
      <c r="E4194" s="157">
        <f t="shared" si="21"/>
        <v>0.8</v>
      </c>
      <c r="F4194" s="26">
        <v>0</v>
      </c>
      <c r="K4194" s="26">
        <v>1</v>
      </c>
      <c r="L4194" s="152"/>
    </row>
    <row r="4195" s="26" customFormat="1" hidden="1" spans="1:12">
      <c r="A4195" s="149" t="s">
        <v>4222</v>
      </c>
      <c r="B4195" s="150">
        <v>4015201</v>
      </c>
      <c r="D4195" s="26" t="s">
        <v>300</v>
      </c>
      <c r="E4195" s="157">
        <f t="shared" si="21"/>
        <v>0.8</v>
      </c>
      <c r="F4195" s="26">
        <v>0</v>
      </c>
      <c r="K4195" s="26">
        <v>1</v>
      </c>
      <c r="L4195" s="152"/>
    </row>
    <row r="4196" s="26" customFormat="1" hidden="1" spans="1:12">
      <c r="A4196" s="149" t="s">
        <v>4223</v>
      </c>
      <c r="B4196" s="150">
        <v>4015201</v>
      </c>
      <c r="D4196" s="26" t="s">
        <v>2178</v>
      </c>
      <c r="E4196" s="157">
        <f t="shared" si="21"/>
        <v>0.8</v>
      </c>
      <c r="F4196" s="26">
        <v>0</v>
      </c>
      <c r="K4196" s="26">
        <v>1</v>
      </c>
      <c r="L4196" s="152"/>
    </row>
    <row r="4197" s="26" customFormat="1" hidden="1" spans="1:12">
      <c r="A4197" s="149" t="s">
        <v>4224</v>
      </c>
      <c r="B4197" s="150">
        <v>4015201</v>
      </c>
      <c r="D4197" s="26" t="s">
        <v>2196</v>
      </c>
      <c r="E4197" s="157">
        <f>50/30</f>
        <v>1.66666666666667</v>
      </c>
      <c r="F4197" s="26">
        <v>0</v>
      </c>
      <c r="K4197" s="26">
        <v>1</v>
      </c>
      <c r="L4197" s="152"/>
    </row>
    <row r="4198" s="26" customFormat="1" hidden="1" spans="1:12">
      <c r="A4198" s="149" t="s">
        <v>4225</v>
      </c>
      <c r="B4198" s="150">
        <v>4015201</v>
      </c>
      <c r="D4198" s="26" t="s">
        <v>2618</v>
      </c>
      <c r="E4198" s="157">
        <v>2</v>
      </c>
      <c r="F4198" s="26">
        <v>1</v>
      </c>
      <c r="K4198" s="26">
        <v>1</v>
      </c>
      <c r="L4198" s="152"/>
    </row>
    <row r="4199" s="26" customFormat="1" hidden="1" spans="1:12">
      <c r="A4199" s="149" t="s">
        <v>4226</v>
      </c>
      <c r="B4199" s="150">
        <v>4015201</v>
      </c>
      <c r="D4199" s="26" t="s">
        <v>261</v>
      </c>
      <c r="E4199" s="157">
        <f>24/30</f>
        <v>0.8</v>
      </c>
      <c r="F4199" s="26">
        <v>1</v>
      </c>
      <c r="K4199" s="26">
        <v>1</v>
      </c>
      <c r="L4199" s="152"/>
    </row>
    <row r="4200" s="26" customFormat="1" hidden="1" spans="1:12">
      <c r="A4200" s="149" t="s">
        <v>4227</v>
      </c>
      <c r="B4200" s="150">
        <v>4015201</v>
      </c>
      <c r="D4200" s="26" t="s">
        <v>236</v>
      </c>
      <c r="E4200" s="157">
        <v>2</v>
      </c>
      <c r="F4200" s="26">
        <v>0</v>
      </c>
      <c r="K4200" s="26">
        <v>1</v>
      </c>
      <c r="L4200" s="152"/>
    </row>
    <row r="4201" s="26" customFormat="1" hidden="1" spans="1:12">
      <c r="A4201" s="149" t="s">
        <v>4228</v>
      </c>
      <c r="B4201" s="150">
        <v>4015201</v>
      </c>
      <c r="D4201" s="26" t="s">
        <v>264</v>
      </c>
      <c r="E4201" s="157">
        <v>2</v>
      </c>
      <c r="F4201" s="26">
        <v>1</v>
      </c>
      <c r="K4201" s="26">
        <v>1</v>
      </c>
      <c r="L4201" s="152"/>
    </row>
    <row r="4202" s="26" customFormat="1" hidden="1" spans="1:12">
      <c r="A4202" s="149" t="s">
        <v>4229</v>
      </c>
      <c r="B4202" s="150">
        <v>4015201</v>
      </c>
      <c r="D4202" s="26" t="s">
        <v>130</v>
      </c>
      <c r="E4202" s="157">
        <v>2</v>
      </c>
      <c r="F4202" s="26">
        <v>1</v>
      </c>
      <c r="K4202" s="26">
        <v>1</v>
      </c>
      <c r="L4202" s="152"/>
    </row>
    <row r="4203" s="26" customFormat="1" hidden="1" spans="1:12">
      <c r="A4203" s="149" t="s">
        <v>4230</v>
      </c>
      <c r="B4203" s="150">
        <v>4015201</v>
      </c>
      <c r="D4203" s="26" t="s">
        <v>2629</v>
      </c>
      <c r="E4203" s="157">
        <f>85/30</f>
        <v>2.83333333333333</v>
      </c>
      <c r="F4203" s="26">
        <v>0</v>
      </c>
      <c r="K4203" s="26">
        <v>1</v>
      </c>
      <c r="L4203" s="152"/>
    </row>
    <row r="4204" s="26" customFormat="1" hidden="1" spans="1:12">
      <c r="A4204" s="149" t="s">
        <v>4231</v>
      </c>
      <c r="B4204" s="150">
        <v>4015201</v>
      </c>
      <c r="D4204" s="26" t="s">
        <v>268</v>
      </c>
      <c r="E4204" s="157">
        <v>2</v>
      </c>
      <c r="F4204" s="26">
        <v>1</v>
      </c>
      <c r="K4204" s="26">
        <v>1</v>
      </c>
      <c r="L4204" s="152"/>
    </row>
    <row r="4205" s="26" customFormat="1" hidden="1" spans="1:12">
      <c r="A4205" s="149" t="s">
        <v>4232</v>
      </c>
      <c r="B4205" s="150">
        <v>4015201</v>
      </c>
      <c r="D4205" s="26" t="s">
        <v>266</v>
      </c>
      <c r="E4205" s="157">
        <f>36/30</f>
        <v>1.2</v>
      </c>
      <c r="F4205" s="26">
        <v>1</v>
      </c>
      <c r="K4205" s="26">
        <v>1</v>
      </c>
      <c r="L4205" s="152"/>
    </row>
    <row r="4206" s="26" customFormat="1" hidden="1" spans="1:12">
      <c r="A4206" s="149" t="s">
        <v>4233</v>
      </c>
      <c r="B4206" s="150">
        <v>4015201</v>
      </c>
      <c r="D4206" s="26" t="s">
        <v>2633</v>
      </c>
      <c r="E4206" s="157">
        <f>36/30</f>
        <v>1.2</v>
      </c>
      <c r="F4206" s="26">
        <v>1</v>
      </c>
      <c r="K4206" s="26">
        <v>1</v>
      </c>
      <c r="L4206" s="152"/>
    </row>
    <row r="4207" s="26" customFormat="1" hidden="1" spans="1:12">
      <c r="A4207" s="149" t="s">
        <v>4234</v>
      </c>
      <c r="B4207" s="150">
        <v>4015201</v>
      </c>
      <c r="D4207" s="26" t="s">
        <v>204</v>
      </c>
      <c r="E4207" s="157">
        <f>40/30</f>
        <v>1.33333333333333</v>
      </c>
      <c r="F4207" s="26">
        <v>0</v>
      </c>
      <c r="K4207" s="26">
        <v>1</v>
      </c>
      <c r="L4207" s="152"/>
    </row>
    <row r="4208" s="26" customFormat="1" hidden="1" spans="1:12">
      <c r="A4208" s="149" t="s">
        <v>4235</v>
      </c>
      <c r="B4208" s="150">
        <v>4015201</v>
      </c>
      <c r="D4208" s="26" t="s">
        <v>270</v>
      </c>
      <c r="E4208" s="157">
        <v>2</v>
      </c>
      <c r="F4208" s="26">
        <v>1</v>
      </c>
      <c r="K4208" s="26">
        <v>1</v>
      </c>
      <c r="L4208" s="152"/>
    </row>
    <row r="4209" hidden="1" spans="1:11">
      <c r="A4209" s="2" t="s">
        <v>4236</v>
      </c>
      <c r="B4209" s="3">
        <v>30066</v>
      </c>
      <c r="D4209" t="s">
        <v>50</v>
      </c>
      <c r="E4209">
        <f>375/30</f>
        <v>12.5</v>
      </c>
      <c r="F4209">
        <v>0</v>
      </c>
      <c r="K4209">
        <v>1</v>
      </c>
    </row>
    <row r="4210" hidden="1" spans="1:11">
      <c r="A4210" s="2" t="s">
        <v>4237</v>
      </c>
      <c r="B4210" s="3">
        <v>30066</v>
      </c>
      <c r="D4210" t="s">
        <v>4238</v>
      </c>
      <c r="E4210">
        <f>403/30</f>
        <v>13.4333333333333</v>
      </c>
      <c r="F4210">
        <v>0</v>
      </c>
      <c r="K4210">
        <v>1</v>
      </c>
    </row>
    <row r="4211" hidden="1" spans="1:11">
      <c r="A4211" s="2" t="s">
        <v>4239</v>
      </c>
      <c r="B4211" s="3">
        <v>118</v>
      </c>
      <c r="D4211" t="s">
        <v>4240</v>
      </c>
      <c r="E4211">
        <f>480/30</f>
        <v>16</v>
      </c>
      <c r="F4211">
        <v>0</v>
      </c>
      <c r="K4211">
        <v>1</v>
      </c>
    </row>
    <row r="4212" s="32" customFormat="1" hidden="1" spans="1:12">
      <c r="A4212" s="176" t="s">
        <v>4241</v>
      </c>
      <c r="B4212" s="177">
        <v>153</v>
      </c>
      <c r="D4212" s="32" t="s">
        <v>36</v>
      </c>
      <c r="E4212" s="157">
        <f>240/30</f>
        <v>8</v>
      </c>
      <c r="F4212" s="32">
        <v>0</v>
      </c>
      <c r="L4212" s="182"/>
    </row>
    <row r="4213" s="32" customFormat="1" hidden="1" spans="1:12">
      <c r="A4213" s="176" t="s">
        <v>4242</v>
      </c>
      <c r="B4213" s="177">
        <v>153</v>
      </c>
      <c r="D4213" s="32" t="s">
        <v>38</v>
      </c>
      <c r="E4213" s="157">
        <f>80/30</f>
        <v>2.66666666666667</v>
      </c>
      <c r="F4213" s="32">
        <v>0</v>
      </c>
      <c r="L4213" s="182"/>
    </row>
    <row r="4214" s="32" customFormat="1" hidden="1" spans="1:12">
      <c r="A4214" s="176" t="s">
        <v>4243</v>
      </c>
      <c r="B4214" s="177">
        <v>153</v>
      </c>
      <c r="D4214" s="32" t="s">
        <v>40</v>
      </c>
      <c r="E4214" s="157">
        <f>108/30</f>
        <v>3.6</v>
      </c>
      <c r="F4214" s="32">
        <v>0</v>
      </c>
      <c r="L4214" s="182"/>
    </row>
    <row r="4215" s="32" customFormat="1" hidden="1" spans="1:12">
      <c r="A4215" s="176" t="s">
        <v>4244</v>
      </c>
      <c r="B4215" s="177">
        <v>153</v>
      </c>
      <c r="D4215" s="32" t="s">
        <v>42</v>
      </c>
      <c r="E4215" s="157">
        <f>181/30</f>
        <v>6.03333333333333</v>
      </c>
      <c r="F4215" s="32">
        <v>0</v>
      </c>
      <c r="L4215" s="182"/>
    </row>
    <row r="4216" s="32" customFormat="1" hidden="1" spans="1:12">
      <c r="A4216" s="176" t="s">
        <v>4245</v>
      </c>
      <c r="B4216" s="177">
        <v>153</v>
      </c>
      <c r="D4216" s="32" t="s">
        <v>44</v>
      </c>
      <c r="E4216" s="157">
        <v>10</v>
      </c>
      <c r="F4216" s="32">
        <v>0</v>
      </c>
      <c r="L4216" s="182"/>
    </row>
    <row r="4217" s="32" customFormat="1" hidden="1" spans="1:12">
      <c r="A4217" s="176" t="s">
        <v>4246</v>
      </c>
      <c r="B4217" s="177">
        <v>153</v>
      </c>
      <c r="D4217" s="32" t="s">
        <v>1047</v>
      </c>
      <c r="E4217" s="157">
        <v>1.73333333333333</v>
      </c>
      <c r="F4217" s="32">
        <v>0</v>
      </c>
      <c r="L4217" s="182"/>
    </row>
    <row r="4218" s="32" customFormat="1" hidden="1" spans="1:12">
      <c r="A4218" s="176" t="s">
        <v>4247</v>
      </c>
      <c r="B4218" s="177">
        <v>153</v>
      </c>
      <c r="D4218" s="32" t="s">
        <v>272</v>
      </c>
      <c r="E4218" s="157">
        <v>1.23333333333333</v>
      </c>
      <c r="F4218" s="32">
        <v>0</v>
      </c>
      <c r="L4218" s="182"/>
    </row>
    <row r="4219" s="32" customFormat="1" hidden="1" spans="1:12">
      <c r="A4219" s="176" t="s">
        <v>4248</v>
      </c>
      <c r="B4219" s="177">
        <v>153</v>
      </c>
      <c r="D4219" s="32" t="s">
        <v>60</v>
      </c>
      <c r="E4219" s="157">
        <v>3.13333333333333</v>
      </c>
      <c r="F4219" s="32">
        <v>0</v>
      </c>
      <c r="L4219" s="182"/>
    </row>
    <row r="4220" s="32" customFormat="1" hidden="1" spans="1:12">
      <c r="A4220" s="176" t="s">
        <v>4249</v>
      </c>
      <c r="B4220" s="177">
        <v>153</v>
      </c>
      <c r="D4220" s="32" t="s">
        <v>2198</v>
      </c>
      <c r="E4220" s="157">
        <v>2</v>
      </c>
      <c r="F4220" s="32">
        <v>1</v>
      </c>
      <c r="L4220" s="182"/>
    </row>
    <row r="4221" s="32" customFormat="1" hidden="1" spans="1:12">
      <c r="A4221" s="176" t="s">
        <v>4250</v>
      </c>
      <c r="B4221" s="177">
        <v>153</v>
      </c>
      <c r="D4221" s="32" t="s">
        <v>2182</v>
      </c>
      <c r="E4221" s="157">
        <v>1.13333333333333</v>
      </c>
      <c r="F4221" s="32">
        <v>0</v>
      </c>
      <c r="L4221" s="182"/>
    </row>
    <row r="4222" s="32" customFormat="1" hidden="1" spans="1:12">
      <c r="A4222" s="176" t="s">
        <v>4251</v>
      </c>
      <c r="B4222" s="177">
        <v>153</v>
      </c>
      <c r="D4222" s="32" t="s">
        <v>2184</v>
      </c>
      <c r="E4222" s="157">
        <v>1.33333333333333</v>
      </c>
      <c r="F4222" s="32">
        <v>0</v>
      </c>
      <c r="L4222" s="182"/>
    </row>
    <row r="4223" s="32" customFormat="1" hidden="1" spans="1:12">
      <c r="A4223" s="176" t="s">
        <v>4252</v>
      </c>
      <c r="B4223" s="177">
        <v>153</v>
      </c>
      <c r="D4223" s="32" t="s">
        <v>2186</v>
      </c>
      <c r="E4223" s="157">
        <v>1.6</v>
      </c>
      <c r="F4223" s="32">
        <v>0</v>
      </c>
      <c r="L4223" s="182"/>
    </row>
    <row r="4224" s="32" customFormat="1" hidden="1" spans="1:12">
      <c r="A4224" s="176" t="s">
        <v>4253</v>
      </c>
      <c r="B4224" s="177">
        <v>153</v>
      </c>
      <c r="D4224" s="32" t="s">
        <v>2188</v>
      </c>
      <c r="E4224" s="157">
        <v>0.666666666666667</v>
      </c>
      <c r="F4224" s="32">
        <v>0</v>
      </c>
      <c r="L4224" s="182"/>
    </row>
    <row r="4225" s="32" customFormat="1" hidden="1" spans="1:12">
      <c r="A4225" s="176" t="s">
        <v>4254</v>
      </c>
      <c r="B4225" s="177">
        <v>153</v>
      </c>
      <c r="D4225" s="32" t="s">
        <v>2190</v>
      </c>
      <c r="E4225" s="157">
        <v>0.6</v>
      </c>
      <c r="F4225" s="32">
        <v>0</v>
      </c>
      <c r="L4225" s="182"/>
    </row>
    <row r="4226" s="32" customFormat="1" hidden="1" spans="1:12">
      <c r="A4226" s="176" t="s">
        <v>4255</v>
      </c>
      <c r="B4226" s="177">
        <v>153</v>
      </c>
      <c r="D4226" s="32" t="s">
        <v>2192</v>
      </c>
      <c r="E4226" s="157">
        <v>0.666666666666667</v>
      </c>
      <c r="F4226" s="32">
        <v>0</v>
      </c>
      <c r="L4226" s="182"/>
    </row>
    <row r="4227" s="32" customFormat="1" hidden="1" spans="1:12">
      <c r="A4227" s="176" t="s">
        <v>4256</v>
      </c>
      <c r="B4227" s="177">
        <v>153</v>
      </c>
      <c r="D4227" s="32" t="s">
        <v>2194</v>
      </c>
      <c r="E4227" s="157">
        <v>0.666666666666667</v>
      </c>
      <c r="F4227" s="32">
        <v>0</v>
      </c>
      <c r="L4227" s="182"/>
    </row>
    <row r="4228" s="32" customFormat="1" hidden="1" spans="1:12">
      <c r="A4228" s="176" t="s">
        <v>4257</v>
      </c>
      <c r="B4228" s="177">
        <v>153</v>
      </c>
      <c r="D4228" s="32" t="s">
        <v>300</v>
      </c>
      <c r="E4228" s="157">
        <v>0.8</v>
      </c>
      <c r="F4228" s="32">
        <v>0</v>
      </c>
      <c r="L4228" s="182"/>
    </row>
    <row r="4229" s="32" customFormat="1" hidden="1" spans="1:12">
      <c r="A4229" s="176" t="s">
        <v>4258</v>
      </c>
      <c r="B4229" s="177">
        <v>153</v>
      </c>
      <c r="D4229" s="32" t="s">
        <v>2178</v>
      </c>
      <c r="E4229" s="157">
        <v>0.8</v>
      </c>
      <c r="F4229" s="32">
        <v>0</v>
      </c>
      <c r="L4229" s="182"/>
    </row>
    <row r="4230" s="32" customFormat="1" hidden="1" spans="1:12">
      <c r="A4230" s="176" t="s">
        <v>4259</v>
      </c>
      <c r="B4230" s="177">
        <v>153</v>
      </c>
      <c r="D4230" s="32" t="s">
        <v>2196</v>
      </c>
      <c r="E4230" s="157">
        <v>1.46666666666667</v>
      </c>
      <c r="F4230" s="32">
        <v>0</v>
      </c>
      <c r="L4230" s="182"/>
    </row>
    <row r="4231" s="32" customFormat="1" hidden="1" spans="1:12">
      <c r="A4231" s="176" t="s">
        <v>4260</v>
      </c>
      <c r="B4231" s="177">
        <v>153</v>
      </c>
      <c r="D4231" s="32" t="s">
        <v>92</v>
      </c>
      <c r="E4231" s="157">
        <v>2.6</v>
      </c>
      <c r="F4231" s="32">
        <v>0</v>
      </c>
      <c r="G4231" s="32" t="s">
        <v>61</v>
      </c>
      <c r="H4231" s="32" t="s">
        <v>62</v>
      </c>
      <c r="I4231" s="32" t="s">
        <v>4261</v>
      </c>
      <c r="J4231" s="32" t="s">
        <v>4262</v>
      </c>
      <c r="K4231" s="32" t="s">
        <v>95</v>
      </c>
      <c r="L4231" s="182"/>
    </row>
    <row r="4232" s="32" customFormat="1" hidden="1" spans="1:12">
      <c r="A4232" s="176" t="s">
        <v>4263</v>
      </c>
      <c r="B4232" s="177">
        <v>153</v>
      </c>
      <c r="D4232" s="32" t="s">
        <v>109</v>
      </c>
      <c r="E4232" s="157">
        <v>4</v>
      </c>
      <c r="F4232" s="32">
        <v>0</v>
      </c>
      <c r="L4232" s="182"/>
    </row>
    <row r="4233" s="32" customFormat="1" hidden="1" spans="1:12">
      <c r="A4233" s="176" t="s">
        <v>4264</v>
      </c>
      <c r="B4233" s="177">
        <v>153</v>
      </c>
      <c r="D4233" s="32" t="s">
        <v>97</v>
      </c>
      <c r="E4233" s="157">
        <v>2.4</v>
      </c>
      <c r="F4233" s="32">
        <v>0</v>
      </c>
      <c r="L4233" s="182"/>
    </row>
    <row r="4234" s="32" customFormat="1" hidden="1" spans="1:12">
      <c r="A4234" s="176" t="s">
        <v>4265</v>
      </c>
      <c r="B4234" s="177">
        <v>153</v>
      </c>
      <c r="D4234" s="32" t="s">
        <v>77</v>
      </c>
      <c r="E4234" s="157">
        <v>1.73333333333333</v>
      </c>
      <c r="F4234" s="32">
        <v>0</v>
      </c>
      <c r="L4234" s="182"/>
    </row>
    <row r="4235" s="32" customFormat="1" hidden="1" spans="1:12">
      <c r="A4235" s="176" t="s">
        <v>4266</v>
      </c>
      <c r="B4235" s="177">
        <v>153</v>
      </c>
      <c r="D4235" s="32" t="s">
        <v>54</v>
      </c>
      <c r="E4235" s="157">
        <v>1.93333333333333</v>
      </c>
      <c r="F4235" s="32">
        <v>0</v>
      </c>
      <c r="L4235" s="182"/>
    </row>
    <row r="4236" s="32" customFormat="1" hidden="1" spans="1:12">
      <c r="A4236" s="176" t="s">
        <v>4267</v>
      </c>
      <c r="B4236" s="177">
        <v>153</v>
      </c>
      <c r="D4236" s="32" t="s">
        <v>57</v>
      </c>
      <c r="E4236" s="157">
        <v>6.33333333333333</v>
      </c>
      <c r="F4236" s="32">
        <v>0</v>
      </c>
      <c r="G4236" s="32">
        <v>0</v>
      </c>
      <c r="H4236" s="32">
        <v>2</v>
      </c>
      <c r="I4236" s="32">
        <v>5006</v>
      </c>
      <c r="J4236" s="32" t="s">
        <v>58</v>
      </c>
      <c r="K4236" s="32">
        <v>1</v>
      </c>
      <c r="L4236" s="182"/>
    </row>
    <row r="4237" s="32" customFormat="1" hidden="1" spans="1:12">
      <c r="A4237" s="176" t="s">
        <v>4268</v>
      </c>
      <c r="B4237" s="177">
        <v>153</v>
      </c>
      <c r="D4237" s="32" t="s">
        <v>1788</v>
      </c>
      <c r="E4237" s="157">
        <v>1.93333333333333</v>
      </c>
      <c r="F4237" s="32">
        <v>1</v>
      </c>
      <c r="L4237" s="182"/>
    </row>
    <row r="4238" s="32" customFormat="1" hidden="1" spans="1:12">
      <c r="A4238" s="176" t="s">
        <v>4269</v>
      </c>
      <c r="B4238" s="177">
        <v>153</v>
      </c>
      <c r="D4238" s="32" t="s">
        <v>2929</v>
      </c>
      <c r="E4238" s="157">
        <v>0.666666666666667</v>
      </c>
      <c r="F4238" s="32">
        <v>1</v>
      </c>
      <c r="L4238" s="182"/>
    </row>
    <row r="4239" s="32" customFormat="1" hidden="1" spans="1:12">
      <c r="A4239" s="176" t="s">
        <v>4270</v>
      </c>
      <c r="B4239" s="177">
        <v>153</v>
      </c>
      <c r="D4239" s="32" t="s">
        <v>2621</v>
      </c>
      <c r="E4239" s="157">
        <v>0.8</v>
      </c>
      <c r="F4239" s="32">
        <v>1</v>
      </c>
      <c r="G4239" s="32">
        <v>0</v>
      </c>
      <c r="H4239" s="32">
        <v>2</v>
      </c>
      <c r="I4239" s="32">
        <v>5007</v>
      </c>
      <c r="J4239" s="32" t="s">
        <v>4271</v>
      </c>
      <c r="K4239" s="32">
        <v>1</v>
      </c>
      <c r="L4239" s="182"/>
    </row>
    <row r="4240" s="32" customFormat="1" hidden="1" spans="1:12">
      <c r="A4240" s="176" t="s">
        <v>4272</v>
      </c>
      <c r="B4240" s="177">
        <v>153</v>
      </c>
      <c r="D4240" s="32" t="s">
        <v>4273</v>
      </c>
      <c r="E4240" s="157">
        <v>2.46666666666667</v>
      </c>
      <c r="F4240" s="32">
        <v>1</v>
      </c>
      <c r="L4240" s="182"/>
    </row>
    <row r="4241" s="32" customFormat="1" hidden="1" spans="1:12">
      <c r="A4241" s="176" t="s">
        <v>4274</v>
      </c>
      <c r="B4241" s="177">
        <v>153</v>
      </c>
      <c r="D4241" s="32" t="s">
        <v>2623</v>
      </c>
      <c r="E4241" s="157">
        <v>1.66666666666667</v>
      </c>
      <c r="F4241" s="32">
        <v>1</v>
      </c>
      <c r="L4241" s="182"/>
    </row>
    <row r="4242" s="32" customFormat="1" hidden="1" spans="1:12">
      <c r="A4242" s="176" t="s">
        <v>4275</v>
      </c>
      <c r="B4242" s="177">
        <v>153</v>
      </c>
      <c r="D4242" s="32" t="s">
        <v>236</v>
      </c>
      <c r="E4242" s="157">
        <v>2.1</v>
      </c>
      <c r="F4242" s="32">
        <v>0</v>
      </c>
      <c r="L4242" s="182"/>
    </row>
    <row r="4243" s="32" customFormat="1" hidden="1" spans="1:12">
      <c r="A4243" s="176" t="s">
        <v>4276</v>
      </c>
      <c r="B4243" s="177">
        <v>153</v>
      </c>
      <c r="D4243" s="32" t="s">
        <v>264</v>
      </c>
      <c r="E4243" s="157">
        <v>2</v>
      </c>
      <c r="F4243" s="32">
        <v>1</v>
      </c>
      <c r="L4243" s="182"/>
    </row>
    <row r="4244" s="32" customFormat="1" hidden="1" spans="1:12">
      <c r="A4244" s="176" t="s">
        <v>4277</v>
      </c>
      <c r="B4244" s="177">
        <v>153</v>
      </c>
      <c r="D4244" s="32" t="s">
        <v>130</v>
      </c>
      <c r="E4244" s="157">
        <v>2</v>
      </c>
      <c r="F4244" s="32">
        <v>1</v>
      </c>
      <c r="L4244" s="182"/>
    </row>
    <row r="4245" s="32" customFormat="1" hidden="1" spans="1:12">
      <c r="A4245" s="176" t="s">
        <v>4278</v>
      </c>
      <c r="B4245" s="177">
        <v>153</v>
      </c>
      <c r="D4245" s="32" t="s">
        <v>2629</v>
      </c>
      <c r="E4245" s="157">
        <v>0.933333333333333</v>
      </c>
      <c r="F4245" s="32">
        <v>0</v>
      </c>
      <c r="L4245" s="182"/>
    </row>
    <row r="4246" s="32" customFormat="1" hidden="1" spans="1:12">
      <c r="A4246" s="176" t="s">
        <v>4279</v>
      </c>
      <c r="B4246" s="177">
        <v>153</v>
      </c>
      <c r="D4246" s="32" t="s">
        <v>268</v>
      </c>
      <c r="E4246" s="157">
        <v>2.56666666666667</v>
      </c>
      <c r="F4246" s="32">
        <v>1</v>
      </c>
      <c r="L4246" s="182"/>
    </row>
    <row r="4247" s="32" customFormat="1" hidden="1" spans="1:12">
      <c r="A4247" s="176" t="s">
        <v>4280</v>
      </c>
      <c r="B4247" s="177">
        <v>153</v>
      </c>
      <c r="D4247" s="32" t="s">
        <v>204</v>
      </c>
      <c r="E4247" s="157">
        <v>1.8</v>
      </c>
      <c r="F4247" s="32">
        <v>0</v>
      </c>
      <c r="L4247" s="182"/>
    </row>
    <row r="4248" s="32" customFormat="1" hidden="1" spans="1:12">
      <c r="A4248" s="176" t="s">
        <v>4281</v>
      </c>
      <c r="B4248" s="177">
        <v>153</v>
      </c>
      <c r="D4248" s="32" t="s">
        <v>4282</v>
      </c>
      <c r="E4248" s="157">
        <f>24/30</f>
        <v>0.8</v>
      </c>
      <c r="F4248" s="32">
        <v>0</v>
      </c>
      <c r="L4248" s="182"/>
    </row>
    <row r="4249" s="32" customFormat="1" hidden="1" spans="1:12">
      <c r="A4249" s="176" t="s">
        <v>4283</v>
      </c>
      <c r="B4249" s="177">
        <v>153</v>
      </c>
      <c r="D4249" s="32" t="s">
        <v>4284</v>
      </c>
      <c r="E4249" s="157">
        <f>24/30</f>
        <v>0.8</v>
      </c>
      <c r="F4249" s="32">
        <v>0</v>
      </c>
      <c r="L4249" s="182"/>
    </row>
    <row r="4250" s="32" customFormat="1" hidden="1" spans="1:12">
      <c r="A4250" s="176" t="s">
        <v>4285</v>
      </c>
      <c r="B4250" s="177">
        <v>153</v>
      </c>
      <c r="D4250" s="32" t="s">
        <v>4286</v>
      </c>
      <c r="E4250" s="157">
        <v>1</v>
      </c>
      <c r="F4250" s="32">
        <v>0</v>
      </c>
      <c r="L4250" s="182"/>
    </row>
    <row r="4251" s="32" customFormat="1" hidden="1" spans="1:12">
      <c r="A4251" s="176" t="s">
        <v>4287</v>
      </c>
      <c r="B4251" s="177">
        <v>153</v>
      </c>
      <c r="D4251" s="32" t="s">
        <v>4288</v>
      </c>
      <c r="E4251" s="157">
        <v>1</v>
      </c>
      <c r="F4251" s="32">
        <v>0</v>
      </c>
      <c r="L4251" s="182"/>
    </row>
    <row r="4252" s="32" customFormat="1" hidden="1" spans="1:12">
      <c r="A4252" s="176" t="s">
        <v>4289</v>
      </c>
      <c r="B4252" s="177">
        <v>153</v>
      </c>
      <c r="D4252" s="32" t="s">
        <v>4290</v>
      </c>
      <c r="E4252" s="157">
        <v>6</v>
      </c>
      <c r="F4252" s="32">
        <v>1</v>
      </c>
      <c r="L4252" s="182"/>
    </row>
    <row r="4253" s="30" customFormat="1" hidden="1" spans="1:12">
      <c r="A4253" s="167">
        <v>3010701</v>
      </c>
      <c r="B4253" s="168">
        <v>30107</v>
      </c>
      <c r="D4253" s="30" t="s">
        <v>46</v>
      </c>
      <c r="E4253" s="157">
        <v>2.66666666666667</v>
      </c>
      <c r="F4253" s="30">
        <v>0</v>
      </c>
      <c r="J4253" s="171"/>
      <c r="L4253" s="172"/>
    </row>
    <row r="4254" s="30" customFormat="1" hidden="1" spans="1:12">
      <c r="A4254" s="167">
        <v>3010702</v>
      </c>
      <c r="B4254" s="168">
        <v>30107</v>
      </c>
      <c r="D4254" s="30" t="s">
        <v>86</v>
      </c>
      <c r="E4254" s="157">
        <v>3.06666666666667</v>
      </c>
      <c r="F4254" s="30">
        <v>0</v>
      </c>
      <c r="J4254" s="171"/>
      <c r="L4254" s="172"/>
    </row>
    <row r="4255" s="30" customFormat="1" hidden="1" spans="1:12">
      <c r="A4255" s="167">
        <v>3010703</v>
      </c>
      <c r="B4255" s="168">
        <v>30107</v>
      </c>
      <c r="D4255" s="30" t="s">
        <v>50</v>
      </c>
      <c r="E4255" s="157">
        <v>3.13333333333333</v>
      </c>
      <c r="F4255" s="30">
        <v>0</v>
      </c>
      <c r="J4255" s="171"/>
      <c r="L4255" s="172"/>
    </row>
    <row r="4256" s="30" customFormat="1" hidden="1" spans="1:12">
      <c r="A4256" s="167">
        <v>3010704</v>
      </c>
      <c r="B4256" s="168">
        <v>30107</v>
      </c>
      <c r="D4256" s="30" t="s">
        <v>90</v>
      </c>
      <c r="E4256" s="157">
        <v>5.33333333333333</v>
      </c>
      <c r="F4256" s="30">
        <v>0</v>
      </c>
      <c r="J4256" s="171"/>
      <c r="L4256" s="172"/>
    </row>
    <row r="4257" s="30" customFormat="1" hidden="1" spans="1:12">
      <c r="A4257" s="167">
        <v>3010705</v>
      </c>
      <c r="B4257" s="168">
        <v>30107</v>
      </c>
      <c r="D4257" s="30" t="s">
        <v>48</v>
      </c>
      <c r="E4257" s="157">
        <v>9.8</v>
      </c>
      <c r="F4257" s="30">
        <v>0</v>
      </c>
      <c r="J4257" s="171"/>
      <c r="L4257" s="172"/>
    </row>
    <row r="4258" s="30" customFormat="1" hidden="1" spans="1:12">
      <c r="A4258" s="167">
        <v>3010706</v>
      </c>
      <c r="B4258" s="168">
        <v>30107</v>
      </c>
      <c r="D4258" s="30" t="s">
        <v>52</v>
      </c>
      <c r="E4258" s="157">
        <v>15.6666666666667</v>
      </c>
      <c r="F4258" s="30">
        <v>0</v>
      </c>
      <c r="J4258" s="171"/>
      <c r="L4258" s="172"/>
    </row>
    <row r="4259" s="30" customFormat="1" hidden="1" spans="1:12">
      <c r="A4259" s="167">
        <v>3010707</v>
      </c>
      <c r="B4259" s="168">
        <v>30107</v>
      </c>
      <c r="D4259" s="30" t="s">
        <v>1047</v>
      </c>
      <c r="E4259" s="157">
        <v>1.7</v>
      </c>
      <c r="F4259" s="30">
        <v>0</v>
      </c>
      <c r="J4259" s="171"/>
      <c r="L4259" s="172"/>
    </row>
    <row r="4260" s="30" customFormat="1" hidden="1" spans="1:12">
      <c r="A4260" s="167">
        <v>3010708</v>
      </c>
      <c r="B4260" s="168">
        <v>30107</v>
      </c>
      <c r="D4260" s="30" t="s">
        <v>2188</v>
      </c>
      <c r="E4260" s="157">
        <v>0.666666666666667</v>
      </c>
      <c r="F4260" s="30">
        <v>0</v>
      </c>
      <c r="J4260" s="171"/>
      <c r="L4260" s="172"/>
    </row>
    <row r="4261" s="30" customFormat="1" hidden="1" spans="1:12">
      <c r="A4261" s="167">
        <v>3010709</v>
      </c>
      <c r="B4261" s="168">
        <v>30107</v>
      </c>
      <c r="D4261" s="30" t="s">
        <v>2190</v>
      </c>
      <c r="E4261" s="157">
        <v>0.6</v>
      </c>
      <c r="F4261" s="30">
        <v>0</v>
      </c>
      <c r="J4261" s="171"/>
      <c r="L4261" s="172"/>
    </row>
    <row r="4262" s="30" customFormat="1" hidden="1" spans="1:12">
      <c r="A4262" s="167">
        <v>3010710</v>
      </c>
      <c r="B4262" s="168">
        <v>30107</v>
      </c>
      <c r="D4262" s="30" t="s">
        <v>2192</v>
      </c>
      <c r="E4262" s="157">
        <v>0.666666666666667</v>
      </c>
      <c r="F4262" s="30">
        <v>0</v>
      </c>
      <c r="J4262" s="171"/>
      <c r="L4262" s="172"/>
    </row>
    <row r="4263" s="30" customFormat="1" hidden="1" spans="1:12">
      <c r="A4263" s="167">
        <v>3010711</v>
      </c>
      <c r="B4263" s="168">
        <v>30107</v>
      </c>
      <c r="D4263" s="30" t="s">
        <v>2194</v>
      </c>
      <c r="E4263" s="157">
        <v>0.666666666666667</v>
      </c>
      <c r="F4263" s="30">
        <v>0</v>
      </c>
      <c r="J4263" s="171"/>
      <c r="L4263" s="172"/>
    </row>
    <row r="4264" s="30" customFormat="1" hidden="1" spans="1:12">
      <c r="A4264" s="167">
        <v>3010712</v>
      </c>
      <c r="B4264" s="168">
        <v>30107</v>
      </c>
      <c r="D4264" s="30" t="s">
        <v>300</v>
      </c>
      <c r="E4264" s="157">
        <v>0.8</v>
      </c>
      <c r="F4264" s="30">
        <v>0</v>
      </c>
      <c r="J4264" s="171"/>
      <c r="L4264" s="172"/>
    </row>
    <row r="4265" s="30" customFormat="1" hidden="1" spans="1:12">
      <c r="A4265" s="167">
        <v>3010713</v>
      </c>
      <c r="B4265" s="168">
        <v>30107</v>
      </c>
      <c r="D4265" s="30" t="s">
        <v>2178</v>
      </c>
      <c r="E4265" s="157">
        <v>0.966666666666667</v>
      </c>
      <c r="F4265" s="30">
        <v>0</v>
      </c>
      <c r="J4265" s="171"/>
      <c r="L4265" s="172"/>
    </row>
    <row r="4266" s="30" customFormat="1" hidden="1" spans="1:12">
      <c r="A4266" s="167">
        <v>3010714</v>
      </c>
      <c r="B4266" s="168">
        <v>30107</v>
      </c>
      <c r="D4266" s="30" t="s">
        <v>2196</v>
      </c>
      <c r="E4266" s="157">
        <v>1.46666666666667</v>
      </c>
      <c r="F4266" s="30">
        <v>0</v>
      </c>
      <c r="J4266" s="171"/>
      <c r="L4266" s="172"/>
    </row>
    <row r="4267" s="30" customFormat="1" hidden="1" spans="1:12">
      <c r="A4267" s="167">
        <v>3010715</v>
      </c>
      <c r="B4267" s="168">
        <v>30107</v>
      </c>
      <c r="D4267" s="30" t="s">
        <v>261</v>
      </c>
      <c r="E4267" s="157">
        <v>1.6</v>
      </c>
      <c r="F4267" s="30">
        <v>1</v>
      </c>
      <c r="J4267" s="171"/>
      <c r="L4267" s="172"/>
    </row>
    <row r="4268" s="30" customFormat="1" hidden="1" spans="1:12">
      <c r="A4268" s="167">
        <v>3010716</v>
      </c>
      <c r="B4268" s="168">
        <v>30107</v>
      </c>
      <c r="D4268" s="30" t="s">
        <v>130</v>
      </c>
      <c r="E4268" s="157">
        <v>2</v>
      </c>
      <c r="F4268" s="30">
        <v>1</v>
      </c>
      <c r="J4268" s="171"/>
      <c r="L4268" s="172"/>
    </row>
    <row r="4269" s="30" customFormat="1" hidden="1" spans="1:12">
      <c r="A4269" s="167">
        <v>3010717</v>
      </c>
      <c r="B4269" s="168">
        <v>30107</v>
      </c>
      <c r="D4269" s="30" t="s">
        <v>4282</v>
      </c>
      <c r="E4269" s="157">
        <f>24/30</f>
        <v>0.8</v>
      </c>
      <c r="F4269" s="30">
        <v>0</v>
      </c>
      <c r="J4269" s="171"/>
      <c r="L4269" s="172"/>
    </row>
    <row r="4270" s="30" customFormat="1" hidden="1" spans="1:12">
      <c r="A4270" s="167">
        <v>3010718</v>
      </c>
      <c r="B4270" s="168">
        <v>30107</v>
      </c>
      <c r="D4270" s="30" t="s">
        <v>4284</v>
      </c>
      <c r="E4270" s="157">
        <f>24/30</f>
        <v>0.8</v>
      </c>
      <c r="F4270" s="30">
        <v>0</v>
      </c>
      <c r="J4270" s="171"/>
      <c r="L4270" s="172"/>
    </row>
    <row r="4271" s="30" customFormat="1" hidden="1" spans="1:12">
      <c r="A4271" s="167">
        <v>3010719</v>
      </c>
      <c r="B4271" s="168">
        <v>30107</v>
      </c>
      <c r="D4271" s="30" t="s">
        <v>4286</v>
      </c>
      <c r="E4271" s="157">
        <v>1</v>
      </c>
      <c r="F4271" s="30">
        <v>0</v>
      </c>
      <c r="J4271" s="171"/>
      <c r="L4271" s="172"/>
    </row>
    <row r="4272" s="30" customFormat="1" hidden="1" spans="1:12">
      <c r="A4272" s="167">
        <v>3010720</v>
      </c>
      <c r="B4272" s="168">
        <v>30107</v>
      </c>
      <c r="D4272" s="30" t="s">
        <v>4288</v>
      </c>
      <c r="E4272" s="157">
        <v>1</v>
      </c>
      <c r="F4272" s="30">
        <v>0</v>
      </c>
      <c r="J4272" s="171"/>
      <c r="L4272" s="172"/>
    </row>
    <row r="4273" s="30" customFormat="1" hidden="1" spans="1:12">
      <c r="A4273" s="167">
        <v>3010721</v>
      </c>
      <c r="B4273" s="168">
        <v>30107</v>
      </c>
      <c r="D4273" s="30" t="s">
        <v>2182</v>
      </c>
      <c r="E4273" s="157">
        <v>1.13333333333333</v>
      </c>
      <c r="F4273" s="30">
        <v>0</v>
      </c>
      <c r="J4273" s="171"/>
      <c r="L4273" s="172"/>
    </row>
    <row r="4274" s="30" customFormat="1" hidden="1" spans="1:12">
      <c r="A4274" s="167">
        <v>3010722</v>
      </c>
      <c r="B4274" s="168">
        <v>30107</v>
      </c>
      <c r="D4274" s="30" t="s">
        <v>2184</v>
      </c>
      <c r="E4274" s="157">
        <v>1.33333333333333</v>
      </c>
      <c r="F4274" s="30">
        <v>0</v>
      </c>
      <c r="J4274" s="171"/>
      <c r="L4274" s="172"/>
    </row>
    <row r="4275" s="30" customFormat="1" hidden="1" spans="1:12">
      <c r="A4275" s="167">
        <v>3010723</v>
      </c>
      <c r="B4275" s="168">
        <v>30107</v>
      </c>
      <c r="D4275" s="30" t="s">
        <v>2186</v>
      </c>
      <c r="E4275" s="157">
        <v>1.6</v>
      </c>
      <c r="F4275" s="30">
        <v>0</v>
      </c>
      <c r="J4275" s="171"/>
      <c r="L4275" s="172"/>
    </row>
    <row r="4276" s="29" customFormat="1" hidden="1" spans="1:12">
      <c r="A4276" s="165">
        <v>3010801</v>
      </c>
      <c r="B4276" s="166">
        <v>30108</v>
      </c>
      <c r="D4276" s="29" t="s">
        <v>140</v>
      </c>
      <c r="E4276" s="157">
        <v>5.83333333333333</v>
      </c>
      <c r="F4276" s="29">
        <v>0</v>
      </c>
      <c r="J4276" s="169"/>
      <c r="L4276" s="170"/>
    </row>
    <row r="4277" s="29" customFormat="1" hidden="1" spans="1:12">
      <c r="A4277" s="165">
        <v>3010802</v>
      </c>
      <c r="B4277" s="166">
        <v>30108</v>
      </c>
      <c r="D4277" s="29" t="s">
        <v>133</v>
      </c>
      <c r="E4277" s="157">
        <v>10.1</v>
      </c>
      <c r="F4277" s="29">
        <v>0</v>
      </c>
      <c r="J4277" s="169"/>
      <c r="L4277" s="170"/>
    </row>
    <row r="4278" s="29" customFormat="1" hidden="1" spans="1:12">
      <c r="A4278" s="165">
        <v>3010803</v>
      </c>
      <c r="B4278" s="166">
        <v>30108</v>
      </c>
      <c r="D4278" s="29" t="s">
        <v>412</v>
      </c>
      <c r="E4278" s="157">
        <v>2</v>
      </c>
      <c r="F4278" s="29">
        <v>0</v>
      </c>
      <c r="J4278" s="169"/>
      <c r="L4278" s="170"/>
    </row>
    <row r="4279" s="29" customFormat="1" hidden="1" spans="1:12">
      <c r="A4279" s="165">
        <v>3010805</v>
      </c>
      <c r="B4279" s="166">
        <v>30108</v>
      </c>
      <c r="D4279" s="29" t="s">
        <v>130</v>
      </c>
      <c r="E4279" s="157">
        <v>2</v>
      </c>
      <c r="F4279" s="29">
        <v>1</v>
      </c>
      <c r="J4279" s="169"/>
      <c r="L4279" s="170"/>
    </row>
    <row r="4280" hidden="1" spans="1:6">
      <c r="A4280" s="176" t="s">
        <v>4291</v>
      </c>
      <c r="B4280" s="177">
        <v>4015301</v>
      </c>
      <c r="C4280" s="32"/>
      <c r="D4280" s="32" t="s">
        <v>36</v>
      </c>
      <c r="E4280" s="157">
        <f>240/30</f>
        <v>8</v>
      </c>
      <c r="F4280" s="32">
        <v>0</v>
      </c>
    </row>
    <row r="4281" hidden="1" spans="1:6">
      <c r="A4281" s="176" t="s">
        <v>4292</v>
      </c>
      <c r="B4281" s="177">
        <v>4015301</v>
      </c>
      <c r="C4281" s="32"/>
      <c r="D4281" s="32" t="s">
        <v>38</v>
      </c>
      <c r="E4281" s="157">
        <f>80/30</f>
        <v>2.66666666666667</v>
      </c>
      <c r="F4281" s="32">
        <v>0</v>
      </c>
    </row>
    <row r="4282" hidden="1" spans="1:6">
      <c r="A4282" s="176" t="s">
        <v>4293</v>
      </c>
      <c r="B4282" s="177">
        <v>4015301</v>
      </c>
      <c r="C4282" s="32"/>
      <c r="D4282" s="32" t="s">
        <v>40</v>
      </c>
      <c r="E4282" s="157">
        <f>108/30</f>
        <v>3.6</v>
      </c>
      <c r="F4282" s="32">
        <v>0</v>
      </c>
    </row>
    <row r="4283" hidden="1" spans="1:6">
      <c r="A4283" s="176" t="s">
        <v>4294</v>
      </c>
      <c r="B4283" s="177">
        <v>4015301</v>
      </c>
      <c r="C4283" s="32"/>
      <c r="D4283" s="32" t="s">
        <v>42</v>
      </c>
      <c r="E4283" s="157">
        <f>181/30</f>
        <v>6.03333333333333</v>
      </c>
      <c r="F4283" s="32">
        <v>0</v>
      </c>
    </row>
    <row r="4284" hidden="1" spans="1:6">
      <c r="A4284" s="176" t="s">
        <v>4295</v>
      </c>
      <c r="B4284" s="177">
        <v>4015301</v>
      </c>
      <c r="C4284" s="32"/>
      <c r="D4284" s="32" t="s">
        <v>44</v>
      </c>
      <c r="E4284" s="157">
        <v>10</v>
      </c>
      <c r="F4284" s="32">
        <v>0</v>
      </c>
    </row>
    <row r="4285" hidden="1" spans="1:6">
      <c r="A4285" s="176" t="s">
        <v>4296</v>
      </c>
      <c r="B4285" s="177">
        <v>4015301</v>
      </c>
      <c r="C4285" s="32"/>
      <c r="D4285" s="32" t="s">
        <v>1047</v>
      </c>
      <c r="E4285" s="157">
        <v>1.73333333333333</v>
      </c>
      <c r="F4285" s="32">
        <v>0</v>
      </c>
    </row>
    <row r="4286" hidden="1" spans="1:6">
      <c r="A4286" s="176" t="s">
        <v>4297</v>
      </c>
      <c r="B4286" s="177">
        <v>4015301</v>
      </c>
      <c r="C4286" s="32"/>
      <c r="D4286" s="32" t="s">
        <v>272</v>
      </c>
      <c r="E4286" s="157">
        <v>1.23333333333333</v>
      </c>
      <c r="F4286" s="32">
        <v>0</v>
      </c>
    </row>
    <row r="4287" hidden="1" spans="1:6">
      <c r="A4287" s="176" t="s">
        <v>4298</v>
      </c>
      <c r="B4287" s="177">
        <v>4015301</v>
      </c>
      <c r="C4287" s="32"/>
      <c r="D4287" s="32" t="s">
        <v>60</v>
      </c>
      <c r="E4287" s="157">
        <v>3.13333333333333</v>
      </c>
      <c r="F4287" s="32">
        <v>0</v>
      </c>
    </row>
    <row r="4288" hidden="1" spans="1:6">
      <c r="A4288" s="176" t="s">
        <v>4299</v>
      </c>
      <c r="B4288" s="177">
        <v>4015301</v>
      </c>
      <c r="C4288" s="32"/>
      <c r="D4288" s="32" t="s">
        <v>2198</v>
      </c>
      <c r="E4288" s="157">
        <v>2</v>
      </c>
      <c r="F4288" s="32">
        <v>1</v>
      </c>
    </row>
    <row r="4289" hidden="1" spans="1:6">
      <c r="A4289" s="176" t="s">
        <v>4300</v>
      </c>
      <c r="B4289" s="177">
        <v>4015301</v>
      </c>
      <c r="C4289" s="32"/>
      <c r="D4289" s="32" t="s">
        <v>2182</v>
      </c>
      <c r="E4289" s="157">
        <v>1.13333333333333</v>
      </c>
      <c r="F4289" s="32">
        <v>0</v>
      </c>
    </row>
    <row r="4290" hidden="1" spans="1:6">
      <c r="A4290" s="176" t="s">
        <v>4301</v>
      </c>
      <c r="B4290" s="177">
        <v>4015301</v>
      </c>
      <c r="C4290" s="32"/>
      <c r="D4290" s="32" t="s">
        <v>2184</v>
      </c>
      <c r="E4290" s="157">
        <v>1.33333333333333</v>
      </c>
      <c r="F4290" s="32">
        <v>0</v>
      </c>
    </row>
    <row r="4291" hidden="1" spans="1:6">
      <c r="A4291" s="176" t="s">
        <v>4302</v>
      </c>
      <c r="B4291" s="177">
        <v>4015301</v>
      </c>
      <c r="C4291" s="32"/>
      <c r="D4291" s="32" t="s">
        <v>2186</v>
      </c>
      <c r="E4291" s="157">
        <v>1.6</v>
      </c>
      <c r="F4291" s="32">
        <v>0</v>
      </c>
    </row>
    <row r="4292" hidden="1" spans="1:6">
      <c r="A4292" s="176" t="s">
        <v>4303</v>
      </c>
      <c r="B4292" s="177">
        <v>4015301</v>
      </c>
      <c r="C4292" s="32"/>
      <c r="D4292" s="32" t="s">
        <v>2188</v>
      </c>
      <c r="E4292" s="157">
        <v>0.666666666666667</v>
      </c>
      <c r="F4292" s="32">
        <v>0</v>
      </c>
    </row>
    <row r="4293" hidden="1" spans="1:6">
      <c r="A4293" s="176" t="s">
        <v>4304</v>
      </c>
      <c r="B4293" s="177">
        <v>4015301</v>
      </c>
      <c r="C4293" s="32"/>
      <c r="D4293" s="32" t="s">
        <v>2190</v>
      </c>
      <c r="E4293" s="157">
        <v>0.6</v>
      </c>
      <c r="F4293" s="32">
        <v>0</v>
      </c>
    </row>
    <row r="4294" hidden="1" spans="1:6">
      <c r="A4294" s="176" t="s">
        <v>4305</v>
      </c>
      <c r="B4294" s="177">
        <v>4015301</v>
      </c>
      <c r="C4294" s="32"/>
      <c r="D4294" s="32" t="s">
        <v>2192</v>
      </c>
      <c r="E4294" s="157">
        <v>0.666666666666667</v>
      </c>
      <c r="F4294" s="32">
        <v>0</v>
      </c>
    </row>
    <row r="4295" hidden="1" spans="1:6">
      <c r="A4295" s="176" t="s">
        <v>4306</v>
      </c>
      <c r="B4295" s="177">
        <v>4015301</v>
      </c>
      <c r="C4295" s="32"/>
      <c r="D4295" s="32" t="s">
        <v>2194</v>
      </c>
      <c r="E4295" s="157">
        <v>0.666666666666667</v>
      </c>
      <c r="F4295" s="32">
        <v>0</v>
      </c>
    </row>
    <row r="4296" hidden="1" spans="1:6">
      <c r="A4296" s="176" t="s">
        <v>4307</v>
      </c>
      <c r="B4296" s="177">
        <v>4015301</v>
      </c>
      <c r="C4296" s="32"/>
      <c r="D4296" s="32" t="s">
        <v>300</v>
      </c>
      <c r="E4296" s="157">
        <v>0.8</v>
      </c>
      <c r="F4296" s="32">
        <v>0</v>
      </c>
    </row>
    <row r="4297" hidden="1" spans="1:6">
      <c r="A4297" s="176" t="s">
        <v>4308</v>
      </c>
      <c r="B4297" s="177">
        <v>4015301</v>
      </c>
      <c r="C4297" s="32"/>
      <c r="D4297" s="32" t="s">
        <v>2178</v>
      </c>
      <c r="E4297" s="157">
        <v>0.8</v>
      </c>
      <c r="F4297" s="32">
        <v>0</v>
      </c>
    </row>
    <row r="4298" hidden="1" spans="1:6">
      <c r="A4298" s="176" t="s">
        <v>4309</v>
      </c>
      <c r="B4298" s="177">
        <v>4015301</v>
      </c>
      <c r="C4298" s="32"/>
      <c r="D4298" s="32" t="s">
        <v>2196</v>
      </c>
      <c r="E4298" s="157">
        <v>1.46666666666667</v>
      </c>
      <c r="F4298" s="32">
        <v>0</v>
      </c>
    </row>
    <row r="4299" hidden="1" spans="1:11">
      <c r="A4299" s="176" t="s">
        <v>4310</v>
      </c>
      <c r="B4299" s="177">
        <v>4015301</v>
      </c>
      <c r="C4299" s="32"/>
      <c r="D4299" s="32" t="s">
        <v>92</v>
      </c>
      <c r="E4299" s="157">
        <v>2.6</v>
      </c>
      <c r="F4299" s="32">
        <v>0</v>
      </c>
      <c r="G4299" s="32" t="s">
        <v>61</v>
      </c>
      <c r="H4299" s="32" t="s">
        <v>62</v>
      </c>
      <c r="I4299" s="32" t="s">
        <v>4261</v>
      </c>
      <c r="J4299" s="32" t="s">
        <v>4262</v>
      </c>
      <c r="K4299" s="32" t="s">
        <v>95</v>
      </c>
    </row>
    <row r="4300" hidden="1" spans="1:6">
      <c r="A4300" s="176" t="s">
        <v>4311</v>
      </c>
      <c r="B4300" s="177">
        <v>4015301</v>
      </c>
      <c r="C4300" s="32"/>
      <c r="D4300" s="32" t="s">
        <v>109</v>
      </c>
      <c r="E4300" s="157">
        <v>4</v>
      </c>
      <c r="F4300" s="32">
        <v>0</v>
      </c>
    </row>
    <row r="4301" hidden="1" spans="1:6">
      <c r="A4301" s="176" t="s">
        <v>4312</v>
      </c>
      <c r="B4301" s="177">
        <v>4015301</v>
      </c>
      <c r="C4301" s="32"/>
      <c r="D4301" s="32" t="s">
        <v>97</v>
      </c>
      <c r="E4301" s="157">
        <v>2.4</v>
      </c>
      <c r="F4301" s="32">
        <v>0</v>
      </c>
    </row>
    <row r="4302" hidden="1" spans="1:6">
      <c r="A4302" s="176" t="s">
        <v>4313</v>
      </c>
      <c r="B4302" s="177">
        <v>4015301</v>
      </c>
      <c r="C4302" s="32"/>
      <c r="D4302" s="32" t="s">
        <v>77</v>
      </c>
      <c r="E4302" s="157">
        <v>1.73333333333333</v>
      </c>
      <c r="F4302" s="32">
        <v>0</v>
      </c>
    </row>
    <row r="4303" hidden="1" spans="1:6">
      <c r="A4303" s="176" t="s">
        <v>4314</v>
      </c>
      <c r="B4303" s="177">
        <v>4015301</v>
      </c>
      <c r="C4303" s="32"/>
      <c r="D4303" s="32" t="s">
        <v>54</v>
      </c>
      <c r="E4303" s="157">
        <v>1.93333333333333</v>
      </c>
      <c r="F4303" s="32">
        <v>0</v>
      </c>
    </row>
    <row r="4304" s="32" customFormat="1" hidden="1" spans="1:12">
      <c r="A4304" s="176" t="s">
        <v>4315</v>
      </c>
      <c r="B4304" s="177">
        <v>4015301</v>
      </c>
      <c r="D4304" s="32" t="s">
        <v>57</v>
      </c>
      <c r="E4304" s="157">
        <v>6.33333333333333</v>
      </c>
      <c r="F4304" s="32">
        <v>0</v>
      </c>
      <c r="G4304" s="32">
        <v>0</v>
      </c>
      <c r="H4304" s="32">
        <v>2</v>
      </c>
      <c r="I4304" s="32">
        <v>5006</v>
      </c>
      <c r="J4304" s="32" t="s">
        <v>58</v>
      </c>
      <c r="K4304" s="32">
        <v>1</v>
      </c>
      <c r="L4304" s="182"/>
    </row>
    <row r="4305" hidden="1" spans="1:6">
      <c r="A4305" s="176" t="s">
        <v>4316</v>
      </c>
      <c r="B4305" s="177">
        <v>4015301</v>
      </c>
      <c r="C4305" s="32"/>
      <c r="D4305" s="32" t="s">
        <v>1788</v>
      </c>
      <c r="E4305" s="157">
        <v>1.93333333333333</v>
      </c>
      <c r="F4305" s="32">
        <v>1</v>
      </c>
    </row>
    <row r="4306" hidden="1" spans="1:6">
      <c r="A4306" s="176" t="s">
        <v>4317</v>
      </c>
      <c r="B4306" s="177">
        <v>4015301</v>
      </c>
      <c r="C4306" s="32"/>
      <c r="D4306" s="32" t="s">
        <v>2929</v>
      </c>
      <c r="E4306" s="157">
        <v>0.666666666666667</v>
      </c>
      <c r="F4306" s="32">
        <v>1</v>
      </c>
    </row>
    <row r="4307" hidden="1" spans="1:11">
      <c r="A4307" s="176" t="s">
        <v>4318</v>
      </c>
      <c r="B4307" s="177">
        <v>4015301</v>
      </c>
      <c r="C4307" s="32"/>
      <c r="D4307" s="32" t="s">
        <v>2621</v>
      </c>
      <c r="E4307" s="157">
        <v>0.8</v>
      </c>
      <c r="F4307" s="32">
        <v>1</v>
      </c>
      <c r="G4307">
        <v>0</v>
      </c>
      <c r="H4307">
        <v>2</v>
      </c>
      <c r="I4307">
        <v>5007</v>
      </c>
      <c r="J4307" t="s">
        <v>4271</v>
      </c>
      <c r="K4307">
        <v>1</v>
      </c>
    </row>
    <row r="4308" hidden="1" spans="1:6">
      <c r="A4308" s="176" t="s">
        <v>4319</v>
      </c>
      <c r="B4308" s="177">
        <v>4015301</v>
      </c>
      <c r="C4308" s="32"/>
      <c r="D4308" s="32" t="s">
        <v>4273</v>
      </c>
      <c r="E4308" s="157">
        <v>2.46666666666667</v>
      </c>
      <c r="F4308" s="32">
        <v>1</v>
      </c>
    </row>
    <row r="4309" hidden="1" spans="1:6">
      <c r="A4309" s="176" t="s">
        <v>4320</v>
      </c>
      <c r="B4309" s="177">
        <v>4015301</v>
      </c>
      <c r="C4309" s="32"/>
      <c r="D4309" s="32" t="s">
        <v>2623</v>
      </c>
      <c r="E4309" s="157">
        <v>1.66666666666667</v>
      </c>
      <c r="F4309" s="32">
        <v>1</v>
      </c>
    </row>
    <row r="4310" hidden="1" spans="1:6">
      <c r="A4310" s="176" t="s">
        <v>4321</v>
      </c>
      <c r="B4310" s="177">
        <v>4015301</v>
      </c>
      <c r="C4310" s="32"/>
      <c r="D4310" s="32" t="s">
        <v>236</v>
      </c>
      <c r="E4310" s="157">
        <v>2.1</v>
      </c>
      <c r="F4310" s="32">
        <v>0</v>
      </c>
    </row>
    <row r="4311" hidden="1" spans="1:6">
      <c r="A4311" s="176" t="s">
        <v>4322</v>
      </c>
      <c r="B4311" s="177">
        <v>4015301</v>
      </c>
      <c r="C4311" s="32"/>
      <c r="D4311" s="32" t="s">
        <v>264</v>
      </c>
      <c r="E4311" s="157">
        <v>2</v>
      </c>
      <c r="F4311" s="32">
        <v>1</v>
      </c>
    </row>
    <row r="4312" hidden="1" spans="1:6">
      <c r="A4312" s="176" t="s">
        <v>4323</v>
      </c>
      <c r="B4312" s="177">
        <v>4015301</v>
      </c>
      <c r="C4312" s="32"/>
      <c r="D4312" s="32" t="s">
        <v>130</v>
      </c>
      <c r="E4312" s="157">
        <v>2</v>
      </c>
      <c r="F4312" s="32">
        <v>1</v>
      </c>
    </row>
    <row r="4313" hidden="1" spans="1:6">
      <c r="A4313" s="176" t="s">
        <v>4324</v>
      </c>
      <c r="B4313" s="177">
        <v>4015301</v>
      </c>
      <c r="C4313" s="32"/>
      <c r="D4313" s="32" t="s">
        <v>2629</v>
      </c>
      <c r="E4313" s="157">
        <v>0.933333333333333</v>
      </c>
      <c r="F4313" s="32">
        <v>0</v>
      </c>
    </row>
    <row r="4314" hidden="1" spans="1:6">
      <c r="A4314" s="176" t="s">
        <v>4325</v>
      </c>
      <c r="B4314" s="177">
        <v>4015301</v>
      </c>
      <c r="C4314" s="32"/>
      <c r="D4314" s="32" t="s">
        <v>268</v>
      </c>
      <c r="E4314" s="157">
        <v>2.56666666666667</v>
      </c>
      <c r="F4314" s="32">
        <v>1</v>
      </c>
    </row>
    <row r="4315" hidden="1" spans="1:6">
      <c r="A4315" s="176" t="s">
        <v>4326</v>
      </c>
      <c r="B4315" s="177">
        <v>4015301</v>
      </c>
      <c r="C4315" s="32"/>
      <c r="D4315" s="32" t="s">
        <v>204</v>
      </c>
      <c r="E4315" s="157">
        <v>1.8</v>
      </c>
      <c r="F4315" s="32">
        <v>0</v>
      </c>
    </row>
    <row r="4316" hidden="1" spans="1:6">
      <c r="A4316" s="176" t="s">
        <v>4327</v>
      </c>
      <c r="B4316" s="177">
        <v>4015301</v>
      </c>
      <c r="C4316" s="32"/>
      <c r="D4316" s="32" t="s">
        <v>4282</v>
      </c>
      <c r="E4316" s="157">
        <f>24/30</f>
        <v>0.8</v>
      </c>
      <c r="F4316" s="32">
        <v>0</v>
      </c>
    </row>
    <row r="4317" hidden="1" spans="1:6">
      <c r="A4317" s="176" t="s">
        <v>4328</v>
      </c>
      <c r="B4317" s="177">
        <v>4015301</v>
      </c>
      <c r="C4317" s="32"/>
      <c r="D4317" s="32" t="s">
        <v>4284</v>
      </c>
      <c r="E4317" s="157">
        <f>24/30</f>
        <v>0.8</v>
      </c>
      <c r="F4317" s="32">
        <v>0</v>
      </c>
    </row>
    <row r="4318" hidden="1" spans="1:6">
      <c r="A4318" s="176" t="s">
        <v>4329</v>
      </c>
      <c r="B4318" s="177">
        <v>4015301</v>
      </c>
      <c r="C4318" s="32"/>
      <c r="D4318" s="32" t="s">
        <v>4286</v>
      </c>
      <c r="E4318" s="157">
        <v>1</v>
      </c>
      <c r="F4318" s="32">
        <v>0</v>
      </c>
    </row>
    <row r="4319" hidden="1" spans="1:6">
      <c r="A4319" s="176" t="s">
        <v>4330</v>
      </c>
      <c r="B4319" s="177">
        <v>4015301</v>
      </c>
      <c r="C4319" s="32"/>
      <c r="D4319" s="32" t="s">
        <v>4288</v>
      </c>
      <c r="E4319" s="157">
        <v>1</v>
      </c>
      <c r="F4319" s="32">
        <v>0</v>
      </c>
    </row>
    <row r="4320" hidden="1" spans="1:6">
      <c r="A4320" s="176" t="s">
        <v>4331</v>
      </c>
      <c r="B4320" s="177">
        <v>4015301</v>
      </c>
      <c r="C4320" s="32"/>
      <c r="D4320" s="32" t="s">
        <v>4290</v>
      </c>
      <c r="E4320" s="157">
        <v>6</v>
      </c>
      <c r="F4320" s="32">
        <v>1</v>
      </c>
    </row>
    <row r="4321" hidden="1" spans="1:6">
      <c r="A4321" s="167" t="s">
        <v>4332</v>
      </c>
      <c r="B4321" s="168">
        <v>30109</v>
      </c>
      <c r="C4321" s="30"/>
      <c r="D4321" s="30" t="s">
        <v>46</v>
      </c>
      <c r="E4321" s="157">
        <v>2.66666666666667</v>
      </c>
      <c r="F4321" s="30">
        <v>0</v>
      </c>
    </row>
    <row r="4322" hidden="1" spans="1:6">
      <c r="A4322" s="167" t="s">
        <v>4333</v>
      </c>
      <c r="B4322" s="168">
        <v>30109</v>
      </c>
      <c r="C4322" s="30"/>
      <c r="D4322" s="30" t="s">
        <v>86</v>
      </c>
      <c r="E4322" s="157">
        <v>3.06666666666667</v>
      </c>
      <c r="F4322" s="30">
        <v>0</v>
      </c>
    </row>
    <row r="4323" hidden="1" spans="1:6">
      <c r="A4323" s="167" t="s">
        <v>4334</v>
      </c>
      <c r="B4323" s="168">
        <v>30109</v>
      </c>
      <c r="C4323" s="30"/>
      <c r="D4323" s="30" t="s">
        <v>50</v>
      </c>
      <c r="E4323" s="157">
        <v>3.13333333333333</v>
      </c>
      <c r="F4323" s="30">
        <v>0</v>
      </c>
    </row>
    <row r="4324" hidden="1" spans="1:6">
      <c r="A4324" s="167" t="s">
        <v>4335</v>
      </c>
      <c r="B4324" s="168">
        <v>30109</v>
      </c>
      <c r="C4324" s="30"/>
      <c r="D4324" s="30" t="s">
        <v>90</v>
      </c>
      <c r="E4324" s="157">
        <v>5.33333333333333</v>
      </c>
      <c r="F4324" s="30">
        <v>0</v>
      </c>
    </row>
    <row r="4325" hidden="1" spans="1:6">
      <c r="A4325" s="167" t="s">
        <v>4336</v>
      </c>
      <c r="B4325" s="168">
        <v>30109</v>
      </c>
      <c r="C4325" s="30"/>
      <c r="D4325" s="30" t="s">
        <v>48</v>
      </c>
      <c r="E4325" s="157">
        <v>9.8</v>
      </c>
      <c r="F4325" s="30">
        <v>0</v>
      </c>
    </row>
    <row r="4326" hidden="1" spans="1:6">
      <c r="A4326" s="167" t="s">
        <v>4337</v>
      </c>
      <c r="B4326" s="168">
        <v>30109</v>
      </c>
      <c r="C4326" s="30"/>
      <c r="D4326" s="30" t="s">
        <v>52</v>
      </c>
      <c r="E4326" s="157">
        <v>15.6666666666667</v>
      </c>
      <c r="F4326" s="30">
        <v>0</v>
      </c>
    </row>
    <row r="4327" hidden="1" spans="1:6">
      <c r="A4327" s="167" t="s">
        <v>4338</v>
      </c>
      <c r="B4327" s="168">
        <v>30109</v>
      </c>
      <c r="C4327" s="30"/>
      <c r="D4327" s="30" t="s">
        <v>1047</v>
      </c>
      <c r="E4327" s="157">
        <v>1.7</v>
      </c>
      <c r="F4327" s="30">
        <v>0</v>
      </c>
    </row>
    <row r="4328" hidden="1" spans="1:6">
      <c r="A4328" s="167" t="s">
        <v>4339</v>
      </c>
      <c r="B4328" s="168">
        <v>30109</v>
      </c>
      <c r="C4328" s="30"/>
      <c r="D4328" s="30" t="s">
        <v>2188</v>
      </c>
      <c r="E4328" s="157">
        <v>0.666666666666667</v>
      </c>
      <c r="F4328" s="30">
        <v>0</v>
      </c>
    </row>
    <row r="4329" hidden="1" spans="1:6">
      <c r="A4329" s="167" t="s">
        <v>4340</v>
      </c>
      <c r="B4329" s="168">
        <v>30109</v>
      </c>
      <c r="C4329" s="30"/>
      <c r="D4329" s="30" t="s">
        <v>2190</v>
      </c>
      <c r="E4329" s="157">
        <v>0.6</v>
      </c>
      <c r="F4329" s="30">
        <v>0</v>
      </c>
    </row>
    <row r="4330" hidden="1" spans="1:6">
      <c r="A4330" s="167" t="s">
        <v>4341</v>
      </c>
      <c r="B4330" s="168">
        <v>30109</v>
      </c>
      <c r="C4330" s="30"/>
      <c r="D4330" s="30" t="s">
        <v>2192</v>
      </c>
      <c r="E4330" s="157">
        <v>0.666666666666667</v>
      </c>
      <c r="F4330" s="30">
        <v>0</v>
      </c>
    </row>
    <row r="4331" hidden="1" spans="1:6">
      <c r="A4331" s="167" t="s">
        <v>4342</v>
      </c>
      <c r="B4331" s="168">
        <v>30109</v>
      </c>
      <c r="C4331" s="30"/>
      <c r="D4331" s="30" t="s">
        <v>2194</v>
      </c>
      <c r="E4331" s="157">
        <v>0.666666666666667</v>
      </c>
      <c r="F4331" s="30">
        <v>0</v>
      </c>
    </row>
    <row r="4332" hidden="1" spans="1:6">
      <c r="A4332" s="167" t="s">
        <v>4343</v>
      </c>
      <c r="B4332" s="168">
        <v>30109</v>
      </c>
      <c r="C4332" s="30"/>
      <c r="D4332" s="30" t="s">
        <v>300</v>
      </c>
      <c r="E4332" s="157">
        <v>0.8</v>
      </c>
      <c r="F4332" s="30">
        <v>0</v>
      </c>
    </row>
    <row r="4333" hidden="1" spans="1:6">
      <c r="A4333" s="167" t="s">
        <v>4344</v>
      </c>
      <c r="B4333" s="168">
        <v>30109</v>
      </c>
      <c r="C4333" s="30"/>
      <c r="D4333" s="30" t="s">
        <v>2178</v>
      </c>
      <c r="E4333" s="157">
        <v>0.966666666666667</v>
      </c>
      <c r="F4333" s="30">
        <v>0</v>
      </c>
    </row>
    <row r="4334" hidden="1" spans="1:6">
      <c r="A4334" s="167" t="s">
        <v>4345</v>
      </c>
      <c r="B4334" s="168">
        <v>30109</v>
      </c>
      <c r="C4334" s="30"/>
      <c r="D4334" s="30" t="s">
        <v>2196</v>
      </c>
      <c r="E4334" s="157">
        <v>1.46666666666667</v>
      </c>
      <c r="F4334" s="30">
        <v>0</v>
      </c>
    </row>
    <row r="4335" hidden="1" spans="1:6">
      <c r="A4335" s="167" t="s">
        <v>4346</v>
      </c>
      <c r="B4335" s="168">
        <v>30109</v>
      </c>
      <c r="C4335" s="30"/>
      <c r="D4335" s="30" t="s">
        <v>261</v>
      </c>
      <c r="E4335" s="157">
        <v>1.6</v>
      </c>
      <c r="F4335" s="30">
        <v>1</v>
      </c>
    </row>
    <row r="4336" hidden="1" spans="1:6">
      <c r="A4336" s="167" t="s">
        <v>4347</v>
      </c>
      <c r="B4336" s="168">
        <v>30109</v>
      </c>
      <c r="C4336" s="30"/>
      <c r="D4336" s="30" t="s">
        <v>130</v>
      </c>
      <c r="E4336" s="157">
        <v>2</v>
      </c>
      <c r="F4336" s="30">
        <v>1</v>
      </c>
    </row>
    <row r="4337" hidden="1" spans="1:6">
      <c r="A4337" s="167" t="s">
        <v>4348</v>
      </c>
      <c r="B4337" s="168">
        <v>30109</v>
      </c>
      <c r="C4337" s="30"/>
      <c r="D4337" s="30" t="s">
        <v>4282</v>
      </c>
      <c r="E4337" s="157">
        <f>24/30</f>
        <v>0.8</v>
      </c>
      <c r="F4337" s="30">
        <v>0</v>
      </c>
    </row>
    <row r="4338" hidden="1" spans="1:6">
      <c r="A4338" s="167" t="s">
        <v>4349</v>
      </c>
      <c r="B4338" s="168">
        <v>30109</v>
      </c>
      <c r="C4338" s="30"/>
      <c r="D4338" s="30" t="s">
        <v>4284</v>
      </c>
      <c r="E4338" s="157">
        <f>24/30</f>
        <v>0.8</v>
      </c>
      <c r="F4338" s="30">
        <v>0</v>
      </c>
    </row>
    <row r="4339" hidden="1" spans="1:6">
      <c r="A4339" s="167" t="s">
        <v>4350</v>
      </c>
      <c r="B4339" s="168">
        <v>30109</v>
      </c>
      <c r="C4339" s="30"/>
      <c r="D4339" s="30" t="s">
        <v>4286</v>
      </c>
      <c r="E4339" s="157">
        <v>1</v>
      </c>
      <c r="F4339" s="30">
        <v>0</v>
      </c>
    </row>
    <row r="4340" hidden="1" spans="1:6">
      <c r="A4340" s="167" t="s">
        <v>4351</v>
      </c>
      <c r="B4340" s="168">
        <v>30109</v>
      </c>
      <c r="C4340" s="30"/>
      <c r="D4340" s="30" t="s">
        <v>4288</v>
      </c>
      <c r="E4340" s="157">
        <v>1</v>
      </c>
      <c r="F4340" s="30">
        <v>0</v>
      </c>
    </row>
    <row r="4341" hidden="1" spans="1:6">
      <c r="A4341" s="167" t="s">
        <v>4352</v>
      </c>
      <c r="B4341" s="168">
        <v>30109</v>
      </c>
      <c r="C4341" s="30"/>
      <c r="D4341" s="30" t="s">
        <v>2182</v>
      </c>
      <c r="E4341" s="157">
        <v>1.13333333333333</v>
      </c>
      <c r="F4341" s="30">
        <v>0</v>
      </c>
    </row>
    <row r="4342" hidden="1" spans="1:6">
      <c r="A4342" s="167" t="s">
        <v>4353</v>
      </c>
      <c r="B4342" s="168">
        <v>30109</v>
      </c>
      <c r="C4342" s="30"/>
      <c r="D4342" s="30" t="s">
        <v>2184</v>
      </c>
      <c r="E4342" s="157">
        <v>1.33333333333333</v>
      </c>
      <c r="F4342" s="30">
        <v>0</v>
      </c>
    </row>
    <row r="4343" hidden="1" spans="1:6">
      <c r="A4343" s="167" t="s">
        <v>4354</v>
      </c>
      <c r="B4343" s="168">
        <v>30109</v>
      </c>
      <c r="C4343" s="30"/>
      <c r="D4343" s="30" t="s">
        <v>2186</v>
      </c>
      <c r="E4343" s="157">
        <v>1.6</v>
      </c>
      <c r="F4343" s="30">
        <v>0</v>
      </c>
    </row>
    <row r="4344" hidden="1" spans="1:6">
      <c r="A4344" s="165" t="s">
        <v>4355</v>
      </c>
      <c r="B4344" s="166">
        <v>30110</v>
      </c>
      <c r="C4344" s="29"/>
      <c r="D4344" s="29" t="s">
        <v>140</v>
      </c>
      <c r="E4344" s="157">
        <v>5.83333333333333</v>
      </c>
      <c r="F4344" s="29">
        <v>0</v>
      </c>
    </row>
    <row r="4345" hidden="1" spans="1:6">
      <c r="A4345" s="165" t="s">
        <v>4356</v>
      </c>
      <c r="B4345" s="166">
        <v>30110</v>
      </c>
      <c r="C4345" s="29"/>
      <c r="D4345" s="29" t="s">
        <v>133</v>
      </c>
      <c r="E4345" s="157">
        <v>10.1</v>
      </c>
      <c r="F4345" s="29">
        <v>0</v>
      </c>
    </row>
    <row r="4346" hidden="1" spans="1:6">
      <c r="A4346" s="165" t="s">
        <v>4357</v>
      </c>
      <c r="B4346" s="166">
        <v>30110</v>
      </c>
      <c r="C4346" s="29"/>
      <c r="D4346" s="29" t="s">
        <v>412</v>
      </c>
      <c r="E4346" s="157">
        <v>2</v>
      </c>
      <c r="F4346" s="29">
        <v>0</v>
      </c>
    </row>
    <row r="4347" hidden="1" spans="1:6">
      <c r="A4347" s="165" t="s">
        <v>4358</v>
      </c>
      <c r="B4347" s="166">
        <v>30110</v>
      </c>
      <c r="C4347" s="29"/>
      <c r="D4347" s="29" t="s">
        <v>130</v>
      </c>
      <c r="E4347" s="157">
        <v>2</v>
      </c>
      <c r="F4347" s="29">
        <v>1</v>
      </c>
    </row>
    <row r="4348" hidden="1" spans="1:6">
      <c r="A4348" s="176" t="s">
        <v>4359</v>
      </c>
      <c r="B4348" s="177">
        <v>4015302</v>
      </c>
      <c r="C4348" s="32"/>
      <c r="D4348" s="32" t="s">
        <v>36</v>
      </c>
      <c r="E4348" s="157">
        <f>240/30</f>
        <v>8</v>
      </c>
      <c r="F4348" s="32">
        <v>0</v>
      </c>
    </row>
    <row r="4349" hidden="1" spans="1:6">
      <c r="A4349" s="176" t="s">
        <v>4360</v>
      </c>
      <c r="B4349" s="177">
        <v>4015302</v>
      </c>
      <c r="C4349" s="32"/>
      <c r="D4349" s="32" t="s">
        <v>38</v>
      </c>
      <c r="E4349" s="157">
        <f>80/30</f>
        <v>2.66666666666667</v>
      </c>
      <c r="F4349" s="32">
        <v>0</v>
      </c>
    </row>
    <row r="4350" hidden="1" spans="1:6">
      <c r="A4350" s="176" t="s">
        <v>4361</v>
      </c>
      <c r="B4350" s="177">
        <v>4015302</v>
      </c>
      <c r="C4350" s="32"/>
      <c r="D4350" s="32" t="s">
        <v>40</v>
      </c>
      <c r="E4350" s="157">
        <f>108/30</f>
        <v>3.6</v>
      </c>
      <c r="F4350" s="32">
        <v>0</v>
      </c>
    </row>
    <row r="4351" hidden="1" spans="1:6">
      <c r="A4351" s="176" t="s">
        <v>4362</v>
      </c>
      <c r="B4351" s="177">
        <v>4015302</v>
      </c>
      <c r="C4351" s="32"/>
      <c r="D4351" s="32" t="s">
        <v>42</v>
      </c>
      <c r="E4351" s="157">
        <f>181/30</f>
        <v>6.03333333333333</v>
      </c>
      <c r="F4351" s="32">
        <v>0</v>
      </c>
    </row>
    <row r="4352" hidden="1" spans="1:6">
      <c r="A4352" s="176" t="s">
        <v>4363</v>
      </c>
      <c r="B4352" s="177">
        <v>4015302</v>
      </c>
      <c r="C4352" s="32"/>
      <c r="D4352" s="32" t="s">
        <v>44</v>
      </c>
      <c r="E4352" s="157">
        <v>10</v>
      </c>
      <c r="F4352" s="32">
        <v>0</v>
      </c>
    </row>
    <row r="4353" hidden="1" spans="1:6">
      <c r="A4353" s="176" t="s">
        <v>4364</v>
      </c>
      <c r="B4353" s="177">
        <v>4015302</v>
      </c>
      <c r="C4353" s="32"/>
      <c r="D4353" s="32" t="s">
        <v>1047</v>
      </c>
      <c r="E4353" s="157">
        <v>1.73333333333333</v>
      </c>
      <c r="F4353" s="32">
        <v>0</v>
      </c>
    </row>
    <row r="4354" hidden="1" spans="1:6">
      <c r="A4354" s="176" t="s">
        <v>4365</v>
      </c>
      <c r="B4354" s="177">
        <v>4015302</v>
      </c>
      <c r="C4354" s="32"/>
      <c r="D4354" s="32" t="s">
        <v>272</v>
      </c>
      <c r="E4354" s="157">
        <v>1.23333333333333</v>
      </c>
      <c r="F4354" s="32">
        <v>0</v>
      </c>
    </row>
    <row r="4355" hidden="1" spans="1:6">
      <c r="A4355" s="176" t="s">
        <v>4366</v>
      </c>
      <c r="B4355" s="177">
        <v>4015302</v>
      </c>
      <c r="C4355" s="32"/>
      <c r="D4355" s="32" t="s">
        <v>60</v>
      </c>
      <c r="E4355" s="157">
        <v>3.13333333333333</v>
      </c>
      <c r="F4355" s="32">
        <v>0</v>
      </c>
    </row>
    <row r="4356" hidden="1" spans="1:6">
      <c r="A4356" s="176" t="s">
        <v>4367</v>
      </c>
      <c r="B4356" s="177">
        <v>4015302</v>
      </c>
      <c r="C4356" s="32"/>
      <c r="D4356" s="32" t="s">
        <v>2198</v>
      </c>
      <c r="E4356" s="157">
        <v>2</v>
      </c>
      <c r="F4356" s="32">
        <v>1</v>
      </c>
    </row>
    <row r="4357" hidden="1" spans="1:6">
      <c r="A4357" s="176" t="s">
        <v>4368</v>
      </c>
      <c r="B4357" s="177">
        <v>4015302</v>
      </c>
      <c r="C4357" s="32"/>
      <c r="D4357" s="32" t="s">
        <v>2182</v>
      </c>
      <c r="E4357" s="157">
        <v>1.13333333333333</v>
      </c>
      <c r="F4357" s="32">
        <v>0</v>
      </c>
    </row>
    <row r="4358" hidden="1" spans="1:6">
      <c r="A4358" s="176" t="s">
        <v>4369</v>
      </c>
      <c r="B4358" s="177">
        <v>4015302</v>
      </c>
      <c r="C4358" s="32"/>
      <c r="D4358" s="32" t="s">
        <v>2184</v>
      </c>
      <c r="E4358" s="157">
        <v>1.33333333333333</v>
      </c>
      <c r="F4358" s="32">
        <v>0</v>
      </c>
    </row>
    <row r="4359" hidden="1" spans="1:6">
      <c r="A4359" s="176" t="s">
        <v>4370</v>
      </c>
      <c r="B4359" s="177">
        <v>4015302</v>
      </c>
      <c r="C4359" s="32"/>
      <c r="D4359" s="32" t="s">
        <v>2186</v>
      </c>
      <c r="E4359" s="157">
        <v>1.6</v>
      </c>
      <c r="F4359" s="32">
        <v>0</v>
      </c>
    </row>
    <row r="4360" hidden="1" spans="1:6">
      <c r="A4360" s="176" t="s">
        <v>4371</v>
      </c>
      <c r="B4360" s="177">
        <v>4015302</v>
      </c>
      <c r="C4360" s="32"/>
      <c r="D4360" s="32" t="s">
        <v>2188</v>
      </c>
      <c r="E4360" s="157">
        <v>0.666666666666667</v>
      </c>
      <c r="F4360" s="32">
        <v>0</v>
      </c>
    </row>
    <row r="4361" hidden="1" spans="1:6">
      <c r="A4361" s="176" t="s">
        <v>4372</v>
      </c>
      <c r="B4361" s="177">
        <v>4015302</v>
      </c>
      <c r="C4361" s="32"/>
      <c r="D4361" s="32" t="s">
        <v>2190</v>
      </c>
      <c r="E4361" s="157">
        <v>0.6</v>
      </c>
      <c r="F4361" s="32">
        <v>0</v>
      </c>
    </row>
    <row r="4362" hidden="1" spans="1:6">
      <c r="A4362" s="176" t="s">
        <v>4373</v>
      </c>
      <c r="B4362" s="177">
        <v>4015302</v>
      </c>
      <c r="C4362" s="32"/>
      <c r="D4362" s="32" t="s">
        <v>2192</v>
      </c>
      <c r="E4362" s="157">
        <v>0.666666666666667</v>
      </c>
      <c r="F4362" s="32">
        <v>0</v>
      </c>
    </row>
    <row r="4363" hidden="1" spans="1:6">
      <c r="A4363" s="176" t="s">
        <v>4374</v>
      </c>
      <c r="B4363" s="177">
        <v>4015302</v>
      </c>
      <c r="C4363" s="32"/>
      <c r="D4363" s="32" t="s">
        <v>2194</v>
      </c>
      <c r="E4363" s="157">
        <v>0.666666666666667</v>
      </c>
      <c r="F4363" s="32">
        <v>0</v>
      </c>
    </row>
    <row r="4364" hidden="1" spans="1:6">
      <c r="A4364" s="176" t="s">
        <v>4375</v>
      </c>
      <c r="B4364" s="177">
        <v>4015302</v>
      </c>
      <c r="C4364" s="32"/>
      <c r="D4364" s="32" t="s">
        <v>300</v>
      </c>
      <c r="E4364" s="157">
        <v>0.8</v>
      </c>
      <c r="F4364" s="32">
        <v>0</v>
      </c>
    </row>
    <row r="4365" hidden="1" spans="1:6">
      <c r="A4365" s="176" t="s">
        <v>4376</v>
      </c>
      <c r="B4365" s="177">
        <v>4015302</v>
      </c>
      <c r="C4365" s="32"/>
      <c r="D4365" s="32" t="s">
        <v>2178</v>
      </c>
      <c r="E4365" s="157">
        <v>0.8</v>
      </c>
      <c r="F4365" s="32">
        <v>0</v>
      </c>
    </row>
    <row r="4366" hidden="1" spans="1:6">
      <c r="A4366" s="176" t="s">
        <v>4377</v>
      </c>
      <c r="B4366" s="177">
        <v>4015302</v>
      </c>
      <c r="C4366" s="32"/>
      <c r="D4366" s="32" t="s">
        <v>2196</v>
      </c>
      <c r="E4366" s="157">
        <v>1.46666666666667</v>
      </c>
      <c r="F4366" s="32">
        <v>0</v>
      </c>
    </row>
    <row r="4367" hidden="1" spans="1:11">
      <c r="A4367" s="176" t="s">
        <v>4378</v>
      </c>
      <c r="B4367" s="177">
        <v>4015302</v>
      </c>
      <c r="C4367" s="32"/>
      <c r="D4367" s="32" t="s">
        <v>92</v>
      </c>
      <c r="E4367" s="157">
        <v>2.6</v>
      </c>
      <c r="F4367" s="32">
        <v>0</v>
      </c>
      <c r="G4367" s="32" t="s">
        <v>61</v>
      </c>
      <c r="H4367" s="32" t="s">
        <v>62</v>
      </c>
      <c r="I4367" s="32" t="s">
        <v>4261</v>
      </c>
      <c r="J4367" s="32" t="s">
        <v>4262</v>
      </c>
      <c r="K4367" s="32" t="s">
        <v>95</v>
      </c>
    </row>
    <row r="4368" hidden="1" spans="1:6">
      <c r="A4368" s="176" t="s">
        <v>4379</v>
      </c>
      <c r="B4368" s="177">
        <v>4015302</v>
      </c>
      <c r="C4368" s="32"/>
      <c r="D4368" s="32" t="s">
        <v>109</v>
      </c>
      <c r="E4368" s="157">
        <v>4</v>
      </c>
      <c r="F4368" s="32">
        <v>0</v>
      </c>
    </row>
    <row r="4369" hidden="1" spans="1:6">
      <c r="A4369" s="176" t="s">
        <v>4380</v>
      </c>
      <c r="B4369" s="177">
        <v>4015302</v>
      </c>
      <c r="C4369" s="32"/>
      <c r="D4369" s="32" t="s">
        <v>97</v>
      </c>
      <c r="E4369" s="157">
        <v>2.4</v>
      </c>
      <c r="F4369" s="32">
        <v>0</v>
      </c>
    </row>
    <row r="4370" hidden="1" spans="1:6">
      <c r="A4370" s="176" t="s">
        <v>4381</v>
      </c>
      <c r="B4370" s="177">
        <v>4015302</v>
      </c>
      <c r="C4370" s="32"/>
      <c r="D4370" s="32" t="s">
        <v>77</v>
      </c>
      <c r="E4370" s="157">
        <v>1.73333333333333</v>
      </c>
      <c r="F4370" s="32">
        <v>0</v>
      </c>
    </row>
    <row r="4371" hidden="1" spans="1:6">
      <c r="A4371" s="176" t="s">
        <v>4382</v>
      </c>
      <c r="B4371" s="177">
        <v>4015302</v>
      </c>
      <c r="C4371" s="32"/>
      <c r="D4371" s="32" t="s">
        <v>54</v>
      </c>
      <c r="E4371" s="157">
        <v>1.93333333333333</v>
      </c>
      <c r="F4371" s="32">
        <v>0</v>
      </c>
    </row>
    <row r="4372" s="32" customFormat="1" hidden="1" spans="1:12">
      <c r="A4372" s="176" t="s">
        <v>4383</v>
      </c>
      <c r="B4372" s="177">
        <v>4015302</v>
      </c>
      <c r="D4372" s="32" t="s">
        <v>57</v>
      </c>
      <c r="E4372" s="157">
        <v>6.33333333333333</v>
      </c>
      <c r="F4372" s="32">
        <v>0</v>
      </c>
      <c r="G4372" s="32">
        <v>0</v>
      </c>
      <c r="H4372" s="32">
        <v>2</v>
      </c>
      <c r="I4372" s="32">
        <v>5006</v>
      </c>
      <c r="J4372" s="32" t="s">
        <v>58</v>
      </c>
      <c r="K4372" s="32">
        <v>1</v>
      </c>
      <c r="L4372" s="182"/>
    </row>
    <row r="4373" hidden="1" spans="1:6">
      <c r="A4373" s="176" t="s">
        <v>4384</v>
      </c>
      <c r="B4373" s="177">
        <v>4015302</v>
      </c>
      <c r="C4373" s="32"/>
      <c r="D4373" s="32" t="s">
        <v>1788</v>
      </c>
      <c r="E4373" s="157">
        <v>1.93333333333333</v>
      </c>
      <c r="F4373" s="32">
        <v>1</v>
      </c>
    </row>
    <row r="4374" hidden="1" spans="1:6">
      <c r="A4374" s="176" t="s">
        <v>4385</v>
      </c>
      <c r="B4374" s="177">
        <v>4015302</v>
      </c>
      <c r="C4374" s="32"/>
      <c r="D4374" s="32" t="s">
        <v>2929</v>
      </c>
      <c r="E4374" s="157">
        <v>0.666666666666667</v>
      </c>
      <c r="F4374" s="32">
        <v>1</v>
      </c>
    </row>
    <row r="4375" hidden="1" spans="1:6">
      <c r="A4375" s="176" t="s">
        <v>4386</v>
      </c>
      <c r="B4375" s="177">
        <v>4015302</v>
      </c>
      <c r="C4375" s="32"/>
      <c r="D4375" s="32" t="s">
        <v>2621</v>
      </c>
      <c r="E4375" s="157">
        <v>0.8</v>
      </c>
      <c r="F4375" s="32">
        <v>1</v>
      </c>
    </row>
    <row r="4376" hidden="1" spans="1:6">
      <c r="A4376" s="176" t="s">
        <v>4387</v>
      </c>
      <c r="B4376" s="177">
        <v>4015302</v>
      </c>
      <c r="C4376" s="32"/>
      <c r="D4376" s="32" t="s">
        <v>4273</v>
      </c>
      <c r="E4376" s="157">
        <v>2.46666666666667</v>
      </c>
      <c r="F4376" s="32">
        <v>1</v>
      </c>
    </row>
    <row r="4377" hidden="1" spans="1:6">
      <c r="A4377" s="176" t="s">
        <v>4388</v>
      </c>
      <c r="B4377" s="177">
        <v>4015302</v>
      </c>
      <c r="C4377" s="32"/>
      <c r="D4377" s="32" t="s">
        <v>2623</v>
      </c>
      <c r="E4377" s="157">
        <v>1.66666666666667</v>
      </c>
      <c r="F4377" s="32">
        <v>1</v>
      </c>
    </row>
    <row r="4378" hidden="1" spans="1:6">
      <c r="A4378" s="176" t="s">
        <v>4389</v>
      </c>
      <c r="B4378" s="177">
        <v>4015302</v>
      </c>
      <c r="C4378" s="32"/>
      <c r="D4378" s="32" t="s">
        <v>236</v>
      </c>
      <c r="E4378" s="157">
        <v>2.1</v>
      </c>
      <c r="F4378" s="32">
        <v>0</v>
      </c>
    </row>
    <row r="4379" hidden="1" spans="1:6">
      <c r="A4379" s="176" t="s">
        <v>4390</v>
      </c>
      <c r="B4379" s="177">
        <v>4015302</v>
      </c>
      <c r="C4379" s="32"/>
      <c r="D4379" s="32" t="s">
        <v>264</v>
      </c>
      <c r="E4379" s="157">
        <v>2</v>
      </c>
      <c r="F4379" s="32">
        <v>1</v>
      </c>
    </row>
    <row r="4380" hidden="1" spans="1:6">
      <c r="A4380" s="176" t="s">
        <v>4391</v>
      </c>
      <c r="B4380" s="177">
        <v>4015302</v>
      </c>
      <c r="C4380" s="32"/>
      <c r="D4380" s="32" t="s">
        <v>130</v>
      </c>
      <c r="E4380" s="157">
        <v>2</v>
      </c>
      <c r="F4380" s="32">
        <v>1</v>
      </c>
    </row>
    <row r="4381" hidden="1" spans="1:6">
      <c r="A4381" s="176" t="s">
        <v>4392</v>
      </c>
      <c r="B4381" s="177">
        <v>4015302</v>
      </c>
      <c r="C4381" s="32"/>
      <c r="D4381" s="32" t="s">
        <v>2629</v>
      </c>
      <c r="E4381" s="157">
        <v>0.933333333333333</v>
      </c>
      <c r="F4381" s="32">
        <v>0</v>
      </c>
    </row>
    <row r="4382" hidden="1" spans="1:6">
      <c r="A4382" s="176" t="s">
        <v>4393</v>
      </c>
      <c r="B4382" s="177">
        <v>4015302</v>
      </c>
      <c r="C4382" s="32"/>
      <c r="D4382" s="32" t="s">
        <v>268</v>
      </c>
      <c r="E4382" s="157">
        <v>2.56666666666667</v>
      </c>
      <c r="F4382" s="32">
        <v>1</v>
      </c>
    </row>
    <row r="4383" hidden="1" spans="1:6">
      <c r="A4383" s="176" t="s">
        <v>4394</v>
      </c>
      <c r="B4383" s="177">
        <v>4015302</v>
      </c>
      <c r="C4383" s="32"/>
      <c r="D4383" s="32" t="s">
        <v>204</v>
      </c>
      <c r="E4383" s="157">
        <v>1.8</v>
      </c>
      <c r="F4383" s="32">
        <v>0</v>
      </c>
    </row>
    <row r="4384" hidden="1" spans="1:6">
      <c r="A4384" s="176" t="s">
        <v>4395</v>
      </c>
      <c r="B4384" s="177">
        <v>4015302</v>
      </c>
      <c r="C4384" s="32"/>
      <c r="D4384" s="32" t="s">
        <v>4282</v>
      </c>
      <c r="E4384" s="157">
        <f>24/30</f>
        <v>0.8</v>
      </c>
      <c r="F4384" s="32">
        <v>0</v>
      </c>
    </row>
    <row r="4385" hidden="1" spans="1:6">
      <c r="A4385" s="176" t="s">
        <v>4396</v>
      </c>
      <c r="B4385" s="177">
        <v>4015302</v>
      </c>
      <c r="C4385" s="32"/>
      <c r="D4385" s="32" t="s">
        <v>4284</v>
      </c>
      <c r="E4385" s="157">
        <f>24/30</f>
        <v>0.8</v>
      </c>
      <c r="F4385" s="32">
        <v>0</v>
      </c>
    </row>
    <row r="4386" hidden="1" spans="1:6">
      <c r="A4386" s="176" t="s">
        <v>4397</v>
      </c>
      <c r="B4386" s="177">
        <v>4015302</v>
      </c>
      <c r="C4386" s="32"/>
      <c r="D4386" s="32" t="s">
        <v>4286</v>
      </c>
      <c r="E4386" s="157">
        <v>1</v>
      </c>
      <c r="F4386" s="32">
        <v>0</v>
      </c>
    </row>
    <row r="4387" hidden="1" spans="1:6">
      <c r="A4387" s="176" t="s">
        <v>4398</v>
      </c>
      <c r="B4387" s="177">
        <v>4015302</v>
      </c>
      <c r="C4387" s="32"/>
      <c r="D4387" s="32" t="s">
        <v>4288</v>
      </c>
      <c r="E4387" s="157">
        <v>1</v>
      </c>
      <c r="F4387" s="32">
        <v>0</v>
      </c>
    </row>
    <row r="4388" hidden="1" spans="1:6">
      <c r="A4388" s="176" t="s">
        <v>4399</v>
      </c>
      <c r="B4388" s="177">
        <v>4015302</v>
      </c>
      <c r="C4388" s="32"/>
      <c r="D4388" s="32" t="s">
        <v>4290</v>
      </c>
      <c r="E4388" s="157">
        <v>6</v>
      </c>
      <c r="F4388" s="32">
        <v>1</v>
      </c>
    </row>
    <row r="4389" hidden="1" spans="1:6">
      <c r="A4389" s="167" t="s">
        <v>4400</v>
      </c>
      <c r="B4389" s="168">
        <v>30111</v>
      </c>
      <c r="C4389" s="30"/>
      <c r="D4389" s="30" t="s">
        <v>46</v>
      </c>
      <c r="E4389" s="157">
        <v>2.66666666666667</v>
      </c>
      <c r="F4389" s="30">
        <v>0</v>
      </c>
    </row>
    <row r="4390" hidden="1" spans="1:6">
      <c r="A4390" s="167" t="s">
        <v>4401</v>
      </c>
      <c r="B4390" s="168">
        <v>30111</v>
      </c>
      <c r="C4390" s="30"/>
      <c r="D4390" s="30" t="s">
        <v>86</v>
      </c>
      <c r="E4390" s="157">
        <v>3.06666666666667</v>
      </c>
      <c r="F4390" s="30">
        <v>0</v>
      </c>
    </row>
    <row r="4391" hidden="1" spans="1:6">
      <c r="A4391" s="167" t="s">
        <v>4402</v>
      </c>
      <c r="B4391" s="168">
        <v>30111</v>
      </c>
      <c r="C4391" s="30"/>
      <c r="D4391" s="30" t="s">
        <v>50</v>
      </c>
      <c r="E4391" s="157">
        <v>3.13333333333333</v>
      </c>
      <c r="F4391" s="30">
        <v>0</v>
      </c>
    </row>
    <row r="4392" hidden="1" spans="1:6">
      <c r="A4392" s="167" t="s">
        <v>4403</v>
      </c>
      <c r="B4392" s="168">
        <v>30111</v>
      </c>
      <c r="C4392" s="30"/>
      <c r="D4392" s="30" t="s">
        <v>90</v>
      </c>
      <c r="E4392" s="157">
        <v>5.33333333333333</v>
      </c>
      <c r="F4392" s="30">
        <v>0</v>
      </c>
    </row>
    <row r="4393" hidden="1" spans="1:6">
      <c r="A4393" s="167" t="s">
        <v>4404</v>
      </c>
      <c r="B4393" s="168">
        <v>30111</v>
      </c>
      <c r="C4393" s="30"/>
      <c r="D4393" s="30" t="s">
        <v>48</v>
      </c>
      <c r="E4393" s="157">
        <v>9.8</v>
      </c>
      <c r="F4393" s="30">
        <v>0</v>
      </c>
    </row>
    <row r="4394" hidden="1" spans="1:6">
      <c r="A4394" s="167" t="s">
        <v>4405</v>
      </c>
      <c r="B4394" s="168">
        <v>30111</v>
      </c>
      <c r="C4394" s="30"/>
      <c r="D4394" s="30" t="s">
        <v>52</v>
      </c>
      <c r="E4394" s="157">
        <v>15.6666666666667</v>
      </c>
      <c r="F4394" s="30">
        <v>0</v>
      </c>
    </row>
    <row r="4395" hidden="1" spans="1:6">
      <c r="A4395" s="167" t="s">
        <v>4406</v>
      </c>
      <c r="B4395" s="168">
        <v>30111</v>
      </c>
      <c r="C4395" s="30"/>
      <c r="D4395" s="30" t="s">
        <v>1047</v>
      </c>
      <c r="E4395" s="157">
        <v>1.7</v>
      </c>
      <c r="F4395" s="30">
        <v>0</v>
      </c>
    </row>
    <row r="4396" hidden="1" spans="1:6">
      <c r="A4396" s="167" t="s">
        <v>4407</v>
      </c>
      <c r="B4396" s="168">
        <v>30111</v>
      </c>
      <c r="C4396" s="30"/>
      <c r="D4396" s="30" t="s">
        <v>2188</v>
      </c>
      <c r="E4396" s="157">
        <v>0.666666666666667</v>
      </c>
      <c r="F4396" s="30">
        <v>0</v>
      </c>
    </row>
    <row r="4397" hidden="1" spans="1:6">
      <c r="A4397" s="167" t="s">
        <v>4408</v>
      </c>
      <c r="B4397" s="168">
        <v>30111</v>
      </c>
      <c r="C4397" s="30"/>
      <c r="D4397" s="30" t="s">
        <v>2190</v>
      </c>
      <c r="E4397" s="157">
        <v>0.6</v>
      </c>
      <c r="F4397" s="30">
        <v>0</v>
      </c>
    </row>
    <row r="4398" hidden="1" spans="1:6">
      <c r="A4398" s="167" t="s">
        <v>4409</v>
      </c>
      <c r="B4398" s="168">
        <v>30111</v>
      </c>
      <c r="C4398" s="30"/>
      <c r="D4398" s="30" t="s">
        <v>2192</v>
      </c>
      <c r="E4398" s="157">
        <v>0.666666666666667</v>
      </c>
      <c r="F4398" s="30">
        <v>0</v>
      </c>
    </row>
    <row r="4399" hidden="1" spans="1:6">
      <c r="A4399" s="167" t="s">
        <v>4410</v>
      </c>
      <c r="B4399" s="168">
        <v>30111</v>
      </c>
      <c r="C4399" s="30"/>
      <c r="D4399" s="30" t="s">
        <v>2194</v>
      </c>
      <c r="E4399" s="157">
        <v>0.666666666666667</v>
      </c>
      <c r="F4399" s="30">
        <v>0</v>
      </c>
    </row>
    <row r="4400" hidden="1" spans="1:6">
      <c r="A4400" s="167" t="s">
        <v>4411</v>
      </c>
      <c r="B4400" s="168">
        <v>30111</v>
      </c>
      <c r="C4400" s="30"/>
      <c r="D4400" s="30" t="s">
        <v>300</v>
      </c>
      <c r="E4400" s="157">
        <v>0.8</v>
      </c>
      <c r="F4400" s="30">
        <v>0</v>
      </c>
    </row>
    <row r="4401" hidden="1" spans="1:6">
      <c r="A4401" s="167" t="s">
        <v>4412</v>
      </c>
      <c r="B4401" s="168">
        <v>30111</v>
      </c>
      <c r="C4401" s="30"/>
      <c r="D4401" s="30" t="s">
        <v>2178</v>
      </c>
      <c r="E4401" s="157">
        <v>0.966666666666667</v>
      </c>
      <c r="F4401" s="30">
        <v>0</v>
      </c>
    </row>
    <row r="4402" hidden="1" spans="1:6">
      <c r="A4402" s="167" t="s">
        <v>4413</v>
      </c>
      <c r="B4402" s="168">
        <v>30111</v>
      </c>
      <c r="C4402" s="30"/>
      <c r="D4402" s="30" t="s">
        <v>2196</v>
      </c>
      <c r="E4402" s="157">
        <v>1.46666666666667</v>
      </c>
      <c r="F4402" s="30">
        <v>0</v>
      </c>
    </row>
    <row r="4403" hidden="1" spans="1:6">
      <c r="A4403" s="167" t="s">
        <v>4414</v>
      </c>
      <c r="B4403" s="168">
        <v>30111</v>
      </c>
      <c r="C4403" s="30"/>
      <c r="D4403" s="30" t="s">
        <v>261</v>
      </c>
      <c r="E4403" s="157">
        <v>1.6</v>
      </c>
      <c r="F4403" s="30">
        <v>1</v>
      </c>
    </row>
    <row r="4404" hidden="1" spans="1:6">
      <c r="A4404" s="167" t="s">
        <v>4415</v>
      </c>
      <c r="B4404" s="168">
        <v>30111</v>
      </c>
      <c r="C4404" s="30"/>
      <c r="D4404" s="30" t="s">
        <v>130</v>
      </c>
      <c r="E4404" s="157">
        <v>2</v>
      </c>
      <c r="F4404" s="30">
        <v>1</v>
      </c>
    </row>
    <row r="4405" hidden="1" spans="1:6">
      <c r="A4405" s="167" t="s">
        <v>4416</v>
      </c>
      <c r="B4405" s="168">
        <v>30111</v>
      </c>
      <c r="C4405" s="30"/>
      <c r="D4405" s="30" t="s">
        <v>4282</v>
      </c>
      <c r="E4405" s="157">
        <f>24/30</f>
        <v>0.8</v>
      </c>
      <c r="F4405" s="30">
        <v>0</v>
      </c>
    </row>
    <row r="4406" hidden="1" spans="1:6">
      <c r="A4406" s="167" t="s">
        <v>4417</v>
      </c>
      <c r="B4406" s="168">
        <v>30111</v>
      </c>
      <c r="C4406" s="30"/>
      <c r="D4406" s="30" t="s">
        <v>4284</v>
      </c>
      <c r="E4406" s="157">
        <f>24/30</f>
        <v>0.8</v>
      </c>
      <c r="F4406" s="30">
        <v>0</v>
      </c>
    </row>
    <row r="4407" hidden="1" spans="1:6">
      <c r="A4407" s="167" t="s">
        <v>4418</v>
      </c>
      <c r="B4407" s="168">
        <v>30111</v>
      </c>
      <c r="C4407" s="30"/>
      <c r="D4407" s="30" t="s">
        <v>4286</v>
      </c>
      <c r="E4407" s="157">
        <v>1</v>
      </c>
      <c r="F4407" s="30">
        <v>0</v>
      </c>
    </row>
    <row r="4408" hidden="1" spans="1:6">
      <c r="A4408" s="167" t="s">
        <v>4419</v>
      </c>
      <c r="B4408" s="168">
        <v>30111</v>
      </c>
      <c r="C4408" s="30"/>
      <c r="D4408" s="30" t="s">
        <v>4288</v>
      </c>
      <c r="E4408" s="157">
        <v>1</v>
      </c>
      <c r="F4408" s="30">
        <v>0</v>
      </c>
    </row>
    <row r="4409" hidden="1" spans="1:6">
      <c r="A4409" s="167" t="s">
        <v>4420</v>
      </c>
      <c r="B4409" s="168">
        <v>30111</v>
      </c>
      <c r="C4409" s="30"/>
      <c r="D4409" s="30" t="s">
        <v>2182</v>
      </c>
      <c r="E4409" s="157">
        <v>1.13333333333333</v>
      </c>
      <c r="F4409" s="30">
        <v>0</v>
      </c>
    </row>
    <row r="4410" hidden="1" spans="1:6">
      <c r="A4410" s="167" t="s">
        <v>4421</v>
      </c>
      <c r="B4410" s="168">
        <v>30111</v>
      </c>
      <c r="C4410" s="30"/>
      <c r="D4410" s="30" t="s">
        <v>2184</v>
      </c>
      <c r="E4410" s="157">
        <v>1.33333333333333</v>
      </c>
      <c r="F4410" s="30">
        <v>0</v>
      </c>
    </row>
    <row r="4411" hidden="1" spans="1:6">
      <c r="A4411" s="167" t="s">
        <v>4422</v>
      </c>
      <c r="B4411" s="168">
        <v>30111</v>
      </c>
      <c r="C4411" s="30"/>
      <c r="D4411" s="30" t="s">
        <v>2186</v>
      </c>
      <c r="E4411" s="157">
        <v>1.6</v>
      </c>
      <c r="F4411" s="30">
        <v>0</v>
      </c>
    </row>
    <row r="4412" hidden="1" spans="1:6">
      <c r="A4412" s="165" t="s">
        <v>4423</v>
      </c>
      <c r="B4412" s="166">
        <v>30112</v>
      </c>
      <c r="C4412" s="29"/>
      <c r="D4412" s="29" t="s">
        <v>140</v>
      </c>
      <c r="E4412" s="157">
        <v>5.83333333333333</v>
      </c>
      <c r="F4412" s="29">
        <v>0</v>
      </c>
    </row>
    <row r="4413" hidden="1" spans="1:6">
      <c r="A4413" s="165" t="s">
        <v>4424</v>
      </c>
      <c r="B4413" s="166">
        <v>30112</v>
      </c>
      <c r="C4413" s="29"/>
      <c r="D4413" s="29" t="s">
        <v>133</v>
      </c>
      <c r="E4413" s="157">
        <v>10.1</v>
      </c>
      <c r="F4413" s="29">
        <v>0</v>
      </c>
    </row>
    <row r="4414" hidden="1" spans="1:6">
      <c r="A4414" s="165" t="s">
        <v>4425</v>
      </c>
      <c r="B4414" s="166">
        <v>30112</v>
      </c>
      <c r="C4414" s="29"/>
      <c r="D4414" s="29" t="s">
        <v>412</v>
      </c>
      <c r="E4414" s="157">
        <v>2</v>
      </c>
      <c r="F4414" s="29">
        <v>0</v>
      </c>
    </row>
    <row r="4415" hidden="1" spans="1:6">
      <c r="A4415" s="165" t="s">
        <v>4426</v>
      </c>
      <c r="B4415" s="166">
        <v>30112</v>
      </c>
      <c r="C4415" s="29"/>
      <c r="D4415" s="29" t="s">
        <v>130</v>
      </c>
      <c r="E4415" s="157">
        <v>2</v>
      </c>
      <c r="F4415" s="29">
        <v>1</v>
      </c>
    </row>
    <row r="4416" hidden="1" spans="1:6">
      <c r="A4416" s="176" t="s">
        <v>4427</v>
      </c>
      <c r="B4416" s="177">
        <v>4015303</v>
      </c>
      <c r="C4416" s="32"/>
      <c r="D4416" s="32" t="s">
        <v>36</v>
      </c>
      <c r="E4416" s="157">
        <f>240/30</f>
        <v>8</v>
      </c>
      <c r="F4416" s="32">
        <v>0</v>
      </c>
    </row>
    <row r="4417" hidden="1" spans="1:6">
      <c r="A4417" s="176" t="s">
        <v>4428</v>
      </c>
      <c r="B4417" s="177">
        <v>4015303</v>
      </c>
      <c r="C4417" s="32"/>
      <c r="D4417" s="32" t="s">
        <v>38</v>
      </c>
      <c r="E4417" s="157">
        <f>80/30</f>
        <v>2.66666666666667</v>
      </c>
      <c r="F4417" s="32">
        <v>0</v>
      </c>
    </row>
    <row r="4418" hidden="1" spans="1:6">
      <c r="A4418" s="176" t="s">
        <v>4429</v>
      </c>
      <c r="B4418" s="177">
        <v>4015303</v>
      </c>
      <c r="C4418" s="32"/>
      <c r="D4418" s="32" t="s">
        <v>40</v>
      </c>
      <c r="E4418" s="157">
        <f>108/30</f>
        <v>3.6</v>
      </c>
      <c r="F4418" s="32">
        <v>0</v>
      </c>
    </row>
    <row r="4419" hidden="1" spans="1:6">
      <c r="A4419" s="176" t="s">
        <v>4430</v>
      </c>
      <c r="B4419" s="177">
        <v>4015303</v>
      </c>
      <c r="C4419" s="32"/>
      <c r="D4419" s="32" t="s">
        <v>42</v>
      </c>
      <c r="E4419" s="157">
        <f>181/30</f>
        <v>6.03333333333333</v>
      </c>
      <c r="F4419" s="32">
        <v>0</v>
      </c>
    </row>
    <row r="4420" hidden="1" spans="1:6">
      <c r="A4420" s="176" t="s">
        <v>4431</v>
      </c>
      <c r="B4420" s="177">
        <v>4015303</v>
      </c>
      <c r="C4420" s="32"/>
      <c r="D4420" s="32" t="s">
        <v>44</v>
      </c>
      <c r="E4420" s="157">
        <v>10</v>
      </c>
      <c r="F4420" s="32">
        <v>0</v>
      </c>
    </row>
    <row r="4421" hidden="1" spans="1:6">
      <c r="A4421" s="176" t="s">
        <v>4432</v>
      </c>
      <c r="B4421" s="177">
        <v>4015303</v>
      </c>
      <c r="C4421" s="32"/>
      <c r="D4421" s="32" t="s">
        <v>1047</v>
      </c>
      <c r="E4421" s="157">
        <v>1.73333333333333</v>
      </c>
      <c r="F4421" s="32">
        <v>0</v>
      </c>
    </row>
    <row r="4422" hidden="1" spans="1:6">
      <c r="A4422" s="176" t="s">
        <v>4433</v>
      </c>
      <c r="B4422" s="177">
        <v>4015303</v>
      </c>
      <c r="C4422" s="32"/>
      <c r="D4422" s="32" t="s">
        <v>272</v>
      </c>
      <c r="E4422" s="157">
        <v>1.23333333333333</v>
      </c>
      <c r="F4422" s="32">
        <v>0</v>
      </c>
    </row>
    <row r="4423" hidden="1" spans="1:6">
      <c r="A4423" s="176" t="s">
        <v>4434</v>
      </c>
      <c r="B4423" s="177">
        <v>4015303</v>
      </c>
      <c r="C4423" s="32"/>
      <c r="D4423" s="32" t="s">
        <v>60</v>
      </c>
      <c r="E4423" s="157">
        <v>3.13333333333333</v>
      </c>
      <c r="F4423" s="32">
        <v>0</v>
      </c>
    </row>
    <row r="4424" hidden="1" spans="1:6">
      <c r="A4424" s="176" t="s">
        <v>4435</v>
      </c>
      <c r="B4424" s="177">
        <v>4015303</v>
      </c>
      <c r="C4424" s="32"/>
      <c r="D4424" s="32" t="s">
        <v>2198</v>
      </c>
      <c r="E4424" s="157">
        <v>2</v>
      </c>
      <c r="F4424" s="32">
        <v>1</v>
      </c>
    </row>
    <row r="4425" hidden="1" spans="1:6">
      <c r="A4425" s="176" t="s">
        <v>4436</v>
      </c>
      <c r="B4425" s="177">
        <v>4015303</v>
      </c>
      <c r="C4425" s="32"/>
      <c r="D4425" s="32" t="s">
        <v>2182</v>
      </c>
      <c r="E4425" s="157">
        <v>1.13333333333333</v>
      </c>
      <c r="F4425" s="32">
        <v>0</v>
      </c>
    </row>
    <row r="4426" hidden="1" spans="1:6">
      <c r="A4426" s="176" t="s">
        <v>4437</v>
      </c>
      <c r="B4426" s="177">
        <v>4015303</v>
      </c>
      <c r="C4426" s="32"/>
      <c r="D4426" s="32" t="s">
        <v>2184</v>
      </c>
      <c r="E4426" s="157">
        <v>1.33333333333333</v>
      </c>
      <c r="F4426" s="32">
        <v>0</v>
      </c>
    </row>
    <row r="4427" hidden="1" spans="1:6">
      <c r="A4427" s="176" t="s">
        <v>4438</v>
      </c>
      <c r="B4427" s="177">
        <v>4015303</v>
      </c>
      <c r="C4427" s="32"/>
      <c r="D4427" s="32" t="s">
        <v>2186</v>
      </c>
      <c r="E4427" s="157">
        <v>1.6</v>
      </c>
      <c r="F4427" s="32">
        <v>0</v>
      </c>
    </row>
    <row r="4428" hidden="1" spans="1:6">
      <c r="A4428" s="176" t="s">
        <v>4439</v>
      </c>
      <c r="B4428" s="177">
        <v>4015303</v>
      </c>
      <c r="C4428" s="32"/>
      <c r="D4428" s="32" t="s">
        <v>2188</v>
      </c>
      <c r="E4428" s="157">
        <v>0.666666666666667</v>
      </c>
      <c r="F4428" s="32">
        <v>0</v>
      </c>
    </row>
    <row r="4429" hidden="1" spans="1:6">
      <c r="A4429" s="176" t="s">
        <v>4440</v>
      </c>
      <c r="B4429" s="177">
        <v>4015303</v>
      </c>
      <c r="C4429" s="32"/>
      <c r="D4429" s="32" t="s">
        <v>2190</v>
      </c>
      <c r="E4429" s="157">
        <v>0.6</v>
      </c>
      <c r="F4429" s="32">
        <v>0</v>
      </c>
    </row>
    <row r="4430" hidden="1" spans="1:6">
      <c r="A4430" s="176" t="s">
        <v>4441</v>
      </c>
      <c r="B4430" s="177">
        <v>4015303</v>
      </c>
      <c r="C4430" s="32"/>
      <c r="D4430" s="32" t="s">
        <v>2192</v>
      </c>
      <c r="E4430" s="157">
        <v>0.666666666666667</v>
      </c>
      <c r="F4430" s="32">
        <v>0</v>
      </c>
    </row>
    <row r="4431" hidden="1" spans="1:6">
      <c r="A4431" s="176" t="s">
        <v>4442</v>
      </c>
      <c r="B4431" s="177">
        <v>4015303</v>
      </c>
      <c r="C4431" s="32"/>
      <c r="D4431" s="32" t="s">
        <v>2194</v>
      </c>
      <c r="E4431" s="157">
        <v>0.666666666666667</v>
      </c>
      <c r="F4431" s="32">
        <v>0</v>
      </c>
    </row>
    <row r="4432" hidden="1" spans="1:6">
      <c r="A4432" s="176" t="s">
        <v>4443</v>
      </c>
      <c r="B4432" s="177">
        <v>4015303</v>
      </c>
      <c r="C4432" s="32"/>
      <c r="D4432" s="32" t="s">
        <v>300</v>
      </c>
      <c r="E4432" s="157">
        <v>0.8</v>
      </c>
      <c r="F4432" s="32">
        <v>0</v>
      </c>
    </row>
    <row r="4433" hidden="1" spans="1:6">
      <c r="A4433" s="176" t="s">
        <v>4444</v>
      </c>
      <c r="B4433" s="177">
        <v>4015303</v>
      </c>
      <c r="C4433" s="32"/>
      <c r="D4433" s="32" t="s">
        <v>2178</v>
      </c>
      <c r="E4433" s="157">
        <v>0.8</v>
      </c>
      <c r="F4433" s="32">
        <v>0</v>
      </c>
    </row>
    <row r="4434" hidden="1" spans="1:6">
      <c r="A4434" s="176" t="s">
        <v>4445</v>
      </c>
      <c r="B4434" s="177">
        <v>4015303</v>
      </c>
      <c r="C4434" s="32"/>
      <c r="D4434" s="32" t="s">
        <v>2196</v>
      </c>
      <c r="E4434" s="157">
        <v>1.46666666666667</v>
      </c>
      <c r="F4434" s="32">
        <v>0</v>
      </c>
    </row>
    <row r="4435" hidden="1" spans="1:11">
      <c r="A4435" s="176" t="s">
        <v>4446</v>
      </c>
      <c r="B4435" s="177">
        <v>4015303</v>
      </c>
      <c r="C4435" s="32"/>
      <c r="D4435" s="32" t="s">
        <v>92</v>
      </c>
      <c r="E4435" s="157">
        <v>2.6</v>
      </c>
      <c r="F4435" s="32">
        <v>0</v>
      </c>
      <c r="G4435" s="32" t="s">
        <v>61</v>
      </c>
      <c r="H4435" s="32" t="s">
        <v>62</v>
      </c>
      <c r="I4435" s="32" t="s">
        <v>4261</v>
      </c>
      <c r="J4435" s="32" t="s">
        <v>4262</v>
      </c>
      <c r="K4435" s="32" t="s">
        <v>95</v>
      </c>
    </row>
    <row r="4436" hidden="1" spans="1:6">
      <c r="A4436" s="176" t="s">
        <v>4447</v>
      </c>
      <c r="B4436" s="177">
        <v>4015303</v>
      </c>
      <c r="C4436" s="32"/>
      <c r="D4436" s="32" t="s">
        <v>109</v>
      </c>
      <c r="E4436" s="157">
        <v>4</v>
      </c>
      <c r="F4436" s="32">
        <v>0</v>
      </c>
    </row>
    <row r="4437" hidden="1" spans="1:6">
      <c r="A4437" s="176" t="s">
        <v>4448</v>
      </c>
      <c r="B4437" s="177">
        <v>4015303</v>
      </c>
      <c r="C4437" s="32"/>
      <c r="D4437" s="32" t="s">
        <v>97</v>
      </c>
      <c r="E4437" s="157">
        <v>2.4</v>
      </c>
      <c r="F4437" s="32">
        <v>0</v>
      </c>
    </row>
    <row r="4438" hidden="1" spans="1:6">
      <c r="A4438" s="176" t="s">
        <v>4449</v>
      </c>
      <c r="B4438" s="177">
        <v>4015303</v>
      </c>
      <c r="C4438" s="32"/>
      <c r="D4438" s="32" t="s">
        <v>77</v>
      </c>
      <c r="E4438" s="157">
        <v>1.73333333333333</v>
      </c>
      <c r="F4438" s="32">
        <v>0</v>
      </c>
    </row>
    <row r="4439" hidden="1" spans="1:6">
      <c r="A4439" s="176" t="s">
        <v>4450</v>
      </c>
      <c r="B4439" s="177">
        <v>4015303</v>
      </c>
      <c r="C4439" s="32"/>
      <c r="D4439" s="32" t="s">
        <v>54</v>
      </c>
      <c r="E4439" s="157">
        <v>1.93333333333333</v>
      </c>
      <c r="F4439" s="32">
        <v>0</v>
      </c>
    </row>
    <row r="4440" s="32" customFormat="1" hidden="1" spans="1:12">
      <c r="A4440" s="176" t="s">
        <v>4451</v>
      </c>
      <c r="B4440" s="177">
        <v>4015303</v>
      </c>
      <c r="D4440" s="32" t="s">
        <v>57</v>
      </c>
      <c r="E4440" s="157">
        <v>6.33333333333333</v>
      </c>
      <c r="F4440" s="32">
        <v>0</v>
      </c>
      <c r="G4440" s="32">
        <v>0</v>
      </c>
      <c r="H4440" s="32">
        <v>2</v>
      </c>
      <c r="I4440" s="32">
        <v>5006</v>
      </c>
      <c r="J4440" s="32" t="s">
        <v>58</v>
      </c>
      <c r="K4440" s="32">
        <v>1</v>
      </c>
      <c r="L4440" s="182"/>
    </row>
    <row r="4441" hidden="1" spans="1:6">
      <c r="A4441" s="176" t="s">
        <v>4452</v>
      </c>
      <c r="B4441" s="177">
        <v>4015303</v>
      </c>
      <c r="C4441" s="32"/>
      <c r="D4441" s="32" t="s">
        <v>1788</v>
      </c>
      <c r="E4441" s="157">
        <v>1.93333333333333</v>
      </c>
      <c r="F4441" s="32">
        <v>1</v>
      </c>
    </row>
    <row r="4442" hidden="1" spans="1:6">
      <c r="A4442" s="176" t="s">
        <v>4453</v>
      </c>
      <c r="B4442" s="177">
        <v>4015303</v>
      </c>
      <c r="C4442" s="32"/>
      <c r="D4442" s="32" t="s">
        <v>2929</v>
      </c>
      <c r="E4442" s="157">
        <v>0.666666666666667</v>
      </c>
      <c r="F4442" s="32">
        <v>1</v>
      </c>
    </row>
    <row r="4443" hidden="1" spans="1:11">
      <c r="A4443" s="176" t="s">
        <v>4454</v>
      </c>
      <c r="B4443" s="177">
        <v>4015303</v>
      </c>
      <c r="C4443" s="32"/>
      <c r="D4443" s="32" t="s">
        <v>2621</v>
      </c>
      <c r="E4443" s="157">
        <v>0.8</v>
      </c>
      <c r="F4443" s="32">
        <v>1</v>
      </c>
      <c r="G4443">
        <v>0</v>
      </c>
      <c r="H4443">
        <v>2</v>
      </c>
      <c r="I4443">
        <v>5007</v>
      </c>
      <c r="J4443" t="s">
        <v>4271</v>
      </c>
      <c r="K4443">
        <v>1</v>
      </c>
    </row>
    <row r="4444" hidden="1" spans="1:6">
      <c r="A4444" s="176" t="s">
        <v>4455</v>
      </c>
      <c r="B4444" s="177">
        <v>4015303</v>
      </c>
      <c r="C4444" s="32"/>
      <c r="D4444" s="32" t="s">
        <v>4273</v>
      </c>
      <c r="E4444" s="157">
        <v>2.46666666666667</v>
      </c>
      <c r="F4444" s="32">
        <v>1</v>
      </c>
    </row>
    <row r="4445" hidden="1" spans="1:6">
      <c r="A4445" s="176" t="s">
        <v>4456</v>
      </c>
      <c r="B4445" s="177">
        <v>4015303</v>
      </c>
      <c r="C4445" s="32"/>
      <c r="D4445" s="32" t="s">
        <v>2623</v>
      </c>
      <c r="E4445" s="157">
        <v>1.66666666666667</v>
      </c>
      <c r="F4445" s="32">
        <v>1</v>
      </c>
    </row>
    <row r="4446" hidden="1" spans="1:6">
      <c r="A4446" s="176" t="s">
        <v>4457</v>
      </c>
      <c r="B4446" s="177">
        <v>4015303</v>
      </c>
      <c r="C4446" s="32"/>
      <c r="D4446" s="32" t="s">
        <v>236</v>
      </c>
      <c r="E4446" s="157">
        <v>2.1</v>
      </c>
      <c r="F4446" s="32">
        <v>0</v>
      </c>
    </row>
    <row r="4447" hidden="1" spans="1:6">
      <c r="A4447" s="176" t="s">
        <v>4458</v>
      </c>
      <c r="B4447" s="177">
        <v>4015303</v>
      </c>
      <c r="C4447" s="32"/>
      <c r="D4447" s="32" t="s">
        <v>264</v>
      </c>
      <c r="E4447" s="157">
        <v>2</v>
      </c>
      <c r="F4447" s="32">
        <v>1</v>
      </c>
    </row>
    <row r="4448" hidden="1" spans="1:6">
      <c r="A4448" s="176" t="s">
        <v>4459</v>
      </c>
      <c r="B4448" s="177">
        <v>4015303</v>
      </c>
      <c r="C4448" s="32"/>
      <c r="D4448" s="32" t="s">
        <v>130</v>
      </c>
      <c r="E4448" s="157">
        <v>2</v>
      </c>
      <c r="F4448" s="32">
        <v>1</v>
      </c>
    </row>
    <row r="4449" hidden="1" spans="1:6">
      <c r="A4449" s="176" t="s">
        <v>4460</v>
      </c>
      <c r="B4449" s="177">
        <v>4015303</v>
      </c>
      <c r="C4449" s="32"/>
      <c r="D4449" s="32" t="s">
        <v>2629</v>
      </c>
      <c r="E4449" s="157">
        <v>0.933333333333333</v>
      </c>
      <c r="F4449" s="32">
        <v>0</v>
      </c>
    </row>
    <row r="4450" hidden="1" spans="1:6">
      <c r="A4450" s="176" t="s">
        <v>4461</v>
      </c>
      <c r="B4450" s="177">
        <v>4015303</v>
      </c>
      <c r="C4450" s="32"/>
      <c r="D4450" s="32" t="s">
        <v>268</v>
      </c>
      <c r="E4450" s="157">
        <v>2.56666666666667</v>
      </c>
      <c r="F4450" s="32">
        <v>1</v>
      </c>
    </row>
    <row r="4451" hidden="1" spans="1:6">
      <c r="A4451" s="176" t="s">
        <v>4462</v>
      </c>
      <c r="B4451" s="177">
        <v>4015303</v>
      </c>
      <c r="C4451" s="32"/>
      <c r="D4451" s="32" t="s">
        <v>204</v>
      </c>
      <c r="E4451" s="157">
        <v>1.8</v>
      </c>
      <c r="F4451" s="32">
        <v>0</v>
      </c>
    </row>
    <row r="4452" hidden="1" spans="1:6">
      <c r="A4452" s="176" t="s">
        <v>4463</v>
      </c>
      <c r="B4452" s="177">
        <v>4015303</v>
      </c>
      <c r="C4452" s="32"/>
      <c r="D4452" s="32" t="s">
        <v>4282</v>
      </c>
      <c r="E4452" s="157">
        <f>24/30</f>
        <v>0.8</v>
      </c>
      <c r="F4452" s="32">
        <v>0</v>
      </c>
    </row>
    <row r="4453" hidden="1" spans="1:6">
      <c r="A4453" s="176" t="s">
        <v>4464</v>
      </c>
      <c r="B4453" s="177">
        <v>4015303</v>
      </c>
      <c r="C4453" s="32"/>
      <c r="D4453" s="32" t="s">
        <v>4284</v>
      </c>
      <c r="E4453" s="157">
        <f>24/30</f>
        <v>0.8</v>
      </c>
      <c r="F4453" s="32">
        <v>0</v>
      </c>
    </row>
    <row r="4454" hidden="1" spans="1:6">
      <c r="A4454" s="176" t="s">
        <v>4465</v>
      </c>
      <c r="B4454" s="177">
        <v>4015303</v>
      </c>
      <c r="C4454" s="32"/>
      <c r="D4454" s="32" t="s">
        <v>4286</v>
      </c>
      <c r="E4454" s="157">
        <v>1</v>
      </c>
      <c r="F4454" s="32">
        <v>0</v>
      </c>
    </row>
    <row r="4455" hidden="1" spans="1:6">
      <c r="A4455" s="176" t="s">
        <v>4466</v>
      </c>
      <c r="B4455" s="177">
        <v>4015303</v>
      </c>
      <c r="C4455" s="32"/>
      <c r="D4455" s="32" t="s">
        <v>4288</v>
      </c>
      <c r="E4455" s="157">
        <v>1</v>
      </c>
      <c r="F4455" s="32">
        <v>0</v>
      </c>
    </row>
    <row r="4456" hidden="1" spans="1:6">
      <c r="A4456" s="176" t="s">
        <v>4467</v>
      </c>
      <c r="B4456" s="177">
        <v>4015303</v>
      </c>
      <c r="C4456" s="32"/>
      <c r="D4456" s="32" t="s">
        <v>4290</v>
      </c>
      <c r="E4456" s="157">
        <v>6</v>
      </c>
      <c r="F4456" s="32">
        <v>1</v>
      </c>
    </row>
    <row r="4457" hidden="1" spans="1:6">
      <c r="A4457" s="167" t="s">
        <v>4468</v>
      </c>
      <c r="B4457" s="167">
        <v>30113</v>
      </c>
      <c r="C4457" s="167"/>
      <c r="D4457" s="167" t="s">
        <v>36</v>
      </c>
      <c r="E4457" s="167">
        <f>240/30</f>
        <v>8</v>
      </c>
      <c r="F4457" s="167">
        <v>0</v>
      </c>
    </row>
    <row r="4458" hidden="1" spans="1:6">
      <c r="A4458" s="167" t="s">
        <v>4469</v>
      </c>
      <c r="B4458" s="167">
        <v>30113</v>
      </c>
      <c r="C4458" s="167"/>
      <c r="D4458" s="167" t="s">
        <v>38</v>
      </c>
      <c r="E4458" s="167">
        <f>80/30</f>
        <v>2.66666666666667</v>
      </c>
      <c r="F4458" s="167">
        <v>0</v>
      </c>
    </row>
    <row r="4459" hidden="1" spans="1:6">
      <c r="A4459" s="167" t="s">
        <v>4470</v>
      </c>
      <c r="B4459" s="167">
        <v>30113</v>
      </c>
      <c r="C4459" s="167"/>
      <c r="D4459" s="167" t="s">
        <v>40</v>
      </c>
      <c r="E4459" s="167">
        <f>108/30</f>
        <v>3.6</v>
      </c>
      <c r="F4459" s="167">
        <v>0</v>
      </c>
    </row>
    <row r="4460" hidden="1" spans="1:6">
      <c r="A4460" s="167" t="s">
        <v>4471</v>
      </c>
      <c r="B4460" s="167">
        <v>30113</v>
      </c>
      <c r="C4460" s="167"/>
      <c r="D4460" s="167" t="s">
        <v>42</v>
      </c>
      <c r="E4460" s="167">
        <f>181/30</f>
        <v>6.03333333333333</v>
      </c>
      <c r="F4460" s="167">
        <v>0</v>
      </c>
    </row>
    <row r="4461" hidden="1" spans="1:6">
      <c r="A4461" s="167" t="s">
        <v>4472</v>
      </c>
      <c r="B4461" s="167">
        <v>30113</v>
      </c>
      <c r="C4461" s="167"/>
      <c r="D4461" s="167" t="s">
        <v>44</v>
      </c>
      <c r="E4461" s="167">
        <v>10</v>
      </c>
      <c r="F4461" s="167">
        <v>0</v>
      </c>
    </row>
    <row r="4462" hidden="1" spans="1:6">
      <c r="A4462" s="167" t="s">
        <v>4473</v>
      </c>
      <c r="B4462" s="167">
        <v>30113</v>
      </c>
      <c r="C4462" s="167"/>
      <c r="D4462" s="167" t="s">
        <v>1047</v>
      </c>
      <c r="E4462" s="167">
        <v>1.73333333333333</v>
      </c>
      <c r="F4462" s="167">
        <v>0</v>
      </c>
    </row>
    <row r="4463" hidden="1" spans="1:6">
      <c r="A4463" s="167" t="s">
        <v>4474</v>
      </c>
      <c r="B4463" s="167">
        <v>30113</v>
      </c>
      <c r="C4463" s="167"/>
      <c r="D4463" s="167" t="s">
        <v>272</v>
      </c>
      <c r="E4463" s="167">
        <v>1.23333333333333</v>
      </c>
      <c r="F4463" s="167">
        <v>0</v>
      </c>
    </row>
    <row r="4464" hidden="1" spans="1:6">
      <c r="A4464" s="167" t="s">
        <v>4475</v>
      </c>
      <c r="B4464" s="167">
        <v>30113</v>
      </c>
      <c r="C4464" s="167"/>
      <c r="D4464" s="167" t="s">
        <v>60</v>
      </c>
      <c r="E4464" s="167">
        <v>3.13333333333333</v>
      </c>
      <c r="F4464" s="167">
        <v>0</v>
      </c>
    </row>
    <row r="4465" hidden="1" spans="1:6">
      <c r="A4465" s="167" t="s">
        <v>4476</v>
      </c>
      <c r="B4465" s="167">
        <v>30113</v>
      </c>
      <c r="C4465" s="167"/>
      <c r="D4465" s="167" t="s">
        <v>2198</v>
      </c>
      <c r="E4465" s="167">
        <v>2</v>
      </c>
      <c r="F4465" s="167">
        <v>1</v>
      </c>
    </row>
    <row r="4466" hidden="1" spans="1:6">
      <c r="A4466" s="167" t="s">
        <v>4477</v>
      </c>
      <c r="B4466" s="167">
        <v>30113</v>
      </c>
      <c r="C4466" s="167"/>
      <c r="D4466" s="167" t="s">
        <v>2182</v>
      </c>
      <c r="E4466" s="167">
        <v>1.13333333333333</v>
      </c>
      <c r="F4466" s="167">
        <v>0</v>
      </c>
    </row>
    <row r="4467" hidden="1" spans="1:6">
      <c r="A4467" s="167" t="s">
        <v>4478</v>
      </c>
      <c r="B4467" s="167">
        <v>30113</v>
      </c>
      <c r="C4467" s="167"/>
      <c r="D4467" s="167" t="s">
        <v>2184</v>
      </c>
      <c r="E4467" s="167">
        <v>1.33333333333333</v>
      </c>
      <c r="F4467" s="167">
        <v>0</v>
      </c>
    </row>
    <row r="4468" hidden="1" spans="1:6">
      <c r="A4468" s="167" t="s">
        <v>4479</v>
      </c>
      <c r="B4468" s="167">
        <v>30113</v>
      </c>
      <c r="C4468" s="167"/>
      <c r="D4468" s="167" t="s">
        <v>2186</v>
      </c>
      <c r="E4468" s="167">
        <v>1.6</v>
      </c>
      <c r="F4468" s="167">
        <v>0</v>
      </c>
    </row>
    <row r="4469" hidden="1" spans="1:6">
      <c r="A4469" s="167" t="s">
        <v>4480</v>
      </c>
      <c r="B4469" s="167">
        <v>30113</v>
      </c>
      <c r="C4469" s="167"/>
      <c r="D4469" s="167" t="s">
        <v>2188</v>
      </c>
      <c r="E4469" s="167">
        <v>0.666666666666667</v>
      </c>
      <c r="F4469" s="167">
        <v>0</v>
      </c>
    </row>
    <row r="4470" hidden="1" spans="1:6">
      <c r="A4470" s="167" t="s">
        <v>4481</v>
      </c>
      <c r="B4470" s="167">
        <v>30113</v>
      </c>
      <c r="C4470" s="167"/>
      <c r="D4470" s="167" t="s">
        <v>2190</v>
      </c>
      <c r="E4470" s="167">
        <v>0.6</v>
      </c>
      <c r="F4470" s="167">
        <v>0</v>
      </c>
    </row>
    <row r="4471" hidden="1" spans="1:6">
      <c r="A4471" s="167" t="s">
        <v>4482</v>
      </c>
      <c r="B4471" s="167">
        <v>30113</v>
      </c>
      <c r="C4471" s="167"/>
      <c r="D4471" s="167" t="s">
        <v>2192</v>
      </c>
      <c r="E4471" s="167">
        <v>0.666666666666667</v>
      </c>
      <c r="F4471" s="167">
        <v>0</v>
      </c>
    </row>
    <row r="4472" hidden="1" spans="1:6">
      <c r="A4472" s="167" t="s">
        <v>4483</v>
      </c>
      <c r="B4472" s="167">
        <v>30113</v>
      </c>
      <c r="C4472" s="167"/>
      <c r="D4472" s="167" t="s">
        <v>2194</v>
      </c>
      <c r="E4472" s="167">
        <v>0.666666666666667</v>
      </c>
      <c r="F4472" s="167">
        <v>0</v>
      </c>
    </row>
    <row r="4473" hidden="1" spans="1:6">
      <c r="A4473" s="167" t="s">
        <v>4484</v>
      </c>
      <c r="B4473" s="167">
        <v>30113</v>
      </c>
      <c r="C4473" s="167"/>
      <c r="D4473" s="167" t="s">
        <v>300</v>
      </c>
      <c r="E4473" s="167">
        <v>0.8</v>
      </c>
      <c r="F4473" s="167">
        <v>0</v>
      </c>
    </row>
    <row r="4474" hidden="1" spans="1:6">
      <c r="A4474" s="167" t="s">
        <v>4485</v>
      </c>
      <c r="B4474" s="167">
        <v>30113</v>
      </c>
      <c r="C4474" s="167"/>
      <c r="D4474" s="167" t="s">
        <v>2178</v>
      </c>
      <c r="E4474" s="167">
        <v>0.8</v>
      </c>
      <c r="F4474" s="167">
        <v>0</v>
      </c>
    </row>
    <row r="4475" hidden="1" spans="1:6">
      <c r="A4475" s="167" t="s">
        <v>4486</v>
      </c>
      <c r="B4475" s="167">
        <v>30113</v>
      </c>
      <c r="C4475" s="167"/>
      <c r="D4475" s="167" t="s">
        <v>2196</v>
      </c>
      <c r="E4475" s="167">
        <v>1.46666666666667</v>
      </c>
      <c r="F4475" s="167">
        <v>0</v>
      </c>
    </row>
    <row r="4476" hidden="1" spans="1:6">
      <c r="A4476" s="167" t="s">
        <v>4487</v>
      </c>
      <c r="B4476" s="167">
        <v>30113</v>
      </c>
      <c r="C4476" s="167"/>
      <c r="D4476" s="167" t="s">
        <v>92</v>
      </c>
      <c r="E4476" s="167">
        <v>2.6</v>
      </c>
      <c r="F4476" s="167">
        <v>0</v>
      </c>
    </row>
    <row r="4477" hidden="1" spans="1:6">
      <c r="A4477" s="167" t="s">
        <v>4488</v>
      </c>
      <c r="B4477" s="167">
        <v>30113</v>
      </c>
      <c r="C4477" s="167"/>
      <c r="D4477" s="167" t="s">
        <v>109</v>
      </c>
      <c r="E4477" s="167">
        <v>4</v>
      </c>
      <c r="F4477" s="167">
        <v>0</v>
      </c>
    </row>
    <row r="4478" hidden="1" spans="1:6">
      <c r="A4478" s="167" t="s">
        <v>4489</v>
      </c>
      <c r="B4478" s="167">
        <v>30113</v>
      </c>
      <c r="C4478" s="167"/>
      <c r="D4478" s="167" t="s">
        <v>97</v>
      </c>
      <c r="E4478" s="167">
        <v>2.4</v>
      </c>
      <c r="F4478" s="167">
        <v>0</v>
      </c>
    </row>
    <row r="4479" hidden="1" spans="1:6">
      <c r="A4479" s="167" t="s">
        <v>4490</v>
      </c>
      <c r="B4479" s="167">
        <v>30113</v>
      </c>
      <c r="C4479" s="167"/>
      <c r="D4479" s="167" t="s">
        <v>77</v>
      </c>
      <c r="E4479" s="167">
        <v>1.73333333333333</v>
      </c>
      <c r="F4479" s="167">
        <v>0</v>
      </c>
    </row>
    <row r="4480" hidden="1" spans="1:6">
      <c r="A4480" s="167" t="s">
        <v>4491</v>
      </c>
      <c r="B4480" s="167">
        <v>30113</v>
      </c>
      <c r="C4480" s="167"/>
      <c r="D4480" s="167" t="s">
        <v>54</v>
      </c>
      <c r="E4480" s="167">
        <v>1.93333333333333</v>
      </c>
      <c r="F4480" s="167">
        <v>0</v>
      </c>
    </row>
    <row r="4481" s="32" customFormat="1" hidden="1" spans="1:12">
      <c r="A4481" s="167" t="s">
        <v>4492</v>
      </c>
      <c r="B4481" s="167">
        <v>30113</v>
      </c>
      <c r="C4481" s="167"/>
      <c r="D4481" s="167" t="s">
        <v>57</v>
      </c>
      <c r="E4481" s="167">
        <v>6.33333333333333</v>
      </c>
      <c r="F4481" s="167">
        <v>0</v>
      </c>
      <c r="G4481" s="32">
        <v>0</v>
      </c>
      <c r="H4481" s="32">
        <v>2</v>
      </c>
      <c r="I4481" s="32">
        <v>5006</v>
      </c>
      <c r="J4481" s="32" t="s">
        <v>58</v>
      </c>
      <c r="K4481" s="32">
        <v>1</v>
      </c>
      <c r="L4481" s="182"/>
    </row>
    <row r="4482" hidden="1" spans="1:6">
      <c r="A4482" s="167" t="s">
        <v>4493</v>
      </c>
      <c r="B4482" s="167">
        <v>30113</v>
      </c>
      <c r="C4482" s="167"/>
      <c r="D4482" s="167" t="s">
        <v>1788</v>
      </c>
      <c r="E4482" s="167">
        <v>1.93333333333333</v>
      </c>
      <c r="F4482" s="167">
        <v>1</v>
      </c>
    </row>
    <row r="4483" hidden="1" spans="1:6">
      <c r="A4483" s="167" t="s">
        <v>4494</v>
      </c>
      <c r="B4483" s="167">
        <v>30113</v>
      </c>
      <c r="C4483" s="167"/>
      <c r="D4483" s="167" t="s">
        <v>2929</v>
      </c>
      <c r="E4483" s="167">
        <v>0.666666666666667</v>
      </c>
      <c r="F4483" s="167">
        <v>1</v>
      </c>
    </row>
    <row r="4484" hidden="1" spans="1:6">
      <c r="A4484" s="167" t="s">
        <v>4495</v>
      </c>
      <c r="B4484" s="167">
        <v>30113</v>
      </c>
      <c r="C4484" s="167"/>
      <c r="D4484" s="167" t="s">
        <v>2621</v>
      </c>
      <c r="E4484" s="167">
        <v>0.8</v>
      </c>
      <c r="F4484" s="167">
        <v>1</v>
      </c>
    </row>
    <row r="4485" hidden="1" spans="1:6">
      <c r="A4485" s="167" t="s">
        <v>4496</v>
      </c>
      <c r="B4485" s="167">
        <v>30113</v>
      </c>
      <c r="C4485" s="167"/>
      <c r="D4485" s="167" t="s">
        <v>4273</v>
      </c>
      <c r="E4485" s="167">
        <v>2.46666666666667</v>
      </c>
      <c r="F4485" s="167">
        <v>1</v>
      </c>
    </row>
    <row r="4486" hidden="1" spans="1:6">
      <c r="A4486" s="167" t="s">
        <v>4497</v>
      </c>
      <c r="B4486" s="167">
        <v>30113</v>
      </c>
      <c r="C4486" s="167"/>
      <c r="D4486" s="167" t="s">
        <v>2623</v>
      </c>
      <c r="E4486" s="167">
        <v>1.66666666666667</v>
      </c>
      <c r="F4486" s="167">
        <v>1</v>
      </c>
    </row>
    <row r="4487" hidden="1" spans="1:6">
      <c r="A4487" s="167" t="s">
        <v>4498</v>
      </c>
      <c r="B4487" s="167">
        <v>30113</v>
      </c>
      <c r="C4487" s="167"/>
      <c r="D4487" s="167" t="s">
        <v>236</v>
      </c>
      <c r="E4487" s="167">
        <v>2.1</v>
      </c>
      <c r="F4487" s="167">
        <v>0</v>
      </c>
    </row>
    <row r="4488" hidden="1" spans="1:6">
      <c r="A4488" s="167" t="s">
        <v>4499</v>
      </c>
      <c r="B4488" s="167">
        <v>30113</v>
      </c>
      <c r="C4488" s="167"/>
      <c r="D4488" s="167" t="s">
        <v>264</v>
      </c>
      <c r="E4488" s="167">
        <v>2</v>
      </c>
      <c r="F4488" s="167">
        <v>1</v>
      </c>
    </row>
    <row r="4489" hidden="1" spans="1:6">
      <c r="A4489" s="167" t="s">
        <v>4500</v>
      </c>
      <c r="B4489" s="167">
        <v>30113</v>
      </c>
      <c r="C4489" s="167"/>
      <c r="D4489" s="167" t="s">
        <v>130</v>
      </c>
      <c r="E4489" s="167">
        <v>2</v>
      </c>
      <c r="F4489" s="167">
        <v>1</v>
      </c>
    </row>
    <row r="4490" hidden="1" spans="1:6">
      <c r="A4490" s="167" t="s">
        <v>4501</v>
      </c>
      <c r="B4490" s="167">
        <v>30113</v>
      </c>
      <c r="C4490" s="167"/>
      <c r="D4490" s="167" t="s">
        <v>2629</v>
      </c>
      <c r="E4490" s="167">
        <v>0.933333333333333</v>
      </c>
      <c r="F4490" s="167">
        <v>0</v>
      </c>
    </row>
    <row r="4491" hidden="1" spans="1:6">
      <c r="A4491" s="167" t="s">
        <v>4502</v>
      </c>
      <c r="B4491" s="167">
        <v>30113</v>
      </c>
      <c r="C4491" s="167"/>
      <c r="D4491" s="167" t="s">
        <v>268</v>
      </c>
      <c r="E4491" s="167">
        <v>2.56666666666667</v>
      </c>
      <c r="F4491" s="167">
        <v>1</v>
      </c>
    </row>
    <row r="4492" hidden="1" spans="1:6">
      <c r="A4492" s="167" t="s">
        <v>4503</v>
      </c>
      <c r="B4492" s="167">
        <v>30113</v>
      </c>
      <c r="C4492" s="167"/>
      <c r="D4492" s="167" t="s">
        <v>204</v>
      </c>
      <c r="E4492" s="167">
        <v>1.8</v>
      </c>
      <c r="F4492" s="167">
        <v>0</v>
      </c>
    </row>
    <row r="4493" hidden="1" spans="1:6">
      <c r="A4493" s="167" t="s">
        <v>4504</v>
      </c>
      <c r="B4493" s="167">
        <v>30113</v>
      </c>
      <c r="C4493" s="167"/>
      <c r="D4493" s="167" t="s">
        <v>4282</v>
      </c>
      <c r="E4493" s="167">
        <f>24/30</f>
        <v>0.8</v>
      </c>
      <c r="F4493" s="167">
        <v>0</v>
      </c>
    </row>
    <row r="4494" hidden="1" spans="1:6">
      <c r="A4494" s="167" t="s">
        <v>4505</v>
      </c>
      <c r="B4494" s="167">
        <v>30113</v>
      </c>
      <c r="C4494" s="167"/>
      <c r="D4494" s="167" t="s">
        <v>4284</v>
      </c>
      <c r="E4494" s="167">
        <f>24/30</f>
        <v>0.8</v>
      </c>
      <c r="F4494" s="167">
        <v>0</v>
      </c>
    </row>
    <row r="4495" hidden="1" spans="1:6">
      <c r="A4495" s="167" t="s">
        <v>4506</v>
      </c>
      <c r="B4495" s="167">
        <v>30113</v>
      </c>
      <c r="C4495" s="167"/>
      <c r="D4495" s="167" t="s">
        <v>4286</v>
      </c>
      <c r="E4495" s="167">
        <v>1</v>
      </c>
      <c r="F4495" s="167">
        <v>0</v>
      </c>
    </row>
    <row r="4496" hidden="1" spans="1:6">
      <c r="A4496" s="167" t="s">
        <v>4507</v>
      </c>
      <c r="B4496" s="167">
        <v>30113</v>
      </c>
      <c r="C4496" s="167"/>
      <c r="D4496" s="167" t="s">
        <v>4288</v>
      </c>
      <c r="E4496" s="167">
        <v>1</v>
      </c>
      <c r="F4496" s="167">
        <v>0</v>
      </c>
    </row>
    <row r="4497" hidden="1" spans="1:6">
      <c r="A4497" s="176" t="s">
        <v>4508</v>
      </c>
      <c r="B4497" s="177">
        <v>4015304</v>
      </c>
      <c r="C4497" s="32"/>
      <c r="D4497" s="32" t="s">
        <v>36</v>
      </c>
      <c r="E4497" s="157">
        <f>240/30</f>
        <v>8</v>
      </c>
      <c r="F4497" s="32">
        <v>0</v>
      </c>
    </row>
    <row r="4498" hidden="1" spans="1:6">
      <c r="A4498" s="176" t="s">
        <v>4509</v>
      </c>
      <c r="B4498" s="177">
        <v>4015304</v>
      </c>
      <c r="C4498" s="32"/>
      <c r="D4498" s="32" t="s">
        <v>38</v>
      </c>
      <c r="E4498" s="157">
        <f>80/30</f>
        <v>2.66666666666667</v>
      </c>
      <c r="F4498" s="32">
        <v>0</v>
      </c>
    </row>
    <row r="4499" hidden="1" spans="1:6">
      <c r="A4499" s="176" t="s">
        <v>4510</v>
      </c>
      <c r="B4499" s="177">
        <v>4015304</v>
      </c>
      <c r="C4499" s="32"/>
      <c r="D4499" s="32" t="s">
        <v>40</v>
      </c>
      <c r="E4499" s="157">
        <f>108/30</f>
        <v>3.6</v>
      </c>
      <c r="F4499" s="32">
        <v>0</v>
      </c>
    </row>
    <row r="4500" hidden="1" spans="1:6">
      <c r="A4500" s="176" t="s">
        <v>4511</v>
      </c>
      <c r="B4500" s="177">
        <v>4015304</v>
      </c>
      <c r="C4500" s="32"/>
      <c r="D4500" s="32" t="s">
        <v>42</v>
      </c>
      <c r="E4500" s="157">
        <f>181/30</f>
        <v>6.03333333333333</v>
      </c>
      <c r="F4500" s="32">
        <v>0</v>
      </c>
    </row>
    <row r="4501" hidden="1" spans="1:6">
      <c r="A4501" s="176" t="s">
        <v>4512</v>
      </c>
      <c r="B4501" s="177">
        <v>4015304</v>
      </c>
      <c r="C4501" s="32"/>
      <c r="D4501" s="32" t="s">
        <v>44</v>
      </c>
      <c r="E4501" s="157">
        <v>10</v>
      </c>
      <c r="F4501" s="32">
        <v>0</v>
      </c>
    </row>
    <row r="4502" hidden="1" spans="1:6">
      <c r="A4502" s="176" t="s">
        <v>4513</v>
      </c>
      <c r="B4502" s="177">
        <v>4015304</v>
      </c>
      <c r="C4502" s="32"/>
      <c r="D4502" s="32" t="s">
        <v>1047</v>
      </c>
      <c r="E4502" s="157">
        <v>1.73333333333333</v>
      </c>
      <c r="F4502" s="32">
        <v>0</v>
      </c>
    </row>
    <row r="4503" hidden="1" spans="1:6">
      <c r="A4503" s="176" t="s">
        <v>4514</v>
      </c>
      <c r="B4503" s="177">
        <v>4015304</v>
      </c>
      <c r="C4503" s="32"/>
      <c r="D4503" s="32" t="s">
        <v>272</v>
      </c>
      <c r="E4503" s="157">
        <v>1.23333333333333</v>
      </c>
      <c r="F4503" s="32">
        <v>0</v>
      </c>
    </row>
    <row r="4504" hidden="1" spans="1:6">
      <c r="A4504" s="176" t="s">
        <v>4515</v>
      </c>
      <c r="B4504" s="177">
        <v>4015304</v>
      </c>
      <c r="C4504" s="32"/>
      <c r="D4504" s="32" t="s">
        <v>60</v>
      </c>
      <c r="E4504" s="157">
        <v>3.13333333333333</v>
      </c>
      <c r="F4504" s="32">
        <v>0</v>
      </c>
    </row>
    <row r="4505" hidden="1" spans="1:6">
      <c r="A4505" s="176" t="s">
        <v>4516</v>
      </c>
      <c r="B4505" s="177">
        <v>4015304</v>
      </c>
      <c r="C4505" s="32"/>
      <c r="D4505" s="32" t="s">
        <v>2198</v>
      </c>
      <c r="E4505" s="157">
        <v>2</v>
      </c>
      <c r="F4505" s="32">
        <v>1</v>
      </c>
    </row>
    <row r="4506" hidden="1" spans="1:6">
      <c r="A4506" s="176" t="s">
        <v>4517</v>
      </c>
      <c r="B4506" s="177">
        <v>4015304</v>
      </c>
      <c r="C4506" s="32"/>
      <c r="D4506" s="32" t="s">
        <v>2182</v>
      </c>
      <c r="E4506" s="157">
        <v>1.13333333333333</v>
      </c>
      <c r="F4506" s="32">
        <v>0</v>
      </c>
    </row>
    <row r="4507" hidden="1" spans="1:6">
      <c r="A4507" s="176" t="s">
        <v>4518</v>
      </c>
      <c r="B4507" s="177">
        <v>4015304</v>
      </c>
      <c r="C4507" s="32"/>
      <c r="D4507" s="32" t="s">
        <v>2184</v>
      </c>
      <c r="E4507" s="157">
        <v>1.33333333333333</v>
      </c>
      <c r="F4507" s="32">
        <v>0</v>
      </c>
    </row>
    <row r="4508" hidden="1" spans="1:6">
      <c r="A4508" s="176" t="s">
        <v>4519</v>
      </c>
      <c r="B4508" s="177">
        <v>4015304</v>
      </c>
      <c r="C4508" s="32"/>
      <c r="D4508" s="32" t="s">
        <v>2186</v>
      </c>
      <c r="E4508" s="157">
        <v>1.6</v>
      </c>
      <c r="F4508" s="32">
        <v>0</v>
      </c>
    </row>
    <row r="4509" hidden="1" spans="1:6">
      <c r="A4509" s="176" t="s">
        <v>4520</v>
      </c>
      <c r="B4509" s="177">
        <v>4015304</v>
      </c>
      <c r="C4509" s="32"/>
      <c r="D4509" s="32" t="s">
        <v>2188</v>
      </c>
      <c r="E4509" s="157">
        <v>0.666666666666667</v>
      </c>
      <c r="F4509" s="32">
        <v>0</v>
      </c>
    </row>
    <row r="4510" hidden="1" spans="1:6">
      <c r="A4510" s="176" t="s">
        <v>4521</v>
      </c>
      <c r="B4510" s="177">
        <v>4015304</v>
      </c>
      <c r="C4510" s="32"/>
      <c r="D4510" s="32" t="s">
        <v>2190</v>
      </c>
      <c r="E4510" s="157">
        <v>0.6</v>
      </c>
      <c r="F4510" s="32">
        <v>0</v>
      </c>
    </row>
    <row r="4511" hidden="1" spans="1:6">
      <c r="A4511" s="176" t="s">
        <v>4522</v>
      </c>
      <c r="B4511" s="177">
        <v>4015304</v>
      </c>
      <c r="C4511" s="32"/>
      <c r="D4511" s="32" t="s">
        <v>2192</v>
      </c>
      <c r="E4511" s="157">
        <v>0.666666666666667</v>
      </c>
      <c r="F4511" s="32">
        <v>0</v>
      </c>
    </row>
    <row r="4512" hidden="1" spans="1:6">
      <c r="A4512" s="176" t="s">
        <v>4523</v>
      </c>
      <c r="B4512" s="177">
        <v>4015304</v>
      </c>
      <c r="C4512" s="32"/>
      <c r="D4512" s="32" t="s">
        <v>2194</v>
      </c>
      <c r="E4512" s="157">
        <v>0.666666666666667</v>
      </c>
      <c r="F4512" s="32">
        <v>0</v>
      </c>
    </row>
    <row r="4513" hidden="1" spans="1:6">
      <c r="A4513" s="176" t="s">
        <v>4524</v>
      </c>
      <c r="B4513" s="177">
        <v>4015304</v>
      </c>
      <c r="C4513" s="32"/>
      <c r="D4513" s="32" t="s">
        <v>300</v>
      </c>
      <c r="E4513" s="157">
        <v>0.8</v>
      </c>
      <c r="F4513" s="32">
        <v>0</v>
      </c>
    </row>
    <row r="4514" hidden="1" spans="1:6">
      <c r="A4514" s="176" t="s">
        <v>4525</v>
      </c>
      <c r="B4514" s="177">
        <v>4015304</v>
      </c>
      <c r="C4514" s="32"/>
      <c r="D4514" s="32" t="s">
        <v>2178</v>
      </c>
      <c r="E4514" s="157">
        <v>0.8</v>
      </c>
      <c r="F4514" s="32">
        <v>0</v>
      </c>
    </row>
    <row r="4515" hidden="1" spans="1:6">
      <c r="A4515" s="176" t="s">
        <v>4526</v>
      </c>
      <c r="B4515" s="177">
        <v>4015304</v>
      </c>
      <c r="C4515" s="32"/>
      <c r="D4515" s="32" t="s">
        <v>2196</v>
      </c>
      <c r="E4515" s="157">
        <v>1.46666666666667</v>
      </c>
      <c r="F4515" s="32">
        <v>0</v>
      </c>
    </row>
    <row r="4516" hidden="1" spans="1:11">
      <c r="A4516" s="176" t="s">
        <v>4527</v>
      </c>
      <c r="B4516" s="177">
        <v>4015304</v>
      </c>
      <c r="C4516" s="32"/>
      <c r="D4516" s="32" t="s">
        <v>92</v>
      </c>
      <c r="E4516" s="157">
        <v>2.6</v>
      </c>
      <c r="F4516" s="32">
        <v>0</v>
      </c>
      <c r="G4516" s="32" t="s">
        <v>61</v>
      </c>
      <c r="H4516" s="32" t="s">
        <v>62</v>
      </c>
      <c r="I4516" s="32" t="s">
        <v>4261</v>
      </c>
      <c r="J4516" s="32" t="s">
        <v>4262</v>
      </c>
      <c r="K4516" s="32" t="s">
        <v>95</v>
      </c>
    </row>
    <row r="4517" hidden="1" spans="1:6">
      <c r="A4517" s="176" t="s">
        <v>4528</v>
      </c>
      <c r="B4517" s="177">
        <v>4015304</v>
      </c>
      <c r="C4517" s="32"/>
      <c r="D4517" s="32" t="s">
        <v>109</v>
      </c>
      <c r="E4517" s="157">
        <v>4</v>
      </c>
      <c r="F4517" s="32">
        <v>0</v>
      </c>
    </row>
    <row r="4518" hidden="1" spans="1:6">
      <c r="A4518" s="176" t="s">
        <v>4529</v>
      </c>
      <c r="B4518" s="177">
        <v>4015304</v>
      </c>
      <c r="C4518" s="32"/>
      <c r="D4518" s="32" t="s">
        <v>97</v>
      </c>
      <c r="E4518" s="157">
        <v>2.4</v>
      </c>
      <c r="F4518" s="32">
        <v>0</v>
      </c>
    </row>
    <row r="4519" hidden="1" spans="1:6">
      <c r="A4519" s="176" t="s">
        <v>4530</v>
      </c>
      <c r="B4519" s="177">
        <v>4015304</v>
      </c>
      <c r="C4519" s="32"/>
      <c r="D4519" s="32" t="s">
        <v>77</v>
      </c>
      <c r="E4519" s="157">
        <v>1.73333333333333</v>
      </c>
      <c r="F4519" s="32">
        <v>0</v>
      </c>
    </row>
    <row r="4520" hidden="1" spans="1:6">
      <c r="A4520" s="176" t="s">
        <v>4531</v>
      </c>
      <c r="B4520" s="177">
        <v>4015304</v>
      </c>
      <c r="C4520" s="32"/>
      <c r="D4520" s="32" t="s">
        <v>54</v>
      </c>
      <c r="E4520" s="157">
        <v>1.93333333333333</v>
      </c>
      <c r="F4520" s="32">
        <v>0</v>
      </c>
    </row>
    <row r="4521" s="32" customFormat="1" hidden="1" spans="1:12">
      <c r="A4521" s="176" t="s">
        <v>4532</v>
      </c>
      <c r="B4521" s="177">
        <v>4015304</v>
      </c>
      <c r="D4521" s="32" t="s">
        <v>57</v>
      </c>
      <c r="E4521" s="157">
        <v>6.33333333333333</v>
      </c>
      <c r="F4521" s="32">
        <v>0</v>
      </c>
      <c r="G4521" s="32">
        <v>0</v>
      </c>
      <c r="H4521" s="32">
        <v>2</v>
      </c>
      <c r="I4521" s="32">
        <v>5006</v>
      </c>
      <c r="J4521" s="32" t="s">
        <v>58</v>
      </c>
      <c r="K4521" s="32">
        <v>1</v>
      </c>
      <c r="L4521" s="182"/>
    </row>
    <row r="4522" hidden="1" spans="1:6">
      <c r="A4522" s="176" t="s">
        <v>4533</v>
      </c>
      <c r="B4522" s="177">
        <v>4015304</v>
      </c>
      <c r="C4522" s="32"/>
      <c r="D4522" s="32" t="s">
        <v>1788</v>
      </c>
      <c r="E4522" s="157">
        <v>1.93333333333333</v>
      </c>
      <c r="F4522" s="32">
        <v>1</v>
      </c>
    </row>
    <row r="4523" hidden="1" spans="1:6">
      <c r="A4523" s="176" t="s">
        <v>4534</v>
      </c>
      <c r="B4523" s="177">
        <v>4015304</v>
      </c>
      <c r="C4523" s="32"/>
      <c r="D4523" s="32" t="s">
        <v>2929</v>
      </c>
      <c r="E4523" s="157">
        <v>0.666666666666667</v>
      </c>
      <c r="F4523" s="32">
        <v>1</v>
      </c>
    </row>
    <row r="4524" hidden="1" spans="1:11">
      <c r="A4524" s="176" t="s">
        <v>4535</v>
      </c>
      <c r="B4524" s="177">
        <v>4015304</v>
      </c>
      <c r="C4524" s="32"/>
      <c r="D4524" s="32" t="s">
        <v>2621</v>
      </c>
      <c r="E4524" s="157">
        <v>0.8</v>
      </c>
      <c r="F4524" s="32">
        <v>1</v>
      </c>
      <c r="G4524">
        <v>0</v>
      </c>
      <c r="H4524">
        <v>2</v>
      </c>
      <c r="I4524">
        <v>5007</v>
      </c>
      <c r="J4524" t="s">
        <v>4271</v>
      </c>
      <c r="K4524">
        <v>1</v>
      </c>
    </row>
    <row r="4525" hidden="1" spans="1:6">
      <c r="A4525" s="176" t="s">
        <v>4536</v>
      </c>
      <c r="B4525" s="177">
        <v>4015304</v>
      </c>
      <c r="C4525" s="32"/>
      <c r="D4525" s="32" t="s">
        <v>4273</v>
      </c>
      <c r="E4525" s="157">
        <v>2.46666666666667</v>
      </c>
      <c r="F4525" s="32">
        <v>1</v>
      </c>
    </row>
    <row r="4526" hidden="1" spans="1:6">
      <c r="A4526" s="176" t="s">
        <v>4537</v>
      </c>
      <c r="B4526" s="177">
        <v>4015304</v>
      </c>
      <c r="C4526" s="32"/>
      <c r="D4526" s="32" t="s">
        <v>2623</v>
      </c>
      <c r="E4526" s="157">
        <v>1.66666666666667</v>
      </c>
      <c r="F4526" s="32">
        <v>1</v>
      </c>
    </row>
    <row r="4527" hidden="1" spans="1:6">
      <c r="A4527" s="176" t="s">
        <v>4538</v>
      </c>
      <c r="B4527" s="177">
        <v>4015304</v>
      </c>
      <c r="C4527" s="32"/>
      <c r="D4527" s="32" t="s">
        <v>236</v>
      </c>
      <c r="E4527" s="157">
        <v>2.1</v>
      </c>
      <c r="F4527" s="32">
        <v>0</v>
      </c>
    </row>
    <row r="4528" hidden="1" spans="1:6">
      <c r="A4528" s="176" t="s">
        <v>4539</v>
      </c>
      <c r="B4528" s="177">
        <v>4015304</v>
      </c>
      <c r="C4528" s="32"/>
      <c r="D4528" s="32" t="s">
        <v>264</v>
      </c>
      <c r="E4528" s="157">
        <v>2</v>
      </c>
      <c r="F4528" s="32">
        <v>1</v>
      </c>
    </row>
    <row r="4529" hidden="1" spans="1:6">
      <c r="A4529" s="176" t="s">
        <v>4540</v>
      </c>
      <c r="B4529" s="177">
        <v>4015304</v>
      </c>
      <c r="C4529" s="32"/>
      <c r="D4529" s="32" t="s">
        <v>130</v>
      </c>
      <c r="E4529" s="157">
        <v>2</v>
      </c>
      <c r="F4529" s="32">
        <v>1</v>
      </c>
    </row>
    <row r="4530" hidden="1" spans="1:6">
      <c r="A4530" s="176" t="s">
        <v>4541</v>
      </c>
      <c r="B4530" s="177">
        <v>4015304</v>
      </c>
      <c r="C4530" s="32"/>
      <c r="D4530" s="32" t="s">
        <v>2629</v>
      </c>
      <c r="E4530" s="157">
        <v>0.933333333333333</v>
      </c>
      <c r="F4530" s="32">
        <v>0</v>
      </c>
    </row>
    <row r="4531" hidden="1" spans="1:6">
      <c r="A4531" s="176" t="s">
        <v>4542</v>
      </c>
      <c r="B4531" s="177">
        <v>4015304</v>
      </c>
      <c r="C4531" s="32"/>
      <c r="D4531" s="32" t="s">
        <v>268</v>
      </c>
      <c r="E4531" s="157">
        <v>2.56666666666667</v>
      </c>
      <c r="F4531" s="32">
        <v>1</v>
      </c>
    </row>
    <row r="4532" hidden="1" spans="1:6">
      <c r="A4532" s="176" t="s">
        <v>4543</v>
      </c>
      <c r="B4532" s="177">
        <v>4015304</v>
      </c>
      <c r="C4532" s="32"/>
      <c r="D4532" s="32" t="s">
        <v>204</v>
      </c>
      <c r="E4532" s="157">
        <v>1.8</v>
      </c>
      <c r="F4532" s="32">
        <v>0</v>
      </c>
    </row>
    <row r="4533" hidden="1" spans="1:6">
      <c r="A4533" s="176" t="s">
        <v>4544</v>
      </c>
      <c r="B4533" s="177">
        <v>4015304</v>
      </c>
      <c r="C4533" s="32"/>
      <c r="D4533" s="32" t="s">
        <v>4282</v>
      </c>
      <c r="E4533" s="157">
        <f>24/30</f>
        <v>0.8</v>
      </c>
      <c r="F4533" s="32">
        <v>0</v>
      </c>
    </row>
    <row r="4534" hidden="1" spans="1:6">
      <c r="A4534" s="176" t="s">
        <v>4545</v>
      </c>
      <c r="B4534" s="177">
        <v>4015304</v>
      </c>
      <c r="C4534" s="32"/>
      <c r="D4534" s="32" t="s">
        <v>4284</v>
      </c>
      <c r="E4534" s="157">
        <f>24/30</f>
        <v>0.8</v>
      </c>
      <c r="F4534" s="32">
        <v>0</v>
      </c>
    </row>
    <row r="4535" hidden="1" spans="1:6">
      <c r="A4535" s="176" t="s">
        <v>4546</v>
      </c>
      <c r="B4535" s="177">
        <v>4015304</v>
      </c>
      <c r="C4535" s="32"/>
      <c r="D4535" s="32" t="s">
        <v>4286</v>
      </c>
      <c r="E4535" s="157">
        <v>1</v>
      </c>
      <c r="F4535" s="32">
        <v>0</v>
      </c>
    </row>
    <row r="4536" hidden="1" spans="1:6">
      <c r="A4536" s="176" t="s">
        <v>4547</v>
      </c>
      <c r="B4536" s="177">
        <v>4015304</v>
      </c>
      <c r="C4536" s="32"/>
      <c r="D4536" s="32" t="s">
        <v>4288</v>
      </c>
      <c r="E4536" s="157">
        <v>1</v>
      </c>
      <c r="F4536" s="32">
        <v>0</v>
      </c>
    </row>
    <row r="4537" hidden="1" spans="1:6">
      <c r="A4537" s="176" t="s">
        <v>4548</v>
      </c>
      <c r="B4537" s="177">
        <v>4015304</v>
      </c>
      <c r="C4537" s="32"/>
      <c r="D4537" s="32" t="s">
        <v>4290</v>
      </c>
      <c r="E4537" s="157">
        <v>6</v>
      </c>
      <c r="F4537" s="32">
        <v>1</v>
      </c>
    </row>
    <row r="4538" hidden="1" spans="1:6">
      <c r="A4538" s="167">
        <v>3011401</v>
      </c>
      <c r="B4538" s="167">
        <v>30114</v>
      </c>
      <c r="C4538" s="167"/>
      <c r="D4538" s="167" t="s">
        <v>36</v>
      </c>
      <c r="E4538" s="167">
        <f>240/30</f>
        <v>8</v>
      </c>
      <c r="F4538" s="167">
        <v>0</v>
      </c>
    </row>
    <row r="4539" hidden="1" spans="1:6">
      <c r="A4539" s="167">
        <v>3011402</v>
      </c>
      <c r="B4539" s="167">
        <v>30114</v>
      </c>
      <c r="C4539" s="167"/>
      <c r="D4539" s="167" t="s">
        <v>38</v>
      </c>
      <c r="E4539" s="167">
        <f>80/30</f>
        <v>2.66666666666667</v>
      </c>
      <c r="F4539" s="167">
        <v>0</v>
      </c>
    </row>
    <row r="4540" hidden="1" spans="1:6">
      <c r="A4540" s="167">
        <v>3011403</v>
      </c>
      <c r="B4540" s="167">
        <v>30114</v>
      </c>
      <c r="C4540" s="167"/>
      <c r="D4540" s="167" t="s">
        <v>40</v>
      </c>
      <c r="E4540" s="167">
        <f>108/30</f>
        <v>3.6</v>
      </c>
      <c r="F4540" s="167">
        <v>0</v>
      </c>
    </row>
    <row r="4541" hidden="1" spans="1:6">
      <c r="A4541" s="167">
        <v>3011404</v>
      </c>
      <c r="B4541" s="167">
        <v>30114</v>
      </c>
      <c r="C4541" s="167"/>
      <c r="D4541" s="167" t="s">
        <v>42</v>
      </c>
      <c r="E4541" s="167">
        <f>181/30</f>
        <v>6.03333333333333</v>
      </c>
      <c r="F4541" s="167">
        <v>0</v>
      </c>
    </row>
    <row r="4542" hidden="1" spans="1:6">
      <c r="A4542" s="167">
        <v>3011405</v>
      </c>
      <c r="B4542" s="167">
        <v>30114</v>
      </c>
      <c r="C4542" s="167"/>
      <c r="D4542" s="167" t="s">
        <v>44</v>
      </c>
      <c r="E4542" s="167">
        <v>10</v>
      </c>
      <c r="F4542" s="167">
        <v>0</v>
      </c>
    </row>
    <row r="4543" hidden="1" spans="1:6">
      <c r="A4543" s="167">
        <v>3011406</v>
      </c>
      <c r="B4543" s="167">
        <v>30114</v>
      </c>
      <c r="C4543" s="167"/>
      <c r="D4543" s="167" t="s">
        <v>1047</v>
      </c>
      <c r="E4543" s="167">
        <v>1.73333333333333</v>
      </c>
      <c r="F4543" s="167">
        <v>0</v>
      </c>
    </row>
    <row r="4544" hidden="1" spans="1:6">
      <c r="A4544" s="167">
        <v>3011407</v>
      </c>
      <c r="B4544" s="167">
        <v>30114</v>
      </c>
      <c r="C4544" s="167"/>
      <c r="D4544" s="167" t="s">
        <v>272</v>
      </c>
      <c r="E4544" s="167">
        <v>1.23333333333333</v>
      </c>
      <c r="F4544" s="167">
        <v>0</v>
      </c>
    </row>
    <row r="4545" hidden="1" spans="1:6">
      <c r="A4545" s="167">
        <v>3011408</v>
      </c>
      <c r="B4545" s="167">
        <v>30114</v>
      </c>
      <c r="C4545" s="167"/>
      <c r="D4545" s="167" t="s">
        <v>60</v>
      </c>
      <c r="E4545" s="167">
        <v>3.13333333333333</v>
      </c>
      <c r="F4545" s="167">
        <v>0</v>
      </c>
    </row>
    <row r="4546" hidden="1" spans="1:6">
      <c r="A4546" s="167">
        <v>3011409</v>
      </c>
      <c r="B4546" s="167">
        <v>30114</v>
      </c>
      <c r="C4546" s="167"/>
      <c r="D4546" s="167" t="s">
        <v>2198</v>
      </c>
      <c r="E4546" s="167">
        <v>2</v>
      </c>
      <c r="F4546" s="167">
        <v>1</v>
      </c>
    </row>
    <row r="4547" hidden="1" spans="1:6">
      <c r="A4547" s="167">
        <v>3011410</v>
      </c>
      <c r="B4547" s="167">
        <v>30114</v>
      </c>
      <c r="C4547" s="167"/>
      <c r="D4547" s="167" t="s">
        <v>2182</v>
      </c>
      <c r="E4547" s="167">
        <v>1.13333333333333</v>
      </c>
      <c r="F4547" s="167">
        <v>0</v>
      </c>
    </row>
    <row r="4548" hidden="1" spans="1:6">
      <c r="A4548" s="167">
        <v>3011411</v>
      </c>
      <c r="B4548" s="167">
        <v>30114</v>
      </c>
      <c r="C4548" s="167"/>
      <c r="D4548" s="167" t="s">
        <v>2184</v>
      </c>
      <c r="E4548" s="167">
        <v>1.33333333333333</v>
      </c>
      <c r="F4548" s="167">
        <v>0</v>
      </c>
    </row>
    <row r="4549" hidden="1" spans="1:6">
      <c r="A4549" s="167">
        <v>3011412</v>
      </c>
      <c r="B4549" s="167">
        <v>30114</v>
      </c>
      <c r="C4549" s="167"/>
      <c r="D4549" s="167" t="s">
        <v>2186</v>
      </c>
      <c r="E4549" s="167">
        <v>1.6</v>
      </c>
      <c r="F4549" s="167">
        <v>0</v>
      </c>
    </row>
    <row r="4550" hidden="1" spans="1:6">
      <c r="A4550" s="167">
        <v>3011413</v>
      </c>
      <c r="B4550" s="167">
        <v>30114</v>
      </c>
      <c r="C4550" s="167"/>
      <c r="D4550" s="167" t="s">
        <v>2188</v>
      </c>
      <c r="E4550" s="167">
        <v>0.666666666666667</v>
      </c>
      <c r="F4550" s="167">
        <v>0</v>
      </c>
    </row>
    <row r="4551" hidden="1" spans="1:6">
      <c r="A4551" s="167">
        <v>3011414</v>
      </c>
      <c r="B4551" s="167">
        <v>30114</v>
      </c>
      <c r="C4551" s="167"/>
      <c r="D4551" s="167" t="s">
        <v>2190</v>
      </c>
      <c r="E4551" s="167">
        <v>0.6</v>
      </c>
      <c r="F4551" s="167">
        <v>0</v>
      </c>
    </row>
    <row r="4552" hidden="1" spans="1:6">
      <c r="A4552" s="167">
        <v>3011415</v>
      </c>
      <c r="B4552" s="167">
        <v>30114</v>
      </c>
      <c r="C4552" s="167"/>
      <c r="D4552" s="167" t="s">
        <v>2192</v>
      </c>
      <c r="E4552" s="167">
        <v>0.666666666666667</v>
      </c>
      <c r="F4552" s="167">
        <v>0</v>
      </c>
    </row>
    <row r="4553" hidden="1" spans="1:6">
      <c r="A4553" s="167">
        <v>3011416</v>
      </c>
      <c r="B4553" s="167">
        <v>30114</v>
      </c>
      <c r="C4553" s="167"/>
      <c r="D4553" s="167" t="s">
        <v>2194</v>
      </c>
      <c r="E4553" s="167">
        <v>0.666666666666667</v>
      </c>
      <c r="F4553" s="167">
        <v>0</v>
      </c>
    </row>
    <row r="4554" hidden="1" spans="1:6">
      <c r="A4554" s="167">
        <v>3011417</v>
      </c>
      <c r="B4554" s="167">
        <v>30114</v>
      </c>
      <c r="C4554" s="167"/>
      <c r="D4554" s="167" t="s">
        <v>300</v>
      </c>
      <c r="E4554" s="167">
        <v>0.8</v>
      </c>
      <c r="F4554" s="167">
        <v>0</v>
      </c>
    </row>
    <row r="4555" hidden="1" spans="1:6">
      <c r="A4555" s="167">
        <v>3011418</v>
      </c>
      <c r="B4555" s="167">
        <v>30114</v>
      </c>
      <c r="C4555" s="167"/>
      <c r="D4555" s="167" t="s">
        <v>2178</v>
      </c>
      <c r="E4555" s="167">
        <v>0.8</v>
      </c>
      <c r="F4555" s="167">
        <v>0</v>
      </c>
    </row>
    <row r="4556" hidden="1" spans="1:6">
      <c r="A4556" s="167">
        <v>3011419</v>
      </c>
      <c r="B4556" s="167">
        <v>30114</v>
      </c>
      <c r="C4556" s="167"/>
      <c r="D4556" s="167" t="s">
        <v>2196</v>
      </c>
      <c r="E4556" s="167">
        <v>1.46666666666667</v>
      </c>
      <c r="F4556" s="167">
        <v>0</v>
      </c>
    </row>
    <row r="4557" hidden="1" spans="1:6">
      <c r="A4557" s="167">
        <v>3011420</v>
      </c>
      <c r="B4557" s="167">
        <v>30114</v>
      </c>
      <c r="C4557" s="167"/>
      <c r="D4557" s="167" t="s">
        <v>92</v>
      </c>
      <c r="E4557" s="167">
        <v>2.6</v>
      </c>
      <c r="F4557" s="167">
        <v>0</v>
      </c>
    </row>
    <row r="4558" hidden="1" spans="1:6">
      <c r="A4558" s="167">
        <v>3011421</v>
      </c>
      <c r="B4558" s="167">
        <v>30114</v>
      </c>
      <c r="C4558" s="167"/>
      <c r="D4558" s="167" t="s">
        <v>109</v>
      </c>
      <c r="E4558" s="167">
        <v>4</v>
      </c>
      <c r="F4558" s="167">
        <v>0</v>
      </c>
    </row>
    <row r="4559" hidden="1" spans="1:6">
      <c r="A4559" s="167">
        <v>3011422</v>
      </c>
      <c r="B4559" s="167">
        <v>30114</v>
      </c>
      <c r="C4559" s="167"/>
      <c r="D4559" s="167" t="s">
        <v>97</v>
      </c>
      <c r="E4559" s="167">
        <v>2.4</v>
      </c>
      <c r="F4559" s="167">
        <v>0</v>
      </c>
    </row>
    <row r="4560" hidden="1" spans="1:6">
      <c r="A4560" s="167">
        <v>3011423</v>
      </c>
      <c r="B4560" s="167">
        <v>30114</v>
      </c>
      <c r="C4560" s="167"/>
      <c r="D4560" s="167" t="s">
        <v>77</v>
      </c>
      <c r="E4560" s="167">
        <v>1.73333333333333</v>
      </c>
      <c r="F4560" s="167">
        <v>0</v>
      </c>
    </row>
    <row r="4561" hidden="1" spans="1:6">
      <c r="A4561" s="167">
        <v>3011424</v>
      </c>
      <c r="B4561" s="167">
        <v>30114</v>
      </c>
      <c r="C4561" s="167"/>
      <c r="D4561" s="167" t="s">
        <v>54</v>
      </c>
      <c r="E4561" s="167">
        <v>1.93333333333333</v>
      </c>
      <c r="F4561" s="167">
        <v>0</v>
      </c>
    </row>
    <row r="4562" s="32" customFormat="1" hidden="1" spans="1:12">
      <c r="A4562" s="167">
        <v>3011425</v>
      </c>
      <c r="B4562" s="167">
        <v>30114</v>
      </c>
      <c r="C4562" s="167"/>
      <c r="D4562" s="167" t="s">
        <v>57</v>
      </c>
      <c r="E4562" s="167">
        <v>6.33333333333333</v>
      </c>
      <c r="F4562" s="167">
        <v>0</v>
      </c>
      <c r="G4562" s="32">
        <v>0</v>
      </c>
      <c r="H4562" s="32">
        <v>2</v>
      </c>
      <c r="I4562" s="32">
        <v>5006</v>
      </c>
      <c r="J4562" s="32" t="s">
        <v>58</v>
      </c>
      <c r="K4562" s="32">
        <v>1</v>
      </c>
      <c r="L4562" s="182"/>
    </row>
    <row r="4563" hidden="1" spans="1:6">
      <c r="A4563" s="167">
        <v>3011426</v>
      </c>
      <c r="B4563" s="167">
        <v>30114</v>
      </c>
      <c r="C4563" s="167"/>
      <c r="D4563" s="167" t="s">
        <v>1788</v>
      </c>
      <c r="E4563" s="167">
        <v>1.93333333333333</v>
      </c>
      <c r="F4563" s="167">
        <v>1</v>
      </c>
    </row>
    <row r="4564" hidden="1" spans="1:6">
      <c r="A4564" s="167">
        <v>3011427</v>
      </c>
      <c r="B4564" s="167">
        <v>30114</v>
      </c>
      <c r="C4564" s="167"/>
      <c r="D4564" s="167" t="s">
        <v>2929</v>
      </c>
      <c r="E4564" s="167">
        <v>0.666666666666667</v>
      </c>
      <c r="F4564" s="167">
        <v>1</v>
      </c>
    </row>
    <row r="4565" hidden="1" spans="1:11">
      <c r="A4565" s="167">
        <v>3011428</v>
      </c>
      <c r="B4565" s="167">
        <v>30114</v>
      </c>
      <c r="C4565" s="167"/>
      <c r="D4565" s="167" t="s">
        <v>2621</v>
      </c>
      <c r="E4565" s="167">
        <v>0.8</v>
      </c>
      <c r="F4565" s="167">
        <v>1</v>
      </c>
      <c r="G4565">
        <v>0</v>
      </c>
      <c r="H4565">
        <v>2</v>
      </c>
      <c r="I4565">
        <v>5007</v>
      </c>
      <c r="J4565" t="s">
        <v>4271</v>
      </c>
      <c r="K4565">
        <v>1</v>
      </c>
    </row>
    <row r="4566" hidden="1" spans="1:6">
      <c r="A4566" s="167">
        <v>3011429</v>
      </c>
      <c r="B4566" s="167">
        <v>30114</v>
      </c>
      <c r="C4566" s="167"/>
      <c r="D4566" s="167" t="s">
        <v>4273</v>
      </c>
      <c r="E4566" s="167">
        <v>2.46666666666667</v>
      </c>
      <c r="F4566" s="167">
        <v>1</v>
      </c>
    </row>
    <row r="4567" hidden="1" spans="1:6">
      <c r="A4567" s="167">
        <v>3011430</v>
      </c>
      <c r="B4567" s="167">
        <v>30114</v>
      </c>
      <c r="C4567" s="167"/>
      <c r="D4567" s="167" t="s">
        <v>2623</v>
      </c>
      <c r="E4567" s="167">
        <v>1.66666666666667</v>
      </c>
      <c r="F4567" s="167">
        <v>1</v>
      </c>
    </row>
    <row r="4568" hidden="1" spans="1:6">
      <c r="A4568" s="167">
        <v>3011431</v>
      </c>
      <c r="B4568" s="167">
        <v>30114</v>
      </c>
      <c r="C4568" s="167"/>
      <c r="D4568" s="167" t="s">
        <v>236</v>
      </c>
      <c r="E4568" s="167">
        <v>2.1</v>
      </c>
      <c r="F4568" s="167">
        <v>0</v>
      </c>
    </row>
    <row r="4569" hidden="1" spans="1:6">
      <c r="A4569" s="167">
        <v>3011432</v>
      </c>
      <c r="B4569" s="167">
        <v>30114</v>
      </c>
      <c r="C4569" s="167"/>
      <c r="D4569" s="167" t="s">
        <v>264</v>
      </c>
      <c r="E4569" s="167">
        <v>2</v>
      </c>
      <c r="F4569" s="167">
        <v>1</v>
      </c>
    </row>
    <row r="4570" hidden="1" spans="1:6">
      <c r="A4570" s="167">
        <v>3011433</v>
      </c>
      <c r="B4570" s="167">
        <v>30114</v>
      </c>
      <c r="C4570" s="167"/>
      <c r="D4570" s="167" t="s">
        <v>130</v>
      </c>
      <c r="E4570" s="167">
        <v>2</v>
      </c>
      <c r="F4570" s="167">
        <v>1</v>
      </c>
    </row>
    <row r="4571" hidden="1" spans="1:6">
      <c r="A4571" s="167">
        <v>3011434</v>
      </c>
      <c r="B4571" s="167">
        <v>30114</v>
      </c>
      <c r="C4571" s="167"/>
      <c r="D4571" s="167" t="s">
        <v>2629</v>
      </c>
      <c r="E4571" s="167">
        <v>0.933333333333333</v>
      </c>
      <c r="F4571" s="167">
        <v>0</v>
      </c>
    </row>
    <row r="4572" hidden="1" spans="1:6">
      <c r="A4572" s="167">
        <v>3011435</v>
      </c>
      <c r="B4572" s="167">
        <v>30114</v>
      </c>
      <c r="C4572" s="167"/>
      <c r="D4572" s="167" t="s">
        <v>268</v>
      </c>
      <c r="E4572" s="167">
        <v>2.56666666666667</v>
      </c>
      <c r="F4572" s="167">
        <v>1</v>
      </c>
    </row>
    <row r="4573" hidden="1" spans="1:6">
      <c r="A4573" s="167">
        <v>3011436</v>
      </c>
      <c r="B4573" s="167">
        <v>30114</v>
      </c>
      <c r="C4573" s="167"/>
      <c r="D4573" s="167" t="s">
        <v>204</v>
      </c>
      <c r="E4573" s="167">
        <v>1.8</v>
      </c>
      <c r="F4573" s="167">
        <v>0</v>
      </c>
    </row>
    <row r="4574" hidden="1" spans="1:6">
      <c r="A4574" s="167">
        <v>3011437</v>
      </c>
      <c r="B4574" s="167">
        <v>30114</v>
      </c>
      <c r="C4574" s="167"/>
      <c r="D4574" s="167" t="s">
        <v>4282</v>
      </c>
      <c r="E4574" s="167">
        <f>24/30</f>
        <v>0.8</v>
      </c>
      <c r="F4574" s="167">
        <v>0</v>
      </c>
    </row>
    <row r="4575" hidden="1" spans="1:6">
      <c r="A4575" s="167">
        <v>3011438</v>
      </c>
      <c r="B4575" s="167">
        <v>30114</v>
      </c>
      <c r="C4575" s="167"/>
      <c r="D4575" s="167" t="s">
        <v>4284</v>
      </c>
      <c r="E4575" s="167">
        <f>24/30</f>
        <v>0.8</v>
      </c>
      <c r="F4575" s="167">
        <v>0</v>
      </c>
    </row>
    <row r="4576" hidden="1" spans="1:6">
      <c r="A4576" s="167">
        <v>3011439</v>
      </c>
      <c r="B4576" s="167">
        <v>30114</v>
      </c>
      <c r="C4576" s="167"/>
      <c r="D4576" s="167" t="s">
        <v>4286</v>
      </c>
      <c r="E4576" s="167">
        <v>1</v>
      </c>
      <c r="F4576" s="167">
        <v>0</v>
      </c>
    </row>
    <row r="4577" hidden="1" spans="1:6">
      <c r="A4577" s="167">
        <v>3011440</v>
      </c>
      <c r="B4577" s="167">
        <v>30114</v>
      </c>
      <c r="C4577" s="167"/>
      <c r="D4577" s="167" t="s">
        <v>4288</v>
      </c>
      <c r="E4577" s="167">
        <v>1</v>
      </c>
      <c r="F4577" s="167">
        <v>0</v>
      </c>
    </row>
    <row r="4578" hidden="1" spans="1:6">
      <c r="A4578" s="176" t="s">
        <v>4549</v>
      </c>
      <c r="B4578" s="177">
        <v>4015305</v>
      </c>
      <c r="C4578" s="32"/>
      <c r="D4578" s="32" t="s">
        <v>36</v>
      </c>
      <c r="E4578" s="157">
        <f>240/30</f>
        <v>8</v>
      </c>
      <c r="F4578" s="32">
        <v>0</v>
      </c>
    </row>
    <row r="4579" hidden="1" spans="1:6">
      <c r="A4579" s="176" t="s">
        <v>4550</v>
      </c>
      <c r="B4579" s="177">
        <v>4015305</v>
      </c>
      <c r="C4579" s="32"/>
      <c r="D4579" s="32" t="s">
        <v>38</v>
      </c>
      <c r="E4579" s="157">
        <f>80/30</f>
        <v>2.66666666666667</v>
      </c>
      <c r="F4579" s="32">
        <v>0</v>
      </c>
    </row>
    <row r="4580" hidden="1" spans="1:6">
      <c r="A4580" s="176" t="s">
        <v>4551</v>
      </c>
      <c r="B4580" s="177">
        <v>4015305</v>
      </c>
      <c r="C4580" s="32"/>
      <c r="D4580" s="32" t="s">
        <v>40</v>
      </c>
      <c r="E4580" s="157">
        <f>108/30</f>
        <v>3.6</v>
      </c>
      <c r="F4580" s="32">
        <v>0</v>
      </c>
    </row>
    <row r="4581" hidden="1" spans="1:6">
      <c r="A4581" s="176" t="s">
        <v>4552</v>
      </c>
      <c r="B4581" s="177">
        <v>4015305</v>
      </c>
      <c r="C4581" s="32"/>
      <c r="D4581" s="32" t="s">
        <v>42</v>
      </c>
      <c r="E4581" s="157">
        <f>181/30</f>
        <v>6.03333333333333</v>
      </c>
      <c r="F4581" s="32">
        <v>0</v>
      </c>
    </row>
    <row r="4582" hidden="1" spans="1:6">
      <c r="A4582" s="176" t="s">
        <v>4553</v>
      </c>
      <c r="B4582" s="177">
        <v>4015305</v>
      </c>
      <c r="C4582" s="32"/>
      <c r="D4582" s="32" t="s">
        <v>44</v>
      </c>
      <c r="E4582" s="157">
        <v>10</v>
      </c>
      <c r="F4582" s="32">
        <v>0</v>
      </c>
    </row>
    <row r="4583" hidden="1" spans="1:6">
      <c r="A4583" s="176" t="s">
        <v>4554</v>
      </c>
      <c r="B4583" s="177">
        <v>4015305</v>
      </c>
      <c r="C4583" s="32"/>
      <c r="D4583" s="32" t="s">
        <v>1047</v>
      </c>
      <c r="E4583" s="157">
        <v>1.73333333333333</v>
      </c>
      <c r="F4583" s="32">
        <v>0</v>
      </c>
    </row>
    <row r="4584" hidden="1" spans="1:6">
      <c r="A4584" s="176" t="s">
        <v>4555</v>
      </c>
      <c r="B4584" s="177">
        <v>4015305</v>
      </c>
      <c r="C4584" s="32"/>
      <c r="D4584" s="32" t="s">
        <v>272</v>
      </c>
      <c r="E4584" s="157">
        <v>1.23333333333333</v>
      </c>
      <c r="F4584" s="32">
        <v>0</v>
      </c>
    </row>
    <row r="4585" hidden="1" spans="1:6">
      <c r="A4585" s="176" t="s">
        <v>4556</v>
      </c>
      <c r="B4585" s="177">
        <v>4015305</v>
      </c>
      <c r="C4585" s="32"/>
      <c r="D4585" s="32" t="s">
        <v>60</v>
      </c>
      <c r="E4585" s="157">
        <v>3.13333333333333</v>
      </c>
      <c r="F4585" s="32">
        <v>0</v>
      </c>
    </row>
    <row r="4586" hidden="1" spans="1:6">
      <c r="A4586" s="176" t="s">
        <v>4557</v>
      </c>
      <c r="B4586" s="177">
        <v>4015305</v>
      </c>
      <c r="C4586" s="32"/>
      <c r="D4586" s="32" t="s">
        <v>2198</v>
      </c>
      <c r="E4586" s="157">
        <v>2</v>
      </c>
      <c r="F4586" s="32">
        <v>1</v>
      </c>
    </row>
    <row r="4587" hidden="1" spans="1:6">
      <c r="A4587" s="176" t="s">
        <v>4558</v>
      </c>
      <c r="B4587" s="177">
        <v>4015305</v>
      </c>
      <c r="C4587" s="32"/>
      <c r="D4587" s="32" t="s">
        <v>2182</v>
      </c>
      <c r="E4587" s="157">
        <v>1.13333333333333</v>
      </c>
      <c r="F4587" s="32">
        <v>0</v>
      </c>
    </row>
    <row r="4588" hidden="1" spans="1:6">
      <c r="A4588" s="176" t="s">
        <v>4559</v>
      </c>
      <c r="B4588" s="177">
        <v>4015305</v>
      </c>
      <c r="C4588" s="32"/>
      <c r="D4588" s="32" t="s">
        <v>2184</v>
      </c>
      <c r="E4588" s="157">
        <v>1.33333333333333</v>
      </c>
      <c r="F4588" s="32">
        <v>0</v>
      </c>
    </row>
    <row r="4589" hidden="1" spans="1:6">
      <c r="A4589" s="176" t="s">
        <v>4560</v>
      </c>
      <c r="B4589" s="177">
        <v>4015305</v>
      </c>
      <c r="C4589" s="32"/>
      <c r="D4589" s="32" t="s">
        <v>2186</v>
      </c>
      <c r="E4589" s="157">
        <v>1.6</v>
      </c>
      <c r="F4589" s="32">
        <v>0</v>
      </c>
    </row>
    <row r="4590" hidden="1" spans="1:6">
      <c r="A4590" s="176" t="s">
        <v>4561</v>
      </c>
      <c r="B4590" s="177">
        <v>4015305</v>
      </c>
      <c r="C4590" s="32"/>
      <c r="D4590" s="32" t="s">
        <v>2188</v>
      </c>
      <c r="E4590" s="157">
        <v>0.666666666666667</v>
      </c>
      <c r="F4590" s="32">
        <v>0</v>
      </c>
    </row>
    <row r="4591" hidden="1" spans="1:6">
      <c r="A4591" s="176" t="s">
        <v>4562</v>
      </c>
      <c r="B4591" s="177">
        <v>4015305</v>
      </c>
      <c r="C4591" s="32"/>
      <c r="D4591" s="32" t="s">
        <v>2190</v>
      </c>
      <c r="E4591" s="157">
        <v>0.6</v>
      </c>
      <c r="F4591" s="32">
        <v>0</v>
      </c>
    </row>
    <row r="4592" hidden="1" spans="1:6">
      <c r="A4592" s="176" t="s">
        <v>4563</v>
      </c>
      <c r="B4592" s="177">
        <v>4015305</v>
      </c>
      <c r="C4592" s="32"/>
      <c r="D4592" s="32" t="s">
        <v>2192</v>
      </c>
      <c r="E4592" s="157">
        <v>0.666666666666667</v>
      </c>
      <c r="F4592" s="32">
        <v>0</v>
      </c>
    </row>
    <row r="4593" hidden="1" spans="1:6">
      <c r="A4593" s="176" t="s">
        <v>4564</v>
      </c>
      <c r="B4593" s="177">
        <v>4015305</v>
      </c>
      <c r="C4593" s="32"/>
      <c r="D4593" s="32" t="s">
        <v>2194</v>
      </c>
      <c r="E4593" s="157">
        <v>0.666666666666667</v>
      </c>
      <c r="F4593" s="32">
        <v>0</v>
      </c>
    </row>
    <row r="4594" hidden="1" spans="1:6">
      <c r="A4594" s="176" t="s">
        <v>4565</v>
      </c>
      <c r="B4594" s="177">
        <v>4015305</v>
      </c>
      <c r="C4594" s="32"/>
      <c r="D4594" s="32" t="s">
        <v>300</v>
      </c>
      <c r="E4594" s="157">
        <v>0.8</v>
      </c>
      <c r="F4594" s="32">
        <v>0</v>
      </c>
    </row>
    <row r="4595" hidden="1" spans="1:6">
      <c r="A4595" s="176" t="s">
        <v>4566</v>
      </c>
      <c r="B4595" s="177">
        <v>4015305</v>
      </c>
      <c r="C4595" s="32"/>
      <c r="D4595" s="32" t="s">
        <v>2178</v>
      </c>
      <c r="E4595" s="157">
        <v>0.8</v>
      </c>
      <c r="F4595" s="32">
        <v>0</v>
      </c>
    </row>
    <row r="4596" hidden="1" spans="1:6">
      <c r="A4596" s="176" t="s">
        <v>4567</v>
      </c>
      <c r="B4596" s="177">
        <v>4015305</v>
      </c>
      <c r="C4596" s="32"/>
      <c r="D4596" s="32" t="s">
        <v>2196</v>
      </c>
      <c r="E4596" s="157">
        <v>1.46666666666667</v>
      </c>
      <c r="F4596" s="32">
        <v>0</v>
      </c>
    </row>
    <row r="4597" hidden="1" spans="1:11">
      <c r="A4597" s="176" t="s">
        <v>4568</v>
      </c>
      <c r="B4597" s="177">
        <v>4015305</v>
      </c>
      <c r="C4597" s="32"/>
      <c r="D4597" s="32" t="s">
        <v>92</v>
      </c>
      <c r="E4597" s="157">
        <v>2.6</v>
      </c>
      <c r="F4597" s="32">
        <v>0</v>
      </c>
      <c r="G4597" s="32" t="s">
        <v>61</v>
      </c>
      <c r="H4597" s="32" t="s">
        <v>62</v>
      </c>
      <c r="I4597" s="32" t="s">
        <v>4261</v>
      </c>
      <c r="J4597" s="32" t="s">
        <v>4262</v>
      </c>
      <c r="K4597" s="32" t="s">
        <v>95</v>
      </c>
    </row>
    <row r="4598" hidden="1" spans="1:6">
      <c r="A4598" s="176" t="s">
        <v>4569</v>
      </c>
      <c r="B4598" s="177">
        <v>4015305</v>
      </c>
      <c r="C4598" s="32"/>
      <c r="D4598" s="32" t="s">
        <v>109</v>
      </c>
      <c r="E4598" s="157">
        <v>4</v>
      </c>
      <c r="F4598" s="32">
        <v>0</v>
      </c>
    </row>
    <row r="4599" hidden="1" spans="1:6">
      <c r="A4599" s="176" t="s">
        <v>4570</v>
      </c>
      <c r="B4599" s="177">
        <v>4015305</v>
      </c>
      <c r="C4599" s="32"/>
      <c r="D4599" s="32" t="s">
        <v>97</v>
      </c>
      <c r="E4599" s="157">
        <v>2.4</v>
      </c>
      <c r="F4599" s="32">
        <v>0</v>
      </c>
    </row>
    <row r="4600" hidden="1" spans="1:6">
      <c r="A4600" s="176" t="s">
        <v>4571</v>
      </c>
      <c r="B4600" s="177">
        <v>4015305</v>
      </c>
      <c r="C4600" s="32"/>
      <c r="D4600" s="32" t="s">
        <v>77</v>
      </c>
      <c r="E4600" s="157">
        <v>1.73333333333333</v>
      </c>
      <c r="F4600" s="32">
        <v>0</v>
      </c>
    </row>
    <row r="4601" hidden="1" spans="1:6">
      <c r="A4601" s="176" t="s">
        <v>4572</v>
      </c>
      <c r="B4601" s="177">
        <v>4015305</v>
      </c>
      <c r="C4601" s="32"/>
      <c r="D4601" s="32" t="s">
        <v>54</v>
      </c>
      <c r="E4601" s="157">
        <v>1.93333333333333</v>
      </c>
      <c r="F4601" s="32">
        <v>0</v>
      </c>
    </row>
    <row r="4602" s="32" customFormat="1" hidden="1" spans="1:12">
      <c r="A4602" s="176" t="s">
        <v>4573</v>
      </c>
      <c r="B4602" s="177">
        <v>4015305</v>
      </c>
      <c r="D4602" s="32" t="s">
        <v>57</v>
      </c>
      <c r="E4602" s="157">
        <v>6.33333333333333</v>
      </c>
      <c r="F4602" s="32">
        <v>0</v>
      </c>
      <c r="G4602" s="32">
        <v>0</v>
      </c>
      <c r="H4602" s="32">
        <v>2</v>
      </c>
      <c r="I4602" s="32">
        <v>5006</v>
      </c>
      <c r="J4602" s="32" t="s">
        <v>58</v>
      </c>
      <c r="K4602" s="32">
        <v>1</v>
      </c>
      <c r="L4602" s="182"/>
    </row>
    <row r="4603" hidden="1" spans="1:6">
      <c r="A4603" s="176" t="s">
        <v>4574</v>
      </c>
      <c r="B4603" s="177">
        <v>4015305</v>
      </c>
      <c r="C4603" s="32"/>
      <c r="D4603" s="32" t="s">
        <v>1788</v>
      </c>
      <c r="E4603" s="157">
        <v>1.93333333333333</v>
      </c>
      <c r="F4603" s="32">
        <v>1</v>
      </c>
    </row>
    <row r="4604" hidden="1" spans="1:6">
      <c r="A4604" s="176" t="s">
        <v>4575</v>
      </c>
      <c r="B4604" s="177">
        <v>4015305</v>
      </c>
      <c r="C4604" s="32"/>
      <c r="D4604" s="32" t="s">
        <v>2929</v>
      </c>
      <c r="E4604" s="157">
        <v>0.666666666666667</v>
      </c>
      <c r="F4604" s="32">
        <v>1</v>
      </c>
    </row>
    <row r="4605" hidden="1" spans="1:11">
      <c r="A4605" s="176" t="s">
        <v>4576</v>
      </c>
      <c r="B4605" s="177">
        <v>4015305</v>
      </c>
      <c r="C4605" s="32"/>
      <c r="D4605" s="32" t="s">
        <v>2621</v>
      </c>
      <c r="E4605" s="157">
        <v>0.8</v>
      </c>
      <c r="F4605" s="32">
        <v>1</v>
      </c>
      <c r="G4605">
        <v>0</v>
      </c>
      <c r="H4605">
        <v>2</v>
      </c>
      <c r="I4605">
        <v>5007</v>
      </c>
      <c r="J4605" t="s">
        <v>4271</v>
      </c>
      <c r="K4605">
        <v>1</v>
      </c>
    </row>
    <row r="4606" hidden="1" spans="1:6">
      <c r="A4606" s="176" t="s">
        <v>4577</v>
      </c>
      <c r="B4606" s="177">
        <v>4015305</v>
      </c>
      <c r="C4606" s="32"/>
      <c r="D4606" s="32" t="s">
        <v>4273</v>
      </c>
      <c r="E4606" s="157">
        <v>2.46666666666667</v>
      </c>
      <c r="F4606" s="32">
        <v>1</v>
      </c>
    </row>
    <row r="4607" hidden="1" spans="1:6">
      <c r="A4607" s="176" t="s">
        <v>4578</v>
      </c>
      <c r="B4607" s="177">
        <v>4015305</v>
      </c>
      <c r="C4607" s="32"/>
      <c r="D4607" s="32" t="s">
        <v>2623</v>
      </c>
      <c r="E4607" s="157">
        <v>1.66666666666667</v>
      </c>
      <c r="F4607" s="32">
        <v>1</v>
      </c>
    </row>
    <row r="4608" hidden="1" spans="1:6">
      <c r="A4608" s="176" t="s">
        <v>4579</v>
      </c>
      <c r="B4608" s="177">
        <v>4015305</v>
      </c>
      <c r="C4608" s="32"/>
      <c r="D4608" s="32" t="s">
        <v>236</v>
      </c>
      <c r="E4608" s="157">
        <v>2.1</v>
      </c>
      <c r="F4608" s="32">
        <v>0</v>
      </c>
    </row>
    <row r="4609" hidden="1" spans="1:6">
      <c r="A4609" s="176" t="s">
        <v>4580</v>
      </c>
      <c r="B4609" s="177">
        <v>4015305</v>
      </c>
      <c r="C4609" s="32"/>
      <c r="D4609" s="32" t="s">
        <v>264</v>
      </c>
      <c r="E4609" s="157">
        <v>2</v>
      </c>
      <c r="F4609" s="32">
        <v>1</v>
      </c>
    </row>
    <row r="4610" hidden="1" spans="1:6">
      <c r="A4610" s="176" t="s">
        <v>4581</v>
      </c>
      <c r="B4610" s="177">
        <v>4015305</v>
      </c>
      <c r="C4610" s="32"/>
      <c r="D4610" s="32" t="s">
        <v>130</v>
      </c>
      <c r="E4610" s="157">
        <v>2</v>
      </c>
      <c r="F4610" s="32">
        <v>1</v>
      </c>
    </row>
    <row r="4611" hidden="1" spans="1:6">
      <c r="A4611" s="176" t="s">
        <v>4582</v>
      </c>
      <c r="B4611" s="177">
        <v>4015305</v>
      </c>
      <c r="C4611" s="32"/>
      <c r="D4611" s="32" t="s">
        <v>2629</v>
      </c>
      <c r="E4611" s="157">
        <v>0.933333333333333</v>
      </c>
      <c r="F4611" s="32">
        <v>0</v>
      </c>
    </row>
    <row r="4612" hidden="1" spans="1:6">
      <c r="A4612" s="176" t="s">
        <v>4583</v>
      </c>
      <c r="B4612" s="177">
        <v>4015305</v>
      </c>
      <c r="C4612" s="32"/>
      <c r="D4612" s="32" t="s">
        <v>268</v>
      </c>
      <c r="E4612" s="157">
        <v>2.56666666666667</v>
      </c>
      <c r="F4612" s="32">
        <v>1</v>
      </c>
    </row>
    <row r="4613" hidden="1" spans="1:6">
      <c r="A4613" s="176" t="s">
        <v>4584</v>
      </c>
      <c r="B4613" s="177">
        <v>4015305</v>
      </c>
      <c r="C4613" s="32"/>
      <c r="D4613" s="32" t="s">
        <v>204</v>
      </c>
      <c r="E4613" s="157">
        <v>1.8</v>
      </c>
      <c r="F4613" s="32">
        <v>0</v>
      </c>
    </row>
    <row r="4614" hidden="1" spans="1:6">
      <c r="A4614" s="176" t="s">
        <v>4585</v>
      </c>
      <c r="B4614" s="177">
        <v>4015305</v>
      </c>
      <c r="C4614" s="32"/>
      <c r="D4614" s="32" t="s">
        <v>4282</v>
      </c>
      <c r="E4614" s="157">
        <f>24/30</f>
        <v>0.8</v>
      </c>
      <c r="F4614" s="32">
        <v>0</v>
      </c>
    </row>
    <row r="4615" hidden="1" spans="1:6">
      <c r="A4615" s="176" t="s">
        <v>4586</v>
      </c>
      <c r="B4615" s="177">
        <v>4015305</v>
      </c>
      <c r="C4615" s="32"/>
      <c r="D4615" s="32" t="s">
        <v>4284</v>
      </c>
      <c r="E4615" s="157">
        <f>24/30</f>
        <v>0.8</v>
      </c>
      <c r="F4615" s="32">
        <v>0</v>
      </c>
    </row>
    <row r="4616" hidden="1" spans="1:6">
      <c r="A4616" s="176" t="s">
        <v>4587</v>
      </c>
      <c r="B4616" s="177">
        <v>4015305</v>
      </c>
      <c r="C4616" s="32"/>
      <c r="D4616" s="32" t="s">
        <v>4286</v>
      </c>
      <c r="E4616" s="157">
        <v>1</v>
      </c>
      <c r="F4616" s="32">
        <v>0</v>
      </c>
    </row>
    <row r="4617" hidden="1" spans="1:6">
      <c r="A4617" s="176" t="s">
        <v>4588</v>
      </c>
      <c r="B4617" s="177">
        <v>4015305</v>
      </c>
      <c r="C4617" s="32"/>
      <c r="D4617" s="32" t="s">
        <v>4288</v>
      </c>
      <c r="E4617" s="157">
        <v>1</v>
      </c>
      <c r="F4617" s="32">
        <v>0</v>
      </c>
    </row>
    <row r="4618" hidden="1" spans="1:6">
      <c r="A4618" s="176" t="s">
        <v>4589</v>
      </c>
      <c r="B4618" s="177">
        <v>4015305</v>
      </c>
      <c r="C4618" s="32"/>
      <c r="D4618" s="32" t="s">
        <v>4290</v>
      </c>
      <c r="E4618" s="157">
        <v>6</v>
      </c>
      <c r="F4618" s="32">
        <v>1</v>
      </c>
    </row>
    <row r="4619" hidden="1" spans="1:6">
      <c r="A4619" s="167">
        <v>3011501</v>
      </c>
      <c r="B4619" s="167">
        <v>30115</v>
      </c>
      <c r="C4619" s="167"/>
      <c r="D4619" s="167" t="s">
        <v>36</v>
      </c>
      <c r="E4619" s="167">
        <f>240/30</f>
        <v>8</v>
      </c>
      <c r="F4619" s="167">
        <v>0</v>
      </c>
    </row>
    <row r="4620" hidden="1" spans="1:6">
      <c r="A4620" s="167">
        <v>3011502</v>
      </c>
      <c r="B4620" s="167">
        <v>30115</v>
      </c>
      <c r="C4620" s="167"/>
      <c r="D4620" s="167" t="s">
        <v>38</v>
      </c>
      <c r="E4620" s="167">
        <f>80/30</f>
        <v>2.66666666666667</v>
      </c>
      <c r="F4620" s="167">
        <v>0</v>
      </c>
    </row>
    <row r="4621" hidden="1" spans="1:6">
      <c r="A4621" s="167">
        <v>3011503</v>
      </c>
      <c r="B4621" s="167">
        <v>30115</v>
      </c>
      <c r="C4621" s="167"/>
      <c r="D4621" s="167" t="s">
        <v>40</v>
      </c>
      <c r="E4621" s="167">
        <f>108/30</f>
        <v>3.6</v>
      </c>
      <c r="F4621" s="167">
        <v>0</v>
      </c>
    </row>
    <row r="4622" hidden="1" spans="1:6">
      <c r="A4622" s="167">
        <v>3011504</v>
      </c>
      <c r="B4622" s="167">
        <v>30115</v>
      </c>
      <c r="C4622" s="167"/>
      <c r="D4622" s="167" t="s">
        <v>42</v>
      </c>
      <c r="E4622" s="167">
        <f>181/30</f>
        <v>6.03333333333333</v>
      </c>
      <c r="F4622" s="167">
        <v>0</v>
      </c>
    </row>
    <row r="4623" hidden="1" spans="1:6">
      <c r="A4623" s="167">
        <v>3011505</v>
      </c>
      <c r="B4623" s="167">
        <v>30115</v>
      </c>
      <c r="C4623" s="167"/>
      <c r="D4623" s="167" t="s">
        <v>44</v>
      </c>
      <c r="E4623" s="167">
        <v>10</v>
      </c>
      <c r="F4623" s="167">
        <v>0</v>
      </c>
    </row>
    <row r="4624" hidden="1" spans="1:6">
      <c r="A4624" s="167">
        <v>3011506</v>
      </c>
      <c r="B4624" s="167">
        <v>30115</v>
      </c>
      <c r="C4624" s="167"/>
      <c r="D4624" s="167" t="s">
        <v>1047</v>
      </c>
      <c r="E4624" s="167">
        <v>1.73333333333333</v>
      </c>
      <c r="F4624" s="167">
        <v>0</v>
      </c>
    </row>
    <row r="4625" hidden="1" spans="1:6">
      <c r="A4625" s="167">
        <v>3011507</v>
      </c>
      <c r="B4625" s="167">
        <v>30115</v>
      </c>
      <c r="C4625" s="167"/>
      <c r="D4625" s="167" t="s">
        <v>272</v>
      </c>
      <c r="E4625" s="167">
        <v>1.23333333333333</v>
      </c>
      <c r="F4625" s="167">
        <v>0</v>
      </c>
    </row>
    <row r="4626" hidden="1" spans="1:6">
      <c r="A4626" s="167">
        <v>3011508</v>
      </c>
      <c r="B4626" s="167">
        <v>30115</v>
      </c>
      <c r="C4626" s="167"/>
      <c r="D4626" s="167" t="s">
        <v>60</v>
      </c>
      <c r="E4626" s="167">
        <v>3.13333333333333</v>
      </c>
      <c r="F4626" s="167">
        <v>0</v>
      </c>
    </row>
    <row r="4627" hidden="1" spans="1:6">
      <c r="A4627" s="167">
        <v>3011509</v>
      </c>
      <c r="B4627" s="167">
        <v>30115</v>
      </c>
      <c r="C4627" s="167"/>
      <c r="D4627" s="167" t="s">
        <v>2198</v>
      </c>
      <c r="E4627" s="167">
        <v>2</v>
      </c>
      <c r="F4627" s="167">
        <v>1</v>
      </c>
    </row>
    <row r="4628" hidden="1" spans="1:6">
      <c r="A4628" s="167">
        <v>3011510</v>
      </c>
      <c r="B4628" s="167">
        <v>30115</v>
      </c>
      <c r="C4628" s="167"/>
      <c r="D4628" s="167" t="s">
        <v>2182</v>
      </c>
      <c r="E4628" s="167">
        <v>1.13333333333333</v>
      </c>
      <c r="F4628" s="167">
        <v>0</v>
      </c>
    </row>
    <row r="4629" hidden="1" spans="1:6">
      <c r="A4629" s="167">
        <v>3011511</v>
      </c>
      <c r="B4629" s="167">
        <v>30115</v>
      </c>
      <c r="C4629" s="167"/>
      <c r="D4629" s="167" t="s">
        <v>2184</v>
      </c>
      <c r="E4629" s="167">
        <v>1.33333333333333</v>
      </c>
      <c r="F4629" s="167">
        <v>0</v>
      </c>
    </row>
    <row r="4630" hidden="1" spans="1:6">
      <c r="A4630" s="167">
        <v>3011512</v>
      </c>
      <c r="B4630" s="167">
        <v>30115</v>
      </c>
      <c r="C4630" s="167"/>
      <c r="D4630" s="167" t="s">
        <v>2186</v>
      </c>
      <c r="E4630" s="167">
        <v>1.6</v>
      </c>
      <c r="F4630" s="167">
        <v>0</v>
      </c>
    </row>
    <row r="4631" hidden="1" spans="1:6">
      <c r="A4631" s="167">
        <v>3011513</v>
      </c>
      <c r="B4631" s="167">
        <v>30115</v>
      </c>
      <c r="C4631" s="167"/>
      <c r="D4631" s="167" t="s">
        <v>2188</v>
      </c>
      <c r="E4631" s="167">
        <v>0.666666666666667</v>
      </c>
      <c r="F4631" s="167">
        <v>0</v>
      </c>
    </row>
    <row r="4632" hidden="1" spans="1:6">
      <c r="A4632" s="167">
        <v>3011514</v>
      </c>
      <c r="B4632" s="167">
        <v>30115</v>
      </c>
      <c r="C4632" s="167"/>
      <c r="D4632" s="167" t="s">
        <v>2190</v>
      </c>
      <c r="E4632" s="167">
        <v>0.6</v>
      </c>
      <c r="F4632" s="167">
        <v>0</v>
      </c>
    </row>
    <row r="4633" hidden="1" spans="1:6">
      <c r="A4633" s="167">
        <v>3011515</v>
      </c>
      <c r="B4633" s="167">
        <v>30115</v>
      </c>
      <c r="C4633" s="167"/>
      <c r="D4633" s="167" t="s">
        <v>2192</v>
      </c>
      <c r="E4633" s="167">
        <v>0.666666666666667</v>
      </c>
      <c r="F4633" s="167">
        <v>0</v>
      </c>
    </row>
    <row r="4634" hidden="1" spans="1:6">
      <c r="A4634" s="167">
        <v>3011516</v>
      </c>
      <c r="B4634" s="167">
        <v>30115</v>
      </c>
      <c r="C4634" s="167"/>
      <c r="D4634" s="167" t="s">
        <v>2194</v>
      </c>
      <c r="E4634" s="167">
        <v>0.666666666666667</v>
      </c>
      <c r="F4634" s="167">
        <v>0</v>
      </c>
    </row>
    <row r="4635" hidden="1" spans="1:6">
      <c r="A4635" s="167">
        <v>3011517</v>
      </c>
      <c r="B4635" s="167">
        <v>30115</v>
      </c>
      <c r="C4635" s="167"/>
      <c r="D4635" s="167" t="s">
        <v>300</v>
      </c>
      <c r="E4635" s="167">
        <v>0.8</v>
      </c>
      <c r="F4635" s="167">
        <v>0</v>
      </c>
    </row>
    <row r="4636" hidden="1" spans="1:6">
      <c r="A4636" s="167">
        <v>3011518</v>
      </c>
      <c r="B4636" s="167">
        <v>30115</v>
      </c>
      <c r="C4636" s="167"/>
      <c r="D4636" s="167" t="s">
        <v>2178</v>
      </c>
      <c r="E4636" s="167">
        <v>0.8</v>
      </c>
      <c r="F4636" s="167">
        <v>0</v>
      </c>
    </row>
    <row r="4637" hidden="1" spans="1:6">
      <c r="A4637" s="167">
        <v>3011519</v>
      </c>
      <c r="B4637" s="167">
        <v>30115</v>
      </c>
      <c r="C4637" s="167"/>
      <c r="D4637" s="167" t="s">
        <v>2196</v>
      </c>
      <c r="E4637" s="167">
        <v>1.46666666666667</v>
      </c>
      <c r="F4637" s="167">
        <v>0</v>
      </c>
    </row>
    <row r="4638" hidden="1" spans="1:6">
      <c r="A4638" s="167">
        <v>3011520</v>
      </c>
      <c r="B4638" s="167">
        <v>30115</v>
      </c>
      <c r="C4638" s="167"/>
      <c r="D4638" s="167" t="s">
        <v>92</v>
      </c>
      <c r="E4638" s="167">
        <v>2.6</v>
      </c>
      <c r="F4638" s="167">
        <v>0</v>
      </c>
    </row>
    <row r="4639" hidden="1" spans="1:6">
      <c r="A4639" s="167">
        <v>3011521</v>
      </c>
      <c r="B4639" s="167">
        <v>30115</v>
      </c>
      <c r="C4639" s="167"/>
      <c r="D4639" s="167" t="s">
        <v>109</v>
      </c>
      <c r="E4639" s="167">
        <v>4</v>
      </c>
      <c r="F4639" s="167">
        <v>0</v>
      </c>
    </row>
    <row r="4640" hidden="1" spans="1:6">
      <c r="A4640" s="167">
        <v>3011522</v>
      </c>
      <c r="B4640" s="167">
        <v>30115</v>
      </c>
      <c r="C4640" s="167"/>
      <c r="D4640" s="167" t="s">
        <v>97</v>
      </c>
      <c r="E4640" s="167">
        <v>2.4</v>
      </c>
      <c r="F4640" s="167">
        <v>0</v>
      </c>
    </row>
    <row r="4641" hidden="1" spans="1:6">
      <c r="A4641" s="167">
        <v>3011523</v>
      </c>
      <c r="B4641" s="167">
        <v>30115</v>
      </c>
      <c r="C4641" s="167"/>
      <c r="D4641" s="167" t="s">
        <v>77</v>
      </c>
      <c r="E4641" s="167">
        <v>1.73333333333333</v>
      </c>
      <c r="F4641" s="167">
        <v>0</v>
      </c>
    </row>
    <row r="4642" hidden="1" spans="1:6">
      <c r="A4642" s="167">
        <v>3011524</v>
      </c>
      <c r="B4642" s="167">
        <v>30115</v>
      </c>
      <c r="C4642" s="167"/>
      <c r="D4642" s="167" t="s">
        <v>54</v>
      </c>
      <c r="E4642" s="167">
        <v>1.93333333333333</v>
      </c>
      <c r="F4642" s="167">
        <v>0</v>
      </c>
    </row>
    <row r="4643" s="32" customFormat="1" hidden="1" spans="1:12">
      <c r="A4643" s="167">
        <v>3011525</v>
      </c>
      <c r="B4643" s="167">
        <v>30115</v>
      </c>
      <c r="C4643" s="167"/>
      <c r="D4643" s="167" t="s">
        <v>57</v>
      </c>
      <c r="E4643" s="167">
        <v>6.33333333333333</v>
      </c>
      <c r="F4643" s="167">
        <v>0</v>
      </c>
      <c r="G4643" s="32">
        <v>0</v>
      </c>
      <c r="H4643" s="32">
        <v>2</v>
      </c>
      <c r="I4643" s="32">
        <v>5006</v>
      </c>
      <c r="J4643" s="32" t="s">
        <v>58</v>
      </c>
      <c r="K4643" s="32">
        <v>1</v>
      </c>
      <c r="L4643" s="182"/>
    </row>
    <row r="4644" hidden="1" spans="1:6">
      <c r="A4644" s="167">
        <v>3011526</v>
      </c>
      <c r="B4644" s="167">
        <v>30115</v>
      </c>
      <c r="C4644" s="167"/>
      <c r="D4644" s="167" t="s">
        <v>1788</v>
      </c>
      <c r="E4644" s="167">
        <v>1.93333333333333</v>
      </c>
      <c r="F4644" s="167">
        <v>1</v>
      </c>
    </row>
    <row r="4645" hidden="1" spans="1:6">
      <c r="A4645" s="167">
        <v>3011527</v>
      </c>
      <c r="B4645" s="167">
        <v>30115</v>
      </c>
      <c r="C4645" s="167"/>
      <c r="D4645" s="167" t="s">
        <v>2929</v>
      </c>
      <c r="E4645" s="167">
        <v>0.666666666666667</v>
      </c>
      <c r="F4645" s="167">
        <v>1</v>
      </c>
    </row>
    <row r="4646" hidden="1" spans="1:11">
      <c r="A4646" s="167">
        <v>3011528</v>
      </c>
      <c r="B4646" s="167">
        <v>30115</v>
      </c>
      <c r="C4646" s="167"/>
      <c r="D4646" s="167" t="s">
        <v>2621</v>
      </c>
      <c r="E4646" s="167">
        <v>0.8</v>
      </c>
      <c r="F4646" s="167">
        <v>1</v>
      </c>
      <c r="G4646">
        <v>0</v>
      </c>
      <c r="H4646">
        <v>2</v>
      </c>
      <c r="I4646">
        <v>5007</v>
      </c>
      <c r="J4646" t="s">
        <v>4271</v>
      </c>
      <c r="K4646">
        <v>1</v>
      </c>
    </row>
    <row r="4647" hidden="1" spans="1:6">
      <c r="A4647" s="167">
        <v>3011529</v>
      </c>
      <c r="B4647" s="167">
        <v>30115</v>
      </c>
      <c r="C4647" s="167"/>
      <c r="D4647" s="167" t="s">
        <v>4273</v>
      </c>
      <c r="E4647" s="167">
        <v>2.46666666666667</v>
      </c>
      <c r="F4647" s="167">
        <v>1</v>
      </c>
    </row>
    <row r="4648" hidden="1" spans="1:6">
      <c r="A4648" s="167">
        <v>3011530</v>
      </c>
      <c r="B4648" s="167">
        <v>30115</v>
      </c>
      <c r="C4648" s="167"/>
      <c r="D4648" s="167" t="s">
        <v>2623</v>
      </c>
      <c r="E4648" s="167">
        <v>1.66666666666667</v>
      </c>
      <c r="F4648" s="167">
        <v>1</v>
      </c>
    </row>
    <row r="4649" hidden="1" spans="1:6">
      <c r="A4649" s="167">
        <v>3011531</v>
      </c>
      <c r="B4649" s="167">
        <v>30115</v>
      </c>
      <c r="C4649" s="167"/>
      <c r="D4649" s="167" t="s">
        <v>236</v>
      </c>
      <c r="E4649" s="167">
        <v>2.1</v>
      </c>
      <c r="F4649" s="167">
        <v>0</v>
      </c>
    </row>
    <row r="4650" hidden="1" spans="1:6">
      <c r="A4650" s="167">
        <v>3011532</v>
      </c>
      <c r="B4650" s="167">
        <v>30115</v>
      </c>
      <c r="C4650" s="167"/>
      <c r="D4650" s="167" t="s">
        <v>264</v>
      </c>
      <c r="E4650" s="167">
        <v>2</v>
      </c>
      <c r="F4650" s="167">
        <v>1</v>
      </c>
    </row>
    <row r="4651" hidden="1" spans="1:6">
      <c r="A4651" s="167">
        <v>3011533</v>
      </c>
      <c r="B4651" s="167">
        <v>30115</v>
      </c>
      <c r="C4651" s="167"/>
      <c r="D4651" s="167" t="s">
        <v>130</v>
      </c>
      <c r="E4651" s="167">
        <v>2</v>
      </c>
      <c r="F4651" s="167">
        <v>1</v>
      </c>
    </row>
    <row r="4652" hidden="1" spans="1:6">
      <c r="A4652" s="167">
        <v>3011534</v>
      </c>
      <c r="B4652" s="167">
        <v>30115</v>
      </c>
      <c r="C4652" s="167"/>
      <c r="D4652" s="167" t="s">
        <v>2629</v>
      </c>
      <c r="E4652" s="167">
        <v>0.933333333333333</v>
      </c>
      <c r="F4652" s="167">
        <v>0</v>
      </c>
    </row>
    <row r="4653" hidden="1" spans="1:6">
      <c r="A4653" s="167">
        <v>3011535</v>
      </c>
      <c r="B4653" s="167">
        <v>30115</v>
      </c>
      <c r="C4653" s="167"/>
      <c r="D4653" s="167" t="s">
        <v>268</v>
      </c>
      <c r="E4653" s="167">
        <v>2.56666666666667</v>
      </c>
      <c r="F4653" s="167">
        <v>1</v>
      </c>
    </row>
    <row r="4654" hidden="1" spans="1:6">
      <c r="A4654" s="167">
        <v>3011536</v>
      </c>
      <c r="B4654" s="167">
        <v>30115</v>
      </c>
      <c r="C4654" s="167"/>
      <c r="D4654" s="167" t="s">
        <v>204</v>
      </c>
      <c r="E4654" s="167">
        <v>1.8</v>
      </c>
      <c r="F4654" s="167">
        <v>0</v>
      </c>
    </row>
    <row r="4655" hidden="1" spans="1:6">
      <c r="A4655" s="167">
        <v>3011537</v>
      </c>
      <c r="B4655" s="167">
        <v>30115</v>
      </c>
      <c r="C4655" s="167"/>
      <c r="D4655" s="167" t="s">
        <v>4282</v>
      </c>
      <c r="E4655" s="167">
        <f>24/30</f>
        <v>0.8</v>
      </c>
      <c r="F4655" s="167">
        <v>0</v>
      </c>
    </row>
    <row r="4656" hidden="1" spans="1:6">
      <c r="A4656" s="167">
        <v>3011538</v>
      </c>
      <c r="B4656" s="167">
        <v>30115</v>
      </c>
      <c r="C4656" s="167"/>
      <c r="D4656" s="167" t="s">
        <v>4284</v>
      </c>
      <c r="E4656" s="167">
        <f>24/30</f>
        <v>0.8</v>
      </c>
      <c r="F4656" s="167">
        <v>0</v>
      </c>
    </row>
    <row r="4657" hidden="1" spans="1:6">
      <c r="A4657" s="167">
        <v>3011539</v>
      </c>
      <c r="B4657" s="167">
        <v>30115</v>
      </c>
      <c r="C4657" s="167"/>
      <c r="D4657" s="167" t="s">
        <v>4286</v>
      </c>
      <c r="E4657" s="167">
        <v>1</v>
      </c>
      <c r="F4657" s="167">
        <v>0</v>
      </c>
    </row>
    <row r="4658" hidden="1" spans="1:6">
      <c r="A4658" s="167">
        <v>3011540</v>
      </c>
      <c r="B4658" s="167">
        <v>30115</v>
      </c>
      <c r="C4658" s="167"/>
      <c r="D4658" s="167" t="s">
        <v>4288</v>
      </c>
      <c r="E4658" s="167">
        <v>1</v>
      </c>
      <c r="F4658" s="167">
        <v>0</v>
      </c>
    </row>
    <row r="4659" customFormat="1" hidden="1" spans="1:12">
      <c r="A4659" s="183">
        <v>3011620</v>
      </c>
      <c r="B4659" s="184">
        <v>30116</v>
      </c>
      <c r="C4659">
        <v>3</v>
      </c>
      <c r="D4659" t="s">
        <v>1788</v>
      </c>
      <c r="E4659">
        <f>80/30</f>
        <v>2.66666666666667</v>
      </c>
      <c r="F4659">
        <v>0</v>
      </c>
      <c r="L4659" s="4"/>
    </row>
    <row r="4660" customFormat="1" hidden="1" spans="1:12">
      <c r="A4660" s="183">
        <v>3011720</v>
      </c>
      <c r="B4660" s="184">
        <v>30117</v>
      </c>
      <c r="C4660">
        <v>3</v>
      </c>
      <c r="D4660" t="s">
        <v>1788</v>
      </c>
      <c r="E4660">
        <f>78/30</f>
        <v>2.6</v>
      </c>
      <c r="F4660">
        <v>0</v>
      </c>
      <c r="L4660" s="4"/>
    </row>
    <row r="4661" customFormat="1" hidden="1" spans="1:12">
      <c r="A4661" s="183">
        <v>3011820</v>
      </c>
      <c r="B4661" s="184">
        <v>30118</v>
      </c>
      <c r="C4661">
        <v>3</v>
      </c>
      <c r="D4661" t="s">
        <v>1788</v>
      </c>
      <c r="E4661">
        <f>91/30</f>
        <v>3.03333333333333</v>
      </c>
      <c r="F4661">
        <v>0</v>
      </c>
      <c r="L4661" s="4"/>
    </row>
    <row r="4662" customFormat="1" hidden="1" spans="1:12">
      <c r="A4662" s="2" t="s">
        <v>4590</v>
      </c>
      <c r="B4662" s="3">
        <v>4012202</v>
      </c>
      <c r="C4662">
        <v>3</v>
      </c>
      <c r="D4662" t="s">
        <v>36</v>
      </c>
      <c r="E4662">
        <v>3.06666666666667</v>
      </c>
      <c r="F4662">
        <v>0</v>
      </c>
      <c r="L4662" s="4"/>
    </row>
    <row r="4663" customFormat="1" hidden="1" spans="1:12">
      <c r="A4663" s="2" t="s">
        <v>4591</v>
      </c>
      <c r="B4663" s="3">
        <v>4012202</v>
      </c>
      <c r="C4663">
        <v>3</v>
      </c>
      <c r="D4663" t="s">
        <v>38</v>
      </c>
      <c r="E4663">
        <v>3.73333333333333</v>
      </c>
      <c r="F4663">
        <v>0</v>
      </c>
      <c r="L4663" s="4"/>
    </row>
    <row r="4664" customFormat="1" hidden="1" spans="1:12">
      <c r="A4664" s="2" t="s">
        <v>4592</v>
      </c>
      <c r="B4664" s="3">
        <v>4012202</v>
      </c>
      <c r="C4664">
        <v>3</v>
      </c>
      <c r="D4664" t="s">
        <v>40</v>
      </c>
      <c r="E4664">
        <v>2.93333333333333</v>
      </c>
      <c r="F4664">
        <v>0</v>
      </c>
      <c r="L4664" s="4"/>
    </row>
    <row r="4665" customFormat="1" hidden="1" spans="1:12">
      <c r="A4665" s="2" t="s">
        <v>4593</v>
      </c>
      <c r="B4665" s="3">
        <v>4012202</v>
      </c>
      <c r="C4665">
        <v>3</v>
      </c>
      <c r="D4665" t="s">
        <v>42</v>
      </c>
      <c r="E4665">
        <v>3.73333333333333</v>
      </c>
      <c r="F4665">
        <v>0</v>
      </c>
      <c r="L4665" s="4"/>
    </row>
    <row r="4666" customFormat="1" hidden="1" spans="1:12">
      <c r="A4666" s="2" t="s">
        <v>4594</v>
      </c>
      <c r="B4666" s="3">
        <v>4012202</v>
      </c>
      <c r="C4666">
        <v>3</v>
      </c>
      <c r="D4666" t="s">
        <v>44</v>
      </c>
      <c r="E4666">
        <v>14.5</v>
      </c>
      <c r="F4666">
        <v>0</v>
      </c>
      <c r="L4666" s="4"/>
    </row>
    <row r="4667" customFormat="1" hidden="1" spans="1:12">
      <c r="A4667" s="2" t="s">
        <v>4595</v>
      </c>
      <c r="B4667" s="3">
        <v>4012202</v>
      </c>
      <c r="C4667">
        <v>3</v>
      </c>
      <c r="D4667" t="s">
        <v>46</v>
      </c>
      <c r="E4667">
        <v>12.3333333333333</v>
      </c>
      <c r="F4667">
        <v>0</v>
      </c>
      <c r="L4667" s="4"/>
    </row>
    <row r="4668" customFormat="1" hidden="1" spans="1:12">
      <c r="A4668" s="2" t="s">
        <v>4596</v>
      </c>
      <c r="B4668" s="3">
        <v>4012202</v>
      </c>
      <c r="C4668">
        <v>3</v>
      </c>
      <c r="D4668" t="s">
        <v>86</v>
      </c>
      <c r="E4668">
        <v>7.26666666666667</v>
      </c>
      <c r="F4668">
        <v>0</v>
      </c>
      <c r="L4668" s="4"/>
    </row>
    <row r="4669" customFormat="1" hidden="1" spans="1:12">
      <c r="A4669" s="2" t="s">
        <v>4597</v>
      </c>
      <c r="B4669" s="3">
        <v>4012202</v>
      </c>
      <c r="C4669">
        <v>3</v>
      </c>
      <c r="D4669" t="s">
        <v>92</v>
      </c>
      <c r="E4669">
        <v>4.83333333333333</v>
      </c>
      <c r="F4669">
        <v>0</v>
      </c>
      <c r="L4669" s="4"/>
    </row>
    <row r="4670" customFormat="1" hidden="1" spans="1:12">
      <c r="A4670" s="2" t="s">
        <v>4598</v>
      </c>
      <c r="B4670" s="3">
        <v>4012202</v>
      </c>
      <c r="C4670">
        <v>3</v>
      </c>
      <c r="D4670" t="s">
        <v>109</v>
      </c>
      <c r="E4670">
        <v>6.16666666666667</v>
      </c>
      <c r="F4670">
        <v>0</v>
      </c>
      <c r="L4670" s="4"/>
    </row>
    <row r="4671" customFormat="1" hidden="1" spans="1:12">
      <c r="A4671" s="2" t="s">
        <v>4599</v>
      </c>
      <c r="B4671" s="3">
        <v>4012202</v>
      </c>
      <c r="C4671">
        <v>3</v>
      </c>
      <c r="D4671" t="s">
        <v>97</v>
      </c>
      <c r="E4671">
        <v>5.93333333333333</v>
      </c>
      <c r="F4671">
        <v>0</v>
      </c>
      <c r="L4671" s="4"/>
    </row>
    <row r="4672" customFormat="1" hidden="1" spans="1:12">
      <c r="A4672" s="2" t="s">
        <v>4600</v>
      </c>
      <c r="B4672" s="3">
        <v>4012202</v>
      </c>
      <c r="C4672">
        <v>3</v>
      </c>
      <c r="D4672" t="s">
        <v>77</v>
      </c>
      <c r="E4672">
        <v>2</v>
      </c>
      <c r="F4672">
        <v>0</v>
      </c>
      <c r="L4672" s="4"/>
    </row>
    <row r="4673" customFormat="1" hidden="1" spans="1:12">
      <c r="A4673" s="2" t="s">
        <v>4601</v>
      </c>
      <c r="B4673" s="3">
        <v>4012202</v>
      </c>
      <c r="C4673">
        <v>3</v>
      </c>
      <c r="D4673" t="s">
        <v>54</v>
      </c>
      <c r="E4673">
        <v>2.36666666666667</v>
      </c>
      <c r="F4673">
        <v>0</v>
      </c>
      <c r="L4673" s="4"/>
    </row>
    <row r="4674" customFormat="1" hidden="1" spans="1:12">
      <c r="A4674" s="2" t="s">
        <v>4602</v>
      </c>
      <c r="B4674" s="3">
        <v>4012202</v>
      </c>
      <c r="C4674">
        <v>3</v>
      </c>
      <c r="D4674" t="s">
        <v>57</v>
      </c>
      <c r="E4674">
        <v>7.66666666666667</v>
      </c>
      <c r="F4674">
        <v>0</v>
      </c>
      <c r="G4674">
        <v>0</v>
      </c>
      <c r="H4674">
        <v>2</v>
      </c>
      <c r="I4674">
        <v>3970</v>
      </c>
      <c r="J4674" t="s">
        <v>58</v>
      </c>
      <c r="K4674">
        <v>1</v>
      </c>
      <c r="L4674" s="4"/>
    </row>
    <row r="4675" customFormat="1" hidden="1" spans="1:12">
      <c r="A4675" s="2" t="s">
        <v>4603</v>
      </c>
      <c r="B4675" s="3">
        <v>4012202</v>
      </c>
      <c r="D4675" t="s">
        <v>1776</v>
      </c>
      <c r="E4675">
        <v>6.36666666666667</v>
      </c>
      <c r="F4675">
        <v>0</v>
      </c>
      <c r="G4675">
        <v>0</v>
      </c>
      <c r="H4675">
        <v>2</v>
      </c>
      <c r="I4675">
        <v>4792</v>
      </c>
      <c r="J4675" t="s">
        <v>58</v>
      </c>
      <c r="K4675">
        <v>1</v>
      </c>
      <c r="L4675" s="4"/>
    </row>
    <row r="4676" customFormat="1" hidden="1" spans="1:12">
      <c r="A4676" s="2" t="s">
        <v>4604</v>
      </c>
      <c r="B4676" s="3">
        <v>4012102</v>
      </c>
      <c r="C4676">
        <v>3</v>
      </c>
      <c r="D4676" t="s">
        <v>36</v>
      </c>
      <c r="E4676">
        <v>3.66666666666667</v>
      </c>
      <c r="F4676">
        <v>0</v>
      </c>
      <c r="L4676" s="4"/>
    </row>
    <row r="4677" customFormat="1" hidden="1" spans="1:12">
      <c r="A4677" s="2" t="s">
        <v>4605</v>
      </c>
      <c r="B4677" s="3">
        <v>4012102</v>
      </c>
      <c r="C4677">
        <v>3</v>
      </c>
      <c r="D4677" t="s">
        <v>38</v>
      </c>
      <c r="E4677">
        <v>4.33333333333333</v>
      </c>
      <c r="F4677">
        <v>0</v>
      </c>
      <c r="L4677" s="4"/>
    </row>
    <row r="4678" customFormat="1" hidden="1" spans="1:12">
      <c r="A4678" s="2" t="s">
        <v>4606</v>
      </c>
      <c r="B4678" s="3">
        <v>4012102</v>
      </c>
      <c r="C4678">
        <v>3</v>
      </c>
      <c r="D4678" t="s">
        <v>40</v>
      </c>
      <c r="E4678">
        <v>2.13333333333333</v>
      </c>
      <c r="F4678">
        <v>0</v>
      </c>
      <c r="L4678" s="4"/>
    </row>
    <row r="4679" customFormat="1" hidden="1" spans="1:12">
      <c r="A4679" s="2" t="s">
        <v>4607</v>
      </c>
      <c r="B4679" s="3">
        <v>4012102</v>
      </c>
      <c r="C4679">
        <v>3</v>
      </c>
      <c r="D4679" t="s">
        <v>42</v>
      </c>
      <c r="E4679">
        <v>5</v>
      </c>
      <c r="F4679">
        <v>0</v>
      </c>
      <c r="L4679" s="4"/>
    </row>
    <row r="4680" customFormat="1" hidden="1" spans="1:12">
      <c r="A4680" s="2" t="s">
        <v>4608</v>
      </c>
      <c r="B4680" s="3">
        <v>4012102</v>
      </c>
      <c r="C4680">
        <v>3</v>
      </c>
      <c r="D4680" t="s">
        <v>44</v>
      </c>
      <c r="E4680">
        <v>12.3333333333333</v>
      </c>
      <c r="F4680">
        <v>0</v>
      </c>
      <c r="L4680" s="4"/>
    </row>
    <row r="4681" customFormat="1" hidden="1" spans="1:12">
      <c r="A4681" s="2" t="s">
        <v>4609</v>
      </c>
      <c r="B4681" s="3">
        <v>4012102</v>
      </c>
      <c r="C4681">
        <v>3</v>
      </c>
      <c r="D4681" t="s">
        <v>46</v>
      </c>
      <c r="E4681">
        <v>2.7</v>
      </c>
      <c r="F4681">
        <v>0</v>
      </c>
      <c r="L4681" s="4"/>
    </row>
    <row r="4682" customFormat="1" hidden="1" spans="1:12">
      <c r="A4682" s="2" t="s">
        <v>4610</v>
      </c>
      <c r="B4682" s="3">
        <v>4012102</v>
      </c>
      <c r="C4682">
        <v>3</v>
      </c>
      <c r="D4682" t="s">
        <v>86</v>
      </c>
      <c r="E4682">
        <v>4</v>
      </c>
      <c r="F4682">
        <v>0</v>
      </c>
      <c r="L4682" s="4"/>
    </row>
    <row r="4683" s="1" customFormat="1" hidden="1" spans="1:12">
      <c r="A4683" s="5" t="s">
        <v>4611</v>
      </c>
      <c r="B4683" s="3">
        <v>4012102</v>
      </c>
      <c r="C4683" s="1">
        <v>3</v>
      </c>
      <c r="D4683" s="1" t="s">
        <v>50</v>
      </c>
      <c r="E4683" s="1">
        <v>2.2</v>
      </c>
      <c r="F4683" s="1">
        <v>0</v>
      </c>
      <c r="L4683" s="7"/>
    </row>
    <row r="4684" s="1" customFormat="1" hidden="1" spans="1:12">
      <c r="A4684" s="5" t="s">
        <v>4612</v>
      </c>
      <c r="B4684" s="3">
        <v>4012102</v>
      </c>
      <c r="C4684" s="1">
        <v>3</v>
      </c>
      <c r="D4684" s="1" t="s">
        <v>90</v>
      </c>
      <c r="E4684" s="1">
        <v>3.8</v>
      </c>
      <c r="F4684" s="1">
        <v>0</v>
      </c>
      <c r="L4684" s="7"/>
    </row>
    <row r="4685" s="1" customFormat="1" hidden="1" spans="1:12">
      <c r="A4685" s="5" t="s">
        <v>4613</v>
      </c>
      <c r="B4685" s="3">
        <v>4012102</v>
      </c>
      <c r="C4685" s="1">
        <v>3</v>
      </c>
      <c r="D4685" s="1" t="s">
        <v>48</v>
      </c>
      <c r="E4685" s="1">
        <v>10.2</v>
      </c>
      <c r="F4685" s="1">
        <v>0</v>
      </c>
      <c r="L4685" s="7"/>
    </row>
    <row r="4686" customFormat="1" hidden="1" spans="1:12">
      <c r="A4686" s="2" t="s">
        <v>4614</v>
      </c>
      <c r="B4686" s="3">
        <v>4012102</v>
      </c>
      <c r="C4686">
        <v>3</v>
      </c>
      <c r="D4686" t="s">
        <v>92</v>
      </c>
      <c r="E4686">
        <v>1.96666666666667</v>
      </c>
      <c r="F4686">
        <v>0</v>
      </c>
      <c r="L4686" s="4"/>
    </row>
    <row r="4687" customFormat="1" hidden="1" spans="1:12">
      <c r="A4687" s="2" t="s">
        <v>4615</v>
      </c>
      <c r="B4687" s="3">
        <v>4012102</v>
      </c>
      <c r="C4687">
        <v>3</v>
      </c>
      <c r="D4687" t="s">
        <v>109</v>
      </c>
      <c r="E4687">
        <v>3.83333333333333</v>
      </c>
      <c r="F4687">
        <v>0</v>
      </c>
      <c r="L4687" s="4"/>
    </row>
    <row r="4688" customFormat="1" hidden="1" spans="1:12">
      <c r="A4688" s="2" t="s">
        <v>4616</v>
      </c>
      <c r="B4688" s="3">
        <v>4012102</v>
      </c>
      <c r="C4688">
        <v>3</v>
      </c>
      <c r="D4688" t="s">
        <v>97</v>
      </c>
      <c r="E4688">
        <v>2.3</v>
      </c>
      <c r="F4688">
        <v>0</v>
      </c>
      <c r="L4688" s="4"/>
    </row>
    <row r="4689" customFormat="1" hidden="1" spans="1:12">
      <c r="A4689" s="2" t="s">
        <v>4617</v>
      </c>
      <c r="B4689" s="3">
        <v>4012102</v>
      </c>
      <c r="C4689">
        <v>3</v>
      </c>
      <c r="D4689" t="s">
        <v>77</v>
      </c>
      <c r="E4689">
        <v>2.2</v>
      </c>
      <c r="F4689">
        <v>0</v>
      </c>
      <c r="L4689" s="4"/>
    </row>
    <row r="4690" customFormat="1" hidden="1" spans="1:12">
      <c r="A4690" s="2" t="s">
        <v>4618</v>
      </c>
      <c r="B4690" s="3">
        <v>4012102</v>
      </c>
      <c r="C4690">
        <v>3</v>
      </c>
      <c r="D4690" t="s">
        <v>54</v>
      </c>
      <c r="E4690">
        <v>3.33333333333333</v>
      </c>
      <c r="F4690">
        <v>0</v>
      </c>
      <c r="L4690" s="4"/>
    </row>
    <row r="4691" customFormat="1" hidden="1" spans="1:12">
      <c r="A4691" s="2" t="s">
        <v>4619</v>
      </c>
      <c r="B4691" s="3">
        <v>4012102</v>
      </c>
      <c r="C4691">
        <v>3</v>
      </c>
      <c r="D4691" t="s">
        <v>57</v>
      </c>
      <c r="E4691">
        <v>2.36666666666667</v>
      </c>
      <c r="F4691">
        <v>0</v>
      </c>
      <c r="G4691">
        <v>0</v>
      </c>
      <c r="H4691">
        <v>2</v>
      </c>
      <c r="I4691">
        <v>3922</v>
      </c>
      <c r="J4691" t="s">
        <v>58</v>
      </c>
      <c r="K4691">
        <v>1</v>
      </c>
      <c r="L4691" s="4"/>
    </row>
    <row r="4692" s="1" customFormat="1" hidden="1" spans="1:12">
      <c r="A4692" s="5" t="s">
        <v>4620</v>
      </c>
      <c r="B4692" s="3">
        <v>4012102</v>
      </c>
      <c r="C4692" s="1">
        <v>3</v>
      </c>
      <c r="D4692" s="1" t="s">
        <v>1776</v>
      </c>
      <c r="E4692" s="1">
        <v>2.03333333333333</v>
      </c>
      <c r="F4692" s="1">
        <v>0</v>
      </c>
      <c r="G4692" s="1">
        <v>0</v>
      </c>
      <c r="H4692" s="1">
        <v>2</v>
      </c>
      <c r="I4692" s="1">
        <v>4745</v>
      </c>
      <c r="J4692" s="1" t="s">
        <v>58</v>
      </c>
      <c r="K4692" s="1">
        <v>1</v>
      </c>
      <c r="L4692" s="7"/>
    </row>
    <row r="4693" customFormat="1" hidden="1" spans="1:12">
      <c r="A4693" s="2" t="s">
        <v>4621</v>
      </c>
      <c r="B4693" s="3">
        <v>4012603</v>
      </c>
      <c r="C4693">
        <v>3</v>
      </c>
      <c r="D4693" t="s">
        <v>36</v>
      </c>
      <c r="E4693">
        <v>1.86666666666667</v>
      </c>
      <c r="F4693">
        <v>0</v>
      </c>
      <c r="G4693">
        <v>0</v>
      </c>
      <c r="H4693">
        <v>2</v>
      </c>
      <c r="I4693">
        <v>4080</v>
      </c>
      <c r="J4693" t="s">
        <v>3116</v>
      </c>
      <c r="K4693">
        <v>1</v>
      </c>
      <c r="L4693" s="4"/>
    </row>
    <row r="4694" customFormat="1" hidden="1" spans="1:12">
      <c r="A4694" s="2" t="s">
        <v>4622</v>
      </c>
      <c r="B4694" s="3">
        <v>4012603</v>
      </c>
      <c r="C4694">
        <v>3</v>
      </c>
      <c r="D4694" t="s">
        <v>38</v>
      </c>
      <c r="E4694">
        <v>3.16666666666667</v>
      </c>
      <c r="F4694">
        <v>0</v>
      </c>
      <c r="G4694">
        <v>0</v>
      </c>
      <c r="H4694">
        <v>2</v>
      </c>
      <c r="I4694">
        <v>4080</v>
      </c>
      <c r="J4694" t="s">
        <v>3116</v>
      </c>
      <c r="K4694">
        <v>1</v>
      </c>
      <c r="L4694" s="4"/>
    </row>
    <row r="4695" customFormat="1" hidden="1" spans="1:12">
      <c r="A4695" s="2" t="s">
        <v>4623</v>
      </c>
      <c r="B4695" s="3">
        <v>4012603</v>
      </c>
      <c r="C4695">
        <v>3</v>
      </c>
      <c r="D4695" t="s">
        <v>40</v>
      </c>
      <c r="E4695">
        <v>3.76666666666667</v>
      </c>
      <c r="F4695">
        <v>0</v>
      </c>
      <c r="G4695">
        <v>0</v>
      </c>
      <c r="H4695">
        <v>2</v>
      </c>
      <c r="I4695">
        <v>4080</v>
      </c>
      <c r="J4695" t="s">
        <v>3116</v>
      </c>
      <c r="K4695">
        <v>1</v>
      </c>
      <c r="L4695" s="4"/>
    </row>
    <row r="4696" customFormat="1" hidden="1" spans="1:12">
      <c r="A4696" s="2" t="s">
        <v>4624</v>
      </c>
      <c r="B4696" s="3">
        <v>4012603</v>
      </c>
      <c r="C4696">
        <v>3</v>
      </c>
      <c r="D4696" t="s">
        <v>42</v>
      </c>
      <c r="E4696">
        <v>2.53333333333333</v>
      </c>
      <c r="F4696">
        <v>0</v>
      </c>
      <c r="G4696">
        <v>0</v>
      </c>
      <c r="H4696">
        <v>2</v>
      </c>
      <c r="I4696">
        <v>4080</v>
      </c>
      <c r="J4696" t="s">
        <v>3116</v>
      </c>
      <c r="K4696">
        <v>1</v>
      </c>
      <c r="L4696" s="4"/>
    </row>
    <row r="4697" customFormat="1" hidden="1" spans="1:12">
      <c r="A4697" s="2" t="s">
        <v>4625</v>
      </c>
      <c r="B4697" s="3">
        <v>4012603</v>
      </c>
      <c r="C4697">
        <v>3</v>
      </c>
      <c r="D4697" t="s">
        <v>44</v>
      </c>
      <c r="E4697">
        <v>10.4333333333333</v>
      </c>
      <c r="F4697">
        <v>0</v>
      </c>
      <c r="G4697">
        <v>0</v>
      </c>
      <c r="H4697">
        <v>2</v>
      </c>
      <c r="I4697">
        <v>4080</v>
      </c>
      <c r="J4697" t="s">
        <v>3116</v>
      </c>
      <c r="K4697">
        <v>1</v>
      </c>
      <c r="L4697" s="4"/>
    </row>
    <row r="4698" customFormat="1" hidden="1" spans="1:12">
      <c r="A4698" s="2" t="s">
        <v>4626</v>
      </c>
      <c r="B4698" s="3">
        <v>4012603</v>
      </c>
      <c r="C4698">
        <v>3</v>
      </c>
      <c r="D4698" t="s">
        <v>46</v>
      </c>
      <c r="E4698">
        <v>12.3333333333333</v>
      </c>
      <c r="F4698">
        <v>0</v>
      </c>
      <c r="G4698">
        <v>0</v>
      </c>
      <c r="H4698">
        <v>2</v>
      </c>
      <c r="I4698">
        <v>4080</v>
      </c>
      <c r="J4698" t="s">
        <v>3116</v>
      </c>
      <c r="K4698">
        <v>1</v>
      </c>
      <c r="L4698" s="4"/>
    </row>
    <row r="4699" customFormat="1" hidden="1" spans="1:12">
      <c r="A4699" s="2" t="s">
        <v>4627</v>
      </c>
      <c r="B4699" s="3">
        <v>4012603</v>
      </c>
      <c r="C4699">
        <v>3</v>
      </c>
      <c r="D4699" t="s">
        <v>86</v>
      </c>
      <c r="E4699">
        <v>1.4</v>
      </c>
      <c r="F4699">
        <v>0</v>
      </c>
      <c r="G4699">
        <v>0</v>
      </c>
      <c r="H4699">
        <v>2</v>
      </c>
      <c r="I4699">
        <v>4080</v>
      </c>
      <c r="J4699" t="s">
        <v>3116</v>
      </c>
      <c r="K4699">
        <v>1</v>
      </c>
      <c r="L4699" s="4"/>
    </row>
    <row r="4700" s="1" customFormat="1" hidden="1" spans="1:12">
      <c r="A4700" s="5" t="s">
        <v>4628</v>
      </c>
      <c r="B4700" s="3">
        <v>4012603</v>
      </c>
      <c r="C4700" s="1">
        <v>3</v>
      </c>
      <c r="D4700" s="1" t="s">
        <v>48</v>
      </c>
      <c r="E4700" s="1">
        <v>17</v>
      </c>
      <c r="F4700" s="1">
        <v>0</v>
      </c>
      <c r="G4700" s="1">
        <v>0</v>
      </c>
      <c r="H4700" s="1">
        <v>2</v>
      </c>
      <c r="I4700" s="1">
        <v>4080</v>
      </c>
      <c r="J4700" s="1" t="s">
        <v>3116</v>
      </c>
      <c r="K4700" s="1">
        <v>1</v>
      </c>
      <c r="L4700" s="7"/>
    </row>
    <row r="4701" customFormat="1" hidden="1" spans="1:12">
      <c r="A4701" s="2" t="s">
        <v>4629</v>
      </c>
      <c r="B4701" s="3">
        <v>4012603</v>
      </c>
      <c r="C4701">
        <v>3</v>
      </c>
      <c r="D4701" t="s">
        <v>92</v>
      </c>
      <c r="E4701">
        <v>2.7</v>
      </c>
      <c r="F4701">
        <v>0</v>
      </c>
      <c r="G4701">
        <v>0</v>
      </c>
      <c r="H4701">
        <v>2</v>
      </c>
      <c r="I4701">
        <v>4080</v>
      </c>
      <c r="J4701" t="s">
        <v>3116</v>
      </c>
      <c r="K4701">
        <v>1</v>
      </c>
      <c r="L4701" s="4"/>
    </row>
    <row r="4702" customFormat="1" hidden="1" spans="1:12">
      <c r="A4702" s="2" t="s">
        <v>4630</v>
      </c>
      <c r="B4702" s="3">
        <v>4012603</v>
      </c>
      <c r="C4702">
        <v>3</v>
      </c>
      <c r="D4702" t="s">
        <v>109</v>
      </c>
      <c r="E4702">
        <v>3.1</v>
      </c>
      <c r="F4702">
        <v>0</v>
      </c>
      <c r="G4702">
        <v>0</v>
      </c>
      <c r="H4702">
        <v>2</v>
      </c>
      <c r="I4702">
        <v>4080</v>
      </c>
      <c r="J4702" t="s">
        <v>3116</v>
      </c>
      <c r="K4702">
        <v>1</v>
      </c>
      <c r="L4702" s="4"/>
    </row>
    <row r="4703" customFormat="1" hidden="1" spans="1:12">
      <c r="A4703" s="2" t="s">
        <v>4631</v>
      </c>
      <c r="B4703" s="3">
        <v>4012603</v>
      </c>
      <c r="C4703">
        <v>3</v>
      </c>
      <c r="D4703" t="s">
        <v>97</v>
      </c>
      <c r="E4703">
        <v>2.86666666666667</v>
      </c>
      <c r="F4703">
        <v>0</v>
      </c>
      <c r="G4703">
        <v>0</v>
      </c>
      <c r="H4703">
        <v>2</v>
      </c>
      <c r="I4703">
        <v>4080</v>
      </c>
      <c r="J4703" t="s">
        <v>3116</v>
      </c>
      <c r="K4703">
        <v>1</v>
      </c>
      <c r="L4703" s="4"/>
    </row>
    <row r="4704" customFormat="1" hidden="1" spans="1:12">
      <c r="A4704" s="2" t="s">
        <v>4632</v>
      </c>
      <c r="B4704" s="3">
        <v>4012603</v>
      </c>
      <c r="C4704">
        <v>3</v>
      </c>
      <c r="D4704" t="s">
        <v>77</v>
      </c>
      <c r="E4704">
        <v>4.26666666666667</v>
      </c>
      <c r="F4704">
        <v>0</v>
      </c>
      <c r="G4704">
        <v>0</v>
      </c>
      <c r="H4704">
        <v>2</v>
      </c>
      <c r="I4704">
        <v>4080</v>
      </c>
      <c r="J4704" t="s">
        <v>3116</v>
      </c>
      <c r="K4704">
        <v>1</v>
      </c>
      <c r="L4704" s="4"/>
    </row>
    <row r="4705" customFormat="1" hidden="1" spans="1:12">
      <c r="A4705" s="2" t="s">
        <v>4633</v>
      </c>
      <c r="B4705" s="3">
        <v>4012603</v>
      </c>
      <c r="C4705">
        <v>3</v>
      </c>
      <c r="D4705" t="s">
        <v>54</v>
      </c>
      <c r="E4705">
        <v>1.66666666666667</v>
      </c>
      <c r="F4705">
        <v>0</v>
      </c>
      <c r="G4705">
        <v>0</v>
      </c>
      <c r="H4705">
        <v>2</v>
      </c>
      <c r="I4705">
        <v>4080</v>
      </c>
      <c r="J4705" t="s">
        <v>3116</v>
      </c>
      <c r="K4705">
        <v>1</v>
      </c>
      <c r="L4705" s="4"/>
    </row>
    <row r="4706" customFormat="1" hidden="1" spans="1:12">
      <c r="A4706" s="2" t="s">
        <v>4634</v>
      </c>
      <c r="B4706" s="3">
        <v>4012603</v>
      </c>
      <c r="C4706">
        <v>3</v>
      </c>
      <c r="D4706" t="s">
        <v>57</v>
      </c>
      <c r="E4706">
        <v>4.03333333333333</v>
      </c>
      <c r="F4706">
        <v>0</v>
      </c>
      <c r="G4706" t="s">
        <v>942</v>
      </c>
      <c r="H4706" t="s">
        <v>943</v>
      </c>
      <c r="I4706" t="s">
        <v>3132</v>
      </c>
      <c r="J4706" t="s">
        <v>3133</v>
      </c>
      <c r="K4706" t="s">
        <v>1869</v>
      </c>
      <c r="L4706" s="4"/>
    </row>
    <row r="4707" customFormat="1" hidden="1" spans="1:12">
      <c r="A4707" s="2" t="s">
        <v>4635</v>
      </c>
      <c r="B4707" s="3">
        <v>4012603</v>
      </c>
      <c r="C4707">
        <v>3</v>
      </c>
      <c r="D4707" t="s">
        <v>1047</v>
      </c>
      <c r="E4707">
        <v>2.36666666666667</v>
      </c>
      <c r="F4707">
        <v>0</v>
      </c>
      <c r="G4707">
        <v>0</v>
      </c>
      <c r="H4707">
        <v>2</v>
      </c>
      <c r="I4707">
        <v>4080</v>
      </c>
      <c r="J4707" t="s">
        <v>3116</v>
      </c>
      <c r="K4707">
        <v>1</v>
      </c>
      <c r="L4707" s="4"/>
    </row>
    <row r="4708" customFormat="1" hidden="1" spans="1:12">
      <c r="A4708" s="2" t="s">
        <v>4636</v>
      </c>
      <c r="B4708" s="3">
        <v>4012603</v>
      </c>
      <c r="D4708" t="s">
        <v>2198</v>
      </c>
      <c r="E4708">
        <v>2</v>
      </c>
      <c r="F4708">
        <v>1</v>
      </c>
      <c r="G4708">
        <v>0</v>
      </c>
      <c r="H4708">
        <v>2</v>
      </c>
      <c r="I4708">
        <v>4080</v>
      </c>
      <c r="J4708" t="s">
        <v>3116</v>
      </c>
      <c r="K4708">
        <v>1</v>
      </c>
      <c r="L4708" s="4"/>
    </row>
    <row r="4709" customFormat="1" hidden="1" spans="1:12">
      <c r="A4709" s="2" t="s">
        <v>4637</v>
      </c>
      <c r="B4709" s="3">
        <v>4012603</v>
      </c>
      <c r="D4709" t="s">
        <v>2182</v>
      </c>
      <c r="E4709">
        <v>1.33333333333333</v>
      </c>
      <c r="F4709">
        <v>0</v>
      </c>
      <c r="G4709">
        <v>0</v>
      </c>
      <c r="H4709">
        <v>2</v>
      </c>
      <c r="I4709">
        <v>4080</v>
      </c>
      <c r="J4709" t="s">
        <v>3116</v>
      </c>
      <c r="K4709">
        <v>1</v>
      </c>
      <c r="L4709" s="4"/>
    </row>
    <row r="4710" customFormat="1" hidden="1" spans="1:12">
      <c r="A4710" s="2" t="s">
        <v>4638</v>
      </c>
      <c r="B4710" s="3">
        <v>4012603</v>
      </c>
      <c r="D4710" t="s">
        <v>2184</v>
      </c>
      <c r="E4710">
        <v>2</v>
      </c>
      <c r="F4710">
        <v>0</v>
      </c>
      <c r="G4710">
        <v>0</v>
      </c>
      <c r="H4710">
        <v>2</v>
      </c>
      <c r="I4710">
        <v>4080</v>
      </c>
      <c r="J4710" t="s">
        <v>3116</v>
      </c>
      <c r="K4710">
        <v>1</v>
      </c>
      <c r="L4710" s="4"/>
    </row>
    <row r="4711" customFormat="1" hidden="1" spans="1:12">
      <c r="A4711" s="2" t="s">
        <v>4639</v>
      </c>
      <c r="B4711" s="3">
        <v>4012603</v>
      </c>
      <c r="D4711" t="s">
        <v>2186</v>
      </c>
      <c r="E4711">
        <v>1.63333333333333</v>
      </c>
      <c r="F4711">
        <v>0</v>
      </c>
      <c r="G4711">
        <v>0</v>
      </c>
      <c r="H4711">
        <v>2</v>
      </c>
      <c r="I4711">
        <v>4080</v>
      </c>
      <c r="J4711" t="s">
        <v>3116</v>
      </c>
      <c r="K4711">
        <v>1</v>
      </c>
      <c r="L4711" s="4"/>
    </row>
    <row r="4712" customFormat="1" hidden="1" spans="1:12">
      <c r="A4712" s="2" t="s">
        <v>4640</v>
      </c>
      <c r="B4712" s="3">
        <v>4012603</v>
      </c>
      <c r="D4712" t="s">
        <v>2188</v>
      </c>
      <c r="E4712">
        <v>0.8</v>
      </c>
      <c r="F4712">
        <v>0</v>
      </c>
      <c r="G4712">
        <v>0</v>
      </c>
      <c r="H4712">
        <v>2</v>
      </c>
      <c r="I4712">
        <v>4080</v>
      </c>
      <c r="J4712" t="s">
        <v>3116</v>
      </c>
      <c r="K4712">
        <v>1</v>
      </c>
      <c r="L4712" s="4"/>
    </row>
    <row r="4713" customFormat="1" hidden="1" spans="1:12">
      <c r="A4713" s="2" t="s">
        <v>4641</v>
      </c>
      <c r="B4713" s="3">
        <v>4012603</v>
      </c>
      <c r="D4713" t="s">
        <v>2190</v>
      </c>
      <c r="E4713">
        <v>0.8</v>
      </c>
      <c r="F4713">
        <v>0</v>
      </c>
      <c r="G4713">
        <v>0</v>
      </c>
      <c r="H4713">
        <v>2</v>
      </c>
      <c r="I4713">
        <v>4080</v>
      </c>
      <c r="J4713" t="s">
        <v>3116</v>
      </c>
      <c r="K4713">
        <v>1</v>
      </c>
      <c r="L4713" s="4"/>
    </row>
    <row r="4714" customFormat="1" hidden="1" spans="1:12">
      <c r="A4714" s="2" t="s">
        <v>4642</v>
      </c>
      <c r="B4714" s="3">
        <v>4012603</v>
      </c>
      <c r="D4714" t="s">
        <v>2192</v>
      </c>
      <c r="E4714">
        <v>0.8</v>
      </c>
      <c r="F4714">
        <v>0</v>
      </c>
      <c r="G4714">
        <v>0</v>
      </c>
      <c r="H4714">
        <v>2</v>
      </c>
      <c r="I4714">
        <v>4080</v>
      </c>
      <c r="J4714" t="s">
        <v>3116</v>
      </c>
      <c r="K4714">
        <v>1</v>
      </c>
      <c r="L4714" s="4"/>
    </row>
    <row r="4715" customFormat="1" hidden="1" spans="1:12">
      <c r="A4715" s="2" t="s">
        <v>4643</v>
      </c>
      <c r="B4715" s="3">
        <v>4012603</v>
      </c>
      <c r="D4715" t="s">
        <v>2194</v>
      </c>
      <c r="E4715">
        <v>0.8</v>
      </c>
      <c r="F4715">
        <v>0</v>
      </c>
      <c r="G4715">
        <v>0</v>
      </c>
      <c r="H4715">
        <v>2</v>
      </c>
      <c r="I4715">
        <v>4080</v>
      </c>
      <c r="J4715" t="s">
        <v>3116</v>
      </c>
      <c r="K4715">
        <v>1</v>
      </c>
      <c r="L4715" s="4"/>
    </row>
    <row r="4716" customFormat="1" hidden="1" spans="1:12">
      <c r="A4716" s="2" t="s">
        <v>4644</v>
      </c>
      <c r="B4716" s="3">
        <v>4012603</v>
      </c>
      <c r="D4716" t="s">
        <v>300</v>
      </c>
      <c r="E4716">
        <v>1</v>
      </c>
      <c r="F4716">
        <v>0</v>
      </c>
      <c r="G4716">
        <v>0</v>
      </c>
      <c r="H4716">
        <v>2</v>
      </c>
      <c r="I4716">
        <v>4080</v>
      </c>
      <c r="J4716" t="s">
        <v>3116</v>
      </c>
      <c r="K4716">
        <v>1</v>
      </c>
      <c r="L4716" s="4"/>
    </row>
    <row r="4717" customFormat="1" hidden="1" spans="1:12">
      <c r="A4717" s="2" t="s">
        <v>4645</v>
      </c>
      <c r="B4717" s="3">
        <v>4012603</v>
      </c>
      <c r="D4717" t="s">
        <v>2178</v>
      </c>
      <c r="E4717">
        <v>1</v>
      </c>
      <c r="F4717">
        <v>0</v>
      </c>
      <c r="G4717">
        <v>0</v>
      </c>
      <c r="H4717">
        <v>2</v>
      </c>
      <c r="I4717">
        <v>4080</v>
      </c>
      <c r="J4717" t="s">
        <v>3116</v>
      </c>
      <c r="K4717">
        <v>1</v>
      </c>
      <c r="L4717" s="4"/>
    </row>
    <row r="4718" customFormat="1" hidden="1" spans="1:12">
      <c r="A4718" s="2" t="s">
        <v>4646</v>
      </c>
      <c r="B4718" s="3">
        <v>4012603</v>
      </c>
      <c r="D4718" t="s">
        <v>2196</v>
      </c>
      <c r="E4718">
        <v>1.4</v>
      </c>
      <c r="F4718">
        <v>0</v>
      </c>
      <c r="G4718">
        <v>0</v>
      </c>
      <c r="H4718">
        <v>2</v>
      </c>
      <c r="I4718">
        <v>4080</v>
      </c>
      <c r="J4718" t="s">
        <v>3116</v>
      </c>
      <c r="K4718">
        <v>1</v>
      </c>
      <c r="L4718" s="4"/>
    </row>
    <row r="4719" customFormat="1" hidden="1" spans="1:12">
      <c r="A4719" s="2" t="s">
        <v>4647</v>
      </c>
      <c r="B4719" s="3">
        <v>4012603</v>
      </c>
      <c r="D4719" t="s">
        <v>130</v>
      </c>
      <c r="E4719">
        <v>2</v>
      </c>
      <c r="F4719">
        <v>1</v>
      </c>
      <c r="G4719">
        <v>0</v>
      </c>
      <c r="H4719">
        <v>2</v>
      </c>
      <c r="I4719">
        <v>4080</v>
      </c>
      <c r="J4719" t="s">
        <v>3116</v>
      </c>
      <c r="K4719">
        <v>1</v>
      </c>
      <c r="L4719" s="4"/>
    </row>
    <row r="4720" customFormat="1" hidden="1" spans="1:12">
      <c r="A4720" s="2" t="s">
        <v>4648</v>
      </c>
      <c r="B4720" s="3">
        <v>4012603</v>
      </c>
      <c r="D4720" t="s">
        <v>264</v>
      </c>
      <c r="E4720">
        <v>2</v>
      </c>
      <c r="F4720">
        <v>1</v>
      </c>
      <c r="G4720">
        <v>0</v>
      </c>
      <c r="H4720">
        <v>2</v>
      </c>
      <c r="I4720">
        <v>4080</v>
      </c>
      <c r="J4720" t="s">
        <v>3116</v>
      </c>
      <c r="K4720">
        <v>1</v>
      </c>
      <c r="L4720" s="4"/>
    </row>
    <row r="4721" customFormat="1" hidden="1" spans="1:12">
      <c r="A4721" s="2" t="s">
        <v>4649</v>
      </c>
      <c r="B4721" s="3">
        <v>4012603</v>
      </c>
      <c r="D4721" t="s">
        <v>270</v>
      </c>
      <c r="E4721">
        <v>2</v>
      </c>
      <c r="F4721">
        <v>1</v>
      </c>
      <c r="G4721">
        <v>0</v>
      </c>
      <c r="H4721">
        <v>2</v>
      </c>
      <c r="I4721">
        <v>4080</v>
      </c>
      <c r="J4721" t="s">
        <v>3116</v>
      </c>
      <c r="K4721">
        <v>1</v>
      </c>
      <c r="L4721" s="4"/>
    </row>
    <row r="4722" customFormat="1" hidden="1" spans="1:12">
      <c r="A4722" s="2" t="s">
        <v>4650</v>
      </c>
      <c r="B4722" s="3">
        <v>4012603</v>
      </c>
      <c r="D4722" t="s">
        <v>2618</v>
      </c>
      <c r="E4722">
        <v>2</v>
      </c>
      <c r="F4722">
        <v>1</v>
      </c>
      <c r="G4722">
        <v>0</v>
      </c>
      <c r="H4722">
        <v>2</v>
      </c>
      <c r="I4722">
        <v>4080</v>
      </c>
      <c r="J4722" t="s">
        <v>3116</v>
      </c>
      <c r="K4722">
        <v>1</v>
      </c>
      <c r="L4722" s="4"/>
    </row>
    <row r="4723" customFormat="1" hidden="1" spans="1:12">
      <c r="A4723" s="2" t="s">
        <v>4651</v>
      </c>
      <c r="B4723" s="3">
        <v>4012603</v>
      </c>
      <c r="D4723" t="s">
        <v>261</v>
      </c>
      <c r="E4723">
        <v>0.8</v>
      </c>
      <c r="F4723">
        <v>1</v>
      </c>
      <c r="G4723">
        <v>0</v>
      </c>
      <c r="H4723">
        <v>2</v>
      </c>
      <c r="I4723">
        <v>4080</v>
      </c>
      <c r="J4723" t="s">
        <v>3116</v>
      </c>
      <c r="K4723">
        <v>1</v>
      </c>
      <c r="L4723" s="4"/>
    </row>
    <row r="4724" customFormat="1" hidden="1" spans="1:12">
      <c r="A4724" s="2" t="s">
        <v>4652</v>
      </c>
      <c r="B4724" s="3">
        <v>4012603</v>
      </c>
      <c r="D4724" t="s">
        <v>236</v>
      </c>
      <c r="E4724">
        <v>1.4</v>
      </c>
      <c r="F4724">
        <v>0</v>
      </c>
      <c r="G4724">
        <v>0</v>
      </c>
      <c r="H4724">
        <v>2</v>
      </c>
      <c r="I4724">
        <v>4080</v>
      </c>
      <c r="J4724" t="s">
        <v>3116</v>
      </c>
      <c r="K4724">
        <v>1</v>
      </c>
      <c r="L4724" s="4"/>
    </row>
    <row r="4725" customFormat="1" hidden="1" spans="1:12">
      <c r="A4725" s="2" t="s">
        <v>4653</v>
      </c>
      <c r="B4725" s="3">
        <v>4012603</v>
      </c>
      <c r="D4725" t="s">
        <v>2629</v>
      </c>
      <c r="E4725">
        <v>2.5</v>
      </c>
      <c r="F4725">
        <v>0</v>
      </c>
      <c r="G4725">
        <v>0</v>
      </c>
      <c r="H4725">
        <v>2</v>
      </c>
      <c r="I4725">
        <v>4080</v>
      </c>
      <c r="J4725" t="s">
        <v>3116</v>
      </c>
      <c r="K4725">
        <v>1</v>
      </c>
      <c r="L4725" s="4"/>
    </row>
    <row r="4726" customFormat="1" hidden="1" spans="1:12">
      <c r="A4726" s="2" t="s">
        <v>4654</v>
      </c>
      <c r="B4726" s="3">
        <v>4012603</v>
      </c>
      <c r="D4726" t="s">
        <v>268</v>
      </c>
      <c r="E4726">
        <v>2.33333333333333</v>
      </c>
      <c r="F4726">
        <v>1</v>
      </c>
      <c r="G4726">
        <v>0</v>
      </c>
      <c r="H4726">
        <v>2</v>
      </c>
      <c r="I4726">
        <v>4080</v>
      </c>
      <c r="J4726" t="s">
        <v>3116</v>
      </c>
      <c r="K4726">
        <v>1</v>
      </c>
      <c r="L4726" s="4"/>
    </row>
    <row r="4727" customFormat="1" hidden="1" spans="1:12">
      <c r="A4727" s="2" t="s">
        <v>4655</v>
      </c>
      <c r="B4727" s="3">
        <v>4012603</v>
      </c>
      <c r="D4727" t="s">
        <v>266</v>
      </c>
      <c r="E4727">
        <v>1.2</v>
      </c>
      <c r="F4727">
        <v>1</v>
      </c>
      <c r="G4727">
        <v>0</v>
      </c>
      <c r="H4727">
        <v>2</v>
      </c>
      <c r="I4727">
        <v>4080</v>
      </c>
      <c r="J4727" t="s">
        <v>3116</v>
      </c>
      <c r="K4727">
        <v>1</v>
      </c>
      <c r="L4727" s="4"/>
    </row>
    <row r="4728" customFormat="1" hidden="1" spans="1:12">
      <c r="A4728" s="2" t="s">
        <v>4656</v>
      </c>
      <c r="B4728" s="3">
        <v>4012603</v>
      </c>
      <c r="D4728" t="s">
        <v>2633</v>
      </c>
      <c r="E4728">
        <v>1.2</v>
      </c>
      <c r="F4728">
        <v>1</v>
      </c>
      <c r="G4728">
        <v>0</v>
      </c>
      <c r="H4728">
        <v>2</v>
      </c>
      <c r="I4728">
        <v>4080</v>
      </c>
      <c r="J4728" t="s">
        <v>3116</v>
      </c>
      <c r="K4728">
        <v>1</v>
      </c>
      <c r="L4728" s="4"/>
    </row>
    <row r="4729" customFormat="1" hidden="1" spans="1:12">
      <c r="A4729" s="2" t="s">
        <v>4657</v>
      </c>
      <c r="B4729" s="3">
        <v>4012603</v>
      </c>
      <c r="D4729" t="s">
        <v>204</v>
      </c>
      <c r="E4729">
        <v>1.5</v>
      </c>
      <c r="F4729">
        <v>0</v>
      </c>
      <c r="G4729">
        <v>0</v>
      </c>
      <c r="H4729">
        <v>2</v>
      </c>
      <c r="I4729">
        <v>4080</v>
      </c>
      <c r="J4729" t="s">
        <v>3116</v>
      </c>
      <c r="K4729">
        <v>1</v>
      </c>
      <c r="L4729" s="4"/>
    </row>
    <row r="4730" customFormat="1" hidden="1" spans="1:12">
      <c r="A4730" s="2" t="s">
        <v>4658</v>
      </c>
      <c r="B4730" s="3">
        <v>4012603</v>
      </c>
      <c r="D4730" t="s">
        <v>1776</v>
      </c>
      <c r="E4730" s="6">
        <v>3.33333333333333</v>
      </c>
      <c r="F4730">
        <v>0</v>
      </c>
      <c r="G4730" t="s">
        <v>61</v>
      </c>
      <c r="H4730" t="s">
        <v>62</v>
      </c>
      <c r="I4730" t="s">
        <v>3190</v>
      </c>
      <c r="J4730" t="s">
        <v>3191</v>
      </c>
      <c r="K4730" t="s">
        <v>95</v>
      </c>
      <c r="L4730" s="4"/>
    </row>
    <row r="4731" s="13" customFormat="1" hidden="1" spans="1:12">
      <c r="A4731" s="76" t="s">
        <v>4659</v>
      </c>
      <c r="B4731" s="77">
        <v>4011902</v>
      </c>
      <c r="D4731" s="13" t="s">
        <v>36</v>
      </c>
      <c r="E4731" s="13">
        <f>117/30</f>
        <v>3.9</v>
      </c>
      <c r="F4731" s="13">
        <v>0</v>
      </c>
      <c r="L4731" s="78"/>
    </row>
    <row r="4732" s="13" customFormat="1" hidden="1" spans="1:12">
      <c r="A4732" s="76" t="s">
        <v>4660</v>
      </c>
      <c r="B4732" s="77">
        <v>4011902</v>
      </c>
      <c r="D4732" s="13" t="s">
        <v>38</v>
      </c>
      <c r="E4732" s="13">
        <f>155/30</f>
        <v>5.16666666666667</v>
      </c>
      <c r="F4732" s="13">
        <v>0</v>
      </c>
      <c r="L4732" s="78"/>
    </row>
    <row r="4733" s="13" customFormat="1" hidden="1" spans="1:12">
      <c r="A4733" s="76" t="s">
        <v>4661</v>
      </c>
      <c r="B4733" s="77">
        <v>4011902</v>
      </c>
      <c r="D4733" s="13" t="s">
        <v>40</v>
      </c>
      <c r="E4733" s="13">
        <f>165/30</f>
        <v>5.5</v>
      </c>
      <c r="F4733" s="13">
        <v>0</v>
      </c>
      <c r="L4733" s="78"/>
    </row>
    <row r="4734" s="13" customFormat="1" hidden="1" spans="1:12">
      <c r="A4734" s="76" t="s">
        <v>4662</v>
      </c>
      <c r="B4734" s="77">
        <v>4011902</v>
      </c>
      <c r="D4734" s="13" t="s">
        <v>42</v>
      </c>
      <c r="E4734" s="13">
        <f>142/30</f>
        <v>4.73333333333333</v>
      </c>
      <c r="F4734" s="13">
        <v>0</v>
      </c>
      <c r="L4734" s="78"/>
    </row>
    <row r="4735" s="13" customFormat="1" hidden="1" spans="1:12">
      <c r="A4735" s="76" t="s">
        <v>4663</v>
      </c>
      <c r="B4735" s="77">
        <v>4011902</v>
      </c>
      <c r="D4735" s="13" t="s">
        <v>57</v>
      </c>
      <c r="E4735" s="13">
        <f>111/30</f>
        <v>3.7</v>
      </c>
      <c r="F4735" s="13">
        <v>0</v>
      </c>
      <c r="G4735" s="13">
        <v>0</v>
      </c>
      <c r="H4735" s="13">
        <v>2</v>
      </c>
      <c r="I4735" s="13">
        <v>3853</v>
      </c>
      <c r="J4735" s="13" t="s">
        <v>58</v>
      </c>
      <c r="K4735" s="13">
        <v>1</v>
      </c>
      <c r="L4735" s="78"/>
    </row>
    <row r="4736" hidden="1" spans="1:6">
      <c r="A4736" s="2" t="s">
        <v>4664</v>
      </c>
      <c r="B4736" s="3">
        <v>30119</v>
      </c>
      <c r="C4736">
        <v>3</v>
      </c>
      <c r="D4736" t="s">
        <v>1788</v>
      </c>
      <c r="E4736">
        <f>120/30</f>
        <v>4</v>
      </c>
      <c r="F4736">
        <v>0</v>
      </c>
    </row>
    <row r="4737" hidden="1" spans="1:11">
      <c r="A4737" s="2" t="s">
        <v>4665</v>
      </c>
      <c r="B4737" s="3">
        <v>30043</v>
      </c>
      <c r="C4737">
        <v>3</v>
      </c>
      <c r="D4737" s="167" t="s">
        <v>2621</v>
      </c>
      <c r="E4737" s="167">
        <f>80/30</f>
        <v>2.66666666666667</v>
      </c>
      <c r="F4737" s="167">
        <v>1</v>
      </c>
      <c r="G4737">
        <v>0</v>
      </c>
      <c r="H4737">
        <v>2</v>
      </c>
      <c r="I4737">
        <v>5035</v>
      </c>
      <c r="J4737" t="s">
        <v>4666</v>
      </c>
      <c r="K4737">
        <v>1</v>
      </c>
    </row>
    <row r="4738" s="1" customFormat="1" hidden="1" spans="1:12">
      <c r="A4738" s="5" t="s">
        <v>4667</v>
      </c>
      <c r="B4738" s="54">
        <v>106</v>
      </c>
      <c r="C4738" s="1">
        <v>3</v>
      </c>
      <c r="D4738" s="1" t="s">
        <v>52</v>
      </c>
      <c r="E4738" s="1">
        <v>7</v>
      </c>
      <c r="F4738" s="1">
        <v>0</v>
      </c>
      <c r="L4738" s="7"/>
    </row>
    <row r="4739" s="1" customFormat="1" hidden="1" spans="1:12">
      <c r="A4739" s="5" t="s">
        <v>4668</v>
      </c>
      <c r="B4739" s="54">
        <v>106</v>
      </c>
      <c r="C4739" s="1">
        <v>3</v>
      </c>
      <c r="D4739" s="1" t="s">
        <v>140</v>
      </c>
      <c r="E4739" s="1">
        <f>112/30</f>
        <v>3.73333333333333</v>
      </c>
      <c r="F4739" s="1">
        <v>0</v>
      </c>
      <c r="L4739" s="7"/>
    </row>
    <row r="4740" s="1" customFormat="1" hidden="1" spans="1:12">
      <c r="A4740" s="5" t="s">
        <v>4669</v>
      </c>
      <c r="B4740" s="54">
        <v>106</v>
      </c>
      <c r="C4740" s="1">
        <v>3</v>
      </c>
      <c r="D4740" s="1" t="s">
        <v>133</v>
      </c>
      <c r="E4740" s="1">
        <f>396/30</f>
        <v>13.2</v>
      </c>
      <c r="F4740" s="1">
        <v>0</v>
      </c>
      <c r="L4740" s="7"/>
    </row>
    <row r="4741" s="1" customFormat="1" hidden="1" spans="1:12">
      <c r="A4741" s="5" t="s">
        <v>4670</v>
      </c>
      <c r="B4741" s="54">
        <v>106</v>
      </c>
      <c r="C4741" s="1">
        <v>2</v>
      </c>
      <c r="D4741" s="1" t="s">
        <v>1776</v>
      </c>
      <c r="E4741" s="1">
        <v>5</v>
      </c>
      <c r="F4741" s="1">
        <v>0</v>
      </c>
      <c r="G4741" s="1">
        <v>0</v>
      </c>
      <c r="H4741" s="1">
        <v>2</v>
      </c>
      <c r="I4741" s="1">
        <v>5042</v>
      </c>
      <c r="J4741" s="1" t="s">
        <v>58</v>
      </c>
      <c r="K4741" s="1">
        <v>0</v>
      </c>
      <c r="L4741" s="7"/>
    </row>
    <row r="4742" s="13" customFormat="1" hidden="1" spans="1:12">
      <c r="A4742" s="76" t="s">
        <v>4671</v>
      </c>
      <c r="B4742" s="77">
        <v>4010601</v>
      </c>
      <c r="C4742" s="13">
        <v>3</v>
      </c>
      <c r="D4742" s="13" t="s">
        <v>52</v>
      </c>
      <c r="E4742" s="13">
        <f>115/30</f>
        <v>3.83333333333333</v>
      </c>
      <c r="F4742" s="13">
        <v>0</v>
      </c>
      <c r="L4742" s="78"/>
    </row>
    <row r="4743" s="13" customFormat="1" hidden="1" spans="1:12">
      <c r="A4743" s="76" t="s">
        <v>4672</v>
      </c>
      <c r="B4743" s="77">
        <v>4010601</v>
      </c>
      <c r="C4743" s="13">
        <v>3</v>
      </c>
      <c r="D4743" s="13" t="s">
        <v>140</v>
      </c>
      <c r="E4743" s="13">
        <f>112/30</f>
        <v>3.73333333333333</v>
      </c>
      <c r="F4743" s="13">
        <v>0</v>
      </c>
      <c r="L4743" s="78"/>
    </row>
    <row r="4744" s="13" customFormat="1" hidden="1" spans="1:12">
      <c r="A4744" s="76" t="s">
        <v>4673</v>
      </c>
      <c r="B4744" s="77">
        <v>4010601</v>
      </c>
      <c r="C4744" s="13">
        <v>3</v>
      </c>
      <c r="D4744" s="13" t="s">
        <v>133</v>
      </c>
      <c r="E4744" s="13">
        <f>396/30</f>
        <v>13.2</v>
      </c>
      <c r="F4744" s="13">
        <v>0</v>
      </c>
      <c r="L4744" s="78"/>
    </row>
    <row r="4745" s="13" customFormat="1" hidden="1" spans="1:12">
      <c r="A4745" s="76" t="s">
        <v>4674</v>
      </c>
      <c r="B4745" s="77">
        <v>4010601</v>
      </c>
      <c r="C4745" s="13">
        <v>2</v>
      </c>
      <c r="D4745" s="13" t="s">
        <v>1776</v>
      </c>
      <c r="E4745" s="13">
        <v>5</v>
      </c>
      <c r="F4745" s="13">
        <v>0</v>
      </c>
      <c r="G4745" s="13">
        <v>0</v>
      </c>
      <c r="H4745" s="13">
        <v>2</v>
      </c>
      <c r="I4745" s="13">
        <v>5042</v>
      </c>
      <c r="J4745" s="13" t="s">
        <v>58</v>
      </c>
      <c r="K4745" s="13">
        <v>0</v>
      </c>
      <c r="L4745" s="78"/>
    </row>
    <row r="4746" s="19" customFormat="1" hidden="1" spans="1:12">
      <c r="A4746" s="111" t="s">
        <v>4675</v>
      </c>
      <c r="B4746" s="112">
        <v>154</v>
      </c>
      <c r="C4746" s="19">
        <v>3</v>
      </c>
      <c r="D4746" s="19" t="s">
        <v>36</v>
      </c>
      <c r="E4746" s="19">
        <f>66/30</f>
        <v>2.2</v>
      </c>
      <c r="F4746" s="19">
        <v>0</v>
      </c>
      <c r="L4746" s="114"/>
    </row>
    <row r="4747" s="19" customFormat="1" hidden="1" spans="1:12">
      <c r="A4747" s="111" t="s">
        <v>4676</v>
      </c>
      <c r="B4747" s="112">
        <v>154</v>
      </c>
      <c r="C4747" s="19">
        <v>3</v>
      </c>
      <c r="D4747" s="19" t="s">
        <v>38</v>
      </c>
      <c r="E4747" s="19">
        <f>68/30</f>
        <v>2.26666666666667</v>
      </c>
      <c r="F4747" s="19">
        <v>0</v>
      </c>
      <c r="L4747" s="114"/>
    </row>
    <row r="4748" s="19" customFormat="1" hidden="1" spans="1:12">
      <c r="A4748" s="111" t="s">
        <v>4677</v>
      </c>
      <c r="B4748" s="112">
        <v>154</v>
      </c>
      <c r="C4748" s="19">
        <v>3</v>
      </c>
      <c r="D4748" s="19" t="s">
        <v>40</v>
      </c>
      <c r="E4748" s="19">
        <f>71/30</f>
        <v>2.36666666666667</v>
      </c>
      <c r="F4748" s="19">
        <v>0</v>
      </c>
      <c r="L4748" s="114"/>
    </row>
    <row r="4749" s="19" customFormat="1" hidden="1" spans="1:12">
      <c r="A4749" s="111" t="s">
        <v>4678</v>
      </c>
      <c r="B4749" s="112">
        <v>154</v>
      </c>
      <c r="C4749" s="19">
        <v>3</v>
      </c>
      <c r="D4749" s="19" t="s">
        <v>42</v>
      </c>
      <c r="E4749" s="19">
        <f>60/30</f>
        <v>2</v>
      </c>
      <c r="F4749" s="19">
        <v>0</v>
      </c>
      <c r="L4749" s="114"/>
    </row>
    <row r="4750" s="19" customFormat="1" hidden="1" spans="1:12">
      <c r="A4750" s="111" t="s">
        <v>4679</v>
      </c>
      <c r="B4750" s="112">
        <v>154</v>
      </c>
      <c r="C4750" s="19">
        <v>3</v>
      </c>
      <c r="D4750" s="19" t="s">
        <v>44</v>
      </c>
      <c r="E4750" s="19">
        <f>60/30</f>
        <v>2</v>
      </c>
      <c r="F4750" s="19">
        <v>0</v>
      </c>
      <c r="L4750" s="114"/>
    </row>
    <row r="4751" s="19" customFormat="1" hidden="1" spans="1:12">
      <c r="A4751" s="111" t="s">
        <v>4680</v>
      </c>
      <c r="B4751" s="112">
        <v>154</v>
      </c>
      <c r="C4751" s="19">
        <v>3</v>
      </c>
      <c r="D4751" s="19" t="s">
        <v>46</v>
      </c>
      <c r="E4751" s="19">
        <f>86/30</f>
        <v>2.86666666666667</v>
      </c>
      <c r="F4751" s="19">
        <v>0</v>
      </c>
      <c r="L4751" s="114"/>
    </row>
    <row r="4752" s="19" customFormat="1" hidden="1" spans="1:12">
      <c r="A4752" s="111" t="s">
        <v>4681</v>
      </c>
      <c r="B4752" s="112">
        <v>154</v>
      </c>
      <c r="C4752" s="19">
        <v>3</v>
      </c>
      <c r="D4752" s="19" t="s">
        <v>86</v>
      </c>
      <c r="E4752" s="19">
        <f>91/30</f>
        <v>3.03333333333333</v>
      </c>
      <c r="F4752" s="19">
        <v>0</v>
      </c>
      <c r="L4752" s="114"/>
    </row>
    <row r="4753" s="19" customFormat="1" hidden="1" spans="1:12">
      <c r="A4753" s="111" t="s">
        <v>4682</v>
      </c>
      <c r="B4753" s="112">
        <v>154</v>
      </c>
      <c r="C4753" s="19">
        <v>3</v>
      </c>
      <c r="D4753" s="19" t="s">
        <v>50</v>
      </c>
      <c r="E4753" s="19">
        <f>451/30</f>
        <v>15.0333333333333</v>
      </c>
      <c r="F4753" s="19">
        <v>0</v>
      </c>
      <c r="L4753" s="114"/>
    </row>
    <row r="4754" s="19" customFormat="1" hidden="1" spans="1:12">
      <c r="A4754" s="111" t="s">
        <v>4683</v>
      </c>
      <c r="B4754" s="112">
        <v>154</v>
      </c>
      <c r="C4754" s="19">
        <v>3</v>
      </c>
      <c r="D4754" s="19" t="s">
        <v>90</v>
      </c>
      <c r="E4754" s="19">
        <f>232/30</f>
        <v>7.73333333333333</v>
      </c>
      <c r="F4754" s="19">
        <v>0</v>
      </c>
      <c r="L4754" s="114"/>
    </row>
    <row r="4755" s="19" customFormat="1" hidden="1" spans="1:12">
      <c r="A4755" s="111" t="s">
        <v>4684</v>
      </c>
      <c r="B4755" s="112">
        <v>154</v>
      </c>
      <c r="C4755" s="19">
        <v>3</v>
      </c>
      <c r="D4755" s="19" t="s">
        <v>133</v>
      </c>
      <c r="E4755" s="19">
        <f t="shared" ref="E4755:E4757" si="22">30/30</f>
        <v>1</v>
      </c>
      <c r="F4755" s="19">
        <v>0</v>
      </c>
      <c r="L4755" s="114"/>
    </row>
    <row r="4756" s="19" customFormat="1" hidden="1" spans="1:12">
      <c r="A4756" s="111" t="s">
        <v>4685</v>
      </c>
      <c r="B4756" s="112">
        <v>154</v>
      </c>
      <c r="C4756" s="19">
        <v>3</v>
      </c>
      <c r="D4756" s="19" t="s">
        <v>412</v>
      </c>
      <c r="E4756" s="19">
        <f t="shared" si="22"/>
        <v>1</v>
      </c>
      <c r="F4756" s="19">
        <v>0</v>
      </c>
      <c r="L4756" s="114"/>
    </row>
    <row r="4757" s="19" customFormat="1" hidden="1" spans="1:12">
      <c r="A4757" s="111" t="s">
        <v>4686</v>
      </c>
      <c r="B4757" s="112">
        <v>154</v>
      </c>
      <c r="C4757" s="19">
        <v>3</v>
      </c>
      <c r="D4757" s="19" t="s">
        <v>1826</v>
      </c>
      <c r="E4757" s="19">
        <f t="shared" si="22"/>
        <v>1</v>
      </c>
      <c r="F4757" s="19">
        <v>0</v>
      </c>
      <c r="G4757" s="19">
        <v>0</v>
      </c>
      <c r="H4757" s="19">
        <v>2</v>
      </c>
      <c r="I4757" s="19">
        <v>5068</v>
      </c>
      <c r="J4757" s="19" t="s">
        <v>58</v>
      </c>
      <c r="K4757" s="19">
        <v>1</v>
      </c>
      <c r="L4757" s="114"/>
    </row>
    <row r="4758" s="19" customFormat="1" hidden="1" spans="1:12">
      <c r="A4758" s="111" t="s">
        <v>4687</v>
      </c>
      <c r="B4758" s="112">
        <v>154</v>
      </c>
      <c r="C4758" s="19">
        <v>3</v>
      </c>
      <c r="D4758" s="19" t="s">
        <v>1047</v>
      </c>
      <c r="E4758" s="19">
        <f>71/30</f>
        <v>2.36666666666667</v>
      </c>
      <c r="F4758" s="19">
        <v>0</v>
      </c>
      <c r="L4758" s="114"/>
    </row>
    <row r="4759" s="19" customFormat="1" hidden="1" spans="1:12">
      <c r="A4759" s="111" t="s">
        <v>4688</v>
      </c>
      <c r="B4759" s="112">
        <v>154</v>
      </c>
      <c r="C4759" s="19">
        <v>3</v>
      </c>
      <c r="D4759" s="19" t="s">
        <v>272</v>
      </c>
      <c r="E4759" s="19">
        <f>32/30</f>
        <v>1.06666666666667</v>
      </c>
      <c r="F4759" s="19">
        <v>0</v>
      </c>
      <c r="L4759" s="114"/>
    </row>
    <row r="4760" s="19" customFormat="1" hidden="1" spans="1:12">
      <c r="A4760" s="111" t="s">
        <v>4689</v>
      </c>
      <c r="B4760" s="112">
        <v>154</v>
      </c>
      <c r="C4760" s="19">
        <v>3</v>
      </c>
      <c r="D4760" s="19" t="s">
        <v>60</v>
      </c>
      <c r="E4760" s="19">
        <f>80/30</f>
        <v>2.66666666666667</v>
      </c>
      <c r="F4760" s="19">
        <v>0</v>
      </c>
      <c r="L4760" s="114"/>
    </row>
    <row r="4761" s="19" customFormat="1" hidden="1" spans="1:12">
      <c r="A4761" s="111" t="s">
        <v>4690</v>
      </c>
      <c r="B4761" s="112">
        <v>154</v>
      </c>
      <c r="C4761" s="19">
        <v>3</v>
      </c>
      <c r="D4761" s="19" t="s">
        <v>2198</v>
      </c>
      <c r="E4761" s="19">
        <f>120/30</f>
        <v>4</v>
      </c>
      <c r="F4761" s="19">
        <v>0</v>
      </c>
      <c r="L4761" s="114"/>
    </row>
    <row r="4762" s="19" customFormat="1" hidden="1" spans="1:12">
      <c r="A4762" s="111" t="s">
        <v>4691</v>
      </c>
      <c r="B4762" s="112">
        <v>154</v>
      </c>
      <c r="C4762" s="19">
        <v>3</v>
      </c>
      <c r="D4762" s="19" t="s">
        <v>2182</v>
      </c>
      <c r="E4762" s="19">
        <f>34/30</f>
        <v>1.13333333333333</v>
      </c>
      <c r="F4762" s="19">
        <v>0</v>
      </c>
      <c r="L4762" s="114"/>
    </row>
    <row r="4763" s="19" customFormat="1" hidden="1" spans="1:12">
      <c r="A4763" s="111" t="s">
        <v>4692</v>
      </c>
      <c r="B4763" s="112">
        <v>154</v>
      </c>
      <c r="C4763" s="19">
        <v>3</v>
      </c>
      <c r="D4763" s="19" t="s">
        <v>2184</v>
      </c>
      <c r="E4763" s="19">
        <f>30/30</f>
        <v>1</v>
      </c>
      <c r="F4763" s="19">
        <v>0</v>
      </c>
      <c r="L4763" s="114"/>
    </row>
    <row r="4764" s="19" customFormat="1" hidden="1" spans="1:12">
      <c r="A4764" s="111" t="s">
        <v>4693</v>
      </c>
      <c r="B4764" s="112">
        <v>154</v>
      </c>
      <c r="C4764" s="19">
        <v>3</v>
      </c>
      <c r="D4764" s="19" t="s">
        <v>2186</v>
      </c>
      <c r="E4764" s="19">
        <f>50/30</f>
        <v>1.66666666666667</v>
      </c>
      <c r="F4764" s="19">
        <v>0</v>
      </c>
      <c r="L4764" s="114"/>
    </row>
    <row r="4765" s="19" customFormat="1" hidden="1" spans="1:12">
      <c r="A4765" s="111" t="s">
        <v>4694</v>
      </c>
      <c r="B4765" s="112">
        <v>154</v>
      </c>
      <c r="C4765" s="19">
        <v>3</v>
      </c>
      <c r="D4765" s="19" t="s">
        <v>2188</v>
      </c>
      <c r="E4765" s="19">
        <f t="shared" ref="E4765:E4770" si="23">24/30</f>
        <v>0.8</v>
      </c>
      <c r="F4765" s="19">
        <v>0</v>
      </c>
      <c r="L4765" s="114"/>
    </row>
    <row r="4766" s="19" customFormat="1" hidden="1" spans="1:12">
      <c r="A4766" s="111" t="s">
        <v>4695</v>
      </c>
      <c r="B4766" s="112">
        <v>154</v>
      </c>
      <c r="C4766" s="19">
        <v>3</v>
      </c>
      <c r="D4766" s="19" t="s">
        <v>2190</v>
      </c>
      <c r="E4766" s="19">
        <f t="shared" si="23"/>
        <v>0.8</v>
      </c>
      <c r="F4766" s="19">
        <v>0</v>
      </c>
      <c r="L4766" s="114"/>
    </row>
    <row r="4767" s="19" customFormat="1" hidden="1" spans="1:12">
      <c r="A4767" s="111" t="s">
        <v>4696</v>
      </c>
      <c r="B4767" s="112">
        <v>154</v>
      </c>
      <c r="C4767" s="19">
        <v>3</v>
      </c>
      <c r="D4767" s="19" t="s">
        <v>2192</v>
      </c>
      <c r="E4767" s="19">
        <f t="shared" si="23"/>
        <v>0.8</v>
      </c>
      <c r="F4767" s="19">
        <v>0</v>
      </c>
      <c r="L4767" s="114"/>
    </row>
    <row r="4768" s="19" customFormat="1" hidden="1" spans="1:12">
      <c r="A4768" s="111" t="s">
        <v>4697</v>
      </c>
      <c r="B4768" s="112">
        <v>154</v>
      </c>
      <c r="C4768" s="19">
        <v>3</v>
      </c>
      <c r="D4768" s="19" t="s">
        <v>2194</v>
      </c>
      <c r="E4768" s="19">
        <f t="shared" si="23"/>
        <v>0.8</v>
      </c>
      <c r="F4768" s="19">
        <v>0</v>
      </c>
      <c r="L4768" s="114"/>
    </row>
    <row r="4769" s="19" customFormat="1" hidden="1" spans="1:12">
      <c r="A4769" s="111" t="s">
        <v>4698</v>
      </c>
      <c r="B4769" s="112">
        <v>154</v>
      </c>
      <c r="C4769" s="19">
        <v>3</v>
      </c>
      <c r="D4769" s="19" t="s">
        <v>300</v>
      </c>
      <c r="E4769" s="19">
        <f t="shared" si="23"/>
        <v>0.8</v>
      </c>
      <c r="F4769" s="19">
        <v>0</v>
      </c>
      <c r="L4769" s="114"/>
    </row>
    <row r="4770" s="19" customFormat="1" hidden="1" spans="1:12">
      <c r="A4770" s="111" t="s">
        <v>4699</v>
      </c>
      <c r="B4770" s="112">
        <v>154</v>
      </c>
      <c r="C4770" s="19">
        <v>3</v>
      </c>
      <c r="D4770" s="19" t="s">
        <v>2178</v>
      </c>
      <c r="E4770" s="19">
        <f t="shared" si="23"/>
        <v>0.8</v>
      </c>
      <c r="F4770" s="19">
        <v>0</v>
      </c>
      <c r="L4770" s="114"/>
    </row>
    <row r="4771" s="19" customFormat="1" hidden="1" spans="1:12">
      <c r="A4771" s="111" t="s">
        <v>4700</v>
      </c>
      <c r="B4771" s="112">
        <v>154</v>
      </c>
      <c r="C4771" s="19">
        <v>3</v>
      </c>
      <c r="D4771" s="19" t="s">
        <v>2196</v>
      </c>
      <c r="E4771" s="19">
        <f>46/30</f>
        <v>1.53333333333333</v>
      </c>
      <c r="F4771" s="19">
        <v>0</v>
      </c>
      <c r="L4771" s="114"/>
    </row>
    <row r="4772" s="19" customFormat="1" hidden="1" spans="1:12">
      <c r="A4772" s="111" t="s">
        <v>4701</v>
      </c>
      <c r="B4772" s="112">
        <v>154</v>
      </c>
      <c r="C4772" s="19">
        <v>3</v>
      </c>
      <c r="D4772" s="19" t="s">
        <v>92</v>
      </c>
      <c r="E4772" s="19">
        <f>100/30</f>
        <v>3.33333333333333</v>
      </c>
      <c r="F4772" s="19">
        <v>0</v>
      </c>
      <c r="L4772" s="114"/>
    </row>
    <row r="4773" s="19" customFormat="1" hidden="1" spans="1:12">
      <c r="A4773" s="111" t="s">
        <v>4702</v>
      </c>
      <c r="B4773" s="112">
        <v>154</v>
      </c>
      <c r="C4773" s="19">
        <v>3</v>
      </c>
      <c r="D4773" s="19" t="s">
        <v>109</v>
      </c>
      <c r="E4773" s="19">
        <f>84/30</f>
        <v>2.8</v>
      </c>
      <c r="F4773" s="19">
        <v>0</v>
      </c>
      <c r="L4773" s="114"/>
    </row>
    <row r="4774" s="19" customFormat="1" hidden="1" spans="1:12">
      <c r="A4774" s="111" t="s">
        <v>4703</v>
      </c>
      <c r="B4774" s="112">
        <v>154</v>
      </c>
      <c r="C4774" s="19">
        <v>3</v>
      </c>
      <c r="D4774" s="19" t="s">
        <v>97</v>
      </c>
      <c r="E4774" s="19">
        <f>108/30</f>
        <v>3.6</v>
      </c>
      <c r="F4774" s="19">
        <v>0</v>
      </c>
      <c r="L4774" s="114"/>
    </row>
    <row r="4775" s="19" customFormat="1" hidden="1" spans="1:12">
      <c r="A4775" s="111" t="s">
        <v>4704</v>
      </c>
      <c r="B4775" s="112">
        <v>154</v>
      </c>
      <c r="C4775" s="19">
        <v>3</v>
      </c>
      <c r="D4775" s="19" t="s">
        <v>77</v>
      </c>
      <c r="E4775" s="19">
        <f>60/30</f>
        <v>2</v>
      </c>
      <c r="F4775" s="19">
        <v>0</v>
      </c>
      <c r="L4775" s="114"/>
    </row>
    <row r="4776" s="19" customFormat="1" hidden="1" spans="1:12">
      <c r="A4776" s="111" t="s">
        <v>4705</v>
      </c>
      <c r="B4776" s="112">
        <v>154</v>
      </c>
      <c r="C4776" s="19">
        <v>3</v>
      </c>
      <c r="D4776" s="19" t="s">
        <v>54</v>
      </c>
      <c r="E4776" s="19">
        <f>78/30</f>
        <v>2.6</v>
      </c>
      <c r="F4776" s="19">
        <v>0</v>
      </c>
      <c r="L4776" s="114"/>
    </row>
    <row r="4777" s="19" customFormat="1" hidden="1" spans="1:12">
      <c r="A4777" s="111" t="s">
        <v>4706</v>
      </c>
      <c r="B4777" s="112">
        <v>154</v>
      </c>
      <c r="C4777" s="19">
        <v>3</v>
      </c>
      <c r="D4777" s="19" t="s">
        <v>57</v>
      </c>
      <c r="E4777" s="19">
        <f>93/30</f>
        <v>3.1</v>
      </c>
      <c r="G4777" s="19" t="s">
        <v>61</v>
      </c>
      <c r="H4777" s="19" t="s">
        <v>62</v>
      </c>
      <c r="I4777" s="19" t="s">
        <v>4707</v>
      </c>
      <c r="J4777" s="19" t="s">
        <v>4708</v>
      </c>
      <c r="K4777" s="19" t="s">
        <v>95</v>
      </c>
      <c r="L4777" s="114"/>
    </row>
    <row r="4778" s="19" customFormat="1" hidden="1" spans="1:12">
      <c r="A4778" s="111" t="s">
        <v>4709</v>
      </c>
      <c r="B4778" s="112">
        <v>154</v>
      </c>
      <c r="C4778" s="19">
        <v>3</v>
      </c>
      <c r="D4778" s="19" t="s">
        <v>2618</v>
      </c>
      <c r="E4778" s="19">
        <f>60/30</f>
        <v>2</v>
      </c>
      <c r="F4778" s="19">
        <v>0</v>
      </c>
      <c r="L4778" s="114"/>
    </row>
    <row r="4779" s="19" customFormat="1" hidden="1" spans="1:12">
      <c r="A4779" s="111" t="s">
        <v>4710</v>
      </c>
      <c r="B4779" s="112">
        <v>154</v>
      </c>
      <c r="C4779" s="19">
        <v>3</v>
      </c>
      <c r="D4779" s="19" t="s">
        <v>1788</v>
      </c>
      <c r="E4779" s="19">
        <f>107/30</f>
        <v>3.56666666666667</v>
      </c>
      <c r="F4779" s="19">
        <v>1</v>
      </c>
      <c r="L4779" s="114"/>
    </row>
    <row r="4780" s="19" customFormat="1" hidden="1" spans="1:12">
      <c r="A4780" s="111" t="s">
        <v>4711</v>
      </c>
      <c r="B4780" s="112">
        <v>154</v>
      </c>
      <c r="C4780" s="19">
        <v>3</v>
      </c>
      <c r="D4780" s="19" t="s">
        <v>2621</v>
      </c>
      <c r="E4780" s="19">
        <f>24/30</f>
        <v>0.8</v>
      </c>
      <c r="F4780" s="19">
        <v>1</v>
      </c>
      <c r="L4780" s="114"/>
    </row>
    <row r="4781" s="19" customFormat="1" hidden="1" spans="1:12">
      <c r="A4781" s="111" t="s">
        <v>4712</v>
      </c>
      <c r="B4781" s="112">
        <v>154</v>
      </c>
      <c r="C4781" s="19">
        <v>3</v>
      </c>
      <c r="D4781" s="19" t="s">
        <v>2623</v>
      </c>
      <c r="E4781" s="19">
        <f>68/30</f>
        <v>2.26666666666667</v>
      </c>
      <c r="F4781" s="19">
        <v>1</v>
      </c>
      <c r="L4781" s="114"/>
    </row>
    <row r="4782" s="19" customFormat="1" hidden="1" spans="1:12">
      <c r="A4782" s="111" t="s">
        <v>4713</v>
      </c>
      <c r="B4782" s="112">
        <v>154</v>
      </c>
      <c r="C4782" s="19">
        <v>3</v>
      </c>
      <c r="D4782" s="19" t="s">
        <v>4714</v>
      </c>
      <c r="E4782" s="19">
        <f>50/30</f>
        <v>1.66666666666667</v>
      </c>
      <c r="F4782" s="19">
        <v>1</v>
      </c>
      <c r="G4782" s="19">
        <v>0</v>
      </c>
      <c r="H4782" s="19">
        <v>2</v>
      </c>
      <c r="I4782" s="19">
        <v>5068</v>
      </c>
      <c r="J4782" s="19" t="s">
        <v>4715</v>
      </c>
      <c r="K4782" s="19">
        <v>1</v>
      </c>
      <c r="L4782" s="114"/>
    </row>
    <row r="4783" s="33" customFormat="1" hidden="1" spans="1:12">
      <c r="A4783" s="185" t="s">
        <v>4716</v>
      </c>
      <c r="B4783" s="186">
        <v>4015401</v>
      </c>
      <c r="C4783" s="33">
        <v>3</v>
      </c>
      <c r="D4783" s="33" t="s">
        <v>36</v>
      </c>
      <c r="E4783" s="33">
        <f>66/30</f>
        <v>2.2</v>
      </c>
      <c r="F4783" s="33">
        <v>0</v>
      </c>
      <c r="L4783" s="187"/>
    </row>
    <row r="4784" s="33" customFormat="1" hidden="1" spans="1:12">
      <c r="A4784" s="185" t="s">
        <v>4717</v>
      </c>
      <c r="B4784" s="186">
        <v>4015401</v>
      </c>
      <c r="C4784" s="33">
        <v>3</v>
      </c>
      <c r="D4784" s="33" t="s">
        <v>38</v>
      </c>
      <c r="E4784" s="33">
        <f>68/30</f>
        <v>2.26666666666667</v>
      </c>
      <c r="F4784" s="33">
        <v>0</v>
      </c>
      <c r="L4784" s="187"/>
    </row>
    <row r="4785" s="33" customFormat="1" hidden="1" spans="1:12">
      <c r="A4785" s="185" t="s">
        <v>4718</v>
      </c>
      <c r="B4785" s="186">
        <v>4015401</v>
      </c>
      <c r="C4785" s="33">
        <v>3</v>
      </c>
      <c r="D4785" s="33" t="s">
        <v>40</v>
      </c>
      <c r="E4785" s="33">
        <f>71/30</f>
        <v>2.36666666666667</v>
      </c>
      <c r="F4785" s="33">
        <v>0</v>
      </c>
      <c r="L4785" s="187"/>
    </row>
    <row r="4786" s="33" customFormat="1" hidden="1" spans="1:12">
      <c r="A4786" s="185" t="s">
        <v>4719</v>
      </c>
      <c r="B4786" s="186">
        <v>4015401</v>
      </c>
      <c r="C4786" s="33">
        <v>3</v>
      </c>
      <c r="D4786" s="33" t="s">
        <v>42</v>
      </c>
      <c r="E4786" s="33">
        <f>60/30</f>
        <v>2</v>
      </c>
      <c r="F4786" s="33">
        <v>0</v>
      </c>
      <c r="L4786" s="187"/>
    </row>
    <row r="4787" s="33" customFormat="1" hidden="1" spans="1:12">
      <c r="A4787" s="185" t="s">
        <v>4720</v>
      </c>
      <c r="B4787" s="186">
        <v>4015401</v>
      </c>
      <c r="C4787" s="33">
        <v>3</v>
      </c>
      <c r="D4787" s="33" t="s">
        <v>44</v>
      </c>
      <c r="E4787" s="33">
        <f>60/30</f>
        <v>2</v>
      </c>
      <c r="F4787" s="33">
        <v>0</v>
      </c>
      <c r="L4787" s="187"/>
    </row>
    <row r="4788" s="33" customFormat="1" hidden="1" spans="1:12">
      <c r="A4788" s="185" t="s">
        <v>4721</v>
      </c>
      <c r="B4788" s="186">
        <v>4015401</v>
      </c>
      <c r="C4788" s="33">
        <v>3</v>
      </c>
      <c r="D4788" s="33" t="s">
        <v>46</v>
      </c>
      <c r="E4788" s="33">
        <f>86/30</f>
        <v>2.86666666666667</v>
      </c>
      <c r="F4788" s="33">
        <v>0</v>
      </c>
      <c r="L4788" s="187"/>
    </row>
    <row r="4789" s="33" customFormat="1" hidden="1" spans="1:12">
      <c r="A4789" s="185" t="s">
        <v>4722</v>
      </c>
      <c r="B4789" s="186">
        <v>4015401</v>
      </c>
      <c r="C4789" s="33">
        <v>3</v>
      </c>
      <c r="D4789" s="33" t="s">
        <v>86</v>
      </c>
      <c r="E4789" s="33">
        <f>91/30</f>
        <v>3.03333333333333</v>
      </c>
      <c r="F4789" s="33">
        <v>0</v>
      </c>
      <c r="L4789" s="187"/>
    </row>
    <row r="4790" s="33" customFormat="1" hidden="1" spans="1:12">
      <c r="A4790" s="185" t="s">
        <v>4723</v>
      </c>
      <c r="B4790" s="186">
        <v>4015401</v>
      </c>
      <c r="C4790" s="33">
        <v>3</v>
      </c>
      <c r="D4790" s="33" t="s">
        <v>50</v>
      </c>
      <c r="E4790" s="33">
        <f>451/30</f>
        <v>15.0333333333333</v>
      </c>
      <c r="F4790" s="33">
        <v>0</v>
      </c>
      <c r="L4790" s="187"/>
    </row>
    <row r="4791" s="33" customFormat="1" hidden="1" spans="1:12">
      <c r="A4791" s="185" t="s">
        <v>4724</v>
      </c>
      <c r="B4791" s="186">
        <v>4015401</v>
      </c>
      <c r="C4791" s="33">
        <v>3</v>
      </c>
      <c r="D4791" s="33" t="s">
        <v>90</v>
      </c>
      <c r="E4791" s="33">
        <f>232/30</f>
        <v>7.73333333333333</v>
      </c>
      <c r="F4791" s="33">
        <v>0</v>
      </c>
      <c r="L4791" s="187"/>
    </row>
    <row r="4792" s="33" customFormat="1" hidden="1" spans="1:12">
      <c r="A4792" s="185" t="s">
        <v>4725</v>
      </c>
      <c r="B4792" s="186">
        <v>4015401</v>
      </c>
      <c r="C4792" s="33">
        <v>3</v>
      </c>
      <c r="D4792" s="33" t="s">
        <v>133</v>
      </c>
      <c r="E4792" s="33">
        <f t="shared" ref="E4792:E4794" si="24">30/30</f>
        <v>1</v>
      </c>
      <c r="F4792" s="33">
        <v>0</v>
      </c>
      <c r="L4792" s="187"/>
    </row>
    <row r="4793" s="33" customFormat="1" hidden="1" spans="1:12">
      <c r="A4793" s="185" t="s">
        <v>4726</v>
      </c>
      <c r="B4793" s="186">
        <v>4015401</v>
      </c>
      <c r="C4793" s="33">
        <v>3</v>
      </c>
      <c r="D4793" s="33" t="s">
        <v>412</v>
      </c>
      <c r="E4793" s="33">
        <f t="shared" si="24"/>
        <v>1</v>
      </c>
      <c r="F4793" s="33">
        <v>0</v>
      </c>
      <c r="L4793" s="187"/>
    </row>
    <row r="4794" s="33" customFormat="1" hidden="1" spans="1:12">
      <c r="A4794" s="185" t="s">
        <v>4727</v>
      </c>
      <c r="B4794" s="186">
        <v>4015401</v>
      </c>
      <c r="C4794" s="33">
        <v>3</v>
      </c>
      <c r="D4794" s="33" t="s">
        <v>1826</v>
      </c>
      <c r="E4794" s="33">
        <f t="shared" si="24"/>
        <v>1</v>
      </c>
      <c r="F4794" s="33">
        <v>0</v>
      </c>
      <c r="G4794" s="33">
        <v>0</v>
      </c>
      <c r="H4794" s="33">
        <v>2</v>
      </c>
      <c r="I4794" s="33">
        <v>5068</v>
      </c>
      <c r="J4794" s="33" t="s">
        <v>58</v>
      </c>
      <c r="K4794" s="33">
        <v>1</v>
      </c>
      <c r="L4794" s="187"/>
    </row>
    <row r="4795" s="33" customFormat="1" hidden="1" spans="1:12">
      <c r="A4795" s="185" t="s">
        <v>4728</v>
      </c>
      <c r="B4795" s="186">
        <v>4015401</v>
      </c>
      <c r="C4795" s="33">
        <v>3</v>
      </c>
      <c r="D4795" s="33" t="s">
        <v>1047</v>
      </c>
      <c r="E4795" s="33">
        <f>71/30</f>
        <v>2.36666666666667</v>
      </c>
      <c r="F4795" s="33">
        <v>0</v>
      </c>
      <c r="L4795" s="187"/>
    </row>
    <row r="4796" s="33" customFormat="1" hidden="1" spans="1:12">
      <c r="A4796" s="185" t="s">
        <v>4729</v>
      </c>
      <c r="B4796" s="186">
        <v>4015401</v>
      </c>
      <c r="C4796" s="33">
        <v>3</v>
      </c>
      <c r="D4796" s="33" t="s">
        <v>272</v>
      </c>
      <c r="E4796" s="33">
        <f>32/30</f>
        <v>1.06666666666667</v>
      </c>
      <c r="F4796" s="33">
        <v>0</v>
      </c>
      <c r="L4796" s="187"/>
    </row>
    <row r="4797" s="33" customFormat="1" hidden="1" spans="1:12">
      <c r="A4797" s="185" t="s">
        <v>4730</v>
      </c>
      <c r="B4797" s="186">
        <v>4015401</v>
      </c>
      <c r="C4797" s="33">
        <v>3</v>
      </c>
      <c r="D4797" s="33" t="s">
        <v>60</v>
      </c>
      <c r="E4797" s="33">
        <f>80/30</f>
        <v>2.66666666666667</v>
      </c>
      <c r="F4797" s="33">
        <v>0</v>
      </c>
      <c r="L4797" s="187"/>
    </row>
    <row r="4798" s="33" customFormat="1" hidden="1" spans="1:12">
      <c r="A4798" s="185" t="s">
        <v>4731</v>
      </c>
      <c r="B4798" s="186">
        <v>4015401</v>
      </c>
      <c r="C4798" s="33">
        <v>3</v>
      </c>
      <c r="D4798" s="33" t="s">
        <v>2198</v>
      </c>
      <c r="E4798" s="33">
        <f>120/30</f>
        <v>4</v>
      </c>
      <c r="F4798" s="33">
        <v>0</v>
      </c>
      <c r="L4798" s="187"/>
    </row>
    <row r="4799" s="33" customFormat="1" hidden="1" spans="1:12">
      <c r="A4799" s="185" t="s">
        <v>4732</v>
      </c>
      <c r="B4799" s="186">
        <v>4015401</v>
      </c>
      <c r="C4799" s="33">
        <v>3</v>
      </c>
      <c r="D4799" s="33" t="s">
        <v>2182</v>
      </c>
      <c r="E4799" s="33">
        <f>34/30</f>
        <v>1.13333333333333</v>
      </c>
      <c r="F4799" s="33">
        <v>0</v>
      </c>
      <c r="L4799" s="187"/>
    </row>
    <row r="4800" s="33" customFormat="1" hidden="1" spans="1:12">
      <c r="A4800" s="185" t="s">
        <v>4733</v>
      </c>
      <c r="B4800" s="186">
        <v>4015401</v>
      </c>
      <c r="C4800" s="33">
        <v>3</v>
      </c>
      <c r="D4800" s="33" t="s">
        <v>2184</v>
      </c>
      <c r="E4800" s="33">
        <f>30/30</f>
        <v>1</v>
      </c>
      <c r="F4800" s="33">
        <v>0</v>
      </c>
      <c r="L4800" s="187"/>
    </row>
    <row r="4801" s="33" customFormat="1" hidden="1" spans="1:12">
      <c r="A4801" s="185" t="s">
        <v>4734</v>
      </c>
      <c r="B4801" s="186">
        <v>4015401</v>
      </c>
      <c r="C4801" s="33">
        <v>3</v>
      </c>
      <c r="D4801" s="33" t="s">
        <v>2186</v>
      </c>
      <c r="E4801" s="33">
        <f>50/30</f>
        <v>1.66666666666667</v>
      </c>
      <c r="F4801" s="33">
        <v>0</v>
      </c>
      <c r="L4801" s="187"/>
    </row>
    <row r="4802" s="33" customFormat="1" hidden="1" spans="1:12">
      <c r="A4802" s="185" t="s">
        <v>4735</v>
      </c>
      <c r="B4802" s="186">
        <v>4015401</v>
      </c>
      <c r="C4802" s="33">
        <v>3</v>
      </c>
      <c r="D4802" s="33" t="s">
        <v>2188</v>
      </c>
      <c r="E4802" s="33">
        <f t="shared" ref="E4802:E4807" si="25">24/30</f>
        <v>0.8</v>
      </c>
      <c r="F4802" s="33">
        <v>0</v>
      </c>
      <c r="L4802" s="187"/>
    </row>
    <row r="4803" s="33" customFormat="1" hidden="1" spans="1:12">
      <c r="A4803" s="185" t="s">
        <v>4736</v>
      </c>
      <c r="B4803" s="186">
        <v>4015401</v>
      </c>
      <c r="C4803" s="33">
        <v>3</v>
      </c>
      <c r="D4803" s="33" t="s">
        <v>2190</v>
      </c>
      <c r="E4803" s="33">
        <f t="shared" si="25"/>
        <v>0.8</v>
      </c>
      <c r="F4803" s="33">
        <v>0</v>
      </c>
      <c r="L4803" s="187"/>
    </row>
    <row r="4804" s="33" customFormat="1" hidden="1" spans="1:12">
      <c r="A4804" s="185" t="s">
        <v>4737</v>
      </c>
      <c r="B4804" s="186">
        <v>4015401</v>
      </c>
      <c r="C4804" s="33">
        <v>3</v>
      </c>
      <c r="D4804" s="33" t="s">
        <v>2192</v>
      </c>
      <c r="E4804" s="33">
        <f t="shared" si="25"/>
        <v>0.8</v>
      </c>
      <c r="F4804" s="33">
        <v>0</v>
      </c>
      <c r="L4804" s="187"/>
    </row>
    <row r="4805" s="33" customFormat="1" hidden="1" spans="1:12">
      <c r="A4805" s="185" t="s">
        <v>4738</v>
      </c>
      <c r="B4805" s="186">
        <v>4015401</v>
      </c>
      <c r="C4805" s="33">
        <v>3</v>
      </c>
      <c r="D4805" s="33" t="s">
        <v>2194</v>
      </c>
      <c r="E4805" s="33">
        <f t="shared" si="25"/>
        <v>0.8</v>
      </c>
      <c r="F4805" s="33">
        <v>0</v>
      </c>
      <c r="L4805" s="187"/>
    </row>
    <row r="4806" s="33" customFormat="1" hidden="1" spans="1:12">
      <c r="A4806" s="185" t="s">
        <v>4739</v>
      </c>
      <c r="B4806" s="186">
        <v>4015401</v>
      </c>
      <c r="C4806" s="33">
        <v>3</v>
      </c>
      <c r="D4806" s="33" t="s">
        <v>300</v>
      </c>
      <c r="E4806" s="33">
        <f t="shared" si="25"/>
        <v>0.8</v>
      </c>
      <c r="F4806" s="33">
        <v>0</v>
      </c>
      <c r="L4806" s="187"/>
    </row>
    <row r="4807" s="33" customFormat="1" hidden="1" spans="1:12">
      <c r="A4807" s="185" t="s">
        <v>4740</v>
      </c>
      <c r="B4807" s="186">
        <v>4015401</v>
      </c>
      <c r="C4807" s="33">
        <v>3</v>
      </c>
      <c r="D4807" s="33" t="s">
        <v>2178</v>
      </c>
      <c r="E4807" s="33">
        <f t="shared" si="25"/>
        <v>0.8</v>
      </c>
      <c r="F4807" s="33">
        <v>0</v>
      </c>
      <c r="L4807" s="187"/>
    </row>
    <row r="4808" s="33" customFormat="1" hidden="1" spans="1:12">
      <c r="A4808" s="185" t="s">
        <v>4741</v>
      </c>
      <c r="B4808" s="186">
        <v>4015401</v>
      </c>
      <c r="C4808" s="33">
        <v>3</v>
      </c>
      <c r="D4808" s="33" t="s">
        <v>2196</v>
      </c>
      <c r="E4808" s="33">
        <f>46/30</f>
        <v>1.53333333333333</v>
      </c>
      <c r="F4808" s="33">
        <v>0</v>
      </c>
      <c r="L4808" s="187"/>
    </row>
    <row r="4809" s="33" customFormat="1" hidden="1" spans="1:12">
      <c r="A4809" s="185" t="s">
        <v>4742</v>
      </c>
      <c r="B4809" s="186">
        <v>4015401</v>
      </c>
      <c r="C4809" s="33">
        <v>3</v>
      </c>
      <c r="D4809" s="33" t="s">
        <v>92</v>
      </c>
      <c r="E4809" s="33">
        <f>100/30</f>
        <v>3.33333333333333</v>
      </c>
      <c r="F4809" s="33">
        <v>0</v>
      </c>
      <c r="L4809" s="187"/>
    </row>
    <row r="4810" s="33" customFormat="1" hidden="1" spans="1:12">
      <c r="A4810" s="185" t="s">
        <v>4743</v>
      </c>
      <c r="B4810" s="186">
        <v>4015401</v>
      </c>
      <c r="C4810" s="33">
        <v>3</v>
      </c>
      <c r="D4810" s="33" t="s">
        <v>109</v>
      </c>
      <c r="E4810" s="33">
        <f>84/30</f>
        <v>2.8</v>
      </c>
      <c r="F4810" s="33">
        <v>0</v>
      </c>
      <c r="L4810" s="187"/>
    </row>
    <row r="4811" s="33" customFormat="1" hidden="1" spans="1:12">
      <c r="A4811" s="185" t="s">
        <v>4744</v>
      </c>
      <c r="B4811" s="186">
        <v>4015401</v>
      </c>
      <c r="C4811" s="33">
        <v>3</v>
      </c>
      <c r="D4811" s="33" t="s">
        <v>97</v>
      </c>
      <c r="E4811" s="33">
        <f>108/30</f>
        <v>3.6</v>
      </c>
      <c r="F4811" s="33">
        <v>0</v>
      </c>
      <c r="L4811" s="187"/>
    </row>
    <row r="4812" s="33" customFormat="1" hidden="1" spans="1:12">
      <c r="A4812" s="185" t="s">
        <v>4745</v>
      </c>
      <c r="B4812" s="186">
        <v>4015401</v>
      </c>
      <c r="C4812" s="33">
        <v>3</v>
      </c>
      <c r="D4812" s="33" t="s">
        <v>77</v>
      </c>
      <c r="E4812" s="33">
        <f>60/30</f>
        <v>2</v>
      </c>
      <c r="F4812" s="33">
        <v>0</v>
      </c>
      <c r="L4812" s="187"/>
    </row>
    <row r="4813" s="33" customFormat="1" hidden="1" spans="1:12">
      <c r="A4813" s="185" t="s">
        <v>4746</v>
      </c>
      <c r="B4813" s="186">
        <v>4015401</v>
      </c>
      <c r="C4813" s="33">
        <v>3</v>
      </c>
      <c r="D4813" s="33" t="s">
        <v>54</v>
      </c>
      <c r="E4813" s="33">
        <f>78/30</f>
        <v>2.6</v>
      </c>
      <c r="F4813" s="33">
        <v>0</v>
      </c>
      <c r="L4813" s="187"/>
    </row>
    <row r="4814" s="33" customFormat="1" hidden="1" spans="1:12">
      <c r="A4814" s="185" t="s">
        <v>4747</v>
      </c>
      <c r="B4814" s="186">
        <v>4015401</v>
      </c>
      <c r="C4814" s="33">
        <v>3</v>
      </c>
      <c r="D4814" s="33" t="s">
        <v>57</v>
      </c>
      <c r="E4814" s="33">
        <f>93/30</f>
        <v>3.1</v>
      </c>
      <c r="F4814" s="33">
        <v>0</v>
      </c>
      <c r="G4814" s="33" t="s">
        <v>61</v>
      </c>
      <c r="H4814" s="33" t="s">
        <v>62</v>
      </c>
      <c r="I4814" s="33" t="s">
        <v>4707</v>
      </c>
      <c r="J4814" s="33" t="s">
        <v>4708</v>
      </c>
      <c r="K4814" s="33" t="s">
        <v>95</v>
      </c>
      <c r="L4814" s="187"/>
    </row>
    <row r="4815" s="33" customFormat="1" hidden="1" spans="1:12">
      <c r="A4815" s="185" t="s">
        <v>4748</v>
      </c>
      <c r="B4815" s="186">
        <v>4015401</v>
      </c>
      <c r="C4815" s="33">
        <v>3</v>
      </c>
      <c r="D4815" s="33" t="s">
        <v>2618</v>
      </c>
      <c r="E4815" s="33">
        <f>60/30</f>
        <v>2</v>
      </c>
      <c r="F4815" s="33">
        <v>0</v>
      </c>
      <c r="L4815" s="187"/>
    </row>
    <row r="4816" s="33" customFormat="1" hidden="1" spans="1:12">
      <c r="A4816" s="185" t="s">
        <v>4749</v>
      </c>
      <c r="B4816" s="186">
        <v>4015401</v>
      </c>
      <c r="C4816" s="33">
        <v>3</v>
      </c>
      <c r="D4816" s="33" t="s">
        <v>1788</v>
      </c>
      <c r="E4816" s="33">
        <f>107/30</f>
        <v>3.56666666666667</v>
      </c>
      <c r="F4816" s="33">
        <v>1</v>
      </c>
      <c r="L4816" s="187"/>
    </row>
    <row r="4817" s="33" customFormat="1" hidden="1" spans="1:12">
      <c r="A4817" s="185" t="s">
        <v>4750</v>
      </c>
      <c r="B4817" s="186">
        <v>4015401</v>
      </c>
      <c r="C4817" s="33">
        <v>3</v>
      </c>
      <c r="D4817" s="33" t="s">
        <v>2621</v>
      </c>
      <c r="E4817" s="33">
        <f>24/30</f>
        <v>0.8</v>
      </c>
      <c r="F4817" s="33">
        <v>1</v>
      </c>
      <c r="L4817" s="187"/>
    </row>
    <row r="4818" s="33" customFormat="1" hidden="1" spans="1:12">
      <c r="A4818" s="185" t="s">
        <v>4751</v>
      </c>
      <c r="B4818" s="186">
        <v>4015401</v>
      </c>
      <c r="C4818" s="33">
        <v>3</v>
      </c>
      <c r="D4818" s="33" t="s">
        <v>2623</v>
      </c>
      <c r="E4818" s="33">
        <f>68/30</f>
        <v>2.26666666666667</v>
      </c>
      <c r="F4818" s="33">
        <v>1</v>
      </c>
      <c r="L4818" s="187"/>
    </row>
    <row r="4819" s="19" customFormat="1" hidden="1" spans="1:12">
      <c r="A4819" s="111" t="s">
        <v>4752</v>
      </c>
      <c r="B4819" s="112">
        <v>4015402</v>
      </c>
      <c r="C4819" s="19">
        <v>3</v>
      </c>
      <c r="D4819" s="19" t="s">
        <v>36</v>
      </c>
      <c r="E4819" s="19">
        <f>66/30</f>
        <v>2.2</v>
      </c>
      <c r="F4819" s="19">
        <v>0</v>
      </c>
      <c r="L4819" s="114"/>
    </row>
    <row r="4820" s="19" customFormat="1" hidden="1" spans="1:12">
      <c r="A4820" s="111" t="s">
        <v>4753</v>
      </c>
      <c r="B4820" s="112">
        <v>4015402</v>
      </c>
      <c r="C4820" s="19">
        <v>3</v>
      </c>
      <c r="D4820" s="19" t="s">
        <v>38</v>
      </c>
      <c r="E4820" s="19">
        <f>68/30</f>
        <v>2.26666666666667</v>
      </c>
      <c r="F4820" s="19">
        <v>0</v>
      </c>
      <c r="L4820" s="114"/>
    </row>
    <row r="4821" s="19" customFormat="1" hidden="1" spans="1:12">
      <c r="A4821" s="111" t="s">
        <v>4754</v>
      </c>
      <c r="B4821" s="112">
        <v>4015402</v>
      </c>
      <c r="C4821" s="19">
        <v>3</v>
      </c>
      <c r="D4821" s="19" t="s">
        <v>40</v>
      </c>
      <c r="E4821" s="19">
        <f>71/30</f>
        <v>2.36666666666667</v>
      </c>
      <c r="F4821" s="19">
        <v>0</v>
      </c>
      <c r="L4821" s="114"/>
    </row>
    <row r="4822" s="19" customFormat="1" hidden="1" spans="1:12">
      <c r="A4822" s="111" t="s">
        <v>4755</v>
      </c>
      <c r="B4822" s="112">
        <v>4015402</v>
      </c>
      <c r="C4822" s="19">
        <v>3</v>
      </c>
      <c r="D4822" s="19" t="s">
        <v>42</v>
      </c>
      <c r="E4822" s="19">
        <f>60/30</f>
        <v>2</v>
      </c>
      <c r="F4822" s="19">
        <v>0</v>
      </c>
      <c r="L4822" s="114"/>
    </row>
    <row r="4823" s="19" customFormat="1" hidden="1" spans="1:12">
      <c r="A4823" s="111" t="s">
        <v>4756</v>
      </c>
      <c r="B4823" s="112">
        <v>4015402</v>
      </c>
      <c r="C4823" s="19">
        <v>3</v>
      </c>
      <c r="D4823" s="19" t="s">
        <v>44</v>
      </c>
      <c r="E4823" s="19">
        <f>60/30</f>
        <v>2</v>
      </c>
      <c r="F4823" s="19">
        <v>0</v>
      </c>
      <c r="L4823" s="114"/>
    </row>
    <row r="4824" s="19" customFormat="1" hidden="1" spans="1:12">
      <c r="A4824" s="111" t="s">
        <v>4757</v>
      </c>
      <c r="B4824" s="112">
        <v>4015402</v>
      </c>
      <c r="C4824" s="19">
        <v>3</v>
      </c>
      <c r="D4824" s="19" t="s">
        <v>46</v>
      </c>
      <c r="E4824" s="19">
        <f>86/30</f>
        <v>2.86666666666667</v>
      </c>
      <c r="F4824" s="19">
        <v>0</v>
      </c>
      <c r="L4824" s="114"/>
    </row>
    <row r="4825" s="19" customFormat="1" hidden="1" spans="1:12">
      <c r="A4825" s="111" t="s">
        <v>4758</v>
      </c>
      <c r="B4825" s="112">
        <v>4015402</v>
      </c>
      <c r="C4825" s="19">
        <v>3</v>
      </c>
      <c r="D4825" s="19" t="s">
        <v>86</v>
      </c>
      <c r="E4825" s="19">
        <f>91/30</f>
        <v>3.03333333333333</v>
      </c>
      <c r="F4825" s="19">
        <v>0</v>
      </c>
      <c r="L4825" s="114"/>
    </row>
    <row r="4826" s="19" customFormat="1" hidden="1" spans="1:12">
      <c r="A4826" s="111" t="s">
        <v>4759</v>
      </c>
      <c r="B4826" s="112">
        <v>4015402</v>
      </c>
      <c r="C4826" s="19">
        <v>3</v>
      </c>
      <c r="D4826" s="19" t="s">
        <v>50</v>
      </c>
      <c r="E4826" s="19">
        <f>451/30</f>
        <v>15.0333333333333</v>
      </c>
      <c r="F4826" s="19">
        <v>0</v>
      </c>
      <c r="L4826" s="114"/>
    </row>
    <row r="4827" s="19" customFormat="1" hidden="1" spans="1:12">
      <c r="A4827" s="111" t="s">
        <v>4760</v>
      </c>
      <c r="B4827" s="112">
        <v>4015402</v>
      </c>
      <c r="C4827" s="19">
        <v>3</v>
      </c>
      <c r="D4827" s="19" t="s">
        <v>90</v>
      </c>
      <c r="E4827" s="19">
        <f>232/30</f>
        <v>7.73333333333333</v>
      </c>
      <c r="F4827" s="19">
        <v>0</v>
      </c>
      <c r="L4827" s="114"/>
    </row>
    <row r="4828" s="19" customFormat="1" hidden="1" spans="1:12">
      <c r="A4828" s="111" t="s">
        <v>4761</v>
      </c>
      <c r="B4828" s="112">
        <v>4015402</v>
      </c>
      <c r="C4828" s="19">
        <v>3</v>
      </c>
      <c r="D4828" s="19" t="s">
        <v>133</v>
      </c>
      <c r="E4828" s="19">
        <f t="shared" ref="E4828:E4830" si="26">30/30</f>
        <v>1</v>
      </c>
      <c r="F4828" s="19">
        <v>0</v>
      </c>
      <c r="L4828" s="114"/>
    </row>
    <row r="4829" s="19" customFormat="1" hidden="1" spans="1:12">
      <c r="A4829" s="111" t="s">
        <v>4762</v>
      </c>
      <c r="B4829" s="112">
        <v>4015402</v>
      </c>
      <c r="C4829" s="19">
        <v>3</v>
      </c>
      <c r="D4829" s="19" t="s">
        <v>412</v>
      </c>
      <c r="E4829" s="19">
        <f t="shared" si="26"/>
        <v>1</v>
      </c>
      <c r="F4829" s="19">
        <v>0</v>
      </c>
      <c r="L4829" s="114"/>
    </row>
    <row r="4830" s="19" customFormat="1" hidden="1" spans="1:12">
      <c r="A4830" s="111" t="s">
        <v>4763</v>
      </c>
      <c r="B4830" s="112">
        <v>4015402</v>
      </c>
      <c r="C4830" s="19">
        <v>3</v>
      </c>
      <c r="D4830" s="19" t="s">
        <v>1826</v>
      </c>
      <c r="E4830" s="19">
        <f t="shared" si="26"/>
        <v>1</v>
      </c>
      <c r="F4830" s="19">
        <v>0</v>
      </c>
      <c r="G4830" s="19">
        <v>0</v>
      </c>
      <c r="H4830" s="19">
        <v>2</v>
      </c>
      <c r="I4830" s="19">
        <v>5068</v>
      </c>
      <c r="J4830" s="19" t="s">
        <v>58</v>
      </c>
      <c r="K4830" s="19">
        <v>1</v>
      </c>
      <c r="L4830" s="114"/>
    </row>
    <row r="4831" s="19" customFormat="1" hidden="1" spans="1:12">
      <c r="A4831" s="111" t="s">
        <v>4764</v>
      </c>
      <c r="B4831" s="112">
        <v>4015402</v>
      </c>
      <c r="C4831" s="19">
        <v>3</v>
      </c>
      <c r="D4831" s="19" t="s">
        <v>1047</v>
      </c>
      <c r="E4831" s="19">
        <f>71/30</f>
        <v>2.36666666666667</v>
      </c>
      <c r="F4831" s="19">
        <v>0</v>
      </c>
      <c r="L4831" s="114"/>
    </row>
    <row r="4832" s="19" customFormat="1" hidden="1" spans="1:12">
      <c r="A4832" s="111" t="s">
        <v>4765</v>
      </c>
      <c r="B4832" s="112">
        <v>4015402</v>
      </c>
      <c r="C4832" s="19">
        <v>3</v>
      </c>
      <c r="D4832" s="19" t="s">
        <v>272</v>
      </c>
      <c r="E4832" s="19">
        <f>32/30</f>
        <v>1.06666666666667</v>
      </c>
      <c r="F4832" s="19">
        <v>0</v>
      </c>
      <c r="L4832" s="114"/>
    </row>
    <row r="4833" s="19" customFormat="1" hidden="1" spans="1:12">
      <c r="A4833" s="111" t="s">
        <v>4766</v>
      </c>
      <c r="B4833" s="112">
        <v>4015402</v>
      </c>
      <c r="C4833" s="19">
        <v>3</v>
      </c>
      <c r="D4833" s="19" t="s">
        <v>60</v>
      </c>
      <c r="E4833" s="19">
        <f>80/30</f>
        <v>2.66666666666667</v>
      </c>
      <c r="F4833" s="19">
        <v>0</v>
      </c>
      <c r="L4833" s="114"/>
    </row>
    <row r="4834" s="19" customFormat="1" hidden="1" spans="1:12">
      <c r="A4834" s="111" t="s">
        <v>4767</v>
      </c>
      <c r="B4834" s="112">
        <v>4015402</v>
      </c>
      <c r="C4834" s="19">
        <v>3</v>
      </c>
      <c r="D4834" s="19" t="s">
        <v>2198</v>
      </c>
      <c r="E4834" s="19">
        <f>120/30</f>
        <v>4</v>
      </c>
      <c r="F4834" s="19">
        <v>0</v>
      </c>
      <c r="L4834" s="114"/>
    </row>
    <row r="4835" s="19" customFormat="1" hidden="1" spans="1:12">
      <c r="A4835" s="111" t="s">
        <v>4768</v>
      </c>
      <c r="B4835" s="112">
        <v>4015402</v>
      </c>
      <c r="C4835" s="19">
        <v>3</v>
      </c>
      <c r="D4835" s="19" t="s">
        <v>2182</v>
      </c>
      <c r="E4835" s="19">
        <f>34/30</f>
        <v>1.13333333333333</v>
      </c>
      <c r="F4835" s="19">
        <v>0</v>
      </c>
      <c r="L4835" s="114"/>
    </row>
    <row r="4836" s="19" customFormat="1" hidden="1" spans="1:12">
      <c r="A4836" s="111" t="s">
        <v>4769</v>
      </c>
      <c r="B4836" s="112">
        <v>4015402</v>
      </c>
      <c r="C4836" s="19">
        <v>3</v>
      </c>
      <c r="D4836" s="19" t="s">
        <v>2184</v>
      </c>
      <c r="E4836" s="19">
        <f>30/30</f>
        <v>1</v>
      </c>
      <c r="F4836" s="19">
        <v>0</v>
      </c>
      <c r="L4836" s="114"/>
    </row>
    <row r="4837" s="19" customFormat="1" hidden="1" spans="1:12">
      <c r="A4837" s="111" t="s">
        <v>4770</v>
      </c>
      <c r="B4837" s="112">
        <v>4015402</v>
      </c>
      <c r="C4837" s="19">
        <v>3</v>
      </c>
      <c r="D4837" s="19" t="s">
        <v>2186</v>
      </c>
      <c r="E4837" s="19">
        <f>50/30</f>
        <v>1.66666666666667</v>
      </c>
      <c r="F4837" s="19">
        <v>0</v>
      </c>
      <c r="L4837" s="114"/>
    </row>
    <row r="4838" s="19" customFormat="1" hidden="1" spans="1:12">
      <c r="A4838" s="111" t="s">
        <v>4771</v>
      </c>
      <c r="B4838" s="112">
        <v>4015402</v>
      </c>
      <c r="C4838" s="19">
        <v>3</v>
      </c>
      <c r="D4838" s="19" t="s">
        <v>2188</v>
      </c>
      <c r="E4838" s="19">
        <f t="shared" ref="E4838:E4843" si="27">24/30</f>
        <v>0.8</v>
      </c>
      <c r="F4838" s="19">
        <v>0</v>
      </c>
      <c r="L4838" s="114"/>
    </row>
    <row r="4839" s="19" customFormat="1" hidden="1" spans="1:12">
      <c r="A4839" s="111" t="s">
        <v>4772</v>
      </c>
      <c r="B4839" s="112">
        <v>4015402</v>
      </c>
      <c r="C4839" s="19">
        <v>3</v>
      </c>
      <c r="D4839" s="19" t="s">
        <v>2190</v>
      </c>
      <c r="E4839" s="19">
        <f t="shared" si="27"/>
        <v>0.8</v>
      </c>
      <c r="F4839" s="19">
        <v>0</v>
      </c>
      <c r="L4839" s="114"/>
    </row>
    <row r="4840" s="19" customFormat="1" hidden="1" spans="1:12">
      <c r="A4840" s="111" t="s">
        <v>4773</v>
      </c>
      <c r="B4840" s="112">
        <v>4015402</v>
      </c>
      <c r="C4840" s="19">
        <v>3</v>
      </c>
      <c r="D4840" s="19" t="s">
        <v>2192</v>
      </c>
      <c r="E4840" s="19">
        <f t="shared" si="27"/>
        <v>0.8</v>
      </c>
      <c r="F4840" s="19">
        <v>0</v>
      </c>
      <c r="L4840" s="114"/>
    </row>
    <row r="4841" s="19" customFormat="1" hidden="1" spans="1:12">
      <c r="A4841" s="111" t="s">
        <v>4774</v>
      </c>
      <c r="B4841" s="112">
        <v>4015402</v>
      </c>
      <c r="C4841" s="19">
        <v>3</v>
      </c>
      <c r="D4841" s="19" t="s">
        <v>2194</v>
      </c>
      <c r="E4841" s="19">
        <f t="shared" si="27"/>
        <v>0.8</v>
      </c>
      <c r="F4841" s="19">
        <v>0</v>
      </c>
      <c r="L4841" s="114"/>
    </row>
    <row r="4842" s="19" customFormat="1" hidden="1" spans="1:12">
      <c r="A4842" s="111" t="s">
        <v>4775</v>
      </c>
      <c r="B4842" s="112">
        <v>4015402</v>
      </c>
      <c r="C4842" s="19">
        <v>3</v>
      </c>
      <c r="D4842" s="19" t="s">
        <v>300</v>
      </c>
      <c r="E4842" s="19">
        <f t="shared" si="27"/>
        <v>0.8</v>
      </c>
      <c r="F4842" s="19">
        <v>0</v>
      </c>
      <c r="L4842" s="114"/>
    </row>
    <row r="4843" s="19" customFormat="1" hidden="1" spans="1:12">
      <c r="A4843" s="111" t="s">
        <v>4776</v>
      </c>
      <c r="B4843" s="112">
        <v>4015402</v>
      </c>
      <c r="C4843" s="19">
        <v>3</v>
      </c>
      <c r="D4843" s="19" t="s">
        <v>2178</v>
      </c>
      <c r="E4843" s="19">
        <f t="shared" si="27"/>
        <v>0.8</v>
      </c>
      <c r="F4843" s="19">
        <v>0</v>
      </c>
      <c r="L4843" s="114"/>
    </row>
    <row r="4844" s="19" customFormat="1" hidden="1" spans="1:12">
      <c r="A4844" s="111" t="s">
        <v>4777</v>
      </c>
      <c r="B4844" s="112">
        <v>4015402</v>
      </c>
      <c r="C4844" s="19">
        <v>3</v>
      </c>
      <c r="D4844" s="19" t="s">
        <v>2196</v>
      </c>
      <c r="E4844" s="19">
        <f>46/30</f>
        <v>1.53333333333333</v>
      </c>
      <c r="F4844" s="19">
        <v>0</v>
      </c>
      <c r="L4844" s="114"/>
    </row>
    <row r="4845" s="19" customFormat="1" hidden="1" spans="1:12">
      <c r="A4845" s="111" t="s">
        <v>4778</v>
      </c>
      <c r="B4845" s="112">
        <v>4015402</v>
      </c>
      <c r="C4845" s="19">
        <v>3</v>
      </c>
      <c r="D4845" s="19" t="s">
        <v>92</v>
      </c>
      <c r="E4845" s="19">
        <f>100/30</f>
        <v>3.33333333333333</v>
      </c>
      <c r="F4845" s="19">
        <v>0</v>
      </c>
      <c r="L4845" s="114"/>
    </row>
    <row r="4846" s="19" customFormat="1" hidden="1" spans="1:12">
      <c r="A4846" s="111" t="s">
        <v>4779</v>
      </c>
      <c r="B4846" s="112">
        <v>4015402</v>
      </c>
      <c r="C4846" s="19">
        <v>3</v>
      </c>
      <c r="D4846" s="19" t="s">
        <v>109</v>
      </c>
      <c r="E4846" s="19">
        <f>84/30</f>
        <v>2.8</v>
      </c>
      <c r="F4846" s="19">
        <v>0</v>
      </c>
      <c r="L4846" s="114"/>
    </row>
    <row r="4847" s="19" customFormat="1" hidden="1" spans="1:12">
      <c r="A4847" s="111" t="s">
        <v>4780</v>
      </c>
      <c r="B4847" s="112">
        <v>4015402</v>
      </c>
      <c r="C4847" s="19">
        <v>3</v>
      </c>
      <c r="D4847" s="19" t="s">
        <v>97</v>
      </c>
      <c r="E4847" s="19">
        <f>108/30</f>
        <v>3.6</v>
      </c>
      <c r="F4847" s="19">
        <v>0</v>
      </c>
      <c r="L4847" s="114"/>
    </row>
    <row r="4848" s="19" customFormat="1" hidden="1" spans="1:12">
      <c r="A4848" s="111" t="s">
        <v>4781</v>
      </c>
      <c r="B4848" s="112">
        <v>4015402</v>
      </c>
      <c r="C4848" s="19">
        <v>3</v>
      </c>
      <c r="D4848" s="19" t="s">
        <v>77</v>
      </c>
      <c r="E4848" s="19">
        <f>60/30</f>
        <v>2</v>
      </c>
      <c r="F4848" s="19">
        <v>0</v>
      </c>
      <c r="L4848" s="114"/>
    </row>
    <row r="4849" s="19" customFormat="1" hidden="1" spans="1:12">
      <c r="A4849" s="111" t="s">
        <v>4782</v>
      </c>
      <c r="B4849" s="112">
        <v>4015402</v>
      </c>
      <c r="C4849" s="19">
        <v>3</v>
      </c>
      <c r="D4849" s="19" t="s">
        <v>54</v>
      </c>
      <c r="E4849" s="19">
        <f>78/30</f>
        <v>2.6</v>
      </c>
      <c r="F4849" s="19">
        <v>0</v>
      </c>
      <c r="L4849" s="114"/>
    </row>
    <row r="4850" s="19" customFormat="1" hidden="1" spans="1:12">
      <c r="A4850" s="111" t="s">
        <v>4783</v>
      </c>
      <c r="B4850" s="112">
        <v>4015402</v>
      </c>
      <c r="C4850" s="19">
        <v>3</v>
      </c>
      <c r="D4850" s="19" t="s">
        <v>57</v>
      </c>
      <c r="E4850" s="19">
        <f>93/30</f>
        <v>3.1</v>
      </c>
      <c r="F4850" s="19">
        <v>0</v>
      </c>
      <c r="G4850" s="19" t="s">
        <v>61</v>
      </c>
      <c r="H4850" s="19" t="s">
        <v>62</v>
      </c>
      <c r="I4850" s="19" t="s">
        <v>4707</v>
      </c>
      <c r="J4850" s="19" t="s">
        <v>4708</v>
      </c>
      <c r="K4850" s="19" t="s">
        <v>95</v>
      </c>
      <c r="L4850" s="114"/>
    </row>
    <row r="4851" s="19" customFormat="1" hidden="1" spans="1:12">
      <c r="A4851" s="111" t="s">
        <v>4784</v>
      </c>
      <c r="B4851" s="112">
        <v>4015402</v>
      </c>
      <c r="C4851" s="19">
        <v>3</v>
      </c>
      <c r="D4851" s="19" t="s">
        <v>2618</v>
      </c>
      <c r="E4851" s="19">
        <f>60/30</f>
        <v>2</v>
      </c>
      <c r="F4851" s="19">
        <v>0</v>
      </c>
      <c r="L4851" s="114"/>
    </row>
    <row r="4852" s="19" customFormat="1" hidden="1" spans="1:12">
      <c r="A4852" s="111" t="s">
        <v>4785</v>
      </c>
      <c r="B4852" s="112">
        <v>4015402</v>
      </c>
      <c r="C4852" s="19">
        <v>3</v>
      </c>
      <c r="D4852" s="19" t="s">
        <v>1788</v>
      </c>
      <c r="E4852" s="19">
        <f>107/30</f>
        <v>3.56666666666667</v>
      </c>
      <c r="F4852" s="19">
        <v>1</v>
      </c>
      <c r="L4852" s="114"/>
    </row>
    <row r="4853" s="19" customFormat="1" hidden="1" spans="1:12">
      <c r="A4853" s="111" t="s">
        <v>4786</v>
      </c>
      <c r="B4853" s="112">
        <v>4015402</v>
      </c>
      <c r="C4853" s="19">
        <v>3</v>
      </c>
      <c r="D4853" s="19" t="s">
        <v>2621</v>
      </c>
      <c r="E4853" s="19">
        <f>24/30</f>
        <v>0.8</v>
      </c>
      <c r="F4853" s="19">
        <v>1</v>
      </c>
      <c r="L4853" s="114"/>
    </row>
    <row r="4854" s="19" customFormat="1" hidden="1" spans="1:12">
      <c r="A4854" s="111" t="s">
        <v>4787</v>
      </c>
      <c r="B4854" s="112">
        <v>4015402</v>
      </c>
      <c r="C4854" s="19">
        <v>3</v>
      </c>
      <c r="D4854" s="19" t="s">
        <v>2623</v>
      </c>
      <c r="E4854" s="19">
        <f>68/30</f>
        <v>2.26666666666667</v>
      </c>
      <c r="F4854" s="19">
        <v>1</v>
      </c>
      <c r="L4854" s="114"/>
    </row>
    <row r="4855" s="13" customFormat="1" hidden="1" spans="1:12">
      <c r="A4855" s="76" t="s">
        <v>4788</v>
      </c>
      <c r="B4855" s="77">
        <v>4015403</v>
      </c>
      <c r="C4855" s="13">
        <v>3</v>
      </c>
      <c r="D4855" s="13" t="s">
        <v>36</v>
      </c>
      <c r="E4855" s="13">
        <v>2.2</v>
      </c>
      <c r="F4855" s="13">
        <v>0</v>
      </c>
      <c r="L4855" s="78"/>
    </row>
    <row r="4856" s="13" customFormat="1" hidden="1" spans="1:12">
      <c r="A4856" s="76" t="s">
        <v>4789</v>
      </c>
      <c r="B4856" s="77">
        <v>4015403</v>
      </c>
      <c r="C4856" s="13">
        <v>3</v>
      </c>
      <c r="D4856" s="13" t="s">
        <v>38</v>
      </c>
      <c r="E4856" s="13">
        <v>2.26666666666667</v>
      </c>
      <c r="F4856" s="13">
        <v>0</v>
      </c>
      <c r="L4856" s="78"/>
    </row>
    <row r="4857" s="13" customFormat="1" hidden="1" spans="1:12">
      <c r="A4857" s="76" t="s">
        <v>4790</v>
      </c>
      <c r="B4857" s="77">
        <v>4015403</v>
      </c>
      <c r="C4857" s="13">
        <v>3</v>
      </c>
      <c r="D4857" s="13" t="s">
        <v>40</v>
      </c>
      <c r="E4857" s="13">
        <v>2.36666666666667</v>
      </c>
      <c r="F4857" s="13">
        <v>0</v>
      </c>
      <c r="L4857" s="78"/>
    </row>
    <row r="4858" s="13" customFormat="1" hidden="1" spans="1:12">
      <c r="A4858" s="76" t="s">
        <v>4791</v>
      </c>
      <c r="B4858" s="77">
        <v>4015403</v>
      </c>
      <c r="C4858" s="13">
        <v>3</v>
      </c>
      <c r="D4858" s="13" t="s">
        <v>42</v>
      </c>
      <c r="E4858" s="13">
        <v>2</v>
      </c>
      <c r="F4858" s="13">
        <v>0</v>
      </c>
      <c r="L4858" s="78"/>
    </row>
    <row r="4859" s="13" customFormat="1" hidden="1" spans="1:12">
      <c r="A4859" s="76" t="s">
        <v>4792</v>
      </c>
      <c r="B4859" s="77">
        <v>4015403</v>
      </c>
      <c r="C4859" s="13">
        <v>3</v>
      </c>
      <c r="D4859" s="13" t="s">
        <v>44</v>
      </c>
      <c r="E4859" s="13">
        <v>2</v>
      </c>
      <c r="F4859" s="13">
        <v>0</v>
      </c>
      <c r="L4859" s="78"/>
    </row>
    <row r="4860" s="13" customFormat="1" hidden="1" spans="1:12">
      <c r="A4860" s="76" t="s">
        <v>4793</v>
      </c>
      <c r="B4860" s="77">
        <v>4015403</v>
      </c>
      <c r="C4860" s="13">
        <v>3</v>
      </c>
      <c r="D4860" s="13" t="s">
        <v>46</v>
      </c>
      <c r="E4860" s="13">
        <v>2.86666666666667</v>
      </c>
      <c r="F4860" s="13">
        <v>0</v>
      </c>
      <c r="L4860" s="78"/>
    </row>
    <row r="4861" s="13" customFormat="1" hidden="1" spans="1:12">
      <c r="A4861" s="76" t="s">
        <v>4794</v>
      </c>
      <c r="B4861" s="77">
        <v>4015403</v>
      </c>
      <c r="C4861" s="13">
        <v>3</v>
      </c>
      <c r="D4861" s="13" t="s">
        <v>86</v>
      </c>
      <c r="E4861" s="13">
        <v>3.03333333333333</v>
      </c>
      <c r="F4861" s="13">
        <v>0</v>
      </c>
      <c r="L4861" s="78"/>
    </row>
    <row r="4862" s="13" customFormat="1" hidden="1" spans="1:12">
      <c r="A4862" s="76" t="s">
        <v>4795</v>
      </c>
      <c r="B4862" s="77">
        <v>4015403</v>
      </c>
      <c r="C4862" s="13">
        <v>3</v>
      </c>
      <c r="D4862" s="13" t="s">
        <v>50</v>
      </c>
      <c r="E4862" s="13">
        <v>15.0333333333333</v>
      </c>
      <c r="F4862" s="13">
        <v>0</v>
      </c>
      <c r="L4862" s="78"/>
    </row>
    <row r="4863" s="13" customFormat="1" hidden="1" spans="1:12">
      <c r="A4863" s="76" t="s">
        <v>4796</v>
      </c>
      <c r="B4863" s="77">
        <v>4015403</v>
      </c>
      <c r="C4863" s="13">
        <v>3</v>
      </c>
      <c r="D4863" s="13" t="s">
        <v>90</v>
      </c>
      <c r="E4863" s="13">
        <v>7.73333333333333</v>
      </c>
      <c r="F4863" s="13">
        <v>0</v>
      </c>
      <c r="L4863" s="78"/>
    </row>
    <row r="4864" s="13" customFormat="1" hidden="1" spans="1:12">
      <c r="A4864" s="76" t="s">
        <v>4797</v>
      </c>
      <c r="B4864" s="77">
        <v>4015403</v>
      </c>
      <c r="C4864" s="13">
        <v>3</v>
      </c>
      <c r="D4864" s="13" t="s">
        <v>133</v>
      </c>
      <c r="E4864" s="13">
        <v>1</v>
      </c>
      <c r="F4864" s="13">
        <v>0</v>
      </c>
      <c r="L4864" s="78"/>
    </row>
    <row r="4865" s="13" customFormat="1" hidden="1" spans="1:12">
      <c r="A4865" s="76" t="s">
        <v>4798</v>
      </c>
      <c r="B4865" s="77">
        <v>4015403</v>
      </c>
      <c r="C4865" s="13">
        <v>3</v>
      </c>
      <c r="D4865" s="13" t="s">
        <v>412</v>
      </c>
      <c r="E4865" s="13">
        <v>1</v>
      </c>
      <c r="F4865" s="13">
        <v>0</v>
      </c>
      <c r="L4865" s="78"/>
    </row>
    <row r="4866" s="13" customFormat="1" hidden="1" spans="1:12">
      <c r="A4866" s="76" t="s">
        <v>4799</v>
      </c>
      <c r="B4866" s="77">
        <v>4015403</v>
      </c>
      <c r="C4866" s="13">
        <v>3</v>
      </c>
      <c r="D4866" s="13" t="s">
        <v>1826</v>
      </c>
      <c r="E4866" s="13">
        <v>1</v>
      </c>
      <c r="F4866" s="13">
        <v>0</v>
      </c>
      <c r="L4866" s="78"/>
    </row>
    <row r="4867" s="13" customFormat="1" hidden="1" spans="1:12">
      <c r="A4867" s="76" t="s">
        <v>4800</v>
      </c>
      <c r="B4867" s="77">
        <v>4015403</v>
      </c>
      <c r="C4867" s="13">
        <v>3</v>
      </c>
      <c r="D4867" s="13" t="s">
        <v>1047</v>
      </c>
      <c r="E4867" s="13">
        <v>2.36666666666667</v>
      </c>
      <c r="F4867" s="13">
        <v>0</v>
      </c>
      <c r="L4867" s="78"/>
    </row>
    <row r="4868" s="13" customFormat="1" hidden="1" spans="1:12">
      <c r="A4868" s="76" t="s">
        <v>4801</v>
      </c>
      <c r="B4868" s="77">
        <v>4015403</v>
      </c>
      <c r="C4868" s="13">
        <v>3</v>
      </c>
      <c r="D4868" s="13" t="s">
        <v>272</v>
      </c>
      <c r="E4868" s="13">
        <v>1.06666666666667</v>
      </c>
      <c r="F4868" s="13">
        <v>0</v>
      </c>
      <c r="L4868" s="78"/>
    </row>
    <row r="4869" s="13" customFormat="1" hidden="1" spans="1:12">
      <c r="A4869" s="76" t="s">
        <v>4802</v>
      </c>
      <c r="B4869" s="77">
        <v>4015403</v>
      </c>
      <c r="C4869" s="13">
        <v>3</v>
      </c>
      <c r="D4869" s="13" t="s">
        <v>60</v>
      </c>
      <c r="E4869" s="13">
        <v>2.66666666666667</v>
      </c>
      <c r="F4869" s="13">
        <v>0</v>
      </c>
      <c r="L4869" s="78"/>
    </row>
    <row r="4870" s="13" customFormat="1" hidden="1" spans="1:12">
      <c r="A4870" s="76" t="s">
        <v>4803</v>
      </c>
      <c r="B4870" s="77">
        <v>4015403</v>
      </c>
      <c r="C4870" s="13">
        <v>3</v>
      </c>
      <c r="D4870" s="13" t="s">
        <v>2198</v>
      </c>
      <c r="E4870" s="13">
        <v>4</v>
      </c>
      <c r="F4870" s="13">
        <v>0</v>
      </c>
      <c r="L4870" s="78"/>
    </row>
    <row r="4871" s="13" customFormat="1" hidden="1" spans="1:12">
      <c r="A4871" s="76" t="s">
        <v>4804</v>
      </c>
      <c r="B4871" s="77">
        <v>4015403</v>
      </c>
      <c r="C4871" s="13">
        <v>3</v>
      </c>
      <c r="D4871" s="13" t="s">
        <v>2182</v>
      </c>
      <c r="E4871" s="13">
        <v>1.13333333333333</v>
      </c>
      <c r="F4871" s="13">
        <v>0</v>
      </c>
      <c r="L4871" s="78"/>
    </row>
    <row r="4872" s="13" customFormat="1" hidden="1" spans="1:12">
      <c r="A4872" s="76" t="s">
        <v>4805</v>
      </c>
      <c r="B4872" s="77">
        <v>4015403</v>
      </c>
      <c r="C4872" s="13">
        <v>3</v>
      </c>
      <c r="D4872" s="13" t="s">
        <v>2184</v>
      </c>
      <c r="E4872" s="13">
        <v>1</v>
      </c>
      <c r="F4872" s="13">
        <v>0</v>
      </c>
      <c r="L4872" s="78"/>
    </row>
    <row r="4873" s="13" customFormat="1" hidden="1" spans="1:12">
      <c r="A4873" s="76" t="s">
        <v>4806</v>
      </c>
      <c r="B4873" s="77">
        <v>4015403</v>
      </c>
      <c r="C4873" s="13">
        <v>3</v>
      </c>
      <c r="D4873" s="13" t="s">
        <v>2186</v>
      </c>
      <c r="E4873" s="13">
        <v>1.66666666666667</v>
      </c>
      <c r="F4873" s="13">
        <v>0</v>
      </c>
      <c r="L4873" s="78"/>
    </row>
    <row r="4874" s="13" customFormat="1" hidden="1" spans="1:12">
      <c r="A4874" s="76" t="s">
        <v>4807</v>
      </c>
      <c r="B4874" s="77">
        <v>4015403</v>
      </c>
      <c r="C4874" s="13">
        <v>3</v>
      </c>
      <c r="D4874" s="13" t="s">
        <v>2188</v>
      </c>
      <c r="E4874" s="13">
        <v>0.8</v>
      </c>
      <c r="F4874" s="13">
        <v>0</v>
      </c>
      <c r="L4874" s="78"/>
    </row>
    <row r="4875" s="13" customFormat="1" hidden="1" spans="1:12">
      <c r="A4875" s="76" t="s">
        <v>4808</v>
      </c>
      <c r="B4875" s="77">
        <v>4015403</v>
      </c>
      <c r="C4875" s="13">
        <v>3</v>
      </c>
      <c r="D4875" s="13" t="s">
        <v>2190</v>
      </c>
      <c r="E4875" s="13">
        <v>0.8</v>
      </c>
      <c r="F4875" s="13">
        <v>0</v>
      </c>
      <c r="L4875" s="78"/>
    </row>
    <row r="4876" s="13" customFormat="1" hidden="1" spans="1:12">
      <c r="A4876" s="76" t="s">
        <v>4809</v>
      </c>
      <c r="B4876" s="77">
        <v>4015403</v>
      </c>
      <c r="C4876" s="13">
        <v>3</v>
      </c>
      <c r="D4876" s="13" t="s">
        <v>2192</v>
      </c>
      <c r="E4876" s="13">
        <v>0.8</v>
      </c>
      <c r="F4876" s="13">
        <v>0</v>
      </c>
      <c r="L4876" s="78"/>
    </row>
    <row r="4877" s="13" customFormat="1" hidden="1" spans="1:12">
      <c r="A4877" s="76" t="s">
        <v>4810</v>
      </c>
      <c r="B4877" s="77">
        <v>4015403</v>
      </c>
      <c r="C4877" s="13">
        <v>3</v>
      </c>
      <c r="D4877" s="13" t="s">
        <v>2194</v>
      </c>
      <c r="E4877" s="13">
        <v>0.8</v>
      </c>
      <c r="F4877" s="13">
        <v>0</v>
      </c>
      <c r="L4877" s="78"/>
    </row>
    <row r="4878" s="13" customFormat="1" hidden="1" spans="1:12">
      <c r="A4878" s="76" t="s">
        <v>4811</v>
      </c>
      <c r="B4878" s="77">
        <v>4015403</v>
      </c>
      <c r="C4878" s="13">
        <v>3</v>
      </c>
      <c r="D4878" s="13" t="s">
        <v>300</v>
      </c>
      <c r="E4878" s="13">
        <v>0.8</v>
      </c>
      <c r="F4878" s="13">
        <v>0</v>
      </c>
      <c r="L4878" s="78"/>
    </row>
    <row r="4879" s="13" customFormat="1" hidden="1" spans="1:12">
      <c r="A4879" s="76" t="s">
        <v>4812</v>
      </c>
      <c r="B4879" s="77">
        <v>4015403</v>
      </c>
      <c r="C4879" s="13">
        <v>3</v>
      </c>
      <c r="D4879" s="13" t="s">
        <v>2178</v>
      </c>
      <c r="E4879" s="13">
        <v>0.8</v>
      </c>
      <c r="F4879" s="13">
        <v>0</v>
      </c>
      <c r="L4879" s="78"/>
    </row>
    <row r="4880" s="13" customFormat="1" hidden="1" spans="1:12">
      <c r="A4880" s="76" t="s">
        <v>4813</v>
      </c>
      <c r="B4880" s="77">
        <v>4015403</v>
      </c>
      <c r="C4880" s="13">
        <v>3</v>
      </c>
      <c r="D4880" s="13" t="s">
        <v>2196</v>
      </c>
      <c r="E4880" s="13">
        <v>1.53333333333333</v>
      </c>
      <c r="F4880" s="13">
        <v>0</v>
      </c>
      <c r="L4880" s="78"/>
    </row>
    <row r="4881" s="13" customFormat="1" hidden="1" spans="1:12">
      <c r="A4881" s="76" t="s">
        <v>4814</v>
      </c>
      <c r="B4881" s="77">
        <v>4015403</v>
      </c>
      <c r="C4881" s="13">
        <v>3</v>
      </c>
      <c r="D4881" s="13" t="s">
        <v>92</v>
      </c>
      <c r="E4881" s="13">
        <v>3.33333333333333</v>
      </c>
      <c r="F4881" s="13">
        <v>0</v>
      </c>
      <c r="L4881" s="78"/>
    </row>
    <row r="4882" s="13" customFormat="1" hidden="1" spans="1:12">
      <c r="A4882" s="76" t="s">
        <v>4815</v>
      </c>
      <c r="B4882" s="77">
        <v>4015403</v>
      </c>
      <c r="C4882" s="13">
        <v>3</v>
      </c>
      <c r="D4882" s="13" t="s">
        <v>109</v>
      </c>
      <c r="E4882" s="13">
        <v>2.8</v>
      </c>
      <c r="F4882" s="13">
        <v>0</v>
      </c>
      <c r="L4882" s="78"/>
    </row>
    <row r="4883" s="13" customFormat="1" hidden="1" spans="1:12">
      <c r="A4883" s="76" t="s">
        <v>4816</v>
      </c>
      <c r="B4883" s="77">
        <v>4015403</v>
      </c>
      <c r="C4883" s="13">
        <v>3</v>
      </c>
      <c r="D4883" s="13" t="s">
        <v>97</v>
      </c>
      <c r="E4883" s="13">
        <v>3.6</v>
      </c>
      <c r="F4883" s="13">
        <v>0</v>
      </c>
      <c r="L4883" s="78"/>
    </row>
    <row r="4884" s="13" customFormat="1" hidden="1" spans="1:12">
      <c r="A4884" s="76" t="s">
        <v>4817</v>
      </c>
      <c r="B4884" s="77">
        <v>4015403</v>
      </c>
      <c r="C4884" s="13">
        <v>3</v>
      </c>
      <c r="D4884" s="13" t="s">
        <v>77</v>
      </c>
      <c r="E4884" s="13">
        <v>2</v>
      </c>
      <c r="F4884" s="13">
        <v>0</v>
      </c>
      <c r="L4884" s="78"/>
    </row>
    <row r="4885" s="13" customFormat="1" hidden="1" spans="1:12">
      <c r="A4885" s="76" t="s">
        <v>4818</v>
      </c>
      <c r="B4885" s="77">
        <v>4015403</v>
      </c>
      <c r="C4885" s="13">
        <v>3</v>
      </c>
      <c r="D4885" s="13" t="s">
        <v>54</v>
      </c>
      <c r="E4885" s="13">
        <v>2.6</v>
      </c>
      <c r="F4885" s="13">
        <v>0</v>
      </c>
      <c r="L4885" s="78"/>
    </row>
    <row r="4886" s="13" customFormat="1" hidden="1" spans="1:12">
      <c r="A4886" s="76" t="s">
        <v>4819</v>
      </c>
      <c r="B4886" s="77">
        <v>4015403</v>
      </c>
      <c r="C4886" s="13">
        <v>3</v>
      </c>
      <c r="D4886" s="13" t="s">
        <v>57</v>
      </c>
      <c r="E4886" s="13">
        <v>3.1</v>
      </c>
      <c r="F4886" s="13">
        <v>0</v>
      </c>
      <c r="G4886" s="19" t="s">
        <v>61</v>
      </c>
      <c r="H4886" s="19" t="s">
        <v>62</v>
      </c>
      <c r="I4886" s="19" t="s">
        <v>4707</v>
      </c>
      <c r="J4886" s="19" t="s">
        <v>4708</v>
      </c>
      <c r="K4886" s="19" t="s">
        <v>95</v>
      </c>
      <c r="L4886" s="78"/>
    </row>
    <row r="4887" s="13" customFormat="1" hidden="1" spans="1:12">
      <c r="A4887" s="76" t="s">
        <v>4820</v>
      </c>
      <c r="B4887" s="77">
        <v>4015403</v>
      </c>
      <c r="C4887" s="13">
        <v>3</v>
      </c>
      <c r="D4887" s="13" t="s">
        <v>2618</v>
      </c>
      <c r="E4887" s="13">
        <v>2</v>
      </c>
      <c r="F4887" s="13">
        <v>0</v>
      </c>
      <c r="L4887" s="78"/>
    </row>
    <row r="4888" s="13" customFormat="1" hidden="1" spans="1:12">
      <c r="A4888" s="76" t="s">
        <v>4821</v>
      </c>
      <c r="B4888" s="77">
        <v>4015403</v>
      </c>
      <c r="C4888" s="13">
        <v>3</v>
      </c>
      <c r="D4888" s="13" t="s">
        <v>1788</v>
      </c>
      <c r="E4888" s="13">
        <v>3.56666666666667</v>
      </c>
      <c r="F4888" s="13">
        <v>1</v>
      </c>
      <c r="L4888" s="78"/>
    </row>
    <row r="4889" s="13" customFormat="1" hidden="1" spans="1:12">
      <c r="A4889" s="76" t="s">
        <v>4822</v>
      </c>
      <c r="B4889" s="77">
        <v>4015403</v>
      </c>
      <c r="C4889" s="13">
        <v>3</v>
      </c>
      <c r="D4889" s="13" t="s">
        <v>2621</v>
      </c>
      <c r="E4889" s="13">
        <v>0.8</v>
      </c>
      <c r="F4889" s="13">
        <v>1</v>
      </c>
      <c r="L4889" s="78"/>
    </row>
    <row r="4890" s="13" customFormat="1" hidden="1" spans="1:12">
      <c r="A4890" s="76" t="s">
        <v>4823</v>
      </c>
      <c r="B4890" s="77">
        <v>4015403</v>
      </c>
      <c r="C4890" s="13">
        <v>3</v>
      </c>
      <c r="D4890" s="13" t="s">
        <v>2623</v>
      </c>
      <c r="E4890" s="13">
        <v>2.26666666666667</v>
      </c>
      <c r="F4890" s="13">
        <v>1</v>
      </c>
      <c r="L4890" s="78"/>
    </row>
    <row r="4891" s="19" customFormat="1" hidden="1" spans="1:12">
      <c r="A4891" s="111" t="s">
        <v>4824</v>
      </c>
      <c r="B4891" s="112">
        <v>4015404</v>
      </c>
      <c r="C4891" s="19">
        <v>3</v>
      </c>
      <c r="D4891" s="19" t="s">
        <v>36</v>
      </c>
      <c r="E4891" s="19">
        <v>2.2</v>
      </c>
      <c r="F4891" s="19">
        <v>0</v>
      </c>
      <c r="L4891" s="114"/>
    </row>
    <row r="4892" s="19" customFormat="1" hidden="1" spans="1:12">
      <c r="A4892" s="111" t="s">
        <v>4825</v>
      </c>
      <c r="B4892" s="112">
        <v>4015404</v>
      </c>
      <c r="C4892" s="19">
        <v>3</v>
      </c>
      <c r="D4892" s="19" t="s">
        <v>38</v>
      </c>
      <c r="E4892" s="19">
        <v>2.26666666666667</v>
      </c>
      <c r="F4892" s="19">
        <v>0</v>
      </c>
      <c r="L4892" s="114"/>
    </row>
    <row r="4893" s="19" customFormat="1" hidden="1" spans="1:12">
      <c r="A4893" s="111" t="s">
        <v>4826</v>
      </c>
      <c r="B4893" s="112">
        <v>4015404</v>
      </c>
      <c r="C4893" s="19">
        <v>3</v>
      </c>
      <c r="D4893" s="19" t="s">
        <v>40</v>
      </c>
      <c r="E4893" s="19">
        <v>2.36666666666667</v>
      </c>
      <c r="F4893" s="19">
        <v>0</v>
      </c>
      <c r="L4893" s="114"/>
    </row>
    <row r="4894" s="19" customFormat="1" hidden="1" spans="1:12">
      <c r="A4894" s="111" t="s">
        <v>4827</v>
      </c>
      <c r="B4894" s="112">
        <v>4015404</v>
      </c>
      <c r="C4894" s="19">
        <v>3</v>
      </c>
      <c r="D4894" s="19" t="s">
        <v>42</v>
      </c>
      <c r="E4894" s="19">
        <v>2</v>
      </c>
      <c r="F4894" s="19">
        <v>0</v>
      </c>
      <c r="L4894" s="114"/>
    </row>
    <row r="4895" s="19" customFormat="1" hidden="1" spans="1:12">
      <c r="A4895" s="111" t="s">
        <v>4828</v>
      </c>
      <c r="B4895" s="112">
        <v>4015404</v>
      </c>
      <c r="C4895" s="19">
        <v>3</v>
      </c>
      <c r="D4895" s="19" t="s">
        <v>44</v>
      </c>
      <c r="E4895" s="19">
        <v>2</v>
      </c>
      <c r="F4895" s="19">
        <v>0</v>
      </c>
      <c r="L4895" s="114"/>
    </row>
    <row r="4896" s="19" customFormat="1" hidden="1" spans="1:12">
      <c r="A4896" s="111" t="s">
        <v>4829</v>
      </c>
      <c r="B4896" s="112">
        <v>4015404</v>
      </c>
      <c r="C4896" s="19">
        <v>3</v>
      </c>
      <c r="D4896" s="19" t="s">
        <v>46</v>
      </c>
      <c r="E4896" s="19">
        <v>2.86666666666667</v>
      </c>
      <c r="F4896" s="19">
        <v>0</v>
      </c>
      <c r="L4896" s="114"/>
    </row>
    <row r="4897" s="19" customFormat="1" hidden="1" spans="1:12">
      <c r="A4897" s="111" t="s">
        <v>4830</v>
      </c>
      <c r="B4897" s="112">
        <v>4015404</v>
      </c>
      <c r="C4897" s="19">
        <v>3</v>
      </c>
      <c r="D4897" s="19" t="s">
        <v>86</v>
      </c>
      <c r="E4897" s="19">
        <v>3.03333333333333</v>
      </c>
      <c r="F4897" s="19">
        <v>0</v>
      </c>
      <c r="L4897" s="114"/>
    </row>
    <row r="4898" s="19" customFormat="1" hidden="1" spans="1:12">
      <c r="A4898" s="111" t="s">
        <v>4831</v>
      </c>
      <c r="B4898" s="112">
        <v>4015404</v>
      </c>
      <c r="C4898" s="19">
        <v>3</v>
      </c>
      <c r="D4898" s="19" t="s">
        <v>50</v>
      </c>
      <c r="E4898" s="19">
        <v>15.0333333333333</v>
      </c>
      <c r="F4898" s="19">
        <v>0</v>
      </c>
      <c r="L4898" s="114"/>
    </row>
    <row r="4899" s="19" customFormat="1" hidden="1" spans="1:12">
      <c r="A4899" s="111" t="s">
        <v>4832</v>
      </c>
      <c r="B4899" s="112">
        <v>4015404</v>
      </c>
      <c r="C4899" s="19">
        <v>3</v>
      </c>
      <c r="D4899" s="19" t="s">
        <v>90</v>
      </c>
      <c r="E4899" s="19">
        <v>7.73333333333333</v>
      </c>
      <c r="F4899" s="19">
        <v>0</v>
      </c>
      <c r="L4899" s="114"/>
    </row>
    <row r="4900" s="19" customFormat="1" hidden="1" spans="1:12">
      <c r="A4900" s="111" t="s">
        <v>4833</v>
      </c>
      <c r="B4900" s="112">
        <v>4015404</v>
      </c>
      <c r="C4900" s="19">
        <v>3</v>
      </c>
      <c r="D4900" s="19" t="s">
        <v>133</v>
      </c>
      <c r="E4900" s="19">
        <v>1</v>
      </c>
      <c r="F4900" s="19">
        <v>0</v>
      </c>
      <c r="L4900" s="114"/>
    </row>
    <row r="4901" s="19" customFormat="1" hidden="1" spans="1:12">
      <c r="A4901" s="111" t="s">
        <v>4834</v>
      </c>
      <c r="B4901" s="112">
        <v>4015404</v>
      </c>
      <c r="C4901" s="19">
        <v>3</v>
      </c>
      <c r="D4901" s="19" t="s">
        <v>412</v>
      </c>
      <c r="E4901" s="19">
        <v>1</v>
      </c>
      <c r="F4901" s="19">
        <v>0</v>
      </c>
      <c r="L4901" s="114"/>
    </row>
    <row r="4902" s="19" customFormat="1" hidden="1" spans="1:12">
      <c r="A4902" s="111" t="s">
        <v>4835</v>
      </c>
      <c r="B4902" s="112">
        <v>4015404</v>
      </c>
      <c r="C4902" s="19">
        <v>3</v>
      </c>
      <c r="D4902" s="19" t="s">
        <v>1826</v>
      </c>
      <c r="E4902" s="19">
        <v>1</v>
      </c>
      <c r="F4902" s="19">
        <v>0</v>
      </c>
      <c r="L4902" s="114"/>
    </row>
    <row r="4903" s="19" customFormat="1" hidden="1" spans="1:12">
      <c r="A4903" s="111" t="s">
        <v>4836</v>
      </c>
      <c r="B4903" s="112">
        <v>4015404</v>
      </c>
      <c r="C4903" s="19">
        <v>3</v>
      </c>
      <c r="D4903" s="19" t="s">
        <v>1047</v>
      </c>
      <c r="E4903" s="19">
        <v>2.36666666666667</v>
      </c>
      <c r="F4903" s="19">
        <v>0</v>
      </c>
      <c r="L4903" s="114"/>
    </row>
    <row r="4904" s="19" customFormat="1" hidden="1" spans="1:12">
      <c r="A4904" s="111" t="s">
        <v>4837</v>
      </c>
      <c r="B4904" s="112">
        <v>4015404</v>
      </c>
      <c r="C4904" s="19">
        <v>3</v>
      </c>
      <c r="D4904" s="19" t="s">
        <v>272</v>
      </c>
      <c r="E4904" s="19">
        <v>1.06666666666667</v>
      </c>
      <c r="F4904" s="19">
        <v>0</v>
      </c>
      <c r="L4904" s="114"/>
    </row>
    <row r="4905" s="19" customFormat="1" hidden="1" spans="1:12">
      <c r="A4905" s="111" t="s">
        <v>4838</v>
      </c>
      <c r="B4905" s="112">
        <v>4015404</v>
      </c>
      <c r="C4905" s="19">
        <v>3</v>
      </c>
      <c r="D4905" s="19" t="s">
        <v>60</v>
      </c>
      <c r="E4905" s="19">
        <v>2.66666666666667</v>
      </c>
      <c r="F4905" s="19">
        <v>0</v>
      </c>
      <c r="L4905" s="114"/>
    </row>
    <row r="4906" s="19" customFormat="1" hidden="1" spans="1:12">
      <c r="A4906" s="111" t="s">
        <v>4839</v>
      </c>
      <c r="B4906" s="112">
        <v>4015404</v>
      </c>
      <c r="C4906" s="19">
        <v>3</v>
      </c>
      <c r="D4906" s="19" t="s">
        <v>2198</v>
      </c>
      <c r="E4906" s="19">
        <v>4</v>
      </c>
      <c r="F4906" s="19">
        <v>0</v>
      </c>
      <c r="L4906" s="114"/>
    </row>
    <row r="4907" s="19" customFormat="1" hidden="1" spans="1:12">
      <c r="A4907" s="111" t="s">
        <v>4840</v>
      </c>
      <c r="B4907" s="112">
        <v>4015404</v>
      </c>
      <c r="C4907" s="19">
        <v>3</v>
      </c>
      <c r="D4907" s="19" t="s">
        <v>2182</v>
      </c>
      <c r="E4907" s="19">
        <v>1.13333333333333</v>
      </c>
      <c r="F4907" s="19">
        <v>0</v>
      </c>
      <c r="L4907" s="114"/>
    </row>
    <row r="4908" s="19" customFormat="1" hidden="1" spans="1:12">
      <c r="A4908" s="111" t="s">
        <v>4841</v>
      </c>
      <c r="B4908" s="112">
        <v>4015404</v>
      </c>
      <c r="C4908" s="19">
        <v>3</v>
      </c>
      <c r="D4908" s="19" t="s">
        <v>2184</v>
      </c>
      <c r="E4908" s="19">
        <v>1</v>
      </c>
      <c r="F4908" s="19">
        <v>0</v>
      </c>
      <c r="L4908" s="114"/>
    </row>
    <row r="4909" s="19" customFormat="1" hidden="1" spans="1:12">
      <c r="A4909" s="111" t="s">
        <v>4842</v>
      </c>
      <c r="B4909" s="112">
        <v>4015404</v>
      </c>
      <c r="C4909" s="19">
        <v>3</v>
      </c>
      <c r="D4909" s="19" t="s">
        <v>2186</v>
      </c>
      <c r="E4909" s="19">
        <v>1.66666666666667</v>
      </c>
      <c r="F4909" s="19">
        <v>0</v>
      </c>
      <c r="L4909" s="114"/>
    </row>
    <row r="4910" s="19" customFormat="1" hidden="1" spans="1:12">
      <c r="A4910" s="111" t="s">
        <v>4843</v>
      </c>
      <c r="B4910" s="112">
        <v>4015404</v>
      </c>
      <c r="C4910" s="19">
        <v>3</v>
      </c>
      <c r="D4910" s="19" t="s">
        <v>2188</v>
      </c>
      <c r="E4910" s="19">
        <v>0.8</v>
      </c>
      <c r="F4910" s="19">
        <v>0</v>
      </c>
      <c r="L4910" s="114"/>
    </row>
    <row r="4911" s="19" customFormat="1" hidden="1" spans="1:12">
      <c r="A4911" s="111" t="s">
        <v>4844</v>
      </c>
      <c r="B4911" s="112">
        <v>4015404</v>
      </c>
      <c r="C4911" s="19">
        <v>3</v>
      </c>
      <c r="D4911" s="19" t="s">
        <v>2190</v>
      </c>
      <c r="E4911" s="19">
        <v>0.8</v>
      </c>
      <c r="F4911" s="19">
        <v>0</v>
      </c>
      <c r="L4911" s="114"/>
    </row>
    <row r="4912" s="19" customFormat="1" hidden="1" spans="1:12">
      <c r="A4912" s="111" t="s">
        <v>4845</v>
      </c>
      <c r="B4912" s="112">
        <v>4015404</v>
      </c>
      <c r="C4912" s="19">
        <v>3</v>
      </c>
      <c r="D4912" s="19" t="s">
        <v>2192</v>
      </c>
      <c r="E4912" s="19">
        <v>0.8</v>
      </c>
      <c r="F4912" s="19">
        <v>0</v>
      </c>
      <c r="L4912" s="114"/>
    </row>
    <row r="4913" s="19" customFormat="1" hidden="1" spans="1:12">
      <c r="A4913" s="111" t="s">
        <v>4846</v>
      </c>
      <c r="B4913" s="112">
        <v>4015404</v>
      </c>
      <c r="C4913" s="19">
        <v>3</v>
      </c>
      <c r="D4913" s="19" t="s">
        <v>2194</v>
      </c>
      <c r="E4913" s="19">
        <v>0.8</v>
      </c>
      <c r="F4913" s="19">
        <v>0</v>
      </c>
      <c r="L4913" s="114"/>
    </row>
    <row r="4914" s="19" customFormat="1" hidden="1" spans="1:12">
      <c r="A4914" s="111" t="s">
        <v>4847</v>
      </c>
      <c r="B4914" s="112">
        <v>4015404</v>
      </c>
      <c r="C4914" s="19">
        <v>3</v>
      </c>
      <c r="D4914" s="19" t="s">
        <v>300</v>
      </c>
      <c r="E4914" s="19">
        <v>0.8</v>
      </c>
      <c r="F4914" s="19">
        <v>0</v>
      </c>
      <c r="L4914" s="114"/>
    </row>
    <row r="4915" s="19" customFormat="1" hidden="1" spans="1:12">
      <c r="A4915" s="111" t="s">
        <v>4848</v>
      </c>
      <c r="B4915" s="112">
        <v>4015404</v>
      </c>
      <c r="C4915" s="19">
        <v>3</v>
      </c>
      <c r="D4915" s="19" t="s">
        <v>2178</v>
      </c>
      <c r="E4915" s="19">
        <v>0.8</v>
      </c>
      <c r="F4915" s="19">
        <v>0</v>
      </c>
      <c r="L4915" s="114"/>
    </row>
    <row r="4916" s="19" customFormat="1" hidden="1" spans="1:12">
      <c r="A4916" s="111" t="s">
        <v>4849</v>
      </c>
      <c r="B4916" s="112">
        <v>4015404</v>
      </c>
      <c r="C4916" s="19">
        <v>3</v>
      </c>
      <c r="D4916" s="19" t="s">
        <v>2196</v>
      </c>
      <c r="E4916" s="19">
        <v>1.53333333333333</v>
      </c>
      <c r="F4916" s="19">
        <v>0</v>
      </c>
      <c r="L4916" s="114"/>
    </row>
    <row r="4917" s="19" customFormat="1" hidden="1" spans="1:12">
      <c r="A4917" s="111" t="s">
        <v>4850</v>
      </c>
      <c r="B4917" s="112">
        <v>4015404</v>
      </c>
      <c r="C4917" s="19">
        <v>3</v>
      </c>
      <c r="D4917" s="19" t="s">
        <v>92</v>
      </c>
      <c r="E4917" s="19">
        <v>3.33333333333333</v>
      </c>
      <c r="F4917" s="19">
        <v>0</v>
      </c>
      <c r="L4917" s="114"/>
    </row>
    <row r="4918" s="19" customFormat="1" hidden="1" spans="1:12">
      <c r="A4918" s="111" t="s">
        <v>4851</v>
      </c>
      <c r="B4918" s="112">
        <v>4015404</v>
      </c>
      <c r="C4918" s="19">
        <v>3</v>
      </c>
      <c r="D4918" s="19" t="s">
        <v>109</v>
      </c>
      <c r="E4918" s="19">
        <v>2.8</v>
      </c>
      <c r="F4918" s="19">
        <v>0</v>
      </c>
      <c r="L4918" s="114"/>
    </row>
    <row r="4919" s="19" customFormat="1" hidden="1" spans="1:12">
      <c r="A4919" s="111" t="s">
        <v>4852</v>
      </c>
      <c r="B4919" s="112">
        <v>4015404</v>
      </c>
      <c r="C4919" s="19">
        <v>3</v>
      </c>
      <c r="D4919" s="19" t="s">
        <v>97</v>
      </c>
      <c r="E4919" s="19">
        <v>3.6</v>
      </c>
      <c r="F4919" s="19">
        <v>0</v>
      </c>
      <c r="L4919" s="114"/>
    </row>
    <row r="4920" s="19" customFormat="1" hidden="1" spans="1:12">
      <c r="A4920" s="111" t="s">
        <v>4853</v>
      </c>
      <c r="B4920" s="112">
        <v>4015404</v>
      </c>
      <c r="C4920" s="19">
        <v>3</v>
      </c>
      <c r="D4920" s="19" t="s">
        <v>77</v>
      </c>
      <c r="E4920" s="19">
        <v>2</v>
      </c>
      <c r="F4920" s="19">
        <v>0</v>
      </c>
      <c r="L4920" s="114"/>
    </row>
    <row r="4921" s="19" customFormat="1" hidden="1" spans="1:12">
      <c r="A4921" s="111" t="s">
        <v>4854</v>
      </c>
      <c r="B4921" s="112">
        <v>4015404</v>
      </c>
      <c r="C4921" s="19">
        <v>3</v>
      </c>
      <c r="D4921" s="19" t="s">
        <v>54</v>
      </c>
      <c r="E4921" s="19">
        <v>2.6</v>
      </c>
      <c r="F4921" s="19">
        <v>0</v>
      </c>
      <c r="L4921" s="114"/>
    </row>
    <row r="4922" s="19" customFormat="1" hidden="1" spans="1:12">
      <c r="A4922" s="111" t="s">
        <v>4855</v>
      </c>
      <c r="B4922" s="112">
        <v>4015404</v>
      </c>
      <c r="C4922" s="19">
        <v>3</v>
      </c>
      <c r="D4922" s="19" t="s">
        <v>57</v>
      </c>
      <c r="E4922" s="19">
        <v>3.1</v>
      </c>
      <c r="F4922" s="19">
        <v>0</v>
      </c>
      <c r="G4922" s="19" t="s">
        <v>61</v>
      </c>
      <c r="H4922" s="19" t="s">
        <v>62</v>
      </c>
      <c r="I4922" s="19" t="s">
        <v>4707</v>
      </c>
      <c r="J4922" s="19" t="s">
        <v>4708</v>
      </c>
      <c r="K4922" s="19" t="s">
        <v>95</v>
      </c>
      <c r="L4922" s="114"/>
    </row>
    <row r="4923" s="19" customFormat="1" hidden="1" spans="1:12">
      <c r="A4923" s="111" t="s">
        <v>4856</v>
      </c>
      <c r="B4923" s="112">
        <v>4015404</v>
      </c>
      <c r="C4923" s="19">
        <v>3</v>
      </c>
      <c r="D4923" s="19" t="s">
        <v>2618</v>
      </c>
      <c r="E4923" s="19">
        <v>2</v>
      </c>
      <c r="F4923" s="19">
        <v>0</v>
      </c>
      <c r="L4923" s="114"/>
    </row>
    <row r="4924" s="19" customFormat="1" hidden="1" spans="1:12">
      <c r="A4924" s="111" t="s">
        <v>4857</v>
      </c>
      <c r="B4924" s="112">
        <v>4015404</v>
      </c>
      <c r="C4924" s="19">
        <v>3</v>
      </c>
      <c r="D4924" s="19" t="s">
        <v>1788</v>
      </c>
      <c r="E4924" s="19">
        <v>3.56666666666667</v>
      </c>
      <c r="F4924" s="19">
        <v>1</v>
      </c>
      <c r="L4924" s="114"/>
    </row>
    <row r="4925" s="19" customFormat="1" hidden="1" spans="1:12">
      <c r="A4925" s="111" t="s">
        <v>4858</v>
      </c>
      <c r="B4925" s="112">
        <v>4015404</v>
      </c>
      <c r="C4925" s="19">
        <v>3</v>
      </c>
      <c r="D4925" s="19" t="s">
        <v>2621</v>
      </c>
      <c r="E4925" s="19">
        <v>0.8</v>
      </c>
      <c r="F4925" s="19">
        <v>1</v>
      </c>
      <c r="L4925" s="114"/>
    </row>
    <row r="4926" s="19" customFormat="1" hidden="1" spans="1:12">
      <c r="A4926" s="111" t="s">
        <v>4859</v>
      </c>
      <c r="B4926" s="112">
        <v>4015404</v>
      </c>
      <c r="C4926" s="19">
        <v>3</v>
      </c>
      <c r="D4926" s="19" t="s">
        <v>2623</v>
      </c>
      <c r="E4926" s="19">
        <v>2.26666666666667</v>
      </c>
      <c r="F4926" s="19">
        <v>1</v>
      </c>
      <c r="L4926" s="114"/>
    </row>
    <row r="4927" s="33" customFormat="1" hidden="1" spans="1:12">
      <c r="A4927" s="185" t="s">
        <v>4860</v>
      </c>
      <c r="B4927" s="186">
        <v>30120</v>
      </c>
      <c r="C4927" s="33">
        <v>3</v>
      </c>
      <c r="D4927" s="33" t="s">
        <v>50</v>
      </c>
      <c r="E4927" s="33">
        <f>451/30</f>
        <v>15.0333333333333</v>
      </c>
      <c r="F4927" s="33">
        <v>0</v>
      </c>
      <c r="L4927" s="187"/>
    </row>
    <row r="4928" s="33" customFormat="1" hidden="1" spans="1:12">
      <c r="A4928" s="185" t="s">
        <v>4861</v>
      </c>
      <c r="B4928" s="186">
        <v>30120</v>
      </c>
      <c r="C4928" s="33">
        <v>3</v>
      </c>
      <c r="D4928" s="33" t="s">
        <v>90</v>
      </c>
      <c r="E4928" s="33">
        <f>232/30</f>
        <v>7.73333333333333</v>
      </c>
      <c r="F4928" s="33">
        <v>0</v>
      </c>
      <c r="L4928" s="187"/>
    </row>
    <row r="4929" s="33" customFormat="1" hidden="1" spans="1:12">
      <c r="A4929" s="185" t="s">
        <v>4862</v>
      </c>
      <c r="B4929" s="186">
        <v>30120</v>
      </c>
      <c r="C4929" s="33">
        <v>3</v>
      </c>
      <c r="D4929" s="33" t="s">
        <v>48</v>
      </c>
      <c r="E4929" s="33">
        <f>83/30</f>
        <v>2.76666666666667</v>
      </c>
      <c r="F4929" s="33">
        <v>0</v>
      </c>
      <c r="L4929" s="187"/>
    </row>
    <row r="4930" s="33" customFormat="1" hidden="1" spans="1:12">
      <c r="A4930" s="185" t="s">
        <v>4863</v>
      </c>
      <c r="B4930" s="186">
        <v>30120</v>
      </c>
      <c r="C4930" s="33">
        <v>3</v>
      </c>
      <c r="D4930" s="33" t="s">
        <v>52</v>
      </c>
      <c r="E4930" s="33">
        <f>60/30</f>
        <v>2</v>
      </c>
      <c r="F4930" s="33">
        <v>0</v>
      </c>
      <c r="L4930" s="187"/>
    </row>
    <row r="4931" s="33" customFormat="1" hidden="1" spans="1:12">
      <c r="A4931" s="185" t="s">
        <v>4864</v>
      </c>
      <c r="B4931" s="186">
        <v>30120</v>
      </c>
      <c r="C4931" s="33">
        <v>3</v>
      </c>
      <c r="D4931" s="33" t="s">
        <v>140</v>
      </c>
      <c r="E4931" s="33">
        <f>230/30</f>
        <v>7.66666666666667</v>
      </c>
      <c r="F4931" s="33">
        <v>0</v>
      </c>
      <c r="L4931" s="187"/>
    </row>
    <row r="4932" s="33" customFormat="1" hidden="1" spans="1:12">
      <c r="A4932" s="185" t="s">
        <v>4865</v>
      </c>
      <c r="B4932" s="186">
        <v>30120</v>
      </c>
      <c r="C4932" s="33">
        <v>3</v>
      </c>
      <c r="D4932" s="33" t="s">
        <v>1047</v>
      </c>
      <c r="E4932" s="33">
        <f>60/30</f>
        <v>2</v>
      </c>
      <c r="F4932" s="33">
        <v>0</v>
      </c>
      <c r="L4932" s="187"/>
    </row>
    <row r="4933" s="33" customFormat="1" hidden="1" spans="1:12">
      <c r="A4933" s="185" t="s">
        <v>4866</v>
      </c>
      <c r="B4933" s="186">
        <v>30120</v>
      </c>
      <c r="C4933" s="33">
        <v>3</v>
      </c>
      <c r="D4933" s="33" t="s">
        <v>2198</v>
      </c>
      <c r="E4933" s="33">
        <f>48/30</f>
        <v>1.6</v>
      </c>
      <c r="F4933" s="33">
        <v>0</v>
      </c>
      <c r="L4933" s="187"/>
    </row>
    <row r="4934" s="33" customFormat="1" hidden="1" spans="1:12">
      <c r="A4934" s="185" t="s">
        <v>4867</v>
      </c>
      <c r="B4934" s="186">
        <v>30120</v>
      </c>
      <c r="C4934" s="33">
        <v>3</v>
      </c>
      <c r="D4934" s="33" t="s">
        <v>2182</v>
      </c>
      <c r="E4934" s="33">
        <f>32/30</f>
        <v>1.06666666666667</v>
      </c>
      <c r="F4934" s="33">
        <v>0</v>
      </c>
      <c r="L4934" s="187"/>
    </row>
    <row r="4935" s="33" customFormat="1" hidden="1" spans="1:12">
      <c r="A4935" s="185" t="s">
        <v>4868</v>
      </c>
      <c r="B4935" s="186">
        <v>30120</v>
      </c>
      <c r="C4935" s="33">
        <v>3</v>
      </c>
      <c r="D4935" s="33" t="s">
        <v>2184</v>
      </c>
      <c r="E4935" s="33">
        <f>31/30</f>
        <v>1.03333333333333</v>
      </c>
      <c r="F4935" s="33">
        <v>0</v>
      </c>
      <c r="L4935" s="187"/>
    </row>
    <row r="4936" s="33" customFormat="1" hidden="1" spans="1:12">
      <c r="A4936" s="185" t="s">
        <v>4869</v>
      </c>
      <c r="B4936" s="186">
        <v>30120</v>
      </c>
      <c r="C4936" s="33">
        <v>3</v>
      </c>
      <c r="D4936" s="33" t="s">
        <v>2186</v>
      </c>
      <c r="E4936" s="33">
        <f>67/30</f>
        <v>2.23333333333333</v>
      </c>
      <c r="F4936" s="33">
        <v>0</v>
      </c>
      <c r="L4936" s="187"/>
    </row>
    <row r="4937" s="33" customFormat="1" hidden="1" spans="1:12">
      <c r="A4937" s="185" t="s">
        <v>4870</v>
      </c>
      <c r="B4937" s="186">
        <v>30120</v>
      </c>
      <c r="C4937" s="33">
        <v>3</v>
      </c>
      <c r="D4937" s="33" t="s">
        <v>2188</v>
      </c>
      <c r="E4937" s="33">
        <v>1</v>
      </c>
      <c r="F4937" s="33">
        <v>0</v>
      </c>
      <c r="L4937" s="187"/>
    </row>
    <row r="4938" s="33" customFormat="1" hidden="1" spans="1:12">
      <c r="A4938" s="185" t="s">
        <v>4871</v>
      </c>
      <c r="B4938" s="186">
        <v>30120</v>
      </c>
      <c r="C4938" s="33">
        <v>3</v>
      </c>
      <c r="D4938" s="33" t="s">
        <v>2190</v>
      </c>
      <c r="E4938" s="33">
        <v>1</v>
      </c>
      <c r="F4938" s="33">
        <v>0</v>
      </c>
      <c r="L4938" s="187"/>
    </row>
    <row r="4939" s="33" customFormat="1" hidden="1" spans="1:12">
      <c r="A4939" s="185" t="s">
        <v>4872</v>
      </c>
      <c r="B4939" s="186">
        <v>30120</v>
      </c>
      <c r="C4939" s="33">
        <v>3</v>
      </c>
      <c r="D4939" s="33" t="s">
        <v>2192</v>
      </c>
      <c r="E4939" s="33">
        <v>1</v>
      </c>
      <c r="F4939" s="33">
        <v>0</v>
      </c>
      <c r="L4939" s="187"/>
    </row>
    <row r="4940" s="33" customFormat="1" hidden="1" spans="1:12">
      <c r="A4940" s="185" t="s">
        <v>4873</v>
      </c>
      <c r="B4940" s="186">
        <v>30120</v>
      </c>
      <c r="C4940" s="33">
        <v>3</v>
      </c>
      <c r="D4940" s="33" t="s">
        <v>2194</v>
      </c>
      <c r="E4940" s="33">
        <v>1</v>
      </c>
      <c r="F4940" s="33">
        <v>0</v>
      </c>
      <c r="L4940" s="187"/>
    </row>
    <row r="4941" s="33" customFormat="1" hidden="1" spans="1:12">
      <c r="A4941" s="185" t="s">
        <v>4874</v>
      </c>
      <c r="B4941" s="186">
        <v>30120</v>
      </c>
      <c r="C4941" s="33">
        <v>3</v>
      </c>
      <c r="D4941" s="33" t="s">
        <v>300</v>
      </c>
      <c r="E4941" s="33">
        <f>34/30</f>
        <v>1.13333333333333</v>
      </c>
      <c r="F4941" s="33">
        <v>0</v>
      </c>
      <c r="L4941" s="187"/>
    </row>
    <row r="4942" s="33" customFormat="1" hidden="1" spans="1:12">
      <c r="A4942" s="185" t="s">
        <v>4875</v>
      </c>
      <c r="B4942" s="186">
        <v>30120</v>
      </c>
      <c r="C4942" s="33">
        <v>3</v>
      </c>
      <c r="D4942" s="33" t="s">
        <v>2178</v>
      </c>
      <c r="E4942" s="33">
        <f t="shared" ref="E4942:E4946" si="28">40/30</f>
        <v>1.33333333333333</v>
      </c>
      <c r="F4942" s="33">
        <v>0</v>
      </c>
      <c r="L4942" s="187"/>
    </row>
    <row r="4943" s="33" customFormat="1" hidden="1" spans="1:12">
      <c r="A4943" s="185" t="s">
        <v>4876</v>
      </c>
      <c r="B4943" s="186">
        <v>30120</v>
      </c>
      <c r="C4943" s="33">
        <v>3</v>
      </c>
      <c r="D4943" s="33" t="s">
        <v>2196</v>
      </c>
      <c r="E4943" s="33">
        <f t="shared" si="28"/>
        <v>1.33333333333333</v>
      </c>
      <c r="F4943" s="33">
        <v>0</v>
      </c>
      <c r="L4943" s="187"/>
    </row>
    <row r="4944" s="33" customFormat="1" hidden="1" spans="1:12">
      <c r="A4944" s="185" t="s">
        <v>4877</v>
      </c>
      <c r="B4944" s="186">
        <v>30120</v>
      </c>
      <c r="C4944" s="33">
        <v>3</v>
      </c>
      <c r="D4944" s="33" t="s">
        <v>1788</v>
      </c>
      <c r="E4944" s="33">
        <f>60/30</f>
        <v>2</v>
      </c>
      <c r="F4944" s="33">
        <v>1</v>
      </c>
      <c r="L4944" s="187"/>
    </row>
    <row r="4945" s="33" customFormat="1" hidden="1" spans="1:12">
      <c r="A4945" s="185" t="s">
        <v>4878</v>
      </c>
      <c r="B4945" s="186">
        <v>30120</v>
      </c>
      <c r="C4945" s="33">
        <v>3</v>
      </c>
      <c r="D4945" s="33" t="s">
        <v>2621</v>
      </c>
      <c r="E4945" s="33">
        <f>24/30</f>
        <v>0.8</v>
      </c>
      <c r="F4945" s="33">
        <v>1</v>
      </c>
      <c r="L4945" s="187"/>
    </row>
    <row r="4946" s="33" customFormat="1" hidden="1" spans="1:12">
      <c r="A4946" s="185" t="s">
        <v>4879</v>
      </c>
      <c r="B4946" s="186">
        <v>30120</v>
      </c>
      <c r="C4946" s="33">
        <v>3</v>
      </c>
      <c r="D4946" s="33" t="s">
        <v>2623</v>
      </c>
      <c r="E4946" s="33">
        <f t="shared" si="28"/>
        <v>1.33333333333333</v>
      </c>
      <c r="F4946" s="33">
        <v>1</v>
      </c>
      <c r="L4946" s="187"/>
    </row>
    <row r="4947" s="19" customFormat="1" hidden="1" spans="1:12">
      <c r="A4947" s="111" t="s">
        <v>4880</v>
      </c>
      <c r="B4947" s="112">
        <v>30121</v>
      </c>
      <c r="C4947" s="19">
        <v>3</v>
      </c>
      <c r="D4947" s="19" t="s">
        <v>50</v>
      </c>
      <c r="E4947" s="19">
        <f>451/30</f>
        <v>15.0333333333333</v>
      </c>
      <c r="F4947" s="19">
        <v>0</v>
      </c>
      <c r="L4947" s="114"/>
    </row>
    <row r="4948" s="19" customFormat="1" hidden="1" spans="1:12">
      <c r="A4948" s="111" t="s">
        <v>4881</v>
      </c>
      <c r="B4948" s="112">
        <v>30121</v>
      </c>
      <c r="C4948" s="19">
        <v>3</v>
      </c>
      <c r="D4948" s="19" t="s">
        <v>90</v>
      </c>
      <c r="E4948" s="19">
        <f>232/30</f>
        <v>7.73333333333333</v>
      </c>
      <c r="F4948" s="19">
        <v>0</v>
      </c>
      <c r="L4948" s="114"/>
    </row>
    <row r="4949" s="19" customFormat="1" hidden="1" spans="1:12">
      <c r="A4949" s="111" t="s">
        <v>4882</v>
      </c>
      <c r="B4949" s="112">
        <v>30121</v>
      </c>
      <c r="C4949" s="19">
        <v>3</v>
      </c>
      <c r="D4949" s="19" t="s">
        <v>48</v>
      </c>
      <c r="E4949" s="19">
        <f>83/30</f>
        <v>2.76666666666667</v>
      </c>
      <c r="F4949" s="19">
        <v>0</v>
      </c>
      <c r="L4949" s="114"/>
    </row>
    <row r="4950" s="19" customFormat="1" hidden="1" spans="1:12">
      <c r="A4950" s="111" t="s">
        <v>4883</v>
      </c>
      <c r="B4950" s="112">
        <v>30121</v>
      </c>
      <c r="C4950" s="19">
        <v>3</v>
      </c>
      <c r="D4950" s="19" t="s">
        <v>52</v>
      </c>
      <c r="E4950" s="19">
        <f>60/30</f>
        <v>2</v>
      </c>
      <c r="F4950" s="19">
        <v>0</v>
      </c>
      <c r="L4950" s="114"/>
    </row>
    <row r="4951" s="19" customFormat="1" hidden="1" spans="1:12">
      <c r="A4951" s="111" t="s">
        <v>4884</v>
      </c>
      <c r="B4951" s="112">
        <v>30121</v>
      </c>
      <c r="C4951" s="19">
        <v>3</v>
      </c>
      <c r="D4951" s="19" t="s">
        <v>140</v>
      </c>
      <c r="E4951" s="19">
        <f>230/30</f>
        <v>7.66666666666667</v>
      </c>
      <c r="F4951" s="19">
        <v>0</v>
      </c>
      <c r="L4951" s="114"/>
    </row>
    <row r="4952" s="19" customFormat="1" hidden="1" spans="1:12">
      <c r="A4952" s="111" t="s">
        <v>4885</v>
      </c>
      <c r="B4952" s="112">
        <v>30121</v>
      </c>
      <c r="C4952" s="19">
        <v>3</v>
      </c>
      <c r="D4952" s="19" t="s">
        <v>1047</v>
      </c>
      <c r="E4952" s="19">
        <f>60/30</f>
        <v>2</v>
      </c>
      <c r="F4952" s="19">
        <v>0</v>
      </c>
      <c r="L4952" s="114"/>
    </row>
    <row r="4953" s="19" customFormat="1" hidden="1" spans="1:12">
      <c r="A4953" s="111" t="s">
        <v>4886</v>
      </c>
      <c r="B4953" s="112">
        <v>30121</v>
      </c>
      <c r="C4953" s="19">
        <v>3</v>
      </c>
      <c r="D4953" s="19" t="s">
        <v>2198</v>
      </c>
      <c r="E4953" s="19">
        <f>48/30</f>
        <v>1.6</v>
      </c>
      <c r="F4953" s="19">
        <v>0</v>
      </c>
      <c r="L4953" s="114"/>
    </row>
    <row r="4954" s="19" customFormat="1" hidden="1" spans="1:12">
      <c r="A4954" s="111" t="s">
        <v>4887</v>
      </c>
      <c r="B4954" s="112">
        <v>30121</v>
      </c>
      <c r="C4954" s="19">
        <v>3</v>
      </c>
      <c r="D4954" s="19" t="s">
        <v>2182</v>
      </c>
      <c r="E4954" s="19">
        <f>32/30</f>
        <v>1.06666666666667</v>
      </c>
      <c r="F4954" s="19">
        <v>0</v>
      </c>
      <c r="L4954" s="114"/>
    </row>
    <row r="4955" s="19" customFormat="1" hidden="1" spans="1:12">
      <c r="A4955" s="111" t="s">
        <v>4888</v>
      </c>
      <c r="B4955" s="112">
        <v>30121</v>
      </c>
      <c r="C4955" s="19">
        <v>3</v>
      </c>
      <c r="D4955" s="19" t="s">
        <v>2184</v>
      </c>
      <c r="E4955" s="19">
        <f>31/30</f>
        <v>1.03333333333333</v>
      </c>
      <c r="F4955" s="19">
        <v>0</v>
      </c>
      <c r="L4955" s="114"/>
    </row>
    <row r="4956" s="19" customFormat="1" hidden="1" spans="1:12">
      <c r="A4956" s="111" t="s">
        <v>4889</v>
      </c>
      <c r="B4956" s="112">
        <v>30121</v>
      </c>
      <c r="C4956" s="19">
        <v>3</v>
      </c>
      <c r="D4956" s="19" t="s">
        <v>2186</v>
      </c>
      <c r="E4956" s="19">
        <f>67/30</f>
        <v>2.23333333333333</v>
      </c>
      <c r="F4956" s="19">
        <v>0</v>
      </c>
      <c r="L4956" s="114"/>
    </row>
    <row r="4957" s="19" customFormat="1" hidden="1" spans="1:12">
      <c r="A4957" s="111" t="s">
        <v>4890</v>
      </c>
      <c r="B4957" s="112">
        <v>30121</v>
      </c>
      <c r="C4957" s="19">
        <v>3</v>
      </c>
      <c r="D4957" s="19" t="s">
        <v>2188</v>
      </c>
      <c r="E4957" s="19">
        <v>1</v>
      </c>
      <c r="F4957" s="19">
        <v>0</v>
      </c>
      <c r="L4957" s="114"/>
    </row>
    <row r="4958" s="19" customFormat="1" hidden="1" spans="1:12">
      <c r="A4958" s="111" t="s">
        <v>4891</v>
      </c>
      <c r="B4958" s="112">
        <v>30121</v>
      </c>
      <c r="C4958" s="19">
        <v>3</v>
      </c>
      <c r="D4958" s="19" t="s">
        <v>2190</v>
      </c>
      <c r="E4958" s="19">
        <v>1</v>
      </c>
      <c r="F4958" s="19">
        <v>0</v>
      </c>
      <c r="L4958" s="114"/>
    </row>
    <row r="4959" s="19" customFormat="1" hidden="1" spans="1:12">
      <c r="A4959" s="111" t="s">
        <v>4892</v>
      </c>
      <c r="B4959" s="112">
        <v>30121</v>
      </c>
      <c r="C4959" s="19">
        <v>3</v>
      </c>
      <c r="D4959" s="19" t="s">
        <v>2192</v>
      </c>
      <c r="E4959" s="19">
        <v>1</v>
      </c>
      <c r="F4959" s="19">
        <v>0</v>
      </c>
      <c r="L4959" s="114"/>
    </row>
    <row r="4960" s="19" customFormat="1" hidden="1" spans="1:12">
      <c r="A4960" s="111" t="s">
        <v>4893</v>
      </c>
      <c r="B4960" s="112">
        <v>30121</v>
      </c>
      <c r="C4960" s="19">
        <v>3</v>
      </c>
      <c r="D4960" s="19" t="s">
        <v>2194</v>
      </c>
      <c r="E4960" s="19">
        <v>1</v>
      </c>
      <c r="F4960" s="19">
        <v>0</v>
      </c>
      <c r="L4960" s="114"/>
    </row>
    <row r="4961" s="19" customFormat="1" hidden="1" spans="1:12">
      <c r="A4961" s="111" t="s">
        <v>4894</v>
      </c>
      <c r="B4961" s="112">
        <v>30121</v>
      </c>
      <c r="C4961" s="19">
        <v>3</v>
      </c>
      <c r="D4961" s="19" t="s">
        <v>300</v>
      </c>
      <c r="E4961" s="19">
        <f>34/30</f>
        <v>1.13333333333333</v>
      </c>
      <c r="F4961" s="19">
        <v>0</v>
      </c>
      <c r="L4961" s="114"/>
    </row>
    <row r="4962" s="19" customFormat="1" hidden="1" spans="1:12">
      <c r="A4962" s="111" t="s">
        <v>4895</v>
      </c>
      <c r="B4962" s="112">
        <v>30121</v>
      </c>
      <c r="C4962" s="19">
        <v>3</v>
      </c>
      <c r="D4962" s="19" t="s">
        <v>2178</v>
      </c>
      <c r="E4962" s="19">
        <f t="shared" ref="E4962:E4966" si="29">40/30</f>
        <v>1.33333333333333</v>
      </c>
      <c r="F4962" s="19">
        <v>0</v>
      </c>
      <c r="L4962" s="114"/>
    </row>
    <row r="4963" s="19" customFormat="1" hidden="1" spans="1:12">
      <c r="A4963" s="111" t="s">
        <v>4896</v>
      </c>
      <c r="B4963" s="112">
        <v>30121</v>
      </c>
      <c r="C4963" s="19">
        <v>3</v>
      </c>
      <c r="D4963" s="19" t="s">
        <v>2196</v>
      </c>
      <c r="E4963" s="19">
        <f t="shared" si="29"/>
        <v>1.33333333333333</v>
      </c>
      <c r="F4963" s="19">
        <v>0</v>
      </c>
      <c r="L4963" s="114"/>
    </row>
    <row r="4964" s="19" customFormat="1" hidden="1" spans="1:12">
      <c r="A4964" s="111" t="s">
        <v>4897</v>
      </c>
      <c r="B4964" s="112">
        <v>30121</v>
      </c>
      <c r="C4964" s="19">
        <v>3</v>
      </c>
      <c r="D4964" s="19" t="s">
        <v>1788</v>
      </c>
      <c r="E4964" s="19">
        <f>60/30</f>
        <v>2</v>
      </c>
      <c r="F4964" s="19">
        <v>1</v>
      </c>
      <c r="L4964" s="114"/>
    </row>
    <row r="4965" s="19" customFormat="1" hidden="1" spans="1:12">
      <c r="A4965" s="111" t="s">
        <v>4898</v>
      </c>
      <c r="B4965" s="112">
        <v>30121</v>
      </c>
      <c r="C4965" s="19">
        <v>3</v>
      </c>
      <c r="D4965" s="19" t="s">
        <v>2621</v>
      </c>
      <c r="E4965" s="19">
        <f>24/30</f>
        <v>0.8</v>
      </c>
      <c r="F4965" s="19">
        <v>1</v>
      </c>
      <c r="L4965" s="114"/>
    </row>
    <row r="4966" s="19" customFormat="1" hidden="1" spans="1:12">
      <c r="A4966" s="111" t="s">
        <v>4899</v>
      </c>
      <c r="B4966" s="112">
        <v>30121</v>
      </c>
      <c r="C4966" s="19">
        <v>3</v>
      </c>
      <c r="D4966" s="19" t="s">
        <v>2623</v>
      </c>
      <c r="E4966" s="19">
        <f t="shared" si="29"/>
        <v>1.33333333333333</v>
      </c>
      <c r="F4966" s="19">
        <v>1</v>
      </c>
      <c r="L4966" s="114"/>
    </row>
    <row r="4967" s="33" customFormat="1" hidden="1" spans="1:12">
      <c r="A4967" s="185" t="s">
        <v>4900</v>
      </c>
      <c r="B4967" s="186">
        <v>30122</v>
      </c>
      <c r="C4967" s="33">
        <v>3</v>
      </c>
      <c r="D4967" s="33" t="s">
        <v>36</v>
      </c>
      <c r="E4967" s="33">
        <f>66/30</f>
        <v>2.2</v>
      </c>
      <c r="F4967" s="33">
        <v>0</v>
      </c>
      <c r="L4967" s="187"/>
    </row>
    <row r="4968" s="33" customFormat="1" hidden="1" spans="1:12">
      <c r="A4968" s="185" t="s">
        <v>4901</v>
      </c>
      <c r="B4968" s="186">
        <v>30122</v>
      </c>
      <c r="C4968" s="33">
        <v>3</v>
      </c>
      <c r="D4968" s="33" t="s">
        <v>46</v>
      </c>
      <c r="E4968" s="33">
        <f>86/30</f>
        <v>2.86666666666667</v>
      </c>
      <c r="F4968" s="33">
        <v>0</v>
      </c>
      <c r="L4968" s="187"/>
    </row>
    <row r="4969" s="33" customFormat="1" hidden="1" spans="1:12">
      <c r="A4969" s="185" t="s">
        <v>4902</v>
      </c>
      <c r="B4969" s="186">
        <v>30122</v>
      </c>
      <c r="C4969" s="33">
        <v>3</v>
      </c>
      <c r="D4969" s="33" t="s">
        <v>86</v>
      </c>
      <c r="E4969" s="33">
        <f>91/30</f>
        <v>3.03333333333333</v>
      </c>
      <c r="F4969" s="33">
        <v>0</v>
      </c>
      <c r="L4969" s="187"/>
    </row>
    <row r="4970" s="33" customFormat="1" hidden="1" spans="1:12">
      <c r="A4970" s="185" t="s">
        <v>4903</v>
      </c>
      <c r="B4970" s="186">
        <v>30122</v>
      </c>
      <c r="C4970" s="33">
        <v>3</v>
      </c>
      <c r="D4970" s="33" t="s">
        <v>90</v>
      </c>
      <c r="E4970" s="33">
        <f>232/30</f>
        <v>7.73333333333333</v>
      </c>
      <c r="F4970" s="33">
        <v>0</v>
      </c>
      <c r="L4970" s="187"/>
    </row>
    <row r="4971" s="33" customFormat="1" hidden="1" spans="1:12">
      <c r="A4971" s="185" t="s">
        <v>4904</v>
      </c>
      <c r="B4971" s="186">
        <v>30122</v>
      </c>
      <c r="C4971" s="33">
        <v>3</v>
      </c>
      <c r="D4971" s="33" t="s">
        <v>1047</v>
      </c>
      <c r="E4971" s="33">
        <f>71/30</f>
        <v>2.36666666666667</v>
      </c>
      <c r="F4971" s="33">
        <v>0</v>
      </c>
      <c r="L4971" s="187"/>
    </row>
    <row r="4972" s="33" customFormat="1" hidden="1" spans="1:12">
      <c r="A4972" s="185" t="s">
        <v>4905</v>
      </c>
      <c r="B4972" s="186">
        <v>30122</v>
      </c>
      <c r="C4972" s="33">
        <v>3</v>
      </c>
      <c r="D4972" s="33" t="s">
        <v>2198</v>
      </c>
      <c r="E4972" s="33">
        <f>120/30</f>
        <v>4</v>
      </c>
      <c r="F4972" s="33">
        <v>0</v>
      </c>
      <c r="L4972" s="187"/>
    </row>
    <row r="4973" s="33" customFormat="1" hidden="1" spans="1:12">
      <c r="A4973" s="185" t="s">
        <v>4906</v>
      </c>
      <c r="B4973" s="186">
        <v>30122</v>
      </c>
      <c r="C4973" s="33">
        <v>3</v>
      </c>
      <c r="D4973" s="33" t="s">
        <v>2182</v>
      </c>
      <c r="E4973" s="33">
        <f>34/30</f>
        <v>1.13333333333333</v>
      </c>
      <c r="F4973" s="33">
        <v>0</v>
      </c>
      <c r="L4973" s="187"/>
    </row>
    <row r="4974" s="33" customFormat="1" hidden="1" spans="1:12">
      <c r="A4974" s="185" t="s">
        <v>4907</v>
      </c>
      <c r="B4974" s="186">
        <v>30122</v>
      </c>
      <c r="C4974" s="33">
        <v>3</v>
      </c>
      <c r="D4974" s="33" t="s">
        <v>2184</v>
      </c>
      <c r="E4974" s="33">
        <f>30/30</f>
        <v>1</v>
      </c>
      <c r="F4974" s="33">
        <v>0</v>
      </c>
      <c r="L4974" s="187"/>
    </row>
    <row r="4975" s="33" customFormat="1" hidden="1" spans="1:12">
      <c r="A4975" s="185" t="s">
        <v>4908</v>
      </c>
      <c r="B4975" s="186">
        <v>30122</v>
      </c>
      <c r="C4975" s="33">
        <v>3</v>
      </c>
      <c r="D4975" s="33" t="s">
        <v>2186</v>
      </c>
      <c r="E4975" s="33">
        <f>50/30</f>
        <v>1.66666666666667</v>
      </c>
      <c r="F4975" s="33">
        <v>0</v>
      </c>
      <c r="L4975" s="187"/>
    </row>
    <row r="4976" s="33" customFormat="1" hidden="1" spans="1:12">
      <c r="A4976" s="185" t="s">
        <v>4909</v>
      </c>
      <c r="B4976" s="186">
        <v>30122</v>
      </c>
      <c r="C4976" s="33">
        <v>3</v>
      </c>
      <c r="D4976" s="33" t="s">
        <v>2188</v>
      </c>
      <c r="E4976" s="33">
        <f t="shared" ref="E4976:E4981" si="30">24/30</f>
        <v>0.8</v>
      </c>
      <c r="F4976" s="33">
        <v>0</v>
      </c>
      <c r="G4976" s="33">
        <v>0</v>
      </c>
      <c r="H4976" s="33">
        <v>2</v>
      </c>
      <c r="I4976" s="33">
        <v>5068</v>
      </c>
      <c r="J4976" s="33" t="s">
        <v>58</v>
      </c>
      <c r="K4976" s="33">
        <v>1</v>
      </c>
      <c r="L4976" s="187"/>
    </row>
    <row r="4977" s="33" customFormat="1" hidden="1" spans="1:12">
      <c r="A4977" s="185" t="s">
        <v>4910</v>
      </c>
      <c r="B4977" s="186">
        <v>30122</v>
      </c>
      <c r="C4977" s="33">
        <v>3</v>
      </c>
      <c r="D4977" s="33" t="s">
        <v>2190</v>
      </c>
      <c r="E4977" s="33">
        <f t="shared" si="30"/>
        <v>0.8</v>
      </c>
      <c r="F4977" s="33">
        <v>0</v>
      </c>
      <c r="G4977" s="33">
        <v>0</v>
      </c>
      <c r="H4977" s="33">
        <v>2</v>
      </c>
      <c r="I4977" s="33">
        <v>5068</v>
      </c>
      <c r="J4977" s="33" t="s">
        <v>58</v>
      </c>
      <c r="K4977" s="33">
        <v>1</v>
      </c>
      <c r="L4977" s="187"/>
    </row>
    <row r="4978" s="33" customFormat="1" hidden="1" spans="1:12">
      <c r="A4978" s="185" t="s">
        <v>4911</v>
      </c>
      <c r="B4978" s="186">
        <v>30122</v>
      </c>
      <c r="C4978" s="33">
        <v>3</v>
      </c>
      <c r="D4978" s="33" t="s">
        <v>2192</v>
      </c>
      <c r="E4978" s="33">
        <f t="shared" si="30"/>
        <v>0.8</v>
      </c>
      <c r="F4978" s="33">
        <v>0</v>
      </c>
      <c r="G4978" s="33">
        <v>0</v>
      </c>
      <c r="H4978" s="33">
        <v>2</v>
      </c>
      <c r="I4978" s="33">
        <v>5068</v>
      </c>
      <c r="J4978" s="33" t="s">
        <v>58</v>
      </c>
      <c r="K4978" s="33">
        <v>1</v>
      </c>
      <c r="L4978" s="187"/>
    </row>
    <row r="4979" s="33" customFormat="1" hidden="1" spans="1:12">
      <c r="A4979" s="185" t="s">
        <v>4912</v>
      </c>
      <c r="B4979" s="186">
        <v>30122</v>
      </c>
      <c r="C4979" s="33">
        <v>3</v>
      </c>
      <c r="D4979" s="33" t="s">
        <v>2194</v>
      </c>
      <c r="E4979" s="33">
        <f t="shared" si="30"/>
        <v>0.8</v>
      </c>
      <c r="F4979" s="33">
        <v>0</v>
      </c>
      <c r="G4979" s="33">
        <v>0</v>
      </c>
      <c r="H4979" s="33">
        <v>2</v>
      </c>
      <c r="I4979" s="33">
        <v>5068</v>
      </c>
      <c r="J4979" s="33" t="s">
        <v>58</v>
      </c>
      <c r="K4979" s="33">
        <v>1</v>
      </c>
      <c r="L4979" s="187"/>
    </row>
    <row r="4980" s="33" customFormat="1" hidden="1" spans="1:12">
      <c r="A4980" s="185" t="s">
        <v>4913</v>
      </c>
      <c r="B4980" s="186">
        <v>30122</v>
      </c>
      <c r="C4980" s="33">
        <v>3</v>
      </c>
      <c r="D4980" s="33" t="s">
        <v>300</v>
      </c>
      <c r="E4980" s="33">
        <f t="shared" si="30"/>
        <v>0.8</v>
      </c>
      <c r="F4980" s="33">
        <v>0</v>
      </c>
      <c r="G4980" s="33">
        <v>0</v>
      </c>
      <c r="H4980" s="33">
        <v>2</v>
      </c>
      <c r="I4980" s="33">
        <v>5068</v>
      </c>
      <c r="J4980" s="33" t="s">
        <v>58</v>
      </c>
      <c r="K4980" s="33">
        <v>1</v>
      </c>
      <c r="L4980" s="187"/>
    </row>
    <row r="4981" s="33" customFormat="1" hidden="1" spans="1:12">
      <c r="A4981" s="185" t="s">
        <v>4914</v>
      </c>
      <c r="B4981" s="186">
        <v>30122</v>
      </c>
      <c r="C4981" s="33">
        <v>3</v>
      </c>
      <c r="D4981" s="33" t="s">
        <v>2178</v>
      </c>
      <c r="E4981" s="33">
        <f t="shared" si="30"/>
        <v>0.8</v>
      </c>
      <c r="F4981" s="33">
        <v>0</v>
      </c>
      <c r="G4981" s="33">
        <v>0</v>
      </c>
      <c r="H4981" s="33">
        <v>2</v>
      </c>
      <c r="I4981" s="33">
        <v>5068</v>
      </c>
      <c r="J4981" s="33" t="s">
        <v>58</v>
      </c>
      <c r="K4981" s="33">
        <v>1</v>
      </c>
      <c r="L4981" s="187"/>
    </row>
    <row r="4982" s="33" customFormat="1" hidden="1" spans="1:12">
      <c r="A4982" s="185" t="s">
        <v>4915</v>
      </c>
      <c r="B4982" s="186">
        <v>30122</v>
      </c>
      <c r="C4982" s="33">
        <v>3</v>
      </c>
      <c r="D4982" s="33" t="s">
        <v>2196</v>
      </c>
      <c r="E4982" s="33">
        <f>46/30</f>
        <v>1.53333333333333</v>
      </c>
      <c r="F4982" s="33">
        <v>0</v>
      </c>
      <c r="L4982" s="187"/>
    </row>
    <row r="4983" s="33" customFormat="1" hidden="1" spans="1:12">
      <c r="A4983" s="185" t="s">
        <v>4916</v>
      </c>
      <c r="B4983" s="186">
        <v>30122</v>
      </c>
      <c r="D4983" s="33" t="s">
        <v>4714</v>
      </c>
      <c r="E4983" s="33">
        <f>50/30</f>
        <v>1.66666666666667</v>
      </c>
      <c r="F4983" s="33">
        <v>1</v>
      </c>
      <c r="G4983" s="33">
        <v>0</v>
      </c>
      <c r="H4983" s="33">
        <v>2</v>
      </c>
      <c r="I4983" s="33">
        <v>5068</v>
      </c>
      <c r="J4983" s="33" t="s">
        <v>58</v>
      </c>
      <c r="K4983" s="33">
        <v>1</v>
      </c>
      <c r="L4983" s="187"/>
    </row>
    <row r="4984" s="19" customFormat="1" hidden="1" spans="1:12">
      <c r="A4984" s="111" t="s">
        <v>4917</v>
      </c>
      <c r="B4984" s="112">
        <v>30123</v>
      </c>
      <c r="C4984" s="19">
        <v>3</v>
      </c>
      <c r="D4984" s="19" t="s">
        <v>36</v>
      </c>
      <c r="E4984" s="19">
        <f>66/30</f>
        <v>2.2</v>
      </c>
      <c r="F4984" s="19">
        <v>0</v>
      </c>
      <c r="L4984" s="114"/>
    </row>
    <row r="4985" s="19" customFormat="1" hidden="1" spans="1:12">
      <c r="A4985" s="111" t="s">
        <v>4918</v>
      </c>
      <c r="B4985" s="112">
        <v>30123</v>
      </c>
      <c r="C4985" s="19">
        <v>3</v>
      </c>
      <c r="D4985" s="19" t="s">
        <v>46</v>
      </c>
      <c r="E4985" s="19">
        <f>86/30</f>
        <v>2.86666666666667</v>
      </c>
      <c r="F4985" s="19">
        <v>0</v>
      </c>
      <c r="L4985" s="114"/>
    </row>
    <row r="4986" s="19" customFormat="1" hidden="1" spans="1:12">
      <c r="A4986" s="111" t="s">
        <v>4919</v>
      </c>
      <c r="B4986" s="112">
        <v>30123</v>
      </c>
      <c r="C4986" s="19">
        <v>3</v>
      </c>
      <c r="D4986" s="19" t="s">
        <v>86</v>
      </c>
      <c r="E4986" s="19">
        <f>91/30</f>
        <v>3.03333333333333</v>
      </c>
      <c r="F4986" s="19">
        <v>0</v>
      </c>
      <c r="L4986" s="114"/>
    </row>
    <row r="4987" s="19" customFormat="1" hidden="1" spans="1:12">
      <c r="A4987" s="111" t="s">
        <v>4920</v>
      </c>
      <c r="B4987" s="112">
        <v>30123</v>
      </c>
      <c r="C4987" s="19">
        <v>3</v>
      </c>
      <c r="D4987" s="19" t="s">
        <v>90</v>
      </c>
      <c r="E4987" s="19">
        <f>232/30</f>
        <v>7.73333333333333</v>
      </c>
      <c r="F4987" s="19">
        <v>0</v>
      </c>
      <c r="L4987" s="114"/>
    </row>
    <row r="4988" s="19" customFormat="1" hidden="1" spans="1:12">
      <c r="A4988" s="111" t="s">
        <v>4921</v>
      </c>
      <c r="B4988" s="112">
        <v>30123</v>
      </c>
      <c r="C4988" s="19">
        <v>3</v>
      </c>
      <c r="D4988" s="19" t="s">
        <v>1047</v>
      </c>
      <c r="E4988" s="19">
        <f>71/30</f>
        <v>2.36666666666667</v>
      </c>
      <c r="F4988" s="19">
        <v>0</v>
      </c>
      <c r="L4988" s="114"/>
    </row>
    <row r="4989" s="19" customFormat="1" hidden="1" spans="1:12">
      <c r="A4989" s="111" t="s">
        <v>4922</v>
      </c>
      <c r="B4989" s="112">
        <v>30123</v>
      </c>
      <c r="C4989" s="19">
        <v>3</v>
      </c>
      <c r="D4989" s="19" t="s">
        <v>2198</v>
      </c>
      <c r="E4989" s="19">
        <f>120/30</f>
        <v>4</v>
      </c>
      <c r="F4989" s="19">
        <v>0</v>
      </c>
      <c r="L4989" s="114"/>
    </row>
    <row r="4990" s="19" customFormat="1" hidden="1" spans="1:12">
      <c r="A4990" s="111" t="s">
        <v>4923</v>
      </c>
      <c r="B4990" s="112">
        <v>30123</v>
      </c>
      <c r="C4990" s="19">
        <v>3</v>
      </c>
      <c r="D4990" s="19" t="s">
        <v>2182</v>
      </c>
      <c r="E4990" s="19">
        <f>34/30</f>
        <v>1.13333333333333</v>
      </c>
      <c r="F4990" s="19">
        <v>0</v>
      </c>
      <c r="L4990" s="114"/>
    </row>
    <row r="4991" s="19" customFormat="1" hidden="1" spans="1:12">
      <c r="A4991" s="111" t="s">
        <v>4924</v>
      </c>
      <c r="B4991" s="112">
        <v>30123</v>
      </c>
      <c r="C4991" s="19">
        <v>3</v>
      </c>
      <c r="D4991" s="19" t="s">
        <v>2184</v>
      </c>
      <c r="E4991" s="19">
        <f>30/30</f>
        <v>1</v>
      </c>
      <c r="F4991" s="19">
        <v>0</v>
      </c>
      <c r="L4991" s="114"/>
    </row>
    <row r="4992" s="19" customFormat="1" hidden="1" spans="1:12">
      <c r="A4992" s="111" t="s">
        <v>4925</v>
      </c>
      <c r="B4992" s="112">
        <v>30123</v>
      </c>
      <c r="C4992" s="19">
        <v>3</v>
      </c>
      <c r="D4992" s="19" t="s">
        <v>2186</v>
      </c>
      <c r="E4992" s="19">
        <f>50/30</f>
        <v>1.66666666666667</v>
      </c>
      <c r="F4992" s="19">
        <v>0</v>
      </c>
      <c r="L4992" s="114"/>
    </row>
    <row r="4993" s="19" customFormat="1" hidden="1" spans="1:12">
      <c r="A4993" s="111" t="s">
        <v>4926</v>
      </c>
      <c r="B4993" s="112">
        <v>30123</v>
      </c>
      <c r="C4993" s="19">
        <v>3</v>
      </c>
      <c r="D4993" s="19" t="s">
        <v>2188</v>
      </c>
      <c r="E4993" s="19">
        <f t="shared" ref="E4993:E4998" si="31">24/30</f>
        <v>0.8</v>
      </c>
      <c r="F4993" s="19">
        <v>0</v>
      </c>
      <c r="G4993" s="19">
        <v>0</v>
      </c>
      <c r="H4993" s="19">
        <v>2</v>
      </c>
      <c r="I4993" s="19">
        <v>5068</v>
      </c>
      <c r="J4993" s="19" t="s">
        <v>58</v>
      </c>
      <c r="K4993" s="19">
        <v>1</v>
      </c>
      <c r="L4993" s="114"/>
    </row>
    <row r="4994" s="19" customFormat="1" hidden="1" spans="1:12">
      <c r="A4994" s="111" t="s">
        <v>4927</v>
      </c>
      <c r="B4994" s="112">
        <v>30123</v>
      </c>
      <c r="C4994" s="19">
        <v>3</v>
      </c>
      <c r="D4994" s="19" t="s">
        <v>2190</v>
      </c>
      <c r="E4994" s="19">
        <f t="shared" si="31"/>
        <v>0.8</v>
      </c>
      <c r="F4994" s="19">
        <v>0</v>
      </c>
      <c r="G4994" s="19">
        <v>0</v>
      </c>
      <c r="H4994" s="19">
        <v>2</v>
      </c>
      <c r="I4994" s="19">
        <v>5068</v>
      </c>
      <c r="J4994" s="19" t="s">
        <v>58</v>
      </c>
      <c r="K4994" s="19">
        <v>1</v>
      </c>
      <c r="L4994" s="114"/>
    </row>
    <row r="4995" s="19" customFormat="1" hidden="1" spans="1:12">
      <c r="A4995" s="111" t="s">
        <v>4928</v>
      </c>
      <c r="B4995" s="112">
        <v>30123</v>
      </c>
      <c r="C4995" s="19">
        <v>3</v>
      </c>
      <c r="D4995" s="19" t="s">
        <v>2192</v>
      </c>
      <c r="E4995" s="19">
        <f t="shared" si="31"/>
        <v>0.8</v>
      </c>
      <c r="F4995" s="19">
        <v>0</v>
      </c>
      <c r="G4995" s="19">
        <v>0</v>
      </c>
      <c r="H4995" s="19">
        <v>2</v>
      </c>
      <c r="I4995" s="19">
        <v>5068</v>
      </c>
      <c r="J4995" s="19" t="s">
        <v>58</v>
      </c>
      <c r="K4995" s="19">
        <v>1</v>
      </c>
      <c r="L4995" s="114"/>
    </row>
    <row r="4996" s="19" customFormat="1" hidden="1" spans="1:12">
      <c r="A4996" s="111" t="s">
        <v>4929</v>
      </c>
      <c r="B4996" s="112">
        <v>30123</v>
      </c>
      <c r="C4996" s="19">
        <v>3</v>
      </c>
      <c r="D4996" s="19" t="s">
        <v>2194</v>
      </c>
      <c r="E4996" s="19">
        <f t="shared" si="31"/>
        <v>0.8</v>
      </c>
      <c r="F4996" s="19">
        <v>0</v>
      </c>
      <c r="G4996" s="19">
        <v>0</v>
      </c>
      <c r="H4996" s="19">
        <v>2</v>
      </c>
      <c r="I4996" s="19">
        <v>5068</v>
      </c>
      <c r="J4996" s="19" t="s">
        <v>58</v>
      </c>
      <c r="K4996" s="19">
        <v>1</v>
      </c>
      <c r="L4996" s="114"/>
    </row>
    <row r="4997" s="19" customFormat="1" hidden="1" spans="1:12">
      <c r="A4997" s="111" t="s">
        <v>4930</v>
      </c>
      <c r="B4997" s="112">
        <v>30123</v>
      </c>
      <c r="C4997" s="19">
        <v>3</v>
      </c>
      <c r="D4997" s="19" t="s">
        <v>300</v>
      </c>
      <c r="E4997" s="19">
        <f t="shared" si="31"/>
        <v>0.8</v>
      </c>
      <c r="F4997" s="19">
        <v>0</v>
      </c>
      <c r="G4997" s="19">
        <v>0</v>
      </c>
      <c r="H4997" s="19">
        <v>2</v>
      </c>
      <c r="I4997" s="19">
        <v>5068</v>
      </c>
      <c r="J4997" s="19" t="s">
        <v>58</v>
      </c>
      <c r="K4997" s="19">
        <v>1</v>
      </c>
      <c r="L4997" s="114"/>
    </row>
    <row r="4998" s="19" customFormat="1" hidden="1" spans="1:12">
      <c r="A4998" s="111" t="s">
        <v>4931</v>
      </c>
      <c r="B4998" s="112">
        <v>30123</v>
      </c>
      <c r="C4998" s="19">
        <v>3</v>
      </c>
      <c r="D4998" s="19" t="s">
        <v>2178</v>
      </c>
      <c r="E4998" s="19">
        <f t="shared" si="31"/>
        <v>0.8</v>
      </c>
      <c r="F4998" s="19">
        <v>0</v>
      </c>
      <c r="G4998" s="19">
        <v>0</v>
      </c>
      <c r="H4998" s="19">
        <v>2</v>
      </c>
      <c r="I4998" s="19">
        <v>5068</v>
      </c>
      <c r="J4998" s="19" t="s">
        <v>58</v>
      </c>
      <c r="K4998" s="19">
        <v>1</v>
      </c>
      <c r="L4998" s="114"/>
    </row>
    <row r="4999" s="19" customFormat="1" hidden="1" spans="1:12">
      <c r="A4999" s="111" t="s">
        <v>4932</v>
      </c>
      <c r="B4999" s="112">
        <v>30123</v>
      </c>
      <c r="C4999" s="19">
        <v>3</v>
      </c>
      <c r="D4999" s="19" t="s">
        <v>2196</v>
      </c>
      <c r="E4999" s="19">
        <f>46/30</f>
        <v>1.53333333333333</v>
      </c>
      <c r="F4999" s="19">
        <v>0</v>
      </c>
      <c r="L4999" s="114"/>
    </row>
    <row r="5000" s="19" customFormat="1" hidden="1" spans="1:12">
      <c r="A5000" s="111" t="s">
        <v>4933</v>
      </c>
      <c r="B5000" s="112">
        <v>30123</v>
      </c>
      <c r="D5000" s="19" t="s">
        <v>4714</v>
      </c>
      <c r="E5000" s="19">
        <f>50/30</f>
        <v>1.66666666666667</v>
      </c>
      <c r="F5000" s="19">
        <v>1</v>
      </c>
      <c r="G5000" s="19">
        <v>0</v>
      </c>
      <c r="H5000" s="19">
        <v>2</v>
      </c>
      <c r="I5000" s="19">
        <v>5068</v>
      </c>
      <c r="J5000" s="19" t="s">
        <v>58</v>
      </c>
      <c r="K5000" s="19">
        <v>1</v>
      </c>
      <c r="L5000" s="114"/>
    </row>
    <row r="5001" s="33" customFormat="1" hidden="1" spans="1:12">
      <c r="A5001" s="185" t="s">
        <v>4934</v>
      </c>
      <c r="B5001" s="186">
        <v>30124</v>
      </c>
      <c r="C5001" s="33">
        <v>3</v>
      </c>
      <c r="D5001" s="33" t="s">
        <v>36</v>
      </c>
      <c r="E5001" s="33">
        <f>66/30</f>
        <v>2.2</v>
      </c>
      <c r="F5001" s="33">
        <v>0</v>
      </c>
      <c r="L5001" s="187"/>
    </row>
    <row r="5002" s="33" customFormat="1" hidden="1" spans="1:12">
      <c r="A5002" s="185" t="s">
        <v>4935</v>
      </c>
      <c r="B5002" s="186">
        <v>30124</v>
      </c>
      <c r="C5002" s="33">
        <v>3</v>
      </c>
      <c r="D5002" s="33" t="s">
        <v>46</v>
      </c>
      <c r="E5002" s="33">
        <f>86/30</f>
        <v>2.86666666666667</v>
      </c>
      <c r="F5002" s="33">
        <v>0</v>
      </c>
      <c r="L5002" s="187"/>
    </row>
    <row r="5003" s="33" customFormat="1" hidden="1" spans="1:12">
      <c r="A5003" s="185" t="s">
        <v>4936</v>
      </c>
      <c r="B5003" s="186">
        <v>30124</v>
      </c>
      <c r="C5003" s="33">
        <v>3</v>
      </c>
      <c r="D5003" s="33" t="s">
        <v>86</v>
      </c>
      <c r="E5003" s="33">
        <f>91/30</f>
        <v>3.03333333333333</v>
      </c>
      <c r="F5003" s="33">
        <v>0</v>
      </c>
      <c r="L5003" s="187"/>
    </row>
    <row r="5004" s="33" customFormat="1" hidden="1" spans="1:12">
      <c r="A5004" s="185" t="s">
        <v>4937</v>
      </c>
      <c r="B5004" s="186">
        <v>30124</v>
      </c>
      <c r="C5004" s="33">
        <v>3</v>
      </c>
      <c r="D5004" s="33" t="s">
        <v>90</v>
      </c>
      <c r="E5004" s="33">
        <f>232/30</f>
        <v>7.73333333333333</v>
      </c>
      <c r="F5004" s="33">
        <v>0</v>
      </c>
      <c r="L5004" s="187"/>
    </row>
    <row r="5005" s="33" customFormat="1" hidden="1" spans="1:12">
      <c r="A5005" s="185" t="s">
        <v>4938</v>
      </c>
      <c r="B5005" s="186">
        <v>30124</v>
      </c>
      <c r="C5005" s="33">
        <v>3</v>
      </c>
      <c r="D5005" s="33" t="s">
        <v>1047</v>
      </c>
      <c r="E5005" s="33">
        <f>71/30</f>
        <v>2.36666666666667</v>
      </c>
      <c r="F5005" s="33">
        <v>0</v>
      </c>
      <c r="L5005" s="187"/>
    </row>
    <row r="5006" s="33" customFormat="1" hidden="1" spans="1:12">
      <c r="A5006" s="185" t="s">
        <v>4939</v>
      </c>
      <c r="B5006" s="186">
        <v>30124</v>
      </c>
      <c r="C5006" s="33">
        <v>3</v>
      </c>
      <c r="D5006" s="33" t="s">
        <v>2198</v>
      </c>
      <c r="E5006" s="33">
        <f>120/30</f>
        <v>4</v>
      </c>
      <c r="F5006" s="33">
        <v>0</v>
      </c>
      <c r="L5006" s="187"/>
    </row>
    <row r="5007" s="33" customFormat="1" hidden="1" spans="1:12">
      <c r="A5007" s="185" t="s">
        <v>4940</v>
      </c>
      <c r="B5007" s="186">
        <v>30124</v>
      </c>
      <c r="C5007" s="33">
        <v>3</v>
      </c>
      <c r="D5007" s="33" t="s">
        <v>2182</v>
      </c>
      <c r="E5007" s="33">
        <f>34/30</f>
        <v>1.13333333333333</v>
      </c>
      <c r="F5007" s="33">
        <v>0</v>
      </c>
      <c r="L5007" s="187"/>
    </row>
    <row r="5008" s="33" customFormat="1" hidden="1" spans="1:12">
      <c r="A5008" s="185" t="s">
        <v>4941</v>
      </c>
      <c r="B5008" s="186">
        <v>30124</v>
      </c>
      <c r="C5008" s="33">
        <v>3</v>
      </c>
      <c r="D5008" s="33" t="s">
        <v>2184</v>
      </c>
      <c r="E5008" s="33">
        <f>30/30</f>
        <v>1</v>
      </c>
      <c r="F5008" s="33">
        <v>0</v>
      </c>
      <c r="L5008" s="187"/>
    </row>
    <row r="5009" s="33" customFormat="1" hidden="1" spans="1:12">
      <c r="A5009" s="185" t="s">
        <v>4942</v>
      </c>
      <c r="B5009" s="186">
        <v>30124</v>
      </c>
      <c r="C5009" s="33">
        <v>3</v>
      </c>
      <c r="D5009" s="33" t="s">
        <v>2186</v>
      </c>
      <c r="E5009" s="33">
        <f>50/30</f>
        <v>1.66666666666667</v>
      </c>
      <c r="F5009" s="33">
        <v>0</v>
      </c>
      <c r="L5009" s="187"/>
    </row>
    <row r="5010" s="33" customFormat="1" hidden="1" spans="1:12">
      <c r="A5010" s="185" t="s">
        <v>4943</v>
      </c>
      <c r="B5010" s="186">
        <v>30124</v>
      </c>
      <c r="C5010" s="33">
        <v>3</v>
      </c>
      <c r="D5010" s="33" t="s">
        <v>2188</v>
      </c>
      <c r="E5010" s="33">
        <f t="shared" ref="E5010:E5015" si="32">24/30</f>
        <v>0.8</v>
      </c>
      <c r="F5010" s="33">
        <v>0</v>
      </c>
      <c r="G5010" s="33">
        <v>0</v>
      </c>
      <c r="H5010" s="33">
        <v>2</v>
      </c>
      <c r="I5010" s="33">
        <v>5068</v>
      </c>
      <c r="J5010" s="33" t="s">
        <v>58</v>
      </c>
      <c r="K5010" s="33">
        <v>1</v>
      </c>
      <c r="L5010" s="187"/>
    </row>
    <row r="5011" s="33" customFormat="1" hidden="1" spans="1:12">
      <c r="A5011" s="185" t="s">
        <v>4944</v>
      </c>
      <c r="B5011" s="186">
        <v>30124</v>
      </c>
      <c r="C5011" s="33">
        <v>3</v>
      </c>
      <c r="D5011" s="33" t="s">
        <v>2190</v>
      </c>
      <c r="E5011" s="33">
        <f t="shared" si="32"/>
        <v>0.8</v>
      </c>
      <c r="F5011" s="33">
        <v>0</v>
      </c>
      <c r="G5011" s="33">
        <v>0</v>
      </c>
      <c r="H5011" s="33">
        <v>2</v>
      </c>
      <c r="I5011" s="33">
        <v>5068</v>
      </c>
      <c r="J5011" s="33" t="s">
        <v>58</v>
      </c>
      <c r="K5011" s="33">
        <v>1</v>
      </c>
      <c r="L5011" s="187"/>
    </row>
    <row r="5012" s="33" customFormat="1" hidden="1" spans="1:12">
      <c r="A5012" s="185" t="s">
        <v>4945</v>
      </c>
      <c r="B5012" s="186">
        <v>30124</v>
      </c>
      <c r="C5012" s="33">
        <v>3</v>
      </c>
      <c r="D5012" s="33" t="s">
        <v>2192</v>
      </c>
      <c r="E5012" s="33">
        <f t="shared" si="32"/>
        <v>0.8</v>
      </c>
      <c r="F5012" s="33">
        <v>0</v>
      </c>
      <c r="G5012" s="33">
        <v>0</v>
      </c>
      <c r="H5012" s="33">
        <v>2</v>
      </c>
      <c r="I5012" s="33">
        <v>5068</v>
      </c>
      <c r="J5012" s="33" t="s">
        <v>58</v>
      </c>
      <c r="K5012" s="33">
        <v>1</v>
      </c>
      <c r="L5012" s="187"/>
    </row>
    <row r="5013" s="33" customFormat="1" hidden="1" spans="1:12">
      <c r="A5013" s="185" t="s">
        <v>4946</v>
      </c>
      <c r="B5013" s="186">
        <v>30124</v>
      </c>
      <c r="C5013" s="33">
        <v>3</v>
      </c>
      <c r="D5013" s="33" t="s">
        <v>2194</v>
      </c>
      <c r="E5013" s="33">
        <f t="shared" si="32"/>
        <v>0.8</v>
      </c>
      <c r="F5013" s="33">
        <v>0</v>
      </c>
      <c r="G5013" s="33">
        <v>0</v>
      </c>
      <c r="H5013" s="33">
        <v>2</v>
      </c>
      <c r="I5013" s="33">
        <v>5068</v>
      </c>
      <c r="J5013" s="33" t="s">
        <v>58</v>
      </c>
      <c r="K5013" s="33">
        <v>1</v>
      </c>
      <c r="L5013" s="187"/>
    </row>
    <row r="5014" s="33" customFormat="1" hidden="1" spans="1:12">
      <c r="A5014" s="185" t="s">
        <v>4947</v>
      </c>
      <c r="B5014" s="186">
        <v>30124</v>
      </c>
      <c r="C5014" s="33">
        <v>3</v>
      </c>
      <c r="D5014" s="33" t="s">
        <v>300</v>
      </c>
      <c r="E5014" s="33">
        <f t="shared" si="32"/>
        <v>0.8</v>
      </c>
      <c r="F5014" s="33">
        <v>0</v>
      </c>
      <c r="G5014" s="33">
        <v>0</v>
      </c>
      <c r="H5014" s="33">
        <v>2</v>
      </c>
      <c r="I5014" s="33">
        <v>5068</v>
      </c>
      <c r="J5014" s="33" t="s">
        <v>58</v>
      </c>
      <c r="K5014" s="33">
        <v>1</v>
      </c>
      <c r="L5014" s="187"/>
    </row>
    <row r="5015" s="33" customFormat="1" hidden="1" spans="1:12">
      <c r="A5015" s="185" t="s">
        <v>4948</v>
      </c>
      <c r="B5015" s="186">
        <v>30124</v>
      </c>
      <c r="C5015" s="33">
        <v>3</v>
      </c>
      <c r="D5015" s="33" t="s">
        <v>2178</v>
      </c>
      <c r="E5015" s="33">
        <f t="shared" si="32"/>
        <v>0.8</v>
      </c>
      <c r="F5015" s="33">
        <v>0</v>
      </c>
      <c r="G5015" s="33">
        <v>0</v>
      </c>
      <c r="H5015" s="33">
        <v>2</v>
      </c>
      <c r="I5015" s="33">
        <v>5068</v>
      </c>
      <c r="J5015" s="33" t="s">
        <v>58</v>
      </c>
      <c r="K5015" s="33">
        <v>1</v>
      </c>
      <c r="L5015" s="187"/>
    </row>
    <row r="5016" s="33" customFormat="1" hidden="1" spans="1:12">
      <c r="A5016" s="185" t="s">
        <v>4949</v>
      </c>
      <c r="B5016" s="186">
        <v>30124</v>
      </c>
      <c r="C5016" s="33">
        <v>3</v>
      </c>
      <c r="D5016" s="33" t="s">
        <v>2196</v>
      </c>
      <c r="E5016" s="33">
        <f>46/30</f>
        <v>1.53333333333333</v>
      </c>
      <c r="F5016" s="33">
        <v>0</v>
      </c>
      <c r="G5016" s="33" t="s">
        <v>4950</v>
      </c>
      <c r="L5016" s="187"/>
    </row>
    <row r="5017" s="33" customFormat="1" hidden="1" spans="1:12">
      <c r="A5017" s="185" t="s">
        <v>4951</v>
      </c>
      <c r="B5017" s="186">
        <v>30124</v>
      </c>
      <c r="D5017" s="33" t="s">
        <v>4714</v>
      </c>
      <c r="E5017" s="33">
        <f>50/30</f>
        <v>1.66666666666667</v>
      </c>
      <c r="F5017" s="33">
        <v>1</v>
      </c>
      <c r="G5017" s="33">
        <v>0</v>
      </c>
      <c r="H5017" s="33">
        <v>2</v>
      </c>
      <c r="I5017" s="33">
        <v>5068</v>
      </c>
      <c r="J5017" s="33" t="s">
        <v>58</v>
      </c>
      <c r="K5017" s="33">
        <v>1</v>
      </c>
      <c r="L5017" s="187"/>
    </row>
    <row r="5018" s="19" customFormat="1" hidden="1" spans="1:12">
      <c r="A5018" s="111" t="s">
        <v>4952</v>
      </c>
      <c r="B5018" s="112">
        <v>30125</v>
      </c>
      <c r="C5018" s="19">
        <v>3</v>
      </c>
      <c r="D5018" s="19" t="s">
        <v>2621</v>
      </c>
      <c r="E5018" s="19">
        <f>24/30</f>
        <v>0.8</v>
      </c>
      <c r="F5018" s="19">
        <v>1</v>
      </c>
      <c r="L5018" s="114"/>
    </row>
    <row r="5019" s="19" customFormat="1" hidden="1" spans="1:12">
      <c r="A5019" s="111" t="s">
        <v>4953</v>
      </c>
      <c r="B5019" s="112">
        <v>30125</v>
      </c>
      <c r="C5019" s="19">
        <v>3</v>
      </c>
      <c r="D5019" s="19" t="s">
        <v>2623</v>
      </c>
      <c r="E5019" s="19">
        <f>40/30</f>
        <v>1.33333333333333</v>
      </c>
      <c r="F5019" s="19">
        <v>1</v>
      </c>
      <c r="L5019" s="114"/>
    </row>
    <row r="5020" s="34" customFormat="1" hidden="1" spans="1:12">
      <c r="A5020" s="188" t="s">
        <v>4954</v>
      </c>
      <c r="B5020" s="189">
        <v>155</v>
      </c>
      <c r="C5020" s="34">
        <v>3</v>
      </c>
      <c r="D5020" s="34" t="s">
        <v>36</v>
      </c>
      <c r="E5020" s="34">
        <f>83/30</f>
        <v>2.76666666666667</v>
      </c>
      <c r="F5020" s="34">
        <v>0</v>
      </c>
      <c r="L5020" s="192"/>
    </row>
    <row r="5021" s="34" customFormat="1" hidden="1" spans="1:12">
      <c r="A5021" s="188" t="s">
        <v>4955</v>
      </c>
      <c r="B5021" s="189">
        <v>155</v>
      </c>
      <c r="C5021" s="34">
        <v>3</v>
      </c>
      <c r="D5021" s="34" t="s">
        <v>38</v>
      </c>
      <c r="E5021" s="34">
        <f>100/30</f>
        <v>3.33333333333333</v>
      </c>
      <c r="F5021" s="34">
        <v>0</v>
      </c>
      <c r="L5021" s="192"/>
    </row>
    <row r="5022" s="34" customFormat="1" hidden="1" spans="1:12">
      <c r="A5022" s="188" t="s">
        <v>4956</v>
      </c>
      <c r="B5022" s="189">
        <v>155</v>
      </c>
      <c r="C5022" s="34">
        <v>3</v>
      </c>
      <c r="D5022" s="34" t="s">
        <v>40</v>
      </c>
      <c r="E5022" s="34">
        <f>101/30</f>
        <v>3.36666666666667</v>
      </c>
      <c r="F5022" s="34">
        <v>0</v>
      </c>
      <c r="L5022" s="192"/>
    </row>
    <row r="5023" s="34" customFormat="1" hidden="1" spans="1:12">
      <c r="A5023" s="188" t="s">
        <v>4957</v>
      </c>
      <c r="B5023" s="189">
        <v>155</v>
      </c>
      <c r="C5023" s="34">
        <v>3</v>
      </c>
      <c r="D5023" s="34" t="s">
        <v>44</v>
      </c>
      <c r="E5023" s="34">
        <f>69/30</f>
        <v>2.3</v>
      </c>
      <c r="F5023" s="34">
        <v>0</v>
      </c>
      <c r="L5023" s="192"/>
    </row>
    <row r="5024" s="34" customFormat="1" hidden="1" spans="1:12">
      <c r="A5024" s="188" t="s">
        <v>4958</v>
      </c>
      <c r="B5024" s="189">
        <v>155</v>
      </c>
      <c r="C5024" s="34">
        <v>3</v>
      </c>
      <c r="D5024" s="34" t="s">
        <v>46</v>
      </c>
      <c r="E5024" s="34">
        <f>366/30</f>
        <v>12.2</v>
      </c>
      <c r="F5024" s="34">
        <v>0</v>
      </c>
      <c r="L5024" s="192"/>
    </row>
    <row r="5025" s="34" customFormat="1" hidden="1" spans="1:12">
      <c r="A5025" s="188" t="s">
        <v>4959</v>
      </c>
      <c r="B5025" s="189">
        <v>155</v>
      </c>
      <c r="C5025" s="34">
        <v>3</v>
      </c>
      <c r="D5025" s="34" t="s">
        <v>1047</v>
      </c>
      <c r="E5025" s="34">
        <f>55/30</f>
        <v>1.83333333333333</v>
      </c>
      <c r="F5025" s="34">
        <v>0</v>
      </c>
      <c r="L5025" s="192"/>
    </row>
    <row r="5026" s="34" customFormat="1" hidden="1" spans="1:12">
      <c r="A5026" s="188" t="s">
        <v>4960</v>
      </c>
      <c r="B5026" s="189">
        <v>155</v>
      </c>
      <c r="C5026" s="34">
        <v>3</v>
      </c>
      <c r="D5026" s="34" t="s">
        <v>272</v>
      </c>
      <c r="E5026" s="34">
        <f>32/30</f>
        <v>1.06666666666667</v>
      </c>
      <c r="F5026" s="34">
        <v>0</v>
      </c>
      <c r="L5026" s="192"/>
    </row>
    <row r="5027" s="34" customFormat="1" hidden="1" spans="1:12">
      <c r="A5027" s="188" t="s">
        <v>4961</v>
      </c>
      <c r="B5027" s="189">
        <v>155</v>
      </c>
      <c r="C5027" s="34">
        <v>3</v>
      </c>
      <c r="D5027" s="34" t="s">
        <v>60</v>
      </c>
      <c r="E5027" s="34">
        <f>80/30</f>
        <v>2.66666666666667</v>
      </c>
      <c r="F5027" s="34">
        <v>0</v>
      </c>
      <c r="L5027" s="192"/>
    </row>
    <row r="5028" s="34" customFormat="1" hidden="1" spans="1:12">
      <c r="A5028" s="188" t="s">
        <v>4962</v>
      </c>
      <c r="B5028" s="189">
        <v>155</v>
      </c>
      <c r="C5028" s="34">
        <v>3</v>
      </c>
      <c r="D5028" s="34" t="s">
        <v>2198</v>
      </c>
      <c r="E5028" s="34">
        <f>40/30</f>
        <v>1.33333333333333</v>
      </c>
      <c r="F5028" s="34">
        <v>1</v>
      </c>
      <c r="L5028" s="192"/>
    </row>
    <row r="5029" s="34" customFormat="1" hidden="1" spans="1:12">
      <c r="A5029" s="188" t="s">
        <v>4963</v>
      </c>
      <c r="B5029" s="189">
        <v>155</v>
      </c>
      <c r="C5029" s="34">
        <v>3</v>
      </c>
      <c r="D5029" s="34" t="s">
        <v>2182</v>
      </c>
      <c r="E5029" s="34">
        <f>35/30</f>
        <v>1.16666666666667</v>
      </c>
      <c r="F5029" s="34">
        <v>0</v>
      </c>
      <c r="L5029" s="192"/>
    </row>
    <row r="5030" s="34" customFormat="1" hidden="1" spans="1:12">
      <c r="A5030" s="188" t="s">
        <v>4964</v>
      </c>
      <c r="B5030" s="189">
        <v>155</v>
      </c>
      <c r="C5030" s="34">
        <v>3</v>
      </c>
      <c r="D5030" s="34" t="s">
        <v>2184</v>
      </c>
      <c r="E5030" s="34">
        <f>35/30</f>
        <v>1.16666666666667</v>
      </c>
      <c r="F5030" s="34">
        <v>0</v>
      </c>
      <c r="L5030" s="192"/>
    </row>
    <row r="5031" s="34" customFormat="1" hidden="1" spans="1:12">
      <c r="A5031" s="188" t="s">
        <v>4965</v>
      </c>
      <c r="B5031" s="189">
        <v>155</v>
      </c>
      <c r="C5031" s="34">
        <v>3</v>
      </c>
      <c r="D5031" s="34" t="s">
        <v>2186</v>
      </c>
      <c r="E5031" s="34">
        <f>35/30</f>
        <v>1.16666666666667</v>
      </c>
      <c r="F5031" s="34">
        <v>0</v>
      </c>
      <c r="L5031" s="192"/>
    </row>
    <row r="5032" s="34" customFormat="1" hidden="1" spans="1:12">
      <c r="A5032" s="188" t="s">
        <v>4966</v>
      </c>
      <c r="B5032" s="189">
        <v>155</v>
      </c>
      <c r="C5032" s="34">
        <v>3</v>
      </c>
      <c r="D5032" s="34" t="s">
        <v>2188</v>
      </c>
      <c r="E5032" s="34">
        <f t="shared" ref="E5032:E5037" si="33">24/30</f>
        <v>0.8</v>
      </c>
      <c r="F5032" s="34">
        <v>0</v>
      </c>
      <c r="L5032" s="192"/>
    </row>
    <row r="5033" s="34" customFormat="1" hidden="1" spans="1:12">
      <c r="A5033" s="188" t="s">
        <v>4967</v>
      </c>
      <c r="B5033" s="189">
        <v>155</v>
      </c>
      <c r="C5033" s="34">
        <v>3</v>
      </c>
      <c r="D5033" s="34" t="s">
        <v>2190</v>
      </c>
      <c r="E5033" s="34">
        <f t="shared" si="33"/>
        <v>0.8</v>
      </c>
      <c r="F5033" s="34">
        <v>0</v>
      </c>
      <c r="L5033" s="192"/>
    </row>
    <row r="5034" s="34" customFormat="1" hidden="1" spans="1:12">
      <c r="A5034" s="188" t="s">
        <v>4968</v>
      </c>
      <c r="B5034" s="189">
        <v>155</v>
      </c>
      <c r="C5034" s="34">
        <v>3</v>
      </c>
      <c r="D5034" s="34" t="s">
        <v>2192</v>
      </c>
      <c r="E5034" s="34">
        <f t="shared" si="33"/>
        <v>0.8</v>
      </c>
      <c r="F5034" s="34">
        <v>0</v>
      </c>
      <c r="L5034" s="192"/>
    </row>
    <row r="5035" s="34" customFormat="1" hidden="1" spans="1:12">
      <c r="A5035" s="188" t="s">
        <v>4969</v>
      </c>
      <c r="B5035" s="189">
        <v>155</v>
      </c>
      <c r="C5035" s="34">
        <v>3</v>
      </c>
      <c r="D5035" s="34" t="s">
        <v>2194</v>
      </c>
      <c r="E5035" s="34">
        <f t="shared" si="33"/>
        <v>0.8</v>
      </c>
      <c r="F5035" s="34">
        <v>0</v>
      </c>
      <c r="L5035" s="192"/>
    </row>
    <row r="5036" s="34" customFormat="1" hidden="1" spans="1:12">
      <c r="A5036" s="188" t="s">
        <v>4970</v>
      </c>
      <c r="B5036" s="189">
        <v>155</v>
      </c>
      <c r="C5036" s="34">
        <v>3</v>
      </c>
      <c r="D5036" s="34" t="s">
        <v>300</v>
      </c>
      <c r="E5036" s="34">
        <f t="shared" si="33"/>
        <v>0.8</v>
      </c>
      <c r="F5036" s="34">
        <v>0</v>
      </c>
      <c r="L5036" s="192"/>
    </row>
    <row r="5037" s="34" customFormat="1" hidden="1" spans="1:12">
      <c r="A5037" s="188" t="s">
        <v>4971</v>
      </c>
      <c r="B5037" s="189">
        <v>155</v>
      </c>
      <c r="C5037" s="34">
        <v>3</v>
      </c>
      <c r="D5037" s="34" t="s">
        <v>2178</v>
      </c>
      <c r="E5037" s="34">
        <f t="shared" si="33"/>
        <v>0.8</v>
      </c>
      <c r="F5037" s="34">
        <v>0</v>
      </c>
      <c r="L5037" s="192"/>
    </row>
    <row r="5038" s="34" customFormat="1" hidden="1" spans="1:12">
      <c r="A5038" s="188" t="s">
        <v>4972</v>
      </c>
      <c r="B5038" s="189">
        <v>155</v>
      </c>
      <c r="C5038" s="34">
        <v>3</v>
      </c>
      <c r="D5038" s="34" t="s">
        <v>2196</v>
      </c>
      <c r="E5038" s="34">
        <f>54/30</f>
        <v>1.8</v>
      </c>
      <c r="F5038" s="34">
        <v>0</v>
      </c>
      <c r="L5038" s="192"/>
    </row>
    <row r="5039" s="34" customFormat="1" hidden="1" spans="1:12">
      <c r="A5039" s="188" t="s">
        <v>4973</v>
      </c>
      <c r="B5039" s="189">
        <v>155</v>
      </c>
      <c r="C5039" s="34">
        <v>3</v>
      </c>
      <c r="D5039" s="34" t="s">
        <v>92</v>
      </c>
      <c r="E5039" s="34">
        <f>122/30</f>
        <v>4.06666666666667</v>
      </c>
      <c r="F5039" s="34">
        <v>0</v>
      </c>
      <c r="L5039" s="192"/>
    </row>
    <row r="5040" s="34" customFormat="1" hidden="1" spans="1:12">
      <c r="A5040" s="188" t="s">
        <v>4974</v>
      </c>
      <c r="B5040" s="189">
        <v>155</v>
      </c>
      <c r="C5040" s="34">
        <v>3</v>
      </c>
      <c r="D5040" s="34" t="s">
        <v>109</v>
      </c>
      <c r="E5040" s="34">
        <f>70/30</f>
        <v>2.33333333333333</v>
      </c>
      <c r="F5040" s="34">
        <v>0</v>
      </c>
      <c r="L5040" s="192"/>
    </row>
    <row r="5041" s="34" customFormat="1" hidden="1" spans="1:12">
      <c r="A5041" s="188" t="s">
        <v>4975</v>
      </c>
      <c r="B5041" s="189">
        <v>155</v>
      </c>
      <c r="C5041" s="34">
        <v>3</v>
      </c>
      <c r="D5041" s="34" t="s">
        <v>97</v>
      </c>
      <c r="E5041" s="34">
        <f>60/30</f>
        <v>2</v>
      </c>
      <c r="F5041" s="34">
        <v>0</v>
      </c>
      <c r="L5041" s="192"/>
    </row>
    <row r="5042" s="34" customFormat="1" hidden="1" spans="1:12">
      <c r="A5042" s="188" t="s">
        <v>4976</v>
      </c>
      <c r="B5042" s="189">
        <v>155</v>
      </c>
      <c r="C5042" s="34">
        <v>3</v>
      </c>
      <c r="D5042" s="34" t="s">
        <v>77</v>
      </c>
      <c r="E5042" s="34">
        <f>85/30</f>
        <v>2.83333333333333</v>
      </c>
      <c r="F5042" s="34">
        <v>0</v>
      </c>
      <c r="L5042" s="192"/>
    </row>
    <row r="5043" s="34" customFormat="1" hidden="1" spans="1:12">
      <c r="A5043" s="188" t="s">
        <v>4977</v>
      </c>
      <c r="B5043" s="189">
        <v>155</v>
      </c>
      <c r="C5043" s="34">
        <v>3</v>
      </c>
      <c r="D5043" s="34" t="s">
        <v>54</v>
      </c>
      <c r="E5043" s="34">
        <f>90/30</f>
        <v>3</v>
      </c>
      <c r="F5043" s="34">
        <v>0</v>
      </c>
      <c r="L5043" s="192"/>
    </row>
    <row r="5044" s="34" customFormat="1" hidden="1" spans="1:12">
      <c r="A5044" s="188" t="s">
        <v>4978</v>
      </c>
      <c r="B5044" s="189">
        <v>155</v>
      </c>
      <c r="C5044" s="34">
        <v>3</v>
      </c>
      <c r="D5044" s="34" t="s">
        <v>57</v>
      </c>
      <c r="E5044" s="34">
        <f>118/30</f>
        <v>3.93333333333333</v>
      </c>
      <c r="F5044" s="34">
        <v>0</v>
      </c>
      <c r="G5044" s="34">
        <v>0</v>
      </c>
      <c r="H5044" s="34">
        <v>2</v>
      </c>
      <c r="I5044" s="34">
        <v>5088</v>
      </c>
      <c r="J5044" s="34" t="s">
        <v>58</v>
      </c>
      <c r="K5044" s="34">
        <v>1</v>
      </c>
      <c r="L5044" s="192"/>
    </row>
    <row r="5045" s="34" customFormat="1" hidden="1" spans="1:12">
      <c r="A5045" s="188" t="s">
        <v>4979</v>
      </c>
      <c r="B5045" s="189">
        <v>155</v>
      </c>
      <c r="C5045" s="34">
        <v>3</v>
      </c>
      <c r="D5045" s="34" t="s">
        <v>2618</v>
      </c>
      <c r="E5045" s="34">
        <f>60/30</f>
        <v>2</v>
      </c>
      <c r="F5045" s="34">
        <v>0</v>
      </c>
      <c r="L5045" s="192"/>
    </row>
    <row r="5046" s="34" customFormat="1" hidden="1" spans="1:12">
      <c r="A5046" s="188" t="s">
        <v>4980</v>
      </c>
      <c r="B5046" s="189">
        <v>155</v>
      </c>
      <c r="C5046" s="34">
        <v>3</v>
      </c>
      <c r="D5046" s="34" t="s">
        <v>204</v>
      </c>
      <c r="E5046" s="34">
        <f>50/30</f>
        <v>1.66666666666667</v>
      </c>
      <c r="F5046" s="34">
        <v>0</v>
      </c>
      <c r="L5046" s="192"/>
    </row>
    <row r="5047" s="34" customFormat="1" hidden="1" spans="1:12">
      <c r="A5047" s="188" t="s">
        <v>4981</v>
      </c>
      <c r="B5047" s="189">
        <v>155</v>
      </c>
      <c r="C5047" s="34">
        <v>3</v>
      </c>
      <c r="D5047" s="34" t="s">
        <v>270</v>
      </c>
      <c r="E5047" s="34">
        <f>60/30</f>
        <v>2</v>
      </c>
      <c r="F5047" s="34">
        <v>0</v>
      </c>
      <c r="L5047" s="192"/>
    </row>
    <row r="5048" s="34" customFormat="1" hidden="1" spans="1:6">
      <c r="A5048" s="188" t="s">
        <v>4982</v>
      </c>
      <c r="B5048" s="189">
        <v>155</v>
      </c>
      <c r="C5048" s="34">
        <v>3</v>
      </c>
      <c r="D5048" s="34" t="s">
        <v>42</v>
      </c>
      <c r="E5048" s="34">
        <v>2.4</v>
      </c>
      <c r="F5048" s="34">
        <v>0</v>
      </c>
    </row>
    <row r="5049" s="35" customFormat="1" hidden="1" spans="1:12">
      <c r="A5049" s="190" t="s">
        <v>4983</v>
      </c>
      <c r="B5049" s="191">
        <v>4015501</v>
      </c>
      <c r="C5049" s="190">
        <v>3</v>
      </c>
      <c r="D5049" s="35" t="s">
        <v>36</v>
      </c>
      <c r="E5049" s="35">
        <v>2.76666666666667</v>
      </c>
      <c r="F5049" s="35">
        <v>0</v>
      </c>
      <c r="L5049" s="193"/>
    </row>
    <row r="5050" s="35" customFormat="1" hidden="1" spans="1:12">
      <c r="A5050" s="190" t="s">
        <v>4984</v>
      </c>
      <c r="B5050" s="191">
        <v>4015501</v>
      </c>
      <c r="C5050" s="190">
        <v>3</v>
      </c>
      <c r="D5050" s="35" t="s">
        <v>38</v>
      </c>
      <c r="E5050" s="35">
        <v>3.33333333333333</v>
      </c>
      <c r="F5050" s="35">
        <v>0</v>
      </c>
      <c r="L5050" s="193"/>
    </row>
    <row r="5051" s="35" customFormat="1" hidden="1" spans="1:12">
      <c r="A5051" s="190" t="s">
        <v>4985</v>
      </c>
      <c r="B5051" s="191">
        <v>4015501</v>
      </c>
      <c r="C5051" s="190">
        <v>3</v>
      </c>
      <c r="D5051" s="35" t="s">
        <v>40</v>
      </c>
      <c r="E5051" s="35">
        <v>3.36666666666667</v>
      </c>
      <c r="F5051" s="35">
        <v>0</v>
      </c>
      <c r="L5051" s="193"/>
    </row>
    <row r="5052" s="35" customFormat="1" hidden="1" spans="1:12">
      <c r="A5052" s="190" t="s">
        <v>4986</v>
      </c>
      <c r="B5052" s="191">
        <v>4015501</v>
      </c>
      <c r="C5052" s="190">
        <v>3</v>
      </c>
      <c r="D5052" s="35" t="s">
        <v>44</v>
      </c>
      <c r="E5052" s="35">
        <v>2.3</v>
      </c>
      <c r="F5052" s="35">
        <v>0</v>
      </c>
      <c r="L5052" s="193"/>
    </row>
    <row r="5053" s="35" customFormat="1" hidden="1" spans="1:12">
      <c r="A5053" s="190" t="s">
        <v>4987</v>
      </c>
      <c r="B5053" s="191">
        <v>4015501</v>
      </c>
      <c r="C5053" s="190">
        <v>3</v>
      </c>
      <c r="D5053" s="35" t="s">
        <v>46</v>
      </c>
      <c r="E5053" s="35">
        <v>12.2</v>
      </c>
      <c r="F5053" s="35">
        <v>0</v>
      </c>
      <c r="L5053" s="193"/>
    </row>
    <row r="5054" s="35" customFormat="1" hidden="1" spans="1:12">
      <c r="A5054" s="190" t="s">
        <v>4988</v>
      </c>
      <c r="B5054" s="191">
        <v>4015501</v>
      </c>
      <c r="C5054" s="190">
        <v>3</v>
      </c>
      <c r="D5054" s="35" t="s">
        <v>1047</v>
      </c>
      <c r="E5054" s="35">
        <v>1.83333333333333</v>
      </c>
      <c r="F5054" s="35">
        <v>0</v>
      </c>
      <c r="L5054" s="193"/>
    </row>
    <row r="5055" s="35" customFormat="1" hidden="1" spans="1:12">
      <c r="A5055" s="190" t="s">
        <v>4989</v>
      </c>
      <c r="B5055" s="191">
        <v>4015501</v>
      </c>
      <c r="C5055" s="190">
        <v>3</v>
      </c>
      <c r="D5055" s="35" t="s">
        <v>272</v>
      </c>
      <c r="E5055" s="35">
        <v>1.06666666666667</v>
      </c>
      <c r="F5055" s="35">
        <v>0</v>
      </c>
      <c r="L5055" s="193"/>
    </row>
    <row r="5056" s="35" customFormat="1" hidden="1" spans="1:12">
      <c r="A5056" s="190" t="s">
        <v>4990</v>
      </c>
      <c r="B5056" s="191">
        <v>4015501</v>
      </c>
      <c r="C5056" s="190">
        <v>3</v>
      </c>
      <c r="D5056" s="35" t="s">
        <v>60</v>
      </c>
      <c r="E5056" s="35">
        <v>2.66666666666667</v>
      </c>
      <c r="F5056" s="35">
        <v>0</v>
      </c>
      <c r="L5056" s="193"/>
    </row>
    <row r="5057" s="35" customFormat="1" hidden="1" spans="1:12">
      <c r="A5057" s="190" t="s">
        <v>4991</v>
      </c>
      <c r="B5057" s="191">
        <v>4015501</v>
      </c>
      <c r="C5057" s="190">
        <v>3</v>
      </c>
      <c r="D5057" s="35" t="s">
        <v>2198</v>
      </c>
      <c r="E5057" s="35">
        <v>1.33333333333333</v>
      </c>
      <c r="F5057" s="35">
        <v>1</v>
      </c>
      <c r="L5057" s="193"/>
    </row>
    <row r="5058" s="35" customFormat="1" hidden="1" spans="1:12">
      <c r="A5058" s="190" t="s">
        <v>4992</v>
      </c>
      <c r="B5058" s="191">
        <v>4015501</v>
      </c>
      <c r="C5058" s="190">
        <v>3</v>
      </c>
      <c r="D5058" s="35" t="s">
        <v>2182</v>
      </c>
      <c r="E5058" s="35">
        <v>1.16666666666667</v>
      </c>
      <c r="F5058" s="35">
        <v>0</v>
      </c>
      <c r="L5058" s="193"/>
    </row>
    <row r="5059" s="35" customFormat="1" hidden="1" spans="1:12">
      <c r="A5059" s="190" t="s">
        <v>4993</v>
      </c>
      <c r="B5059" s="191">
        <v>4015501</v>
      </c>
      <c r="C5059" s="190">
        <v>3</v>
      </c>
      <c r="D5059" s="35" t="s">
        <v>2184</v>
      </c>
      <c r="E5059" s="35">
        <v>1.16666666666667</v>
      </c>
      <c r="F5059" s="35">
        <v>0</v>
      </c>
      <c r="L5059" s="193"/>
    </row>
    <row r="5060" s="35" customFormat="1" hidden="1" spans="1:12">
      <c r="A5060" s="190" t="s">
        <v>4994</v>
      </c>
      <c r="B5060" s="191">
        <v>4015501</v>
      </c>
      <c r="C5060" s="190">
        <v>3</v>
      </c>
      <c r="D5060" s="35" t="s">
        <v>2186</v>
      </c>
      <c r="E5060" s="35">
        <v>1.16666666666667</v>
      </c>
      <c r="F5060" s="35">
        <v>0</v>
      </c>
      <c r="L5060" s="193"/>
    </row>
    <row r="5061" s="35" customFormat="1" hidden="1" spans="1:12">
      <c r="A5061" s="190" t="s">
        <v>4995</v>
      </c>
      <c r="B5061" s="191">
        <v>4015501</v>
      </c>
      <c r="C5061" s="190">
        <v>3</v>
      </c>
      <c r="D5061" s="35" t="s">
        <v>2188</v>
      </c>
      <c r="E5061" s="35">
        <v>0.8</v>
      </c>
      <c r="F5061" s="35">
        <v>0</v>
      </c>
      <c r="L5061" s="193"/>
    </row>
    <row r="5062" s="35" customFormat="1" hidden="1" spans="1:12">
      <c r="A5062" s="190" t="s">
        <v>4996</v>
      </c>
      <c r="B5062" s="191">
        <v>4015501</v>
      </c>
      <c r="C5062" s="190">
        <v>3</v>
      </c>
      <c r="D5062" s="35" t="s">
        <v>2190</v>
      </c>
      <c r="E5062" s="35">
        <v>0.8</v>
      </c>
      <c r="F5062" s="35">
        <v>0</v>
      </c>
      <c r="L5062" s="193"/>
    </row>
    <row r="5063" s="35" customFormat="1" hidden="1" spans="1:12">
      <c r="A5063" s="190" t="s">
        <v>4997</v>
      </c>
      <c r="B5063" s="191">
        <v>4015501</v>
      </c>
      <c r="C5063" s="190">
        <v>3</v>
      </c>
      <c r="D5063" s="35" t="s">
        <v>2192</v>
      </c>
      <c r="E5063" s="35">
        <v>0.8</v>
      </c>
      <c r="F5063" s="35">
        <v>0</v>
      </c>
      <c r="L5063" s="193"/>
    </row>
    <row r="5064" s="35" customFormat="1" hidden="1" spans="1:12">
      <c r="A5064" s="190" t="s">
        <v>4998</v>
      </c>
      <c r="B5064" s="191">
        <v>4015501</v>
      </c>
      <c r="C5064" s="190">
        <v>3</v>
      </c>
      <c r="D5064" s="35" t="s">
        <v>2194</v>
      </c>
      <c r="E5064" s="35">
        <v>0.8</v>
      </c>
      <c r="F5064" s="35">
        <v>0</v>
      </c>
      <c r="L5064" s="193"/>
    </row>
    <row r="5065" s="35" customFormat="1" hidden="1" spans="1:12">
      <c r="A5065" s="190" t="s">
        <v>4999</v>
      </c>
      <c r="B5065" s="191">
        <v>4015501</v>
      </c>
      <c r="C5065" s="190">
        <v>3</v>
      </c>
      <c r="D5065" s="35" t="s">
        <v>300</v>
      </c>
      <c r="E5065" s="35">
        <v>0.8</v>
      </c>
      <c r="F5065" s="35">
        <v>0</v>
      </c>
      <c r="L5065" s="193"/>
    </row>
    <row r="5066" s="35" customFormat="1" hidden="1" spans="1:12">
      <c r="A5066" s="190" t="s">
        <v>5000</v>
      </c>
      <c r="B5066" s="191">
        <v>4015501</v>
      </c>
      <c r="C5066" s="190">
        <v>3</v>
      </c>
      <c r="D5066" s="35" t="s">
        <v>2178</v>
      </c>
      <c r="E5066" s="35">
        <v>0.8</v>
      </c>
      <c r="F5066" s="35">
        <v>0</v>
      </c>
      <c r="L5066" s="193"/>
    </row>
    <row r="5067" s="35" customFormat="1" hidden="1" spans="1:12">
      <c r="A5067" s="190" t="s">
        <v>5001</v>
      </c>
      <c r="B5067" s="191">
        <v>4015501</v>
      </c>
      <c r="C5067" s="190">
        <v>3</v>
      </c>
      <c r="D5067" s="35" t="s">
        <v>2196</v>
      </c>
      <c r="E5067" s="35">
        <v>1.8</v>
      </c>
      <c r="F5067" s="35">
        <v>0</v>
      </c>
      <c r="L5067" s="193"/>
    </row>
    <row r="5068" s="35" customFormat="1" hidden="1" spans="1:12">
      <c r="A5068" s="190" t="s">
        <v>5002</v>
      </c>
      <c r="B5068" s="191">
        <v>4015501</v>
      </c>
      <c r="C5068" s="190">
        <v>3</v>
      </c>
      <c r="D5068" s="35" t="s">
        <v>92</v>
      </c>
      <c r="E5068" s="35">
        <v>4.06666666666667</v>
      </c>
      <c r="F5068" s="35">
        <v>0</v>
      </c>
      <c r="L5068" s="193"/>
    </row>
    <row r="5069" s="35" customFormat="1" hidden="1" spans="1:12">
      <c r="A5069" s="190" t="s">
        <v>5003</v>
      </c>
      <c r="B5069" s="191">
        <v>4015501</v>
      </c>
      <c r="C5069" s="190">
        <v>3</v>
      </c>
      <c r="D5069" s="35" t="s">
        <v>109</v>
      </c>
      <c r="E5069" s="35">
        <v>2.33333333333333</v>
      </c>
      <c r="F5069" s="35">
        <v>0</v>
      </c>
      <c r="L5069" s="193"/>
    </row>
    <row r="5070" s="35" customFormat="1" hidden="1" spans="1:12">
      <c r="A5070" s="190" t="s">
        <v>5004</v>
      </c>
      <c r="B5070" s="191">
        <v>4015501</v>
      </c>
      <c r="C5070" s="190">
        <v>3</v>
      </c>
      <c r="D5070" s="35" t="s">
        <v>97</v>
      </c>
      <c r="E5070" s="35">
        <v>2</v>
      </c>
      <c r="F5070" s="35">
        <v>0</v>
      </c>
      <c r="L5070" s="193"/>
    </row>
    <row r="5071" s="35" customFormat="1" hidden="1" spans="1:12">
      <c r="A5071" s="190" t="s">
        <v>5005</v>
      </c>
      <c r="B5071" s="191">
        <v>4015501</v>
      </c>
      <c r="C5071" s="190">
        <v>3</v>
      </c>
      <c r="D5071" s="35" t="s">
        <v>77</v>
      </c>
      <c r="E5071" s="35">
        <v>2.83333333333333</v>
      </c>
      <c r="F5071" s="35">
        <v>0</v>
      </c>
      <c r="L5071" s="193"/>
    </row>
    <row r="5072" s="35" customFormat="1" hidden="1" spans="1:12">
      <c r="A5072" s="190" t="s">
        <v>5006</v>
      </c>
      <c r="B5072" s="191">
        <v>4015501</v>
      </c>
      <c r="C5072" s="190">
        <v>3</v>
      </c>
      <c r="D5072" s="35" t="s">
        <v>54</v>
      </c>
      <c r="E5072" s="35">
        <v>3</v>
      </c>
      <c r="F5072" s="35">
        <v>0</v>
      </c>
      <c r="L5072" s="193"/>
    </row>
    <row r="5073" s="35" customFormat="1" hidden="1" spans="1:12">
      <c r="A5073" s="190" t="s">
        <v>5007</v>
      </c>
      <c r="B5073" s="191">
        <v>4015501</v>
      </c>
      <c r="C5073" s="190">
        <v>3</v>
      </c>
      <c r="D5073" s="35" t="s">
        <v>57</v>
      </c>
      <c r="E5073" s="35">
        <v>3.93333333333333</v>
      </c>
      <c r="F5073" s="35">
        <v>0</v>
      </c>
      <c r="G5073" s="35">
        <v>0</v>
      </c>
      <c r="H5073" s="35">
        <v>2</v>
      </c>
      <c r="I5073" s="35">
        <v>5088</v>
      </c>
      <c r="J5073" s="35" t="s">
        <v>58</v>
      </c>
      <c r="K5073" s="35">
        <v>1</v>
      </c>
      <c r="L5073" s="193"/>
    </row>
    <row r="5074" s="35" customFormat="1" hidden="1" spans="1:12">
      <c r="A5074" s="190" t="s">
        <v>5008</v>
      </c>
      <c r="B5074" s="191">
        <v>4015501</v>
      </c>
      <c r="C5074" s="190">
        <v>3</v>
      </c>
      <c r="D5074" s="35" t="s">
        <v>2618</v>
      </c>
      <c r="E5074" s="35">
        <v>2</v>
      </c>
      <c r="F5074" s="35">
        <v>0</v>
      </c>
      <c r="L5074" s="193"/>
    </row>
    <row r="5075" s="35" customFormat="1" hidden="1" spans="1:12">
      <c r="A5075" s="190" t="s">
        <v>5009</v>
      </c>
      <c r="B5075" s="191">
        <v>4015501</v>
      </c>
      <c r="C5075" s="190">
        <v>3</v>
      </c>
      <c r="D5075" s="35" t="s">
        <v>204</v>
      </c>
      <c r="E5075" s="35">
        <v>1.66666666666667</v>
      </c>
      <c r="F5075" s="35">
        <v>0</v>
      </c>
      <c r="L5075" s="193"/>
    </row>
    <row r="5076" s="35" customFormat="1" hidden="1" spans="1:12">
      <c r="A5076" s="190" t="s">
        <v>5010</v>
      </c>
      <c r="B5076" s="191">
        <v>4015501</v>
      </c>
      <c r="C5076" s="190">
        <v>3</v>
      </c>
      <c r="D5076" s="35" t="s">
        <v>270</v>
      </c>
      <c r="E5076" s="35">
        <v>2</v>
      </c>
      <c r="F5076" s="35">
        <v>0</v>
      </c>
      <c r="L5076" s="193"/>
    </row>
    <row r="5077" s="35" customFormat="1" hidden="1" spans="1:12">
      <c r="A5077" s="190" t="s">
        <v>5011</v>
      </c>
      <c r="B5077" s="191">
        <v>4015501</v>
      </c>
      <c r="C5077" s="190">
        <v>3</v>
      </c>
      <c r="D5077" s="35" t="s">
        <v>42</v>
      </c>
      <c r="E5077" s="35">
        <v>2.4</v>
      </c>
      <c r="F5077" s="35">
        <v>0</v>
      </c>
      <c r="L5077" s="193"/>
    </row>
    <row r="5078" s="34" customFormat="1" hidden="1" spans="1:12">
      <c r="A5078" s="188" t="s">
        <v>5012</v>
      </c>
      <c r="B5078" s="189">
        <v>4015502</v>
      </c>
      <c r="C5078" s="188">
        <v>3</v>
      </c>
      <c r="D5078" s="34" t="s">
        <v>36</v>
      </c>
      <c r="E5078" s="34">
        <v>2.76666666666667</v>
      </c>
      <c r="F5078" s="34">
        <v>0</v>
      </c>
      <c r="L5078" s="192"/>
    </row>
    <row r="5079" s="34" customFormat="1" hidden="1" spans="1:12">
      <c r="A5079" s="188" t="s">
        <v>5013</v>
      </c>
      <c r="B5079" s="189">
        <v>4015502</v>
      </c>
      <c r="C5079" s="188">
        <v>3</v>
      </c>
      <c r="D5079" s="34" t="s">
        <v>38</v>
      </c>
      <c r="E5079" s="34">
        <v>3.33333333333333</v>
      </c>
      <c r="F5079" s="34">
        <v>0</v>
      </c>
      <c r="L5079" s="192"/>
    </row>
    <row r="5080" s="34" customFormat="1" hidden="1" spans="1:12">
      <c r="A5080" s="188" t="s">
        <v>5014</v>
      </c>
      <c r="B5080" s="189">
        <v>4015502</v>
      </c>
      <c r="C5080" s="188">
        <v>3</v>
      </c>
      <c r="D5080" s="34" t="s">
        <v>40</v>
      </c>
      <c r="E5080" s="34">
        <v>3.36666666666667</v>
      </c>
      <c r="F5080" s="34">
        <v>0</v>
      </c>
      <c r="L5080" s="192"/>
    </row>
    <row r="5081" s="34" customFormat="1" hidden="1" spans="1:12">
      <c r="A5081" s="188" t="s">
        <v>5015</v>
      </c>
      <c r="B5081" s="189">
        <v>4015502</v>
      </c>
      <c r="C5081" s="188">
        <v>3</v>
      </c>
      <c r="D5081" s="34" t="s">
        <v>44</v>
      </c>
      <c r="E5081" s="34">
        <f>69/30</f>
        <v>2.3</v>
      </c>
      <c r="F5081" s="34">
        <v>0</v>
      </c>
      <c r="L5081" s="192"/>
    </row>
    <row r="5082" s="34" customFormat="1" hidden="1" spans="1:12">
      <c r="A5082" s="188" t="s">
        <v>5016</v>
      </c>
      <c r="B5082" s="189">
        <v>4015502</v>
      </c>
      <c r="C5082" s="188">
        <v>3</v>
      </c>
      <c r="D5082" s="34" t="s">
        <v>46</v>
      </c>
      <c r="E5082" s="34">
        <v>12.2</v>
      </c>
      <c r="F5082" s="34">
        <v>0</v>
      </c>
      <c r="L5082" s="192"/>
    </row>
    <row r="5083" s="34" customFormat="1" hidden="1" spans="1:12">
      <c r="A5083" s="188" t="s">
        <v>5017</v>
      </c>
      <c r="B5083" s="189">
        <v>4015502</v>
      </c>
      <c r="C5083" s="188">
        <v>3</v>
      </c>
      <c r="D5083" s="34" t="s">
        <v>1047</v>
      </c>
      <c r="E5083" s="34">
        <v>1.83333333333333</v>
      </c>
      <c r="F5083" s="34">
        <v>0</v>
      </c>
      <c r="L5083" s="192"/>
    </row>
    <row r="5084" s="34" customFormat="1" hidden="1" spans="1:12">
      <c r="A5084" s="188" t="s">
        <v>5018</v>
      </c>
      <c r="B5084" s="189">
        <v>4015502</v>
      </c>
      <c r="C5084" s="188">
        <v>3</v>
      </c>
      <c r="D5084" s="34" t="s">
        <v>272</v>
      </c>
      <c r="E5084" s="34">
        <v>1.06666666666667</v>
      </c>
      <c r="F5084" s="34">
        <v>0</v>
      </c>
      <c r="L5084" s="192"/>
    </row>
    <row r="5085" s="34" customFormat="1" hidden="1" spans="1:12">
      <c r="A5085" s="188" t="s">
        <v>5019</v>
      </c>
      <c r="B5085" s="189">
        <v>4015502</v>
      </c>
      <c r="C5085" s="188">
        <v>3</v>
      </c>
      <c r="D5085" s="34" t="s">
        <v>60</v>
      </c>
      <c r="E5085" s="34">
        <v>2.66666666666667</v>
      </c>
      <c r="F5085" s="34">
        <v>0</v>
      </c>
      <c r="L5085" s="192"/>
    </row>
    <row r="5086" s="34" customFormat="1" hidden="1" spans="1:12">
      <c r="A5086" s="188" t="s">
        <v>5020</v>
      </c>
      <c r="B5086" s="189">
        <v>4015502</v>
      </c>
      <c r="C5086" s="188">
        <v>3</v>
      </c>
      <c r="D5086" s="34" t="s">
        <v>2198</v>
      </c>
      <c r="E5086" s="34">
        <v>1.33333333333333</v>
      </c>
      <c r="F5086" s="34">
        <v>1</v>
      </c>
      <c r="L5086" s="192"/>
    </row>
    <row r="5087" s="34" customFormat="1" hidden="1" spans="1:12">
      <c r="A5087" s="188" t="s">
        <v>5021</v>
      </c>
      <c r="B5087" s="189">
        <v>4015502</v>
      </c>
      <c r="C5087" s="188">
        <v>3</v>
      </c>
      <c r="D5087" s="34" t="s">
        <v>2182</v>
      </c>
      <c r="E5087" s="34">
        <v>1.16666666666667</v>
      </c>
      <c r="F5087" s="34">
        <v>0</v>
      </c>
      <c r="L5087" s="192"/>
    </row>
    <row r="5088" s="34" customFormat="1" hidden="1" spans="1:12">
      <c r="A5088" s="188" t="s">
        <v>5022</v>
      </c>
      <c r="B5088" s="189">
        <v>4015502</v>
      </c>
      <c r="C5088" s="188">
        <v>3</v>
      </c>
      <c r="D5088" s="34" t="s">
        <v>2184</v>
      </c>
      <c r="E5088" s="34">
        <v>1.16666666666667</v>
      </c>
      <c r="F5088" s="34">
        <v>0</v>
      </c>
      <c r="L5088" s="192"/>
    </row>
    <row r="5089" s="34" customFormat="1" hidden="1" spans="1:12">
      <c r="A5089" s="188" t="s">
        <v>5023</v>
      </c>
      <c r="B5089" s="189">
        <v>4015502</v>
      </c>
      <c r="C5089" s="188">
        <v>3</v>
      </c>
      <c r="D5089" s="34" t="s">
        <v>2186</v>
      </c>
      <c r="E5089" s="34">
        <v>1.16666666666667</v>
      </c>
      <c r="F5089" s="34">
        <v>0</v>
      </c>
      <c r="L5089" s="192"/>
    </row>
    <row r="5090" s="34" customFormat="1" hidden="1" spans="1:12">
      <c r="A5090" s="188" t="s">
        <v>5024</v>
      </c>
      <c r="B5090" s="189">
        <v>4015502</v>
      </c>
      <c r="C5090" s="188">
        <v>3</v>
      </c>
      <c r="D5090" s="34" t="s">
        <v>2188</v>
      </c>
      <c r="E5090" s="34">
        <v>0.8</v>
      </c>
      <c r="F5090" s="34">
        <v>0</v>
      </c>
      <c r="L5090" s="192"/>
    </row>
    <row r="5091" s="34" customFormat="1" hidden="1" spans="1:12">
      <c r="A5091" s="188" t="s">
        <v>5025</v>
      </c>
      <c r="B5091" s="189">
        <v>4015502</v>
      </c>
      <c r="C5091" s="188">
        <v>3</v>
      </c>
      <c r="D5091" s="34" t="s">
        <v>2190</v>
      </c>
      <c r="E5091" s="34">
        <v>0.8</v>
      </c>
      <c r="F5091" s="34">
        <v>0</v>
      </c>
      <c r="L5091" s="192"/>
    </row>
    <row r="5092" s="34" customFormat="1" hidden="1" spans="1:12">
      <c r="A5092" s="188" t="s">
        <v>5026</v>
      </c>
      <c r="B5092" s="189">
        <v>4015502</v>
      </c>
      <c r="C5092" s="188">
        <v>3</v>
      </c>
      <c r="D5092" s="34" t="s">
        <v>2192</v>
      </c>
      <c r="E5092" s="34">
        <v>0.8</v>
      </c>
      <c r="F5092" s="34">
        <v>0</v>
      </c>
      <c r="L5092" s="192"/>
    </row>
    <row r="5093" s="34" customFormat="1" hidden="1" spans="1:12">
      <c r="A5093" s="188" t="s">
        <v>5027</v>
      </c>
      <c r="B5093" s="189">
        <v>4015502</v>
      </c>
      <c r="C5093" s="188">
        <v>3</v>
      </c>
      <c r="D5093" s="34" t="s">
        <v>2194</v>
      </c>
      <c r="E5093" s="34">
        <v>0.8</v>
      </c>
      <c r="F5093" s="34">
        <v>0</v>
      </c>
      <c r="L5093" s="192"/>
    </row>
    <row r="5094" s="34" customFormat="1" hidden="1" spans="1:12">
      <c r="A5094" s="188" t="s">
        <v>5028</v>
      </c>
      <c r="B5094" s="189">
        <v>4015502</v>
      </c>
      <c r="C5094" s="188">
        <v>3</v>
      </c>
      <c r="D5094" s="34" t="s">
        <v>300</v>
      </c>
      <c r="E5094" s="34">
        <v>0.8</v>
      </c>
      <c r="F5094" s="34">
        <v>0</v>
      </c>
      <c r="L5094" s="192"/>
    </row>
    <row r="5095" s="34" customFormat="1" hidden="1" spans="1:12">
      <c r="A5095" s="188" t="s">
        <v>5029</v>
      </c>
      <c r="B5095" s="189">
        <v>4015502</v>
      </c>
      <c r="C5095" s="188">
        <v>3</v>
      </c>
      <c r="D5095" s="34" t="s">
        <v>2178</v>
      </c>
      <c r="E5095" s="34">
        <v>0.8</v>
      </c>
      <c r="F5095" s="34">
        <v>0</v>
      </c>
      <c r="L5095" s="192"/>
    </row>
    <row r="5096" s="34" customFormat="1" hidden="1" spans="1:12">
      <c r="A5096" s="188" t="s">
        <v>5030</v>
      </c>
      <c r="B5096" s="189">
        <v>4015502</v>
      </c>
      <c r="C5096" s="188">
        <v>3</v>
      </c>
      <c r="D5096" s="34" t="s">
        <v>2196</v>
      </c>
      <c r="E5096" s="34">
        <v>1.8</v>
      </c>
      <c r="F5096" s="34">
        <v>0</v>
      </c>
      <c r="L5096" s="192"/>
    </row>
    <row r="5097" s="34" customFormat="1" hidden="1" spans="1:12">
      <c r="A5097" s="188" t="s">
        <v>5031</v>
      </c>
      <c r="B5097" s="189">
        <v>4015502</v>
      </c>
      <c r="C5097" s="188">
        <v>3</v>
      </c>
      <c r="D5097" s="34" t="s">
        <v>92</v>
      </c>
      <c r="E5097" s="34">
        <v>4.06666666666667</v>
      </c>
      <c r="F5097" s="34">
        <v>0</v>
      </c>
      <c r="L5097" s="192"/>
    </row>
    <row r="5098" s="34" customFormat="1" hidden="1" spans="1:12">
      <c r="A5098" s="188" t="s">
        <v>5032</v>
      </c>
      <c r="B5098" s="189">
        <v>4015502</v>
      </c>
      <c r="C5098" s="188">
        <v>3</v>
      </c>
      <c r="D5098" s="34" t="s">
        <v>109</v>
      </c>
      <c r="E5098" s="34">
        <v>2.33333333333333</v>
      </c>
      <c r="F5098" s="34">
        <v>0</v>
      </c>
      <c r="L5098" s="192"/>
    </row>
    <row r="5099" s="34" customFormat="1" hidden="1" spans="1:12">
      <c r="A5099" s="188" t="s">
        <v>5033</v>
      </c>
      <c r="B5099" s="189">
        <v>4015502</v>
      </c>
      <c r="C5099" s="188">
        <v>3</v>
      </c>
      <c r="D5099" s="34" t="s">
        <v>97</v>
      </c>
      <c r="E5099" s="34">
        <v>2</v>
      </c>
      <c r="F5099" s="34">
        <v>0</v>
      </c>
      <c r="L5099" s="192"/>
    </row>
    <row r="5100" s="34" customFormat="1" hidden="1" spans="1:12">
      <c r="A5100" s="188" t="s">
        <v>5034</v>
      </c>
      <c r="B5100" s="189">
        <v>4015502</v>
      </c>
      <c r="C5100" s="188">
        <v>3</v>
      </c>
      <c r="D5100" s="34" t="s">
        <v>77</v>
      </c>
      <c r="E5100" s="34">
        <v>2.83333333333333</v>
      </c>
      <c r="F5100" s="34">
        <v>0</v>
      </c>
      <c r="L5100" s="192"/>
    </row>
    <row r="5101" s="34" customFormat="1" hidden="1" spans="1:12">
      <c r="A5101" s="188" t="s">
        <v>5035</v>
      </c>
      <c r="B5101" s="189">
        <v>4015502</v>
      </c>
      <c r="C5101" s="188">
        <v>3</v>
      </c>
      <c r="D5101" s="34" t="s">
        <v>54</v>
      </c>
      <c r="E5101" s="34">
        <v>3</v>
      </c>
      <c r="F5101" s="34">
        <v>0</v>
      </c>
      <c r="L5101" s="192"/>
    </row>
    <row r="5102" s="34" customFormat="1" hidden="1" spans="1:12">
      <c r="A5102" s="188" t="s">
        <v>5036</v>
      </c>
      <c r="B5102" s="189">
        <v>4015502</v>
      </c>
      <c r="C5102" s="188">
        <v>3</v>
      </c>
      <c r="D5102" s="34" t="s">
        <v>57</v>
      </c>
      <c r="E5102" s="34">
        <v>3.93333333333333</v>
      </c>
      <c r="F5102" s="34">
        <v>0</v>
      </c>
      <c r="G5102" s="34">
        <v>0</v>
      </c>
      <c r="H5102" s="34">
        <v>2</v>
      </c>
      <c r="I5102" s="34">
        <v>5088</v>
      </c>
      <c r="J5102" s="34" t="s">
        <v>58</v>
      </c>
      <c r="K5102" s="34">
        <v>1</v>
      </c>
      <c r="L5102" s="192"/>
    </row>
    <row r="5103" s="34" customFormat="1" hidden="1" spans="1:12">
      <c r="A5103" s="188" t="s">
        <v>5037</v>
      </c>
      <c r="B5103" s="189">
        <v>4015502</v>
      </c>
      <c r="C5103" s="188">
        <v>3</v>
      </c>
      <c r="D5103" s="34" t="s">
        <v>2618</v>
      </c>
      <c r="E5103" s="34">
        <v>2</v>
      </c>
      <c r="F5103" s="34">
        <v>0</v>
      </c>
      <c r="L5103" s="192"/>
    </row>
    <row r="5104" s="34" customFormat="1" hidden="1" spans="1:12">
      <c r="A5104" s="188" t="s">
        <v>5038</v>
      </c>
      <c r="B5104" s="189">
        <v>4015502</v>
      </c>
      <c r="C5104" s="188">
        <v>3</v>
      </c>
      <c r="D5104" s="34" t="s">
        <v>204</v>
      </c>
      <c r="E5104" s="34">
        <v>1.66666666666667</v>
      </c>
      <c r="F5104" s="34">
        <v>0</v>
      </c>
      <c r="L5104" s="192"/>
    </row>
    <row r="5105" s="34" customFormat="1" hidden="1" spans="1:12">
      <c r="A5105" s="188" t="s">
        <v>5039</v>
      </c>
      <c r="B5105" s="189">
        <v>4015502</v>
      </c>
      <c r="C5105" s="188">
        <v>3</v>
      </c>
      <c r="D5105" s="34" t="s">
        <v>270</v>
      </c>
      <c r="E5105" s="34">
        <v>2</v>
      </c>
      <c r="F5105" s="34">
        <v>0</v>
      </c>
      <c r="L5105" s="192"/>
    </row>
    <row r="5106" s="35" customFormat="1" hidden="1" spans="1:12">
      <c r="A5106" s="190" t="s">
        <v>5040</v>
      </c>
      <c r="B5106" s="191">
        <v>30125</v>
      </c>
      <c r="C5106" s="190">
        <v>3</v>
      </c>
      <c r="D5106" s="35" t="s">
        <v>42</v>
      </c>
      <c r="E5106" s="35">
        <f>72/30</f>
        <v>2.4</v>
      </c>
      <c r="F5106" s="35">
        <v>0</v>
      </c>
      <c r="L5106" s="193"/>
    </row>
    <row r="5107" s="35" customFormat="1" hidden="1" spans="1:12">
      <c r="A5107" s="190" t="s">
        <v>5041</v>
      </c>
      <c r="B5107" s="191">
        <v>30125</v>
      </c>
      <c r="C5107" s="190">
        <v>3</v>
      </c>
      <c r="D5107" s="35" t="s">
        <v>46</v>
      </c>
      <c r="E5107" s="35">
        <f>366/30</f>
        <v>12.2</v>
      </c>
      <c r="F5107" s="35">
        <v>0</v>
      </c>
      <c r="L5107" s="193"/>
    </row>
    <row r="5108" s="35" customFormat="1" hidden="1" spans="1:12">
      <c r="A5108" s="190" t="s">
        <v>5042</v>
      </c>
      <c r="B5108" s="191">
        <v>30125</v>
      </c>
      <c r="C5108" s="190">
        <v>3</v>
      </c>
      <c r="D5108" s="35" t="s">
        <v>86</v>
      </c>
      <c r="E5108" s="35">
        <f>265/30</f>
        <v>8.83333333333333</v>
      </c>
      <c r="F5108" s="35">
        <v>0</v>
      </c>
      <c r="L5108" s="193"/>
    </row>
    <row r="5109" s="35" customFormat="1" hidden="1" spans="1:12">
      <c r="A5109" s="190" t="s">
        <v>5043</v>
      </c>
      <c r="B5109" s="191">
        <v>30125</v>
      </c>
      <c r="C5109" s="190">
        <v>3</v>
      </c>
      <c r="D5109" s="35" t="s">
        <v>50</v>
      </c>
      <c r="E5109" s="35">
        <f>360/30</f>
        <v>12</v>
      </c>
      <c r="F5109" s="35">
        <v>0</v>
      </c>
      <c r="L5109" s="193"/>
    </row>
    <row r="5110" s="35" customFormat="1" hidden="1" spans="1:12">
      <c r="A5110" s="190" t="s">
        <v>5044</v>
      </c>
      <c r="B5110" s="191">
        <v>30125</v>
      </c>
      <c r="C5110" s="190">
        <v>3</v>
      </c>
      <c r="D5110" s="35" t="s">
        <v>90</v>
      </c>
      <c r="E5110" s="35">
        <f>83/30</f>
        <v>2.76666666666667</v>
      </c>
      <c r="F5110" s="35">
        <v>0</v>
      </c>
      <c r="L5110" s="193"/>
    </row>
    <row r="5111" s="35" customFormat="1" hidden="1" spans="1:12">
      <c r="A5111" s="190" t="s">
        <v>5045</v>
      </c>
      <c r="B5111" s="191">
        <v>30125</v>
      </c>
      <c r="C5111" s="190">
        <v>3</v>
      </c>
      <c r="D5111" s="35" t="s">
        <v>1047</v>
      </c>
      <c r="E5111" s="35">
        <f>55/30</f>
        <v>1.83333333333333</v>
      </c>
      <c r="F5111" s="35">
        <v>0</v>
      </c>
      <c r="L5111" s="193"/>
    </row>
    <row r="5112" s="35" customFormat="1" hidden="1" spans="1:12">
      <c r="A5112" s="190" t="s">
        <v>5046</v>
      </c>
      <c r="B5112" s="191">
        <v>30125</v>
      </c>
      <c r="C5112" s="190">
        <v>3</v>
      </c>
      <c r="D5112" s="35" t="s">
        <v>2198</v>
      </c>
      <c r="E5112" s="35">
        <f>40/30</f>
        <v>1.33333333333333</v>
      </c>
      <c r="F5112" s="35">
        <v>0</v>
      </c>
      <c r="L5112" s="193"/>
    </row>
    <row r="5113" s="35" customFormat="1" hidden="1" spans="1:12">
      <c r="A5113" s="190" t="s">
        <v>5047</v>
      </c>
      <c r="B5113" s="191">
        <v>30125</v>
      </c>
      <c r="C5113" s="190">
        <v>3</v>
      </c>
      <c r="D5113" s="35" t="s">
        <v>2182</v>
      </c>
      <c r="E5113" s="35">
        <f>41/30</f>
        <v>1.36666666666667</v>
      </c>
      <c r="F5113" s="35">
        <v>0</v>
      </c>
      <c r="L5113" s="193"/>
    </row>
    <row r="5114" s="35" customFormat="1" hidden="1" spans="1:12">
      <c r="A5114" s="190" t="s">
        <v>5048</v>
      </c>
      <c r="B5114" s="191">
        <v>30125</v>
      </c>
      <c r="C5114" s="190">
        <v>3</v>
      </c>
      <c r="D5114" s="35" t="s">
        <v>2184</v>
      </c>
      <c r="E5114" s="35">
        <f>41/30</f>
        <v>1.36666666666667</v>
      </c>
      <c r="F5114" s="35">
        <v>0</v>
      </c>
      <c r="L5114" s="193"/>
    </row>
    <row r="5115" s="35" customFormat="1" hidden="1" spans="1:12">
      <c r="A5115" s="190" t="s">
        <v>5049</v>
      </c>
      <c r="B5115" s="191">
        <v>30125</v>
      </c>
      <c r="C5115" s="190">
        <v>3</v>
      </c>
      <c r="D5115" s="35" t="s">
        <v>2186</v>
      </c>
      <c r="E5115" s="35">
        <f>50/30</f>
        <v>1.66666666666667</v>
      </c>
      <c r="F5115" s="35">
        <v>0</v>
      </c>
      <c r="L5115" s="193"/>
    </row>
    <row r="5116" s="35" customFormat="1" hidden="1" spans="1:12">
      <c r="A5116" s="190" t="s">
        <v>5050</v>
      </c>
      <c r="B5116" s="191">
        <v>30125</v>
      </c>
      <c r="C5116" s="190">
        <v>3</v>
      </c>
      <c r="D5116" s="35" t="s">
        <v>2188</v>
      </c>
      <c r="E5116" s="35">
        <f t="shared" ref="E5116:E5121" si="34">24/30</f>
        <v>0.8</v>
      </c>
      <c r="F5116" s="35">
        <v>0</v>
      </c>
      <c r="L5116" s="193"/>
    </row>
    <row r="5117" s="35" customFormat="1" hidden="1" spans="1:12">
      <c r="A5117" s="190" t="s">
        <v>5051</v>
      </c>
      <c r="B5117" s="191">
        <v>30125</v>
      </c>
      <c r="C5117" s="190">
        <v>3</v>
      </c>
      <c r="D5117" s="35" t="s">
        <v>2190</v>
      </c>
      <c r="E5117" s="35">
        <f t="shared" si="34"/>
        <v>0.8</v>
      </c>
      <c r="F5117" s="35">
        <v>0</v>
      </c>
      <c r="L5117" s="193"/>
    </row>
    <row r="5118" s="35" customFormat="1" hidden="1" spans="1:12">
      <c r="A5118" s="190" t="s">
        <v>5052</v>
      </c>
      <c r="B5118" s="191">
        <v>30125</v>
      </c>
      <c r="C5118" s="190">
        <v>3</v>
      </c>
      <c r="D5118" s="35" t="s">
        <v>2192</v>
      </c>
      <c r="E5118" s="35">
        <f t="shared" si="34"/>
        <v>0.8</v>
      </c>
      <c r="F5118" s="35">
        <v>0</v>
      </c>
      <c r="L5118" s="193"/>
    </row>
    <row r="5119" s="35" customFormat="1" hidden="1" spans="1:12">
      <c r="A5119" s="190" t="s">
        <v>5053</v>
      </c>
      <c r="B5119" s="191">
        <v>30125</v>
      </c>
      <c r="C5119" s="190">
        <v>3</v>
      </c>
      <c r="D5119" s="35" t="s">
        <v>2194</v>
      </c>
      <c r="E5119" s="35">
        <f t="shared" si="34"/>
        <v>0.8</v>
      </c>
      <c r="F5119" s="35">
        <v>0</v>
      </c>
      <c r="L5119" s="193"/>
    </row>
    <row r="5120" s="35" customFormat="1" hidden="1" spans="1:12">
      <c r="A5120" s="190" t="s">
        <v>5054</v>
      </c>
      <c r="B5120" s="191">
        <v>30125</v>
      </c>
      <c r="C5120" s="190">
        <v>3</v>
      </c>
      <c r="D5120" s="35" t="s">
        <v>300</v>
      </c>
      <c r="E5120" s="35">
        <f t="shared" si="34"/>
        <v>0.8</v>
      </c>
      <c r="F5120" s="35">
        <v>0</v>
      </c>
      <c r="L5120" s="193"/>
    </row>
    <row r="5121" s="35" customFormat="1" hidden="1" spans="1:12">
      <c r="A5121" s="190" t="s">
        <v>5055</v>
      </c>
      <c r="B5121" s="191">
        <v>30125</v>
      </c>
      <c r="C5121" s="190">
        <v>3</v>
      </c>
      <c r="D5121" s="35" t="s">
        <v>2178</v>
      </c>
      <c r="E5121" s="35">
        <f t="shared" si="34"/>
        <v>0.8</v>
      </c>
      <c r="F5121" s="35">
        <v>0</v>
      </c>
      <c r="L5121" s="193"/>
    </row>
    <row r="5122" s="35" customFormat="1" hidden="1" spans="1:12">
      <c r="A5122" s="190" t="s">
        <v>5056</v>
      </c>
      <c r="B5122" s="191">
        <v>30125</v>
      </c>
      <c r="C5122" s="190">
        <v>3</v>
      </c>
      <c r="D5122" s="35" t="s">
        <v>2196</v>
      </c>
      <c r="E5122" s="35">
        <f>54/30</f>
        <v>1.8</v>
      </c>
      <c r="F5122" s="35">
        <v>0</v>
      </c>
      <c r="L5122" s="193"/>
    </row>
    <row r="5123" s="35" customFormat="1" hidden="1" spans="1:12">
      <c r="A5123" s="190" t="s">
        <v>5057</v>
      </c>
      <c r="B5123" s="191">
        <v>30125</v>
      </c>
      <c r="C5123" s="190">
        <v>3</v>
      </c>
      <c r="D5123" s="35" t="s">
        <v>1788</v>
      </c>
      <c r="E5123" s="35">
        <f>90/30</f>
        <v>3</v>
      </c>
      <c r="F5123" s="35">
        <v>0</v>
      </c>
      <c r="L5123" s="193"/>
    </row>
    <row r="5124" s="35" customFormat="1" hidden="1" spans="1:12">
      <c r="A5124" s="190" t="s">
        <v>5058</v>
      </c>
      <c r="B5124" s="191">
        <v>30125</v>
      </c>
      <c r="C5124" s="190">
        <v>3</v>
      </c>
      <c r="D5124" s="35" t="s">
        <v>2621</v>
      </c>
      <c r="E5124" s="35">
        <f>24/30</f>
        <v>0.8</v>
      </c>
      <c r="F5124" s="35">
        <v>1</v>
      </c>
      <c r="L5124" s="193"/>
    </row>
    <row r="5125" s="35" customFormat="1" hidden="1" spans="1:12">
      <c r="A5125" s="190" t="s">
        <v>5059</v>
      </c>
      <c r="B5125" s="191">
        <v>30125</v>
      </c>
      <c r="C5125" s="190" t="s">
        <v>5060</v>
      </c>
      <c r="D5125" s="35" t="s">
        <v>2623</v>
      </c>
      <c r="E5125" s="35">
        <f>60/30</f>
        <v>2</v>
      </c>
      <c r="F5125" s="35">
        <v>1</v>
      </c>
      <c r="L5125" s="193"/>
    </row>
    <row r="5126" s="34" customFormat="1" hidden="1" spans="1:6">
      <c r="A5126" s="34" t="s">
        <v>5061</v>
      </c>
      <c r="B5126" s="34">
        <v>30126</v>
      </c>
      <c r="C5126" s="34">
        <v>3</v>
      </c>
      <c r="D5126" s="34" t="s">
        <v>42</v>
      </c>
      <c r="E5126" s="34">
        <v>2.4</v>
      </c>
      <c r="F5126" s="34">
        <v>0</v>
      </c>
    </row>
    <row r="5127" s="34" customFormat="1" hidden="1" spans="1:6">
      <c r="A5127" s="34" t="s">
        <v>5062</v>
      </c>
      <c r="B5127" s="34">
        <v>30126</v>
      </c>
      <c r="C5127" s="34">
        <v>3</v>
      </c>
      <c r="D5127" s="34" t="s">
        <v>46</v>
      </c>
      <c r="E5127" s="34">
        <v>12.2</v>
      </c>
      <c r="F5127" s="34">
        <v>0</v>
      </c>
    </row>
    <row r="5128" s="34" customFormat="1" hidden="1" spans="1:6">
      <c r="A5128" s="34" t="s">
        <v>5063</v>
      </c>
      <c r="B5128" s="34">
        <v>30126</v>
      </c>
      <c r="C5128" s="34">
        <v>3</v>
      </c>
      <c r="D5128" s="34" t="s">
        <v>86</v>
      </c>
      <c r="E5128" s="34">
        <v>8.83333333333333</v>
      </c>
      <c r="F5128" s="34">
        <v>0</v>
      </c>
    </row>
    <row r="5129" s="34" customFormat="1" hidden="1" spans="1:6">
      <c r="A5129" s="34" t="s">
        <v>5064</v>
      </c>
      <c r="B5129" s="34">
        <v>30126</v>
      </c>
      <c r="C5129" s="34">
        <v>3</v>
      </c>
      <c r="D5129" s="34" t="s">
        <v>50</v>
      </c>
      <c r="E5129" s="34">
        <v>12</v>
      </c>
      <c r="F5129" s="34">
        <v>0</v>
      </c>
    </row>
    <row r="5130" s="34" customFormat="1" hidden="1" spans="1:6">
      <c r="A5130" s="34" t="s">
        <v>5065</v>
      </c>
      <c r="B5130" s="34">
        <v>30126</v>
      </c>
      <c r="C5130" s="34">
        <v>3</v>
      </c>
      <c r="D5130" s="34" t="s">
        <v>90</v>
      </c>
      <c r="E5130" s="34">
        <v>2.76666666666667</v>
      </c>
      <c r="F5130" s="34">
        <v>0</v>
      </c>
    </row>
    <row r="5131" s="34" customFormat="1" hidden="1" spans="1:6">
      <c r="A5131" s="34" t="s">
        <v>5066</v>
      </c>
      <c r="B5131" s="34">
        <v>30126</v>
      </c>
      <c r="C5131" s="34">
        <v>3</v>
      </c>
      <c r="D5131" s="34" t="s">
        <v>1047</v>
      </c>
      <c r="E5131" s="34">
        <v>1.83333333333333</v>
      </c>
      <c r="F5131" s="34">
        <v>0</v>
      </c>
    </row>
    <row r="5132" s="34" customFormat="1" hidden="1" spans="1:6">
      <c r="A5132" s="34" t="s">
        <v>5067</v>
      </c>
      <c r="B5132" s="34">
        <v>30126</v>
      </c>
      <c r="C5132" s="34">
        <v>3</v>
      </c>
      <c r="D5132" s="34" t="s">
        <v>2198</v>
      </c>
      <c r="E5132" s="34">
        <v>1.33333333333333</v>
      </c>
      <c r="F5132" s="34">
        <v>0</v>
      </c>
    </row>
    <row r="5133" s="34" customFormat="1" hidden="1" spans="1:6">
      <c r="A5133" s="34" t="s">
        <v>5068</v>
      </c>
      <c r="B5133" s="34">
        <v>30126</v>
      </c>
      <c r="C5133" s="34">
        <v>3</v>
      </c>
      <c r="D5133" s="34" t="s">
        <v>2182</v>
      </c>
      <c r="E5133" s="34">
        <v>1.36666666666667</v>
      </c>
      <c r="F5133" s="34">
        <v>0</v>
      </c>
    </row>
    <row r="5134" s="34" customFormat="1" hidden="1" spans="1:6">
      <c r="A5134" s="34" t="s">
        <v>5069</v>
      </c>
      <c r="B5134" s="34">
        <v>30126</v>
      </c>
      <c r="C5134" s="34">
        <v>3</v>
      </c>
      <c r="D5134" s="34" t="s">
        <v>2184</v>
      </c>
      <c r="E5134" s="34">
        <v>1.36666666666667</v>
      </c>
      <c r="F5134" s="34">
        <v>0</v>
      </c>
    </row>
    <row r="5135" s="34" customFormat="1" hidden="1" spans="1:6">
      <c r="A5135" s="34" t="s">
        <v>5070</v>
      </c>
      <c r="B5135" s="34">
        <v>30126</v>
      </c>
      <c r="C5135" s="34">
        <v>3</v>
      </c>
      <c r="D5135" s="34" t="s">
        <v>2186</v>
      </c>
      <c r="E5135" s="34">
        <v>1.66666666666667</v>
      </c>
      <c r="F5135" s="34">
        <v>0</v>
      </c>
    </row>
    <row r="5136" s="34" customFormat="1" hidden="1" spans="1:6">
      <c r="A5136" s="34" t="s">
        <v>5071</v>
      </c>
      <c r="B5136" s="34">
        <v>30126</v>
      </c>
      <c r="C5136" s="34">
        <v>3</v>
      </c>
      <c r="D5136" s="34" t="s">
        <v>2188</v>
      </c>
      <c r="E5136" s="34">
        <v>0.8</v>
      </c>
      <c r="F5136" s="34">
        <v>0</v>
      </c>
    </row>
    <row r="5137" s="34" customFormat="1" hidden="1" spans="1:6">
      <c r="A5137" s="34" t="s">
        <v>5072</v>
      </c>
      <c r="B5137" s="34">
        <v>30126</v>
      </c>
      <c r="C5137" s="34">
        <v>3</v>
      </c>
      <c r="D5137" s="34" t="s">
        <v>2190</v>
      </c>
      <c r="E5137" s="34">
        <v>0.8</v>
      </c>
      <c r="F5137" s="34">
        <v>0</v>
      </c>
    </row>
    <row r="5138" s="34" customFormat="1" hidden="1" spans="1:6">
      <c r="A5138" s="34" t="s">
        <v>5073</v>
      </c>
      <c r="B5138" s="34">
        <v>30126</v>
      </c>
      <c r="C5138" s="34">
        <v>3</v>
      </c>
      <c r="D5138" s="34" t="s">
        <v>2192</v>
      </c>
      <c r="E5138" s="34">
        <v>0.8</v>
      </c>
      <c r="F5138" s="34">
        <v>0</v>
      </c>
    </row>
    <row r="5139" s="34" customFormat="1" hidden="1" spans="1:6">
      <c r="A5139" s="34" t="s">
        <v>5074</v>
      </c>
      <c r="B5139" s="34">
        <v>30126</v>
      </c>
      <c r="C5139" s="34">
        <v>3</v>
      </c>
      <c r="D5139" s="34" t="s">
        <v>2194</v>
      </c>
      <c r="E5139" s="34">
        <v>0.8</v>
      </c>
      <c r="F5139" s="34">
        <v>0</v>
      </c>
    </row>
    <row r="5140" s="34" customFormat="1" hidden="1" spans="1:6">
      <c r="A5140" s="34" t="s">
        <v>5075</v>
      </c>
      <c r="B5140" s="34">
        <v>30126</v>
      </c>
      <c r="C5140" s="34">
        <v>3</v>
      </c>
      <c r="D5140" s="34" t="s">
        <v>300</v>
      </c>
      <c r="E5140" s="34">
        <v>0.8</v>
      </c>
      <c r="F5140" s="34">
        <v>0</v>
      </c>
    </row>
    <row r="5141" s="34" customFormat="1" hidden="1" spans="1:6">
      <c r="A5141" s="34" t="s">
        <v>5076</v>
      </c>
      <c r="B5141" s="34">
        <v>30126</v>
      </c>
      <c r="C5141" s="34">
        <v>3</v>
      </c>
      <c r="D5141" s="34" t="s">
        <v>2178</v>
      </c>
      <c r="E5141" s="34">
        <v>0.8</v>
      </c>
      <c r="F5141" s="34">
        <v>0</v>
      </c>
    </row>
    <row r="5142" s="34" customFormat="1" hidden="1" spans="1:6">
      <c r="A5142" s="34" t="s">
        <v>5077</v>
      </c>
      <c r="B5142" s="34">
        <v>30126</v>
      </c>
      <c r="C5142" s="34">
        <v>3</v>
      </c>
      <c r="D5142" s="34" t="s">
        <v>2196</v>
      </c>
      <c r="E5142" s="34">
        <v>1.8</v>
      </c>
      <c r="F5142" s="34">
        <v>0</v>
      </c>
    </row>
    <row r="5143" s="34" customFormat="1" hidden="1" spans="1:6">
      <c r="A5143" s="34" t="s">
        <v>5078</v>
      </c>
      <c r="B5143" s="34">
        <v>30126</v>
      </c>
      <c r="C5143" s="34">
        <v>3</v>
      </c>
      <c r="D5143" s="34" t="s">
        <v>1788</v>
      </c>
      <c r="E5143" s="34">
        <v>3</v>
      </c>
      <c r="F5143" s="34">
        <v>0</v>
      </c>
    </row>
    <row r="5144" s="34" customFormat="1" hidden="1" spans="1:6">
      <c r="A5144" s="34" t="s">
        <v>5079</v>
      </c>
      <c r="B5144" s="34">
        <v>30126</v>
      </c>
      <c r="C5144" s="34">
        <v>3</v>
      </c>
      <c r="D5144" s="34" t="s">
        <v>2621</v>
      </c>
      <c r="E5144" s="34">
        <v>0.8</v>
      </c>
      <c r="F5144" s="34">
        <v>1</v>
      </c>
    </row>
    <row r="5145" s="34" customFormat="1" hidden="1" spans="1:6">
      <c r="A5145" s="34" t="s">
        <v>5080</v>
      </c>
      <c r="B5145" s="34">
        <v>30126</v>
      </c>
      <c r="C5145" s="34">
        <v>3</v>
      </c>
      <c r="D5145" s="34" t="s">
        <v>2623</v>
      </c>
      <c r="E5145" s="34">
        <v>2</v>
      </c>
      <c r="F5145" s="34">
        <v>1</v>
      </c>
    </row>
    <row r="5146" s="34" customFormat="1" hidden="1" spans="1:6">
      <c r="A5146" s="34" t="s">
        <v>5081</v>
      </c>
      <c r="B5146" s="34">
        <v>30126</v>
      </c>
      <c r="C5146" s="34">
        <v>3</v>
      </c>
      <c r="D5146" s="34" t="s">
        <v>42</v>
      </c>
      <c r="E5146" s="34">
        <v>2.4</v>
      </c>
      <c r="F5146" s="34">
        <v>0</v>
      </c>
    </row>
    <row r="5147" s="35" customFormat="1" hidden="1" spans="1:12">
      <c r="A5147" s="190" t="s">
        <v>5082</v>
      </c>
      <c r="B5147" s="191">
        <v>30127</v>
      </c>
      <c r="C5147" s="190">
        <v>3</v>
      </c>
      <c r="D5147" s="35" t="s">
        <v>42</v>
      </c>
      <c r="E5147" s="35">
        <v>2.4</v>
      </c>
      <c r="F5147" s="35">
        <v>0</v>
      </c>
      <c r="L5147" s="193"/>
    </row>
    <row r="5148" s="35" customFormat="1" hidden="1" spans="1:12">
      <c r="A5148" s="190" t="s">
        <v>5083</v>
      </c>
      <c r="B5148" s="191">
        <v>30127</v>
      </c>
      <c r="C5148" s="190">
        <v>3</v>
      </c>
      <c r="D5148" s="35" t="s">
        <v>46</v>
      </c>
      <c r="E5148" s="35">
        <v>12.2</v>
      </c>
      <c r="F5148" s="35">
        <v>0</v>
      </c>
      <c r="L5148" s="193"/>
    </row>
    <row r="5149" s="35" customFormat="1" hidden="1" spans="1:12">
      <c r="A5149" s="190" t="s">
        <v>5084</v>
      </c>
      <c r="B5149" s="191">
        <v>30127</v>
      </c>
      <c r="C5149" s="190">
        <v>3</v>
      </c>
      <c r="D5149" s="35" t="s">
        <v>86</v>
      </c>
      <c r="E5149" s="35">
        <v>8.83333333333333</v>
      </c>
      <c r="F5149" s="35">
        <v>0</v>
      </c>
      <c r="L5149" s="193"/>
    </row>
    <row r="5150" s="35" customFormat="1" hidden="1" spans="1:12">
      <c r="A5150" s="190" t="s">
        <v>5085</v>
      </c>
      <c r="B5150" s="191">
        <v>30127</v>
      </c>
      <c r="C5150" s="190">
        <v>3</v>
      </c>
      <c r="D5150" s="35" t="s">
        <v>50</v>
      </c>
      <c r="E5150" s="35">
        <v>12</v>
      </c>
      <c r="F5150" s="35">
        <v>0</v>
      </c>
      <c r="L5150" s="193"/>
    </row>
    <row r="5151" s="35" customFormat="1" hidden="1" spans="1:12">
      <c r="A5151" s="190" t="s">
        <v>5086</v>
      </c>
      <c r="B5151" s="191">
        <v>30127</v>
      </c>
      <c r="C5151" s="190">
        <v>3</v>
      </c>
      <c r="D5151" s="35" t="s">
        <v>90</v>
      </c>
      <c r="E5151" s="35">
        <v>2.76666666666667</v>
      </c>
      <c r="F5151" s="35">
        <v>0</v>
      </c>
      <c r="L5151" s="193"/>
    </row>
    <row r="5152" s="35" customFormat="1" hidden="1" spans="1:12">
      <c r="A5152" s="190" t="s">
        <v>5087</v>
      </c>
      <c r="B5152" s="191">
        <v>30127</v>
      </c>
      <c r="C5152" s="190">
        <v>3</v>
      </c>
      <c r="D5152" s="35" t="s">
        <v>1047</v>
      </c>
      <c r="E5152" s="35">
        <v>1.83333333333333</v>
      </c>
      <c r="F5152" s="35">
        <v>0</v>
      </c>
      <c r="L5152" s="193"/>
    </row>
    <row r="5153" s="35" customFormat="1" hidden="1" spans="1:12">
      <c r="A5153" s="190" t="s">
        <v>5088</v>
      </c>
      <c r="B5153" s="191">
        <v>30127</v>
      </c>
      <c r="C5153" s="190">
        <v>3</v>
      </c>
      <c r="D5153" s="35" t="s">
        <v>2198</v>
      </c>
      <c r="E5153" s="35">
        <v>1.33333333333333</v>
      </c>
      <c r="F5153" s="35">
        <v>0</v>
      </c>
      <c r="L5153" s="193"/>
    </row>
    <row r="5154" s="35" customFormat="1" hidden="1" spans="1:12">
      <c r="A5154" s="190" t="s">
        <v>5089</v>
      </c>
      <c r="B5154" s="191">
        <v>30127</v>
      </c>
      <c r="C5154" s="190">
        <v>3</v>
      </c>
      <c r="D5154" s="35" t="s">
        <v>2182</v>
      </c>
      <c r="E5154" s="35">
        <v>1.36666666666667</v>
      </c>
      <c r="F5154" s="35">
        <v>0</v>
      </c>
      <c r="L5154" s="193"/>
    </row>
    <row r="5155" s="35" customFormat="1" hidden="1" spans="1:12">
      <c r="A5155" s="190" t="s">
        <v>5090</v>
      </c>
      <c r="B5155" s="191">
        <v>30127</v>
      </c>
      <c r="C5155" s="190">
        <v>3</v>
      </c>
      <c r="D5155" s="35" t="s">
        <v>2184</v>
      </c>
      <c r="E5155" s="35">
        <v>1.36666666666667</v>
      </c>
      <c r="F5155" s="35">
        <v>0</v>
      </c>
      <c r="L5155" s="193"/>
    </row>
    <row r="5156" s="35" customFormat="1" hidden="1" spans="1:12">
      <c r="A5156" s="190" t="s">
        <v>5091</v>
      </c>
      <c r="B5156" s="191">
        <v>30127</v>
      </c>
      <c r="C5156" s="190">
        <v>3</v>
      </c>
      <c r="D5156" s="35" t="s">
        <v>2186</v>
      </c>
      <c r="E5156" s="35">
        <v>1.66666666666667</v>
      </c>
      <c r="F5156" s="35">
        <v>0</v>
      </c>
      <c r="L5156" s="193"/>
    </row>
    <row r="5157" s="35" customFormat="1" hidden="1" spans="1:12">
      <c r="A5157" s="190" t="s">
        <v>5092</v>
      </c>
      <c r="B5157" s="191">
        <v>30127</v>
      </c>
      <c r="C5157" s="190">
        <v>3</v>
      </c>
      <c r="D5157" s="35" t="s">
        <v>2188</v>
      </c>
      <c r="E5157" s="35">
        <v>0.8</v>
      </c>
      <c r="F5157" s="35">
        <v>0</v>
      </c>
      <c r="L5157" s="193"/>
    </row>
    <row r="5158" s="35" customFormat="1" hidden="1" spans="1:12">
      <c r="A5158" s="190" t="s">
        <v>5093</v>
      </c>
      <c r="B5158" s="191">
        <v>30127</v>
      </c>
      <c r="C5158" s="190">
        <v>3</v>
      </c>
      <c r="D5158" s="35" t="s">
        <v>2190</v>
      </c>
      <c r="E5158" s="35">
        <v>0.8</v>
      </c>
      <c r="F5158" s="35">
        <v>0</v>
      </c>
      <c r="L5158" s="193"/>
    </row>
    <row r="5159" s="35" customFormat="1" hidden="1" spans="1:12">
      <c r="A5159" s="190" t="s">
        <v>5094</v>
      </c>
      <c r="B5159" s="191">
        <v>30127</v>
      </c>
      <c r="C5159" s="190">
        <v>3</v>
      </c>
      <c r="D5159" s="35" t="s">
        <v>2192</v>
      </c>
      <c r="E5159" s="35">
        <v>0.8</v>
      </c>
      <c r="F5159" s="35">
        <v>0</v>
      </c>
      <c r="L5159" s="193"/>
    </row>
    <row r="5160" s="35" customFormat="1" hidden="1" spans="1:12">
      <c r="A5160" s="190" t="s">
        <v>5095</v>
      </c>
      <c r="B5160" s="191">
        <v>30127</v>
      </c>
      <c r="C5160" s="190">
        <v>3</v>
      </c>
      <c r="D5160" s="35" t="s">
        <v>2194</v>
      </c>
      <c r="E5160" s="35">
        <v>0.8</v>
      </c>
      <c r="F5160" s="35">
        <v>0</v>
      </c>
      <c r="L5160" s="193"/>
    </row>
    <row r="5161" s="35" customFormat="1" hidden="1" spans="1:12">
      <c r="A5161" s="190" t="s">
        <v>5096</v>
      </c>
      <c r="B5161" s="191">
        <v>30127</v>
      </c>
      <c r="C5161" s="190">
        <v>3</v>
      </c>
      <c r="D5161" s="35" t="s">
        <v>300</v>
      </c>
      <c r="E5161" s="35">
        <v>0.8</v>
      </c>
      <c r="F5161" s="35">
        <v>0</v>
      </c>
      <c r="L5161" s="193"/>
    </row>
    <row r="5162" s="35" customFormat="1" hidden="1" spans="1:12">
      <c r="A5162" s="190" t="s">
        <v>5097</v>
      </c>
      <c r="B5162" s="191">
        <v>30127</v>
      </c>
      <c r="C5162" s="190">
        <v>3</v>
      </c>
      <c r="D5162" s="35" t="s">
        <v>2178</v>
      </c>
      <c r="E5162" s="35">
        <v>0.8</v>
      </c>
      <c r="F5162" s="35">
        <v>0</v>
      </c>
      <c r="L5162" s="193"/>
    </row>
    <row r="5163" s="35" customFormat="1" hidden="1" spans="1:12">
      <c r="A5163" s="190" t="s">
        <v>5098</v>
      </c>
      <c r="B5163" s="191">
        <v>30127</v>
      </c>
      <c r="C5163" s="190">
        <v>3</v>
      </c>
      <c r="D5163" s="35" t="s">
        <v>2196</v>
      </c>
      <c r="E5163" s="35">
        <v>1.8</v>
      </c>
      <c r="F5163" s="35">
        <v>0</v>
      </c>
      <c r="L5163" s="193"/>
    </row>
    <row r="5164" s="35" customFormat="1" hidden="1" spans="1:12">
      <c r="A5164" s="190" t="s">
        <v>5099</v>
      </c>
      <c r="B5164" s="191">
        <v>30127</v>
      </c>
      <c r="C5164" s="190">
        <v>3</v>
      </c>
      <c r="D5164" s="35" t="s">
        <v>1788</v>
      </c>
      <c r="E5164" s="35">
        <v>3</v>
      </c>
      <c r="F5164" s="35">
        <v>0</v>
      </c>
      <c r="L5164" s="193"/>
    </row>
    <row r="5165" s="35" customFormat="1" hidden="1" spans="1:12">
      <c r="A5165" s="190" t="s">
        <v>5100</v>
      </c>
      <c r="B5165" s="191">
        <v>30127</v>
      </c>
      <c r="C5165" s="190">
        <v>3</v>
      </c>
      <c r="D5165" s="35" t="s">
        <v>2621</v>
      </c>
      <c r="E5165" s="35">
        <v>0.8</v>
      </c>
      <c r="F5165" s="35">
        <v>1</v>
      </c>
      <c r="L5165" s="193"/>
    </row>
    <row r="5166" s="35" customFormat="1" hidden="1" spans="1:12">
      <c r="A5166" s="190" t="s">
        <v>5101</v>
      </c>
      <c r="B5166" s="191">
        <v>30127</v>
      </c>
      <c r="C5166" s="190">
        <v>3</v>
      </c>
      <c r="D5166" s="35" t="s">
        <v>2623</v>
      </c>
      <c r="E5166" s="35">
        <v>2</v>
      </c>
      <c r="F5166" s="35">
        <v>1</v>
      </c>
      <c r="L5166" s="193"/>
    </row>
    <row r="5167" customFormat="1" hidden="1" spans="1:12">
      <c r="A5167" s="2" t="s">
        <v>5102</v>
      </c>
      <c r="B5167" s="3">
        <v>30128</v>
      </c>
      <c r="C5167">
        <v>3</v>
      </c>
      <c r="D5167" t="s">
        <v>1047</v>
      </c>
      <c r="E5167">
        <v>1.667</v>
      </c>
      <c r="F5167">
        <v>0</v>
      </c>
      <c r="H5167">
        <v>2</v>
      </c>
      <c r="I5167">
        <v>5091</v>
      </c>
      <c r="J5167" t="s">
        <v>58</v>
      </c>
      <c r="K5167">
        <v>1</v>
      </c>
      <c r="L5167" s="4"/>
    </row>
    <row r="5168" customFormat="1" hidden="1" spans="1:12">
      <c r="A5168" s="2" t="s">
        <v>5103</v>
      </c>
      <c r="B5168" s="3">
        <v>30128</v>
      </c>
      <c r="C5168">
        <v>3</v>
      </c>
      <c r="D5168" t="s">
        <v>130</v>
      </c>
      <c r="E5168">
        <v>1.667</v>
      </c>
      <c r="F5168">
        <v>1</v>
      </c>
      <c r="L5168" s="4"/>
    </row>
    <row r="5169" s="1" customFormat="1" hidden="1" spans="1:12">
      <c r="A5169" s="5" t="s">
        <v>5104</v>
      </c>
      <c r="B5169" s="54">
        <v>4003601</v>
      </c>
      <c r="C5169" s="1">
        <v>2</v>
      </c>
      <c r="D5169" s="1" t="s">
        <v>36</v>
      </c>
      <c r="E5169" s="1">
        <v>1.66666666666667</v>
      </c>
      <c r="F5169" s="1">
        <v>0</v>
      </c>
      <c r="H5169" s="194"/>
      <c r="L5169" s="7"/>
    </row>
    <row r="5170" s="1" customFormat="1" hidden="1" spans="1:12">
      <c r="A5170" s="5" t="s">
        <v>5105</v>
      </c>
      <c r="B5170" s="54">
        <v>4003601</v>
      </c>
      <c r="C5170" s="1">
        <v>2</v>
      </c>
      <c r="D5170" s="1" t="s">
        <v>38</v>
      </c>
      <c r="E5170" s="1">
        <v>2.66666666666667</v>
      </c>
      <c r="F5170" s="1">
        <v>0</v>
      </c>
      <c r="H5170" s="194"/>
      <c r="L5170" s="7"/>
    </row>
    <row r="5171" s="1" customFormat="1" hidden="1" spans="1:12">
      <c r="A5171" s="5" t="s">
        <v>5106</v>
      </c>
      <c r="B5171" s="54">
        <v>4003601</v>
      </c>
      <c r="C5171" s="1">
        <v>2</v>
      </c>
      <c r="D5171" s="1" t="s">
        <v>40</v>
      </c>
      <c r="E5171" s="1">
        <v>3.16666666666667</v>
      </c>
      <c r="F5171" s="1">
        <v>0</v>
      </c>
      <c r="H5171" s="194"/>
      <c r="L5171" s="7"/>
    </row>
    <row r="5172" s="1" customFormat="1" hidden="1" spans="1:12">
      <c r="A5172" s="5" t="s">
        <v>5107</v>
      </c>
      <c r="B5172" s="54">
        <v>4003601</v>
      </c>
      <c r="C5172" s="1">
        <v>2</v>
      </c>
      <c r="D5172" s="1" t="s">
        <v>42</v>
      </c>
      <c r="E5172" s="1">
        <v>4</v>
      </c>
      <c r="F5172" s="1">
        <v>0</v>
      </c>
      <c r="G5172" s="1">
        <v>0</v>
      </c>
      <c r="H5172" s="194"/>
      <c r="L5172" s="7" t="s">
        <v>396</v>
      </c>
    </row>
    <row r="5173" s="1" customFormat="1" hidden="1" spans="1:12">
      <c r="A5173" s="5" t="s">
        <v>5108</v>
      </c>
      <c r="B5173" s="54">
        <v>4003601</v>
      </c>
      <c r="C5173" s="1">
        <v>2</v>
      </c>
      <c r="D5173" s="1" t="s">
        <v>44</v>
      </c>
      <c r="E5173" s="1">
        <v>0</v>
      </c>
      <c r="F5173" s="1">
        <v>0</v>
      </c>
      <c r="H5173" s="194"/>
      <c r="L5173" s="7"/>
    </row>
    <row r="5174" s="1" customFormat="1" hidden="1" spans="1:12">
      <c r="A5174" s="5" t="s">
        <v>5109</v>
      </c>
      <c r="B5174" s="54">
        <v>4003601</v>
      </c>
      <c r="C5174" s="1">
        <v>2</v>
      </c>
      <c r="D5174" s="1" t="s">
        <v>46</v>
      </c>
      <c r="E5174" s="1">
        <v>3.16666666666667</v>
      </c>
      <c r="F5174" s="1">
        <v>0</v>
      </c>
      <c r="H5174" s="194"/>
      <c r="L5174" s="7"/>
    </row>
    <row r="5175" s="1" customFormat="1" hidden="1" spans="1:12">
      <c r="A5175" s="5" t="s">
        <v>5110</v>
      </c>
      <c r="B5175" s="54">
        <v>4003601</v>
      </c>
      <c r="C5175" s="1">
        <v>2</v>
      </c>
      <c r="D5175" s="1" t="s">
        <v>86</v>
      </c>
      <c r="E5175" s="1">
        <v>2.4</v>
      </c>
      <c r="F5175" s="1">
        <v>0</v>
      </c>
      <c r="G5175" s="1">
        <v>0</v>
      </c>
      <c r="H5175" s="194"/>
      <c r="L5175" s="7" t="s">
        <v>396</v>
      </c>
    </row>
    <row r="5176" s="1" customFormat="1" hidden="1" spans="1:12">
      <c r="A5176" s="5" t="s">
        <v>5111</v>
      </c>
      <c r="B5176" s="54">
        <v>4003601</v>
      </c>
      <c r="C5176" s="1">
        <v>2</v>
      </c>
      <c r="D5176" s="195" t="s">
        <v>204</v>
      </c>
      <c r="E5176" s="1">
        <f>50/30</f>
        <v>1.66666666666667</v>
      </c>
      <c r="F5176" s="1">
        <v>0</v>
      </c>
      <c r="G5176" s="1">
        <v>0</v>
      </c>
      <c r="H5176" s="194">
        <v>2</v>
      </c>
      <c r="I5176" s="1">
        <v>786</v>
      </c>
      <c r="J5176" s="195" t="s">
        <v>205</v>
      </c>
      <c r="K5176" s="195">
        <v>0</v>
      </c>
      <c r="L5176" s="7"/>
    </row>
    <row r="5177" s="1" customFormat="1" hidden="1" spans="1:12">
      <c r="A5177" s="5" t="s">
        <v>5112</v>
      </c>
      <c r="B5177" s="54">
        <v>4003601</v>
      </c>
      <c r="C5177" s="1">
        <v>2</v>
      </c>
      <c r="D5177" s="195" t="s">
        <v>92</v>
      </c>
      <c r="E5177" s="1">
        <v>2.4</v>
      </c>
      <c r="F5177" s="1">
        <v>0</v>
      </c>
      <c r="G5177" s="1">
        <v>0</v>
      </c>
      <c r="H5177" s="194">
        <v>2</v>
      </c>
      <c r="I5177" s="1">
        <v>853</v>
      </c>
      <c r="J5177" s="195" t="s">
        <v>58</v>
      </c>
      <c r="K5177" s="195">
        <v>0</v>
      </c>
      <c r="L5177" s="7"/>
    </row>
    <row r="5178" s="1" customFormat="1" hidden="1" spans="1:12">
      <c r="A5178" s="5" t="s">
        <v>5113</v>
      </c>
      <c r="B5178" s="54">
        <v>4003601</v>
      </c>
      <c r="C5178" s="1">
        <v>2</v>
      </c>
      <c r="D5178" s="195" t="s">
        <v>109</v>
      </c>
      <c r="E5178" s="1">
        <v>3.33333333333333</v>
      </c>
      <c r="F5178" s="1">
        <v>0</v>
      </c>
      <c r="G5178" s="1">
        <v>0</v>
      </c>
      <c r="H5178" s="194">
        <v>2</v>
      </c>
      <c r="I5178" s="110">
        <v>873</v>
      </c>
      <c r="J5178" s="195" t="s">
        <v>403</v>
      </c>
      <c r="K5178" s="195">
        <v>0</v>
      </c>
      <c r="L5178" s="7"/>
    </row>
    <row r="5179" s="1" customFormat="1" hidden="1" spans="1:12">
      <c r="A5179" s="5" t="s">
        <v>5114</v>
      </c>
      <c r="B5179" s="54">
        <v>4003601</v>
      </c>
      <c r="C5179" s="1">
        <v>2</v>
      </c>
      <c r="D5179" s="195" t="s">
        <v>60</v>
      </c>
      <c r="E5179" s="1">
        <f>65/30</f>
        <v>2.16666666666667</v>
      </c>
      <c r="F5179" s="1">
        <v>0</v>
      </c>
      <c r="G5179" s="1">
        <v>0</v>
      </c>
      <c r="H5179" s="194">
        <v>2</v>
      </c>
      <c r="I5179" s="110">
        <v>953</v>
      </c>
      <c r="J5179" s="195" t="s">
        <v>58</v>
      </c>
      <c r="K5179" s="195">
        <v>0</v>
      </c>
      <c r="L5179" s="7"/>
    </row>
    <row r="5180" s="1" customFormat="1" hidden="1" spans="1:12">
      <c r="A5180" s="5" t="s">
        <v>5115</v>
      </c>
      <c r="B5180" s="54">
        <v>4003601</v>
      </c>
      <c r="C5180" s="1">
        <v>3</v>
      </c>
      <c r="D5180" s="195" t="s">
        <v>50</v>
      </c>
      <c r="E5180" s="1">
        <f>560/30</f>
        <v>18.6666666666667</v>
      </c>
      <c r="F5180" s="1">
        <v>0</v>
      </c>
      <c r="J5180" s="195"/>
      <c r="K5180" s="195"/>
      <c r="L5180" s="7"/>
    </row>
    <row r="5181" s="1" customFormat="1" hidden="1" spans="1:13">
      <c r="A5181" s="5" t="s">
        <v>5116</v>
      </c>
      <c r="B5181" s="54">
        <v>4003601</v>
      </c>
      <c r="C5181" s="1">
        <v>2</v>
      </c>
      <c r="D5181" s="195" t="s">
        <v>669</v>
      </c>
      <c r="E5181" s="1">
        <v>1.267</v>
      </c>
      <c r="F5181" s="1">
        <v>1</v>
      </c>
      <c r="G5181" s="1">
        <v>0</v>
      </c>
      <c r="H5181" s="1">
        <v>2</v>
      </c>
      <c r="I5181" s="1">
        <v>5092</v>
      </c>
      <c r="J5181" s="195" t="s">
        <v>58</v>
      </c>
      <c r="K5181" s="195">
        <v>0</v>
      </c>
      <c r="L5181" s="7" t="s">
        <v>5117</v>
      </c>
      <c r="M5181" s="1" t="s">
        <v>5118</v>
      </c>
    </row>
    <row r="5182" s="25" customFormat="1" hidden="1" spans="1:12">
      <c r="A5182" s="144" t="s">
        <v>5119</v>
      </c>
      <c r="B5182" s="145">
        <v>4003602</v>
      </c>
      <c r="C5182" s="25">
        <v>2</v>
      </c>
      <c r="D5182" s="25" t="s">
        <v>36</v>
      </c>
      <c r="E5182" s="25">
        <v>1.66666666666667</v>
      </c>
      <c r="F5182" s="25">
        <v>0</v>
      </c>
      <c r="H5182" s="196"/>
      <c r="L5182" s="146"/>
    </row>
    <row r="5183" s="25" customFormat="1" hidden="1" spans="1:12">
      <c r="A5183" s="144" t="s">
        <v>5120</v>
      </c>
      <c r="B5183" s="145">
        <v>4003602</v>
      </c>
      <c r="C5183" s="25">
        <v>2</v>
      </c>
      <c r="D5183" s="25" t="s">
        <v>38</v>
      </c>
      <c r="E5183" s="25">
        <v>2.66666666666667</v>
      </c>
      <c r="F5183" s="25">
        <v>0</v>
      </c>
      <c r="H5183" s="196"/>
      <c r="L5183" s="146"/>
    </row>
    <row r="5184" s="25" customFormat="1" hidden="1" spans="1:12">
      <c r="A5184" s="144" t="s">
        <v>5121</v>
      </c>
      <c r="B5184" s="145">
        <v>4003602</v>
      </c>
      <c r="C5184" s="25">
        <v>2</v>
      </c>
      <c r="D5184" s="25" t="s">
        <v>40</v>
      </c>
      <c r="E5184" s="25">
        <v>3.16666666666667</v>
      </c>
      <c r="F5184" s="25">
        <v>0</v>
      </c>
      <c r="H5184" s="196"/>
      <c r="L5184" s="146"/>
    </row>
    <row r="5185" s="25" customFormat="1" hidden="1" spans="1:12">
      <c r="A5185" s="144" t="s">
        <v>5122</v>
      </c>
      <c r="B5185" s="145">
        <v>4003602</v>
      </c>
      <c r="C5185" s="25">
        <v>2</v>
      </c>
      <c r="D5185" s="25" t="s">
        <v>42</v>
      </c>
      <c r="E5185" s="25">
        <v>4</v>
      </c>
      <c r="F5185" s="25">
        <v>0</v>
      </c>
      <c r="G5185" s="25">
        <v>0</v>
      </c>
      <c r="H5185" s="196"/>
      <c r="L5185" s="146" t="s">
        <v>396</v>
      </c>
    </row>
    <row r="5186" s="25" customFormat="1" hidden="1" spans="1:12">
      <c r="A5186" s="144" t="s">
        <v>5123</v>
      </c>
      <c r="B5186" s="145">
        <v>4003602</v>
      </c>
      <c r="C5186" s="25">
        <v>2</v>
      </c>
      <c r="D5186" s="25" t="s">
        <v>44</v>
      </c>
      <c r="E5186" s="25">
        <v>0</v>
      </c>
      <c r="F5186" s="25">
        <v>0</v>
      </c>
      <c r="H5186" s="196"/>
      <c r="L5186" s="146"/>
    </row>
    <row r="5187" s="25" customFormat="1" hidden="1" spans="1:12">
      <c r="A5187" s="144" t="s">
        <v>5124</v>
      </c>
      <c r="B5187" s="145">
        <v>4003602</v>
      </c>
      <c r="C5187" s="25">
        <v>2</v>
      </c>
      <c r="D5187" s="25" t="s">
        <v>46</v>
      </c>
      <c r="E5187" s="25">
        <v>3.16666666666667</v>
      </c>
      <c r="F5187" s="25">
        <v>0</v>
      </c>
      <c r="H5187" s="196"/>
      <c r="L5187" s="146"/>
    </row>
    <row r="5188" s="25" customFormat="1" hidden="1" spans="1:12">
      <c r="A5188" s="144" t="s">
        <v>5125</v>
      </c>
      <c r="B5188" s="145">
        <v>4003602</v>
      </c>
      <c r="C5188" s="25">
        <v>2</v>
      </c>
      <c r="D5188" s="25" t="s">
        <v>86</v>
      </c>
      <c r="E5188" s="25">
        <v>2.4</v>
      </c>
      <c r="F5188" s="25">
        <v>0</v>
      </c>
      <c r="G5188" s="25">
        <v>0</v>
      </c>
      <c r="H5188" s="196"/>
      <c r="L5188" s="146" t="s">
        <v>396</v>
      </c>
    </row>
    <row r="5189" s="25" customFormat="1" hidden="1" spans="1:12">
      <c r="A5189" s="144" t="s">
        <v>5126</v>
      </c>
      <c r="B5189" s="145">
        <v>4003602</v>
      </c>
      <c r="C5189" s="25">
        <v>2</v>
      </c>
      <c r="D5189" s="197" t="s">
        <v>204</v>
      </c>
      <c r="E5189" s="25">
        <f>50/30</f>
        <v>1.66666666666667</v>
      </c>
      <c r="F5189" s="25">
        <v>0</v>
      </c>
      <c r="G5189" s="25">
        <v>0</v>
      </c>
      <c r="H5189" s="196">
        <v>2</v>
      </c>
      <c r="I5189" s="25">
        <v>786</v>
      </c>
      <c r="J5189" s="197" t="s">
        <v>205</v>
      </c>
      <c r="K5189" s="197">
        <v>0</v>
      </c>
      <c r="L5189" s="146"/>
    </row>
    <row r="5190" s="25" customFormat="1" hidden="1" spans="1:12">
      <c r="A5190" s="144" t="s">
        <v>5127</v>
      </c>
      <c r="B5190" s="145">
        <v>4003602</v>
      </c>
      <c r="C5190" s="25">
        <v>2</v>
      </c>
      <c r="D5190" s="197" t="s">
        <v>92</v>
      </c>
      <c r="E5190" s="25">
        <v>2.4</v>
      </c>
      <c r="F5190" s="25">
        <v>0</v>
      </c>
      <c r="G5190" s="25">
        <v>0</v>
      </c>
      <c r="H5190" s="196">
        <v>2</v>
      </c>
      <c r="I5190" s="25">
        <v>853</v>
      </c>
      <c r="J5190" s="197" t="s">
        <v>58</v>
      </c>
      <c r="K5190" s="197">
        <v>0</v>
      </c>
      <c r="L5190" s="146"/>
    </row>
    <row r="5191" s="25" customFormat="1" hidden="1" spans="1:12">
      <c r="A5191" s="144" t="s">
        <v>5128</v>
      </c>
      <c r="B5191" s="145">
        <v>4003602</v>
      </c>
      <c r="C5191" s="25">
        <v>2</v>
      </c>
      <c r="D5191" s="197" t="s">
        <v>109</v>
      </c>
      <c r="E5191" s="25">
        <v>3.33333333333333</v>
      </c>
      <c r="F5191" s="25">
        <v>0</v>
      </c>
      <c r="G5191" s="25">
        <v>0</v>
      </c>
      <c r="H5191" s="196">
        <v>2</v>
      </c>
      <c r="I5191" s="17">
        <v>873</v>
      </c>
      <c r="J5191" s="197" t="s">
        <v>403</v>
      </c>
      <c r="K5191" s="197">
        <v>0</v>
      </c>
      <c r="L5191" s="146"/>
    </row>
    <row r="5192" s="25" customFormat="1" hidden="1" spans="1:12">
      <c r="A5192" s="144" t="s">
        <v>5129</v>
      </c>
      <c r="B5192" s="145">
        <v>4003602</v>
      </c>
      <c r="C5192" s="25">
        <v>2</v>
      </c>
      <c r="D5192" s="197" t="s">
        <v>60</v>
      </c>
      <c r="E5192" s="25">
        <f>65/30</f>
        <v>2.16666666666667</v>
      </c>
      <c r="F5192" s="25">
        <v>0</v>
      </c>
      <c r="G5192" s="25">
        <v>0</v>
      </c>
      <c r="H5192" s="196">
        <v>2</v>
      </c>
      <c r="I5192" s="17">
        <v>953</v>
      </c>
      <c r="J5192" s="197" t="s">
        <v>58</v>
      </c>
      <c r="K5192" s="197">
        <v>0</v>
      </c>
      <c r="L5192" s="146"/>
    </row>
    <row r="5193" s="25" customFormat="1" hidden="1" spans="1:12">
      <c r="A5193" s="144" t="s">
        <v>5130</v>
      </c>
      <c r="B5193" s="145">
        <v>4003602</v>
      </c>
      <c r="C5193" s="25">
        <v>3</v>
      </c>
      <c r="D5193" s="197" t="s">
        <v>50</v>
      </c>
      <c r="E5193" s="25">
        <f>560/30</f>
        <v>18.6666666666667</v>
      </c>
      <c r="F5193" s="25">
        <v>0</v>
      </c>
      <c r="J5193" s="197"/>
      <c r="K5193" s="197"/>
      <c r="L5193" s="146"/>
    </row>
    <row r="5194" s="25" customFormat="1" hidden="1" spans="1:12">
      <c r="A5194" s="144" t="s">
        <v>5131</v>
      </c>
      <c r="B5194" s="145">
        <v>4003602</v>
      </c>
      <c r="C5194" s="198">
        <v>3</v>
      </c>
      <c r="D5194" s="25" t="s">
        <v>1788</v>
      </c>
      <c r="E5194" s="25">
        <v>2.6</v>
      </c>
      <c r="F5194" s="25">
        <v>0</v>
      </c>
      <c r="G5194" s="25">
        <v>0</v>
      </c>
      <c r="H5194" s="25">
        <v>2</v>
      </c>
      <c r="K5194" s="25">
        <v>1</v>
      </c>
      <c r="L5194" s="146"/>
    </row>
    <row r="5195" s="25" customFormat="1" hidden="1" spans="1:12">
      <c r="A5195" s="144" t="s">
        <v>5132</v>
      </c>
      <c r="B5195" s="145">
        <v>4003602</v>
      </c>
      <c r="C5195" s="198">
        <v>3</v>
      </c>
      <c r="D5195" s="25" t="s">
        <v>2621</v>
      </c>
      <c r="E5195" s="25">
        <v>1.2</v>
      </c>
      <c r="F5195" s="25">
        <v>1</v>
      </c>
      <c r="G5195" s="25">
        <v>0</v>
      </c>
      <c r="H5195" s="25">
        <v>2</v>
      </c>
      <c r="K5195" s="25">
        <v>1</v>
      </c>
      <c r="L5195" s="146"/>
    </row>
    <row r="5196" s="25" customFormat="1" hidden="1" spans="1:12">
      <c r="A5196" s="144" t="s">
        <v>5133</v>
      </c>
      <c r="B5196" s="145">
        <v>4003602</v>
      </c>
      <c r="C5196" s="198">
        <v>3</v>
      </c>
      <c r="D5196" s="25" t="s">
        <v>2623</v>
      </c>
      <c r="E5196" s="25">
        <v>1.667</v>
      </c>
      <c r="F5196" s="25">
        <v>1</v>
      </c>
      <c r="G5196" s="25">
        <v>0</v>
      </c>
      <c r="H5196" s="25">
        <v>2</v>
      </c>
      <c r="K5196" s="25">
        <v>1</v>
      </c>
      <c r="L5196" s="146"/>
    </row>
    <row r="5197" s="36" customFormat="1" hidden="1" spans="1:12">
      <c r="A5197" s="199" t="s">
        <v>5134</v>
      </c>
      <c r="B5197" s="200">
        <v>30129</v>
      </c>
      <c r="C5197" s="201">
        <v>3</v>
      </c>
      <c r="D5197" s="36" t="s">
        <v>1788</v>
      </c>
      <c r="E5197" s="36">
        <v>2.6</v>
      </c>
      <c r="F5197" s="36">
        <v>0</v>
      </c>
      <c r="G5197" s="36">
        <v>0</v>
      </c>
      <c r="H5197" s="36">
        <v>2</v>
      </c>
      <c r="K5197" s="36">
        <v>1</v>
      </c>
      <c r="L5197" s="206"/>
    </row>
    <row r="5198" s="36" customFormat="1" hidden="1" spans="1:12">
      <c r="A5198" s="199" t="s">
        <v>5135</v>
      </c>
      <c r="B5198" s="200">
        <v>30129</v>
      </c>
      <c r="C5198" s="201">
        <v>3</v>
      </c>
      <c r="D5198" s="36" t="s">
        <v>2621</v>
      </c>
      <c r="E5198" s="36">
        <v>1.2</v>
      </c>
      <c r="F5198" s="36">
        <v>1</v>
      </c>
      <c r="G5198" s="36">
        <v>0</v>
      </c>
      <c r="H5198" s="36">
        <v>2</v>
      </c>
      <c r="K5198" s="36">
        <v>1</v>
      </c>
      <c r="L5198" s="206"/>
    </row>
    <row r="5199" s="36" customFormat="1" hidden="1" spans="1:12">
      <c r="A5199" s="199" t="s">
        <v>5136</v>
      </c>
      <c r="B5199" s="200">
        <v>30129</v>
      </c>
      <c r="C5199" s="201">
        <v>3</v>
      </c>
      <c r="D5199" s="36" t="s">
        <v>2623</v>
      </c>
      <c r="E5199" s="36">
        <v>1.667</v>
      </c>
      <c r="F5199" s="36">
        <v>1</v>
      </c>
      <c r="G5199" s="36">
        <v>0</v>
      </c>
      <c r="H5199" s="36">
        <v>2</v>
      </c>
      <c r="K5199" s="36">
        <v>1</v>
      </c>
      <c r="L5199" s="206"/>
    </row>
    <row r="5200" s="8" customFormat="1" hidden="1" spans="1:12">
      <c r="A5200" s="59" t="s">
        <v>5137</v>
      </c>
      <c r="B5200" s="60">
        <v>36</v>
      </c>
      <c r="C5200" s="202">
        <v>3</v>
      </c>
      <c r="D5200" s="8" t="s">
        <v>1788</v>
      </c>
      <c r="E5200" s="8">
        <v>2.6</v>
      </c>
      <c r="F5200" s="8">
        <v>0</v>
      </c>
      <c r="G5200" s="8">
        <v>0</v>
      </c>
      <c r="H5200" s="8">
        <v>2</v>
      </c>
      <c r="K5200" s="8">
        <v>1</v>
      </c>
      <c r="L5200" s="207"/>
    </row>
    <row r="5201" s="8" customFormat="1" hidden="1" spans="1:12">
      <c r="A5201" s="59" t="s">
        <v>5138</v>
      </c>
      <c r="B5201" s="60">
        <v>36</v>
      </c>
      <c r="C5201" s="202">
        <v>3</v>
      </c>
      <c r="D5201" s="8" t="s">
        <v>2621</v>
      </c>
      <c r="E5201" s="8">
        <v>1.2</v>
      </c>
      <c r="F5201" s="8">
        <v>1</v>
      </c>
      <c r="G5201" s="8">
        <v>0</v>
      </c>
      <c r="H5201" s="8">
        <v>2</v>
      </c>
      <c r="K5201" s="8">
        <v>1</v>
      </c>
      <c r="L5201" s="207"/>
    </row>
    <row r="5202" s="8" customFormat="1" hidden="1" spans="1:12">
      <c r="A5202" s="59" t="s">
        <v>5139</v>
      </c>
      <c r="B5202" s="60">
        <v>36</v>
      </c>
      <c r="C5202" s="202">
        <v>3</v>
      </c>
      <c r="D5202" s="8" t="s">
        <v>2623</v>
      </c>
      <c r="E5202" s="8">
        <v>1.667</v>
      </c>
      <c r="F5202" s="8">
        <v>1</v>
      </c>
      <c r="G5202" s="8">
        <v>0</v>
      </c>
      <c r="H5202" s="8">
        <v>2</v>
      </c>
      <c r="K5202" s="8">
        <v>1</v>
      </c>
      <c r="L5202" s="207"/>
    </row>
    <row r="5203" s="13" customFormat="1" hidden="1" spans="1:12">
      <c r="A5203" s="76" t="s">
        <v>5140</v>
      </c>
      <c r="B5203" s="77">
        <v>81</v>
      </c>
      <c r="D5203" s="13" t="s">
        <v>90</v>
      </c>
      <c r="E5203" s="13">
        <f>139/30</f>
        <v>4.63333333333333</v>
      </c>
      <c r="F5203" s="13">
        <v>0</v>
      </c>
      <c r="L5203" s="78"/>
    </row>
    <row r="5204" s="13" customFormat="1" hidden="1" spans="1:12">
      <c r="A5204" s="76" t="s">
        <v>5141</v>
      </c>
      <c r="B5204" s="77">
        <v>81</v>
      </c>
      <c r="D5204" s="13" t="s">
        <v>48</v>
      </c>
      <c r="E5204" s="13">
        <f>132/30</f>
        <v>4.4</v>
      </c>
      <c r="F5204" s="13">
        <v>0</v>
      </c>
      <c r="L5204" s="78"/>
    </row>
    <row r="5205" s="13" customFormat="1" hidden="1" spans="1:12">
      <c r="A5205" s="76" t="s">
        <v>5142</v>
      </c>
      <c r="B5205" s="77">
        <v>81</v>
      </c>
      <c r="D5205" s="13" t="s">
        <v>52</v>
      </c>
      <c r="E5205" s="13">
        <f>310/30</f>
        <v>10.3333333333333</v>
      </c>
      <c r="F5205" s="13">
        <v>0</v>
      </c>
      <c r="L5205" s="78"/>
    </row>
    <row r="5206" s="13" customFormat="1" hidden="1" spans="1:12">
      <c r="A5206" s="76" t="s">
        <v>5143</v>
      </c>
      <c r="B5206" s="77">
        <v>81</v>
      </c>
      <c r="D5206" s="13" t="s">
        <v>140</v>
      </c>
      <c r="E5206" s="13">
        <f>300/30</f>
        <v>10</v>
      </c>
      <c r="F5206" s="13">
        <v>0</v>
      </c>
      <c r="L5206" s="78"/>
    </row>
    <row r="5207" s="13" customFormat="1" hidden="1" spans="1:12">
      <c r="A5207" s="76" t="s">
        <v>5144</v>
      </c>
      <c r="B5207" s="77">
        <v>81</v>
      </c>
      <c r="D5207" s="13" t="s">
        <v>57</v>
      </c>
      <c r="E5207" s="13">
        <f>115/30</f>
        <v>3.83333333333333</v>
      </c>
      <c r="F5207" s="13">
        <v>0</v>
      </c>
      <c r="G5207" s="13">
        <v>0</v>
      </c>
      <c r="H5207" s="13">
        <v>2</v>
      </c>
      <c r="I5207" s="13">
        <v>5103</v>
      </c>
      <c r="J5207" s="13" t="s">
        <v>58</v>
      </c>
      <c r="K5207" s="13">
        <v>1</v>
      </c>
      <c r="L5207" s="78"/>
    </row>
    <row r="5208" s="37" customFormat="1" hidden="1" spans="1:12">
      <c r="A5208" s="203" t="s">
        <v>5145</v>
      </c>
      <c r="B5208" s="204">
        <v>156</v>
      </c>
      <c r="D5208" s="37" t="s">
        <v>36</v>
      </c>
      <c r="E5208" s="37">
        <f>44/30</f>
        <v>1.46666666666667</v>
      </c>
      <c r="F5208" s="37">
        <v>0</v>
      </c>
      <c r="G5208" s="37">
        <v>0</v>
      </c>
      <c r="H5208" s="37">
        <v>2</v>
      </c>
      <c r="I5208" s="37">
        <v>5114</v>
      </c>
      <c r="J5208" s="37" t="s">
        <v>4049</v>
      </c>
      <c r="K5208" s="37">
        <v>1</v>
      </c>
      <c r="L5208" s="208"/>
    </row>
    <row r="5209" s="37" customFormat="1" hidden="1" spans="1:12">
      <c r="A5209" s="203" t="s">
        <v>5146</v>
      </c>
      <c r="B5209" s="204">
        <v>156</v>
      </c>
      <c r="D5209" s="37" t="s">
        <v>38</v>
      </c>
      <c r="E5209" s="37">
        <f>72/30</f>
        <v>2.4</v>
      </c>
      <c r="F5209" s="37">
        <v>0</v>
      </c>
      <c r="G5209" s="37">
        <v>0</v>
      </c>
      <c r="H5209" s="37">
        <v>2</v>
      </c>
      <c r="I5209" s="37">
        <v>5114</v>
      </c>
      <c r="J5209" s="37" t="s">
        <v>4049</v>
      </c>
      <c r="K5209" s="37">
        <v>1</v>
      </c>
      <c r="L5209" s="208"/>
    </row>
    <row r="5210" s="37" customFormat="1" hidden="1" spans="1:12">
      <c r="A5210" s="203" t="s">
        <v>5147</v>
      </c>
      <c r="B5210" s="204">
        <v>156</v>
      </c>
      <c r="D5210" s="37" t="s">
        <v>40</v>
      </c>
      <c r="E5210" s="37">
        <f>37/30</f>
        <v>1.23333333333333</v>
      </c>
      <c r="F5210" s="37">
        <v>0</v>
      </c>
      <c r="G5210" s="37">
        <v>0</v>
      </c>
      <c r="H5210" s="37">
        <v>2</v>
      </c>
      <c r="I5210" s="37">
        <v>5114</v>
      </c>
      <c r="J5210" s="37" t="s">
        <v>4049</v>
      </c>
      <c r="K5210" s="37">
        <v>1</v>
      </c>
      <c r="L5210" s="208"/>
    </row>
    <row r="5211" s="37" customFormat="1" hidden="1" spans="1:12">
      <c r="A5211" s="203" t="s">
        <v>5148</v>
      </c>
      <c r="B5211" s="204">
        <v>156</v>
      </c>
      <c r="D5211" s="37" t="s">
        <v>42</v>
      </c>
      <c r="E5211" s="37">
        <f>342/30</f>
        <v>11.4</v>
      </c>
      <c r="F5211" s="37">
        <v>0</v>
      </c>
      <c r="G5211" s="37">
        <v>0</v>
      </c>
      <c r="H5211" s="37">
        <v>2</v>
      </c>
      <c r="I5211" s="37">
        <v>5114</v>
      </c>
      <c r="J5211" s="37" t="s">
        <v>4049</v>
      </c>
      <c r="K5211" s="37">
        <v>1</v>
      </c>
      <c r="L5211" s="208"/>
    </row>
    <row r="5212" s="37" customFormat="1" hidden="1" spans="1:12">
      <c r="A5212" s="203" t="s">
        <v>5149</v>
      </c>
      <c r="B5212" s="204">
        <v>156</v>
      </c>
      <c r="D5212" s="37" t="s">
        <v>272</v>
      </c>
      <c r="E5212" s="37">
        <f>32/30</f>
        <v>1.06666666666667</v>
      </c>
      <c r="F5212" s="37">
        <v>0</v>
      </c>
      <c r="G5212" s="37">
        <v>0</v>
      </c>
      <c r="H5212" s="37">
        <v>2</v>
      </c>
      <c r="I5212" s="37">
        <v>5114</v>
      </c>
      <c r="J5212" s="37" t="s">
        <v>4049</v>
      </c>
      <c r="K5212" s="37">
        <v>1</v>
      </c>
      <c r="L5212" s="208"/>
    </row>
    <row r="5213" s="37" customFormat="1" hidden="1" spans="1:12">
      <c r="A5213" s="203" t="s">
        <v>5150</v>
      </c>
      <c r="B5213" s="204">
        <v>156</v>
      </c>
      <c r="D5213" s="37" t="s">
        <v>60</v>
      </c>
      <c r="E5213" s="37">
        <f>70/30</f>
        <v>2.33333333333333</v>
      </c>
      <c r="F5213" s="37">
        <v>0</v>
      </c>
      <c r="G5213" s="37">
        <v>0</v>
      </c>
      <c r="H5213" s="37">
        <v>2</v>
      </c>
      <c r="I5213" s="37">
        <v>5114</v>
      </c>
      <c r="J5213" s="37" t="s">
        <v>4049</v>
      </c>
      <c r="K5213" s="37">
        <v>1</v>
      </c>
      <c r="L5213" s="208"/>
    </row>
    <row r="5214" s="37" customFormat="1" hidden="1" spans="1:12">
      <c r="A5214" s="203" t="s">
        <v>5151</v>
      </c>
      <c r="B5214" s="204">
        <v>156</v>
      </c>
      <c r="D5214" s="37" t="s">
        <v>57</v>
      </c>
      <c r="E5214" s="37">
        <f>60/30</f>
        <v>2</v>
      </c>
      <c r="F5214" s="37">
        <v>0</v>
      </c>
      <c r="G5214" s="37" t="s">
        <v>2273</v>
      </c>
      <c r="H5214" s="37" t="s">
        <v>2274</v>
      </c>
      <c r="I5214" s="37" t="s">
        <v>5152</v>
      </c>
      <c r="J5214" s="37" t="s">
        <v>5153</v>
      </c>
      <c r="K5214" s="37" t="s">
        <v>3242</v>
      </c>
      <c r="L5214" s="208"/>
    </row>
    <row r="5215" s="37" customFormat="1" hidden="1" spans="1:12">
      <c r="A5215" s="203" t="s">
        <v>5154</v>
      </c>
      <c r="B5215" s="204">
        <v>156</v>
      </c>
      <c r="D5215" s="37" t="s">
        <v>1047</v>
      </c>
      <c r="E5215" s="37">
        <f>60/30</f>
        <v>2</v>
      </c>
      <c r="F5215" s="37">
        <v>0</v>
      </c>
      <c r="G5215" s="37">
        <v>0</v>
      </c>
      <c r="H5215" s="37">
        <v>2</v>
      </c>
      <c r="I5215" s="37">
        <v>5114</v>
      </c>
      <c r="J5215" s="37" t="s">
        <v>4049</v>
      </c>
      <c r="K5215" s="37">
        <v>1</v>
      </c>
      <c r="L5215" s="208"/>
    </row>
    <row r="5216" s="37" customFormat="1" hidden="1" spans="1:12">
      <c r="A5216" s="203" t="s">
        <v>5155</v>
      </c>
      <c r="B5216" s="204">
        <v>156</v>
      </c>
      <c r="D5216" s="37" t="s">
        <v>272</v>
      </c>
      <c r="E5216" s="37">
        <f>32/30</f>
        <v>1.06666666666667</v>
      </c>
      <c r="F5216" s="37">
        <v>0</v>
      </c>
      <c r="G5216" s="37">
        <v>0</v>
      </c>
      <c r="H5216" s="37">
        <v>2</v>
      </c>
      <c r="I5216" s="37">
        <v>5114</v>
      </c>
      <c r="J5216" s="37" t="s">
        <v>4049</v>
      </c>
      <c r="K5216" s="37">
        <v>1</v>
      </c>
      <c r="L5216" s="208"/>
    </row>
    <row r="5217" s="37" customFormat="1" hidden="1" spans="1:12">
      <c r="A5217" s="203" t="s">
        <v>5156</v>
      </c>
      <c r="B5217" s="204">
        <v>156</v>
      </c>
      <c r="D5217" s="37" t="s">
        <v>60</v>
      </c>
      <c r="E5217" s="37">
        <f>70/30</f>
        <v>2.33333333333333</v>
      </c>
      <c r="F5217" s="37">
        <v>0</v>
      </c>
      <c r="G5217" s="37">
        <v>0</v>
      </c>
      <c r="H5217" s="37">
        <v>2</v>
      </c>
      <c r="I5217" s="37">
        <v>5114</v>
      </c>
      <c r="J5217" s="37" t="s">
        <v>4049</v>
      </c>
      <c r="K5217" s="37">
        <v>1</v>
      </c>
      <c r="L5217" s="208"/>
    </row>
    <row r="5218" s="37" customFormat="1" hidden="1" spans="1:12">
      <c r="A5218" s="203" t="s">
        <v>5157</v>
      </c>
      <c r="B5218" s="204">
        <v>156</v>
      </c>
      <c r="D5218" s="37" t="s">
        <v>2198</v>
      </c>
      <c r="E5218" s="37">
        <f>60/30</f>
        <v>2</v>
      </c>
      <c r="F5218" s="37">
        <v>1</v>
      </c>
      <c r="G5218" s="37">
        <v>0</v>
      </c>
      <c r="H5218" s="37">
        <v>2</v>
      </c>
      <c r="I5218" s="37">
        <v>5114</v>
      </c>
      <c r="J5218" s="37" t="s">
        <v>4049</v>
      </c>
      <c r="K5218" s="37">
        <v>1</v>
      </c>
      <c r="L5218" s="208"/>
    </row>
    <row r="5219" s="37" customFormat="1" hidden="1" spans="1:12">
      <c r="A5219" s="203" t="s">
        <v>5158</v>
      </c>
      <c r="B5219" s="204">
        <v>156</v>
      </c>
      <c r="D5219" s="37" t="s">
        <v>2182</v>
      </c>
      <c r="E5219" s="37">
        <f>30/30</f>
        <v>1</v>
      </c>
      <c r="F5219" s="37">
        <v>0</v>
      </c>
      <c r="G5219" s="37">
        <v>0</v>
      </c>
      <c r="H5219" s="37">
        <v>2</v>
      </c>
      <c r="I5219" s="37">
        <v>5114</v>
      </c>
      <c r="J5219" s="37" t="s">
        <v>4049</v>
      </c>
      <c r="K5219" s="37">
        <v>1</v>
      </c>
      <c r="L5219" s="208"/>
    </row>
    <row r="5220" s="37" customFormat="1" hidden="1" spans="1:12">
      <c r="A5220" s="203" t="s">
        <v>5159</v>
      </c>
      <c r="B5220" s="204">
        <v>156</v>
      </c>
      <c r="D5220" s="37" t="s">
        <v>2184</v>
      </c>
      <c r="E5220" s="37">
        <f>30/30</f>
        <v>1</v>
      </c>
      <c r="F5220" s="37">
        <v>0</v>
      </c>
      <c r="G5220" s="37">
        <v>0</v>
      </c>
      <c r="H5220" s="37">
        <v>2</v>
      </c>
      <c r="I5220" s="37">
        <v>5114</v>
      </c>
      <c r="J5220" s="37" t="s">
        <v>4049</v>
      </c>
      <c r="K5220" s="37">
        <v>1</v>
      </c>
      <c r="L5220" s="208"/>
    </row>
    <row r="5221" s="37" customFormat="1" hidden="1" spans="1:12">
      <c r="A5221" s="203" t="s">
        <v>5160</v>
      </c>
      <c r="B5221" s="204">
        <v>156</v>
      </c>
      <c r="D5221" s="37" t="s">
        <v>2186</v>
      </c>
      <c r="E5221" s="37">
        <f>30/30</f>
        <v>1</v>
      </c>
      <c r="F5221" s="37">
        <v>0</v>
      </c>
      <c r="G5221" s="37">
        <v>0</v>
      </c>
      <c r="H5221" s="37">
        <v>2</v>
      </c>
      <c r="I5221" s="37">
        <v>5114</v>
      </c>
      <c r="J5221" s="37" t="s">
        <v>4049</v>
      </c>
      <c r="K5221" s="37">
        <v>1</v>
      </c>
      <c r="L5221" s="208"/>
    </row>
    <row r="5222" s="37" customFormat="1" hidden="1" spans="1:12">
      <c r="A5222" s="203" t="s">
        <v>5161</v>
      </c>
      <c r="B5222" s="204">
        <v>156</v>
      </c>
      <c r="D5222" s="37" t="s">
        <v>2188</v>
      </c>
      <c r="E5222" s="37">
        <f>16/30</f>
        <v>0.533333333333333</v>
      </c>
      <c r="F5222" s="37">
        <v>0</v>
      </c>
      <c r="G5222" s="37">
        <v>0</v>
      </c>
      <c r="H5222" s="37">
        <v>2</v>
      </c>
      <c r="I5222" s="37">
        <v>5114</v>
      </c>
      <c r="J5222" s="37" t="s">
        <v>4049</v>
      </c>
      <c r="K5222" s="37">
        <v>1</v>
      </c>
      <c r="L5222" s="208"/>
    </row>
    <row r="5223" s="37" customFormat="1" hidden="1" spans="1:12">
      <c r="A5223" s="203" t="s">
        <v>5162</v>
      </c>
      <c r="B5223" s="204">
        <v>156</v>
      </c>
      <c r="D5223" s="37" t="s">
        <v>2190</v>
      </c>
      <c r="E5223" s="37">
        <f>16/30</f>
        <v>0.533333333333333</v>
      </c>
      <c r="F5223" s="37">
        <v>0</v>
      </c>
      <c r="G5223" s="37">
        <v>0</v>
      </c>
      <c r="H5223" s="37">
        <v>2</v>
      </c>
      <c r="I5223" s="37">
        <v>5114</v>
      </c>
      <c r="J5223" s="37" t="s">
        <v>4049</v>
      </c>
      <c r="K5223" s="37">
        <v>1</v>
      </c>
      <c r="L5223" s="208"/>
    </row>
    <row r="5224" s="37" customFormat="1" hidden="1" spans="1:12">
      <c r="A5224" s="203" t="s">
        <v>5163</v>
      </c>
      <c r="B5224" s="204">
        <v>156</v>
      </c>
      <c r="D5224" s="37" t="s">
        <v>2192</v>
      </c>
      <c r="E5224" s="37">
        <f>16/30</f>
        <v>0.533333333333333</v>
      </c>
      <c r="F5224" s="37">
        <v>0</v>
      </c>
      <c r="G5224" s="37">
        <v>0</v>
      </c>
      <c r="H5224" s="37">
        <v>2</v>
      </c>
      <c r="I5224" s="37">
        <v>5114</v>
      </c>
      <c r="J5224" s="37" t="s">
        <v>4049</v>
      </c>
      <c r="K5224" s="37">
        <v>1</v>
      </c>
      <c r="L5224" s="208"/>
    </row>
    <row r="5225" s="37" customFormat="1" hidden="1" spans="1:12">
      <c r="A5225" s="203" t="s">
        <v>5164</v>
      </c>
      <c r="B5225" s="204">
        <v>156</v>
      </c>
      <c r="D5225" s="37" t="s">
        <v>2194</v>
      </c>
      <c r="E5225" s="37">
        <f>16/30</f>
        <v>0.533333333333333</v>
      </c>
      <c r="F5225" s="37">
        <v>0</v>
      </c>
      <c r="G5225" s="37">
        <v>0</v>
      </c>
      <c r="H5225" s="37">
        <v>2</v>
      </c>
      <c r="I5225" s="37">
        <v>5114</v>
      </c>
      <c r="J5225" s="37" t="s">
        <v>4049</v>
      </c>
      <c r="K5225" s="37">
        <v>1</v>
      </c>
      <c r="L5225" s="208"/>
    </row>
    <row r="5226" s="37" customFormat="1" hidden="1" spans="1:12">
      <c r="A5226" s="203" t="s">
        <v>5165</v>
      </c>
      <c r="B5226" s="204">
        <v>156</v>
      </c>
      <c r="D5226" s="37" t="s">
        <v>300</v>
      </c>
      <c r="E5226" s="37">
        <f>24/30</f>
        <v>0.8</v>
      </c>
      <c r="F5226" s="37">
        <v>0</v>
      </c>
      <c r="G5226" s="37">
        <v>0</v>
      </c>
      <c r="H5226" s="37">
        <v>2</v>
      </c>
      <c r="I5226" s="37">
        <v>5114</v>
      </c>
      <c r="J5226" s="37" t="s">
        <v>4049</v>
      </c>
      <c r="K5226" s="37">
        <v>1</v>
      </c>
      <c r="L5226" s="208"/>
    </row>
    <row r="5227" s="37" customFormat="1" hidden="1" spans="1:12">
      <c r="A5227" s="203" t="s">
        <v>5166</v>
      </c>
      <c r="B5227" s="204">
        <v>156</v>
      </c>
      <c r="D5227" s="37" t="s">
        <v>2178</v>
      </c>
      <c r="E5227" s="37">
        <f>30/30</f>
        <v>1</v>
      </c>
      <c r="F5227" s="37">
        <v>0</v>
      </c>
      <c r="G5227" s="37">
        <v>0</v>
      </c>
      <c r="H5227" s="37">
        <v>2</v>
      </c>
      <c r="I5227" s="37">
        <v>5114</v>
      </c>
      <c r="J5227" s="37" t="s">
        <v>4049</v>
      </c>
      <c r="K5227" s="37">
        <v>1</v>
      </c>
      <c r="L5227" s="208"/>
    </row>
    <row r="5228" s="37" customFormat="1" hidden="1" spans="1:12">
      <c r="A5228" s="203" t="s">
        <v>5167</v>
      </c>
      <c r="B5228" s="204">
        <v>156</v>
      </c>
      <c r="D5228" s="37" t="s">
        <v>2196</v>
      </c>
      <c r="E5228" s="37">
        <f>38/30</f>
        <v>1.26666666666667</v>
      </c>
      <c r="F5228" s="37">
        <v>0</v>
      </c>
      <c r="G5228" s="37">
        <v>0</v>
      </c>
      <c r="H5228" s="37">
        <v>2</v>
      </c>
      <c r="I5228" s="37">
        <v>5114</v>
      </c>
      <c r="J5228" s="37" t="s">
        <v>4049</v>
      </c>
      <c r="K5228" s="37">
        <v>1</v>
      </c>
      <c r="L5228" s="208"/>
    </row>
    <row r="5229" s="37" customFormat="1" hidden="1" spans="1:12">
      <c r="A5229" s="203" t="s">
        <v>5168</v>
      </c>
      <c r="B5229" s="204">
        <v>156</v>
      </c>
      <c r="D5229" s="37" t="s">
        <v>92</v>
      </c>
      <c r="E5229" s="37">
        <f>66/30</f>
        <v>2.2</v>
      </c>
      <c r="F5229" s="37">
        <v>0</v>
      </c>
      <c r="G5229" s="37">
        <v>0</v>
      </c>
      <c r="H5229" s="37">
        <v>2</v>
      </c>
      <c r="I5229" s="37">
        <v>5114</v>
      </c>
      <c r="J5229" s="37" t="s">
        <v>4049</v>
      </c>
      <c r="K5229" s="37">
        <v>1</v>
      </c>
      <c r="L5229" s="208"/>
    </row>
    <row r="5230" s="37" customFormat="1" hidden="1" spans="1:12">
      <c r="A5230" s="203" t="s">
        <v>5169</v>
      </c>
      <c r="B5230" s="204">
        <v>156</v>
      </c>
      <c r="D5230" s="37" t="s">
        <v>109</v>
      </c>
      <c r="E5230" s="37">
        <f>35/30</f>
        <v>1.16666666666667</v>
      </c>
      <c r="F5230" s="37">
        <v>0</v>
      </c>
      <c r="G5230" s="37">
        <v>0</v>
      </c>
      <c r="H5230" s="37">
        <v>2</v>
      </c>
      <c r="I5230" s="37">
        <v>5114</v>
      </c>
      <c r="J5230" s="37" t="s">
        <v>4049</v>
      </c>
      <c r="K5230" s="37">
        <v>1</v>
      </c>
      <c r="L5230" s="208"/>
    </row>
    <row r="5231" s="37" customFormat="1" hidden="1" spans="1:12">
      <c r="A5231" s="203" t="s">
        <v>5170</v>
      </c>
      <c r="B5231" s="204">
        <v>156</v>
      </c>
      <c r="D5231" s="37" t="s">
        <v>97</v>
      </c>
      <c r="E5231" s="37">
        <f>84/30</f>
        <v>2.8</v>
      </c>
      <c r="F5231" s="37">
        <v>0</v>
      </c>
      <c r="G5231" s="37">
        <v>0</v>
      </c>
      <c r="H5231" s="37">
        <v>2</v>
      </c>
      <c r="I5231" s="37">
        <v>5114</v>
      </c>
      <c r="J5231" s="37" t="s">
        <v>4049</v>
      </c>
      <c r="K5231" s="37">
        <v>1</v>
      </c>
      <c r="L5231" s="208"/>
    </row>
    <row r="5232" s="37" customFormat="1" hidden="1" spans="1:12">
      <c r="A5232" s="203" t="s">
        <v>5171</v>
      </c>
      <c r="B5232" s="204">
        <v>156</v>
      </c>
      <c r="D5232" s="37" t="s">
        <v>77</v>
      </c>
      <c r="E5232" s="37">
        <f>75/30</f>
        <v>2.5</v>
      </c>
      <c r="F5232" s="37">
        <v>0</v>
      </c>
      <c r="G5232" s="37">
        <v>0</v>
      </c>
      <c r="H5232" s="37">
        <v>2</v>
      </c>
      <c r="I5232" s="37">
        <v>5114</v>
      </c>
      <c r="J5232" s="37" t="s">
        <v>4049</v>
      </c>
      <c r="K5232" s="37">
        <v>1</v>
      </c>
      <c r="L5232" s="208"/>
    </row>
    <row r="5233" s="37" customFormat="1" hidden="1" spans="1:12">
      <c r="A5233" s="203" t="s">
        <v>5172</v>
      </c>
      <c r="B5233" s="204">
        <v>156</v>
      </c>
      <c r="D5233" s="37" t="s">
        <v>54</v>
      </c>
      <c r="E5233" s="37">
        <f>85/30</f>
        <v>2.83333333333333</v>
      </c>
      <c r="F5233" s="37">
        <v>0</v>
      </c>
      <c r="G5233" s="37">
        <v>0</v>
      </c>
      <c r="H5233" s="37">
        <v>2</v>
      </c>
      <c r="I5233" s="37">
        <v>5114</v>
      </c>
      <c r="J5233" s="37" t="s">
        <v>4049</v>
      </c>
      <c r="K5233" s="37">
        <v>1</v>
      </c>
      <c r="L5233" s="208"/>
    </row>
    <row r="5234" s="37" customFormat="1" hidden="1" spans="1:12">
      <c r="A5234" s="203" t="s">
        <v>5173</v>
      </c>
      <c r="B5234" s="204">
        <v>156</v>
      </c>
      <c r="D5234" s="37" t="s">
        <v>261</v>
      </c>
      <c r="E5234" s="37">
        <f>28/30</f>
        <v>0.933333333333333</v>
      </c>
      <c r="F5234" s="37">
        <v>0</v>
      </c>
      <c r="G5234" s="37">
        <v>0</v>
      </c>
      <c r="H5234" s="37">
        <v>2</v>
      </c>
      <c r="I5234" s="37">
        <v>5114</v>
      </c>
      <c r="J5234" s="37" t="s">
        <v>4049</v>
      </c>
      <c r="K5234" s="37">
        <v>1</v>
      </c>
      <c r="L5234" s="208"/>
    </row>
    <row r="5235" s="37" customFormat="1" hidden="1" spans="1:12">
      <c r="A5235" s="203" t="s">
        <v>5174</v>
      </c>
      <c r="B5235" s="204">
        <v>156</v>
      </c>
      <c r="D5235" s="37" t="s">
        <v>236</v>
      </c>
      <c r="E5235" s="37">
        <f>37/30</f>
        <v>1.23333333333333</v>
      </c>
      <c r="F5235" s="37">
        <v>0</v>
      </c>
      <c r="G5235" s="37">
        <v>0</v>
      </c>
      <c r="H5235" s="37">
        <v>2</v>
      </c>
      <c r="I5235" s="37">
        <v>5114</v>
      </c>
      <c r="J5235" s="37" t="s">
        <v>4049</v>
      </c>
      <c r="K5235" s="37">
        <v>1</v>
      </c>
      <c r="L5235" s="208"/>
    </row>
    <row r="5236" s="37" customFormat="1" hidden="1" spans="1:12">
      <c r="A5236" s="203" t="s">
        <v>5175</v>
      </c>
      <c r="B5236" s="204">
        <v>156</v>
      </c>
      <c r="D5236" s="37" t="s">
        <v>264</v>
      </c>
      <c r="E5236" s="37">
        <f>60/30</f>
        <v>2</v>
      </c>
      <c r="F5236" s="37">
        <v>0</v>
      </c>
      <c r="G5236" s="37">
        <v>0</v>
      </c>
      <c r="H5236" s="37">
        <v>2</v>
      </c>
      <c r="I5236" s="37">
        <v>5114</v>
      </c>
      <c r="J5236" s="37" t="s">
        <v>4049</v>
      </c>
      <c r="K5236" s="37">
        <v>1</v>
      </c>
      <c r="L5236" s="208"/>
    </row>
    <row r="5237" s="37" customFormat="1" hidden="1" spans="1:12">
      <c r="A5237" s="203" t="s">
        <v>5176</v>
      </c>
      <c r="B5237" s="204">
        <v>156</v>
      </c>
      <c r="D5237" s="37" t="s">
        <v>130</v>
      </c>
      <c r="E5237" s="37">
        <f>60/30</f>
        <v>2</v>
      </c>
      <c r="F5237" s="37">
        <v>0</v>
      </c>
      <c r="G5237" s="37">
        <v>0</v>
      </c>
      <c r="H5237" s="37">
        <v>2</v>
      </c>
      <c r="I5237" s="37">
        <v>5114</v>
      </c>
      <c r="J5237" s="37" t="s">
        <v>4049</v>
      </c>
      <c r="K5237" s="37">
        <v>1</v>
      </c>
      <c r="L5237" s="208"/>
    </row>
    <row r="5238" s="37" customFormat="1" hidden="1" spans="1:12">
      <c r="A5238" s="203" t="s">
        <v>5177</v>
      </c>
      <c r="B5238" s="204">
        <v>156</v>
      </c>
      <c r="D5238" s="37" t="s">
        <v>2629</v>
      </c>
      <c r="E5238" s="37">
        <f>52/30</f>
        <v>1.73333333333333</v>
      </c>
      <c r="F5238" s="37">
        <v>0</v>
      </c>
      <c r="G5238" s="37">
        <v>0</v>
      </c>
      <c r="H5238" s="37">
        <v>2</v>
      </c>
      <c r="I5238" s="37">
        <v>5114</v>
      </c>
      <c r="J5238" s="37" t="s">
        <v>4049</v>
      </c>
      <c r="K5238" s="37">
        <v>1</v>
      </c>
      <c r="L5238" s="208"/>
    </row>
    <row r="5239" s="37" customFormat="1" hidden="1" spans="1:12">
      <c r="A5239" s="203" t="s">
        <v>5178</v>
      </c>
      <c r="B5239" s="204">
        <v>156</v>
      </c>
      <c r="D5239" s="37" t="s">
        <v>268</v>
      </c>
      <c r="E5239" s="37">
        <f>68/30</f>
        <v>2.26666666666667</v>
      </c>
      <c r="F5239" s="37">
        <v>0</v>
      </c>
      <c r="G5239" s="37">
        <v>0</v>
      </c>
      <c r="H5239" s="37">
        <v>2</v>
      </c>
      <c r="I5239" s="37">
        <v>5114</v>
      </c>
      <c r="J5239" s="37" t="s">
        <v>4049</v>
      </c>
      <c r="K5239" s="37">
        <v>1</v>
      </c>
      <c r="L5239" s="208"/>
    </row>
    <row r="5240" s="37" customFormat="1" hidden="1" spans="1:12">
      <c r="A5240" s="203" t="s">
        <v>5179</v>
      </c>
      <c r="B5240" s="204">
        <v>156</v>
      </c>
      <c r="D5240" s="37" t="s">
        <v>266</v>
      </c>
      <c r="E5240" s="37">
        <f>32/30</f>
        <v>1.06666666666667</v>
      </c>
      <c r="F5240" s="37">
        <v>0</v>
      </c>
      <c r="G5240" s="37">
        <v>0</v>
      </c>
      <c r="H5240" s="37">
        <v>2</v>
      </c>
      <c r="I5240" s="37">
        <v>5114</v>
      </c>
      <c r="J5240" s="37" t="s">
        <v>4049</v>
      </c>
      <c r="K5240" s="37">
        <v>1</v>
      </c>
      <c r="L5240" s="208"/>
    </row>
    <row r="5241" s="37" customFormat="1" hidden="1" spans="1:12">
      <c r="A5241" s="203" t="s">
        <v>5180</v>
      </c>
      <c r="B5241" s="204">
        <v>156</v>
      </c>
      <c r="D5241" s="37" t="s">
        <v>204</v>
      </c>
      <c r="E5241" s="37">
        <f>48/30</f>
        <v>1.6</v>
      </c>
      <c r="F5241" s="37">
        <v>0</v>
      </c>
      <c r="G5241" s="37">
        <v>0</v>
      </c>
      <c r="H5241" s="37">
        <v>2</v>
      </c>
      <c r="I5241" s="37">
        <v>5114</v>
      </c>
      <c r="J5241" s="37" t="s">
        <v>4049</v>
      </c>
      <c r="K5241" s="37">
        <v>1</v>
      </c>
      <c r="L5241" s="208"/>
    </row>
    <row r="5242" s="37" customFormat="1" hidden="1" spans="1:12">
      <c r="A5242" s="203" t="s">
        <v>5181</v>
      </c>
      <c r="B5242" s="204">
        <v>156</v>
      </c>
      <c r="D5242" s="37" t="s">
        <v>270</v>
      </c>
      <c r="E5242" s="37">
        <v>2</v>
      </c>
      <c r="F5242" s="37">
        <v>0</v>
      </c>
      <c r="G5242" s="37">
        <v>0</v>
      </c>
      <c r="H5242" s="37">
        <v>2</v>
      </c>
      <c r="I5242" s="37">
        <v>5114</v>
      </c>
      <c r="J5242" s="37" t="s">
        <v>4049</v>
      </c>
      <c r="K5242" s="37">
        <v>1</v>
      </c>
      <c r="L5242" s="208"/>
    </row>
    <row r="5243" s="8" customFormat="1" hidden="1" spans="1:12">
      <c r="A5243" s="59" t="s">
        <v>5182</v>
      </c>
      <c r="B5243" s="60">
        <v>30130</v>
      </c>
      <c r="C5243" s="202"/>
      <c r="D5243" s="8" t="s">
        <v>44</v>
      </c>
      <c r="E5243" s="8">
        <f>54/30</f>
        <v>1.8</v>
      </c>
      <c r="F5243" s="8">
        <v>0</v>
      </c>
      <c r="G5243" s="8" t="s">
        <v>942</v>
      </c>
      <c r="H5243" s="205" t="s">
        <v>943</v>
      </c>
      <c r="I5243" s="8" t="s">
        <v>5183</v>
      </c>
      <c r="J5243" s="8" t="s">
        <v>5184</v>
      </c>
      <c r="K5243" s="8" t="s">
        <v>1869</v>
      </c>
      <c r="L5243" s="207"/>
    </row>
    <row r="5244" s="8" customFormat="1" hidden="1" spans="1:12">
      <c r="A5244" s="59" t="s">
        <v>5185</v>
      </c>
      <c r="B5244" s="60">
        <v>30130</v>
      </c>
      <c r="C5244" s="202"/>
      <c r="D5244" s="8" t="s">
        <v>46</v>
      </c>
      <c r="E5244" s="8">
        <f>56/30</f>
        <v>1.86666666666667</v>
      </c>
      <c r="F5244" s="8">
        <v>0</v>
      </c>
      <c r="G5244" s="8" t="s">
        <v>942</v>
      </c>
      <c r="H5244" s="205" t="s">
        <v>943</v>
      </c>
      <c r="I5244" s="8" t="s">
        <v>5183</v>
      </c>
      <c r="J5244" s="8" t="s">
        <v>5184</v>
      </c>
      <c r="K5244" s="8" t="s">
        <v>1869</v>
      </c>
      <c r="L5244" s="207"/>
    </row>
    <row r="5245" s="8" customFormat="1" hidden="1" spans="1:12">
      <c r="A5245" s="59" t="s">
        <v>5186</v>
      </c>
      <c r="B5245" s="60">
        <v>30130</v>
      </c>
      <c r="C5245" s="202"/>
      <c r="D5245" s="8" t="s">
        <v>86</v>
      </c>
      <c r="E5245" s="8">
        <f>275/30</f>
        <v>9.16666666666667</v>
      </c>
      <c r="F5245" s="8">
        <v>0</v>
      </c>
      <c r="G5245" s="8">
        <v>0</v>
      </c>
      <c r="H5245" s="8">
        <v>2</v>
      </c>
      <c r="I5245" s="8">
        <v>5114</v>
      </c>
      <c r="J5245" s="8" t="s">
        <v>4049</v>
      </c>
      <c r="K5245" s="8">
        <v>1</v>
      </c>
      <c r="L5245" s="207"/>
    </row>
    <row r="5246" s="8" customFormat="1" hidden="1" spans="1:12">
      <c r="A5246" s="59" t="s">
        <v>5187</v>
      </c>
      <c r="B5246" s="60">
        <v>30130</v>
      </c>
      <c r="C5246" s="202"/>
      <c r="D5246" s="8" t="s">
        <v>50</v>
      </c>
      <c r="E5246" s="8">
        <f>258/30</f>
        <v>8.6</v>
      </c>
      <c r="F5246" s="8">
        <v>0</v>
      </c>
      <c r="G5246" s="8" t="s">
        <v>5188</v>
      </c>
      <c r="H5246" s="205" t="s">
        <v>5189</v>
      </c>
      <c r="I5246" s="8" t="s">
        <v>5190</v>
      </c>
      <c r="J5246" s="8" t="s">
        <v>5191</v>
      </c>
      <c r="K5246" s="8" t="s">
        <v>5192</v>
      </c>
      <c r="L5246" s="207"/>
    </row>
    <row r="5247" s="8" customFormat="1" hidden="1" spans="1:12">
      <c r="A5247" s="59" t="s">
        <v>5193</v>
      </c>
      <c r="B5247" s="60">
        <v>30130</v>
      </c>
      <c r="C5247" s="202"/>
      <c r="D5247" s="8" t="s">
        <v>1788</v>
      </c>
      <c r="E5247" s="8">
        <f>70/30</f>
        <v>2.33333333333333</v>
      </c>
      <c r="F5247" s="8">
        <v>0</v>
      </c>
      <c r="G5247" s="8" t="s">
        <v>942</v>
      </c>
      <c r="H5247" s="205" t="s">
        <v>943</v>
      </c>
      <c r="I5247" s="8" t="s">
        <v>5183</v>
      </c>
      <c r="J5247" s="8" t="s">
        <v>5184</v>
      </c>
      <c r="K5247" s="8" t="s">
        <v>1869</v>
      </c>
      <c r="L5247" s="207"/>
    </row>
    <row r="5248" s="8" customFormat="1" hidden="1" spans="1:12">
      <c r="A5248" s="59" t="s">
        <v>5194</v>
      </c>
      <c r="B5248" s="60">
        <v>30130</v>
      </c>
      <c r="C5248" s="202"/>
      <c r="D5248" s="8" t="s">
        <v>2621</v>
      </c>
      <c r="E5248" s="8">
        <f>25/30</f>
        <v>0.833333333333333</v>
      </c>
      <c r="F5248" s="8">
        <v>1</v>
      </c>
      <c r="G5248" s="8" t="s">
        <v>942</v>
      </c>
      <c r="H5248" s="205" t="s">
        <v>943</v>
      </c>
      <c r="I5248" s="8" t="s">
        <v>5183</v>
      </c>
      <c r="J5248" s="8" t="s">
        <v>5184</v>
      </c>
      <c r="K5248" s="8" t="s">
        <v>1869</v>
      </c>
      <c r="L5248" s="207"/>
    </row>
    <row r="5249" s="8" customFormat="1" hidden="1" spans="1:12">
      <c r="A5249" s="59" t="s">
        <v>5195</v>
      </c>
      <c r="B5249" s="60">
        <v>30130</v>
      </c>
      <c r="C5249" s="202"/>
      <c r="D5249" s="8" t="s">
        <v>2623</v>
      </c>
      <c r="E5249" s="8">
        <f>60/30</f>
        <v>2</v>
      </c>
      <c r="F5249" s="8">
        <v>1</v>
      </c>
      <c r="G5249" s="8" t="s">
        <v>942</v>
      </c>
      <c r="H5249" s="205" t="s">
        <v>943</v>
      </c>
      <c r="I5249" s="8" t="s">
        <v>5183</v>
      </c>
      <c r="J5249" s="8" t="s">
        <v>5184</v>
      </c>
      <c r="K5249" s="8" t="s">
        <v>1869</v>
      </c>
      <c r="L5249" s="207"/>
    </row>
    <row r="5250" s="8" customFormat="1" hidden="1" spans="1:12">
      <c r="A5250" s="59" t="s">
        <v>5196</v>
      </c>
      <c r="B5250" s="60">
        <v>30130</v>
      </c>
      <c r="C5250" s="202"/>
      <c r="D5250" s="8" t="s">
        <v>1047</v>
      </c>
      <c r="E5250" s="8">
        <f>49/30</f>
        <v>1.63333333333333</v>
      </c>
      <c r="F5250" s="8">
        <v>0</v>
      </c>
      <c r="G5250" s="8">
        <v>0</v>
      </c>
      <c r="H5250" s="8">
        <v>2</v>
      </c>
      <c r="I5250" s="8">
        <v>5114</v>
      </c>
      <c r="J5250" s="8" t="s">
        <v>4049</v>
      </c>
      <c r="K5250" s="8">
        <v>1</v>
      </c>
      <c r="L5250" s="207"/>
    </row>
    <row r="5251" s="8" customFormat="1" hidden="1" spans="1:12">
      <c r="A5251" s="59" t="s">
        <v>5197</v>
      </c>
      <c r="B5251" s="60">
        <v>30130</v>
      </c>
      <c r="C5251" s="202"/>
      <c r="D5251" s="8" t="s">
        <v>2198</v>
      </c>
      <c r="E5251" s="8">
        <f>40/30</f>
        <v>1.33333333333333</v>
      </c>
      <c r="F5251" s="8">
        <v>1</v>
      </c>
      <c r="G5251" s="8" t="s">
        <v>942</v>
      </c>
      <c r="H5251" s="205" t="s">
        <v>943</v>
      </c>
      <c r="I5251" s="8" t="s">
        <v>5183</v>
      </c>
      <c r="J5251" s="8" t="s">
        <v>5184</v>
      </c>
      <c r="K5251" s="8" t="s">
        <v>1869</v>
      </c>
      <c r="L5251" s="207"/>
    </row>
    <row r="5252" s="8" customFormat="1" hidden="1" spans="1:12">
      <c r="A5252" s="59" t="s">
        <v>5198</v>
      </c>
      <c r="B5252" s="60">
        <v>30130</v>
      </c>
      <c r="C5252" s="202"/>
      <c r="D5252" s="8" t="s">
        <v>2182</v>
      </c>
      <c r="E5252" s="8">
        <f>34/30</f>
        <v>1.13333333333333</v>
      </c>
      <c r="F5252" s="8">
        <v>0</v>
      </c>
      <c r="G5252" s="8" t="s">
        <v>942</v>
      </c>
      <c r="H5252" s="205" t="s">
        <v>943</v>
      </c>
      <c r="I5252" s="8" t="s">
        <v>5183</v>
      </c>
      <c r="J5252" s="8" t="s">
        <v>5184</v>
      </c>
      <c r="K5252" s="8" t="s">
        <v>1869</v>
      </c>
      <c r="L5252" s="207"/>
    </row>
    <row r="5253" s="8" customFormat="1" hidden="1" spans="1:12">
      <c r="A5253" s="59" t="s">
        <v>5199</v>
      </c>
      <c r="B5253" s="60">
        <v>30130</v>
      </c>
      <c r="C5253" s="202"/>
      <c r="D5253" s="8" t="s">
        <v>2184</v>
      </c>
      <c r="E5253" s="8">
        <f>60/30</f>
        <v>2</v>
      </c>
      <c r="F5253" s="8">
        <v>0</v>
      </c>
      <c r="G5253" s="8" t="s">
        <v>942</v>
      </c>
      <c r="H5253" s="205" t="s">
        <v>943</v>
      </c>
      <c r="I5253" s="8" t="s">
        <v>5183</v>
      </c>
      <c r="J5253" s="8" t="s">
        <v>5184</v>
      </c>
      <c r="K5253" s="8" t="s">
        <v>1869</v>
      </c>
      <c r="L5253" s="207"/>
    </row>
    <row r="5254" s="8" customFormat="1" hidden="1" spans="1:12">
      <c r="A5254" s="59" t="s">
        <v>5200</v>
      </c>
      <c r="B5254" s="60">
        <v>30130</v>
      </c>
      <c r="C5254" s="202"/>
      <c r="D5254" s="8" t="s">
        <v>2186</v>
      </c>
      <c r="E5254" s="8">
        <f>30/30</f>
        <v>1</v>
      </c>
      <c r="F5254" s="8">
        <v>0</v>
      </c>
      <c r="G5254" s="8" t="s">
        <v>942</v>
      </c>
      <c r="H5254" s="205" t="s">
        <v>943</v>
      </c>
      <c r="I5254" s="8" t="s">
        <v>5183</v>
      </c>
      <c r="J5254" s="8" t="s">
        <v>5184</v>
      </c>
      <c r="K5254" s="8" t="s">
        <v>1869</v>
      </c>
      <c r="L5254" s="207"/>
    </row>
    <row r="5255" s="8" customFormat="1" hidden="1" spans="1:12">
      <c r="A5255" s="59" t="s">
        <v>5201</v>
      </c>
      <c r="B5255" s="60">
        <v>30130</v>
      </c>
      <c r="C5255" s="202"/>
      <c r="D5255" s="8" t="s">
        <v>2188</v>
      </c>
      <c r="E5255" s="8">
        <f>22/30</f>
        <v>0.733333333333333</v>
      </c>
      <c r="F5255" s="8">
        <v>0</v>
      </c>
      <c r="G5255" s="8" t="s">
        <v>942</v>
      </c>
      <c r="H5255" s="205" t="s">
        <v>943</v>
      </c>
      <c r="I5255" s="8" t="s">
        <v>5183</v>
      </c>
      <c r="J5255" s="8" t="s">
        <v>5184</v>
      </c>
      <c r="K5255" s="8" t="s">
        <v>1869</v>
      </c>
      <c r="L5255" s="207"/>
    </row>
    <row r="5256" s="8" customFormat="1" hidden="1" spans="1:12">
      <c r="A5256" s="59" t="s">
        <v>5202</v>
      </c>
      <c r="B5256" s="60">
        <v>30130</v>
      </c>
      <c r="C5256" s="202"/>
      <c r="D5256" s="8" t="s">
        <v>2190</v>
      </c>
      <c r="E5256" s="8">
        <f>22/30</f>
        <v>0.733333333333333</v>
      </c>
      <c r="F5256" s="8">
        <v>0</v>
      </c>
      <c r="G5256" s="8" t="s">
        <v>942</v>
      </c>
      <c r="H5256" s="205" t="s">
        <v>943</v>
      </c>
      <c r="I5256" s="8" t="s">
        <v>5183</v>
      </c>
      <c r="J5256" s="8" t="s">
        <v>5184</v>
      </c>
      <c r="K5256" s="8" t="s">
        <v>1869</v>
      </c>
      <c r="L5256" s="207"/>
    </row>
    <row r="5257" s="8" customFormat="1" hidden="1" spans="1:12">
      <c r="A5257" s="59" t="s">
        <v>5203</v>
      </c>
      <c r="B5257" s="60">
        <v>30130</v>
      </c>
      <c r="C5257" s="202"/>
      <c r="D5257" s="8" t="s">
        <v>2192</v>
      </c>
      <c r="E5257" s="8">
        <f>22/30</f>
        <v>0.733333333333333</v>
      </c>
      <c r="F5257" s="8">
        <v>0</v>
      </c>
      <c r="G5257" s="8" t="s">
        <v>942</v>
      </c>
      <c r="H5257" s="205" t="s">
        <v>943</v>
      </c>
      <c r="I5257" s="8" t="s">
        <v>5183</v>
      </c>
      <c r="J5257" s="8" t="s">
        <v>5184</v>
      </c>
      <c r="K5257" s="8" t="s">
        <v>1869</v>
      </c>
      <c r="L5257" s="207"/>
    </row>
    <row r="5258" s="8" customFormat="1" hidden="1" spans="1:12">
      <c r="A5258" s="59" t="s">
        <v>5204</v>
      </c>
      <c r="B5258" s="60">
        <v>30130</v>
      </c>
      <c r="C5258" s="202"/>
      <c r="D5258" s="8" t="s">
        <v>2194</v>
      </c>
      <c r="E5258" s="8">
        <f>22/30</f>
        <v>0.733333333333333</v>
      </c>
      <c r="F5258" s="8">
        <v>0</v>
      </c>
      <c r="G5258" s="8" t="s">
        <v>942</v>
      </c>
      <c r="H5258" s="205" t="s">
        <v>943</v>
      </c>
      <c r="I5258" s="8" t="s">
        <v>5183</v>
      </c>
      <c r="J5258" s="8" t="s">
        <v>5184</v>
      </c>
      <c r="K5258" s="8" t="s">
        <v>1869</v>
      </c>
      <c r="L5258" s="207"/>
    </row>
    <row r="5259" s="8" customFormat="1" hidden="1" spans="1:12">
      <c r="A5259" s="59" t="s">
        <v>5205</v>
      </c>
      <c r="B5259" s="60">
        <v>30130</v>
      </c>
      <c r="C5259" s="202"/>
      <c r="D5259" s="8" t="s">
        <v>300</v>
      </c>
      <c r="E5259" s="8">
        <f>24/30</f>
        <v>0.8</v>
      </c>
      <c r="F5259" s="8">
        <v>0</v>
      </c>
      <c r="G5259" s="8" t="s">
        <v>942</v>
      </c>
      <c r="H5259" s="205" t="s">
        <v>943</v>
      </c>
      <c r="I5259" s="8" t="s">
        <v>5183</v>
      </c>
      <c r="J5259" s="8" t="s">
        <v>5184</v>
      </c>
      <c r="K5259" s="8" t="s">
        <v>1869</v>
      </c>
      <c r="L5259" s="207"/>
    </row>
    <row r="5260" s="8" customFormat="1" hidden="1" spans="1:12">
      <c r="A5260" s="59" t="s">
        <v>5206</v>
      </c>
      <c r="B5260" s="60">
        <v>30130</v>
      </c>
      <c r="C5260" s="202"/>
      <c r="D5260" s="8" t="s">
        <v>2178</v>
      </c>
      <c r="E5260" s="8">
        <f>24/30</f>
        <v>0.8</v>
      </c>
      <c r="F5260" s="8">
        <v>0</v>
      </c>
      <c r="G5260" s="8" t="s">
        <v>942</v>
      </c>
      <c r="H5260" s="205" t="s">
        <v>943</v>
      </c>
      <c r="I5260" s="8" t="s">
        <v>5183</v>
      </c>
      <c r="J5260" s="8" t="s">
        <v>5184</v>
      </c>
      <c r="K5260" s="8" t="s">
        <v>1869</v>
      </c>
      <c r="L5260" s="207"/>
    </row>
    <row r="5261" s="8" customFormat="1" hidden="1" spans="1:12">
      <c r="A5261" s="59" t="s">
        <v>5207</v>
      </c>
      <c r="B5261" s="60">
        <v>30130</v>
      </c>
      <c r="C5261" s="202"/>
      <c r="D5261" s="8" t="s">
        <v>2196</v>
      </c>
      <c r="E5261" s="8">
        <f>37/30</f>
        <v>1.23333333333333</v>
      </c>
      <c r="F5261" s="8">
        <v>0</v>
      </c>
      <c r="G5261" s="8" t="s">
        <v>942</v>
      </c>
      <c r="H5261" s="205" t="s">
        <v>943</v>
      </c>
      <c r="I5261" s="8" t="s">
        <v>5183</v>
      </c>
      <c r="J5261" s="8" t="s">
        <v>5184</v>
      </c>
      <c r="K5261" s="8" t="s">
        <v>1869</v>
      </c>
      <c r="L5261" s="207"/>
    </row>
    <row r="5262" s="8" customFormat="1" hidden="1" spans="1:12">
      <c r="A5262" s="59" t="s">
        <v>5208</v>
      </c>
      <c r="B5262" s="60">
        <v>30130</v>
      </c>
      <c r="C5262" s="202"/>
      <c r="D5262" s="8" t="s">
        <v>4714</v>
      </c>
      <c r="E5262" s="8">
        <v>1.66666666666667</v>
      </c>
      <c r="F5262" s="8">
        <v>1</v>
      </c>
      <c r="G5262" s="8" t="s">
        <v>5188</v>
      </c>
      <c r="H5262" s="205" t="s">
        <v>5189</v>
      </c>
      <c r="I5262" s="8" t="s">
        <v>5209</v>
      </c>
      <c r="J5262" s="8" t="s">
        <v>5210</v>
      </c>
      <c r="K5262" s="8" t="s">
        <v>5192</v>
      </c>
      <c r="L5262" s="207"/>
    </row>
    <row r="5263" s="35" customFormat="1" hidden="1" spans="1:12">
      <c r="A5263" s="190" t="s">
        <v>5211</v>
      </c>
      <c r="B5263" s="191">
        <v>4015601</v>
      </c>
      <c r="D5263" s="35" t="s">
        <v>1788</v>
      </c>
      <c r="E5263" s="35">
        <f>70/30</f>
        <v>2.33333333333333</v>
      </c>
      <c r="F5263" s="35">
        <v>0</v>
      </c>
      <c r="G5263" s="35">
        <v>0</v>
      </c>
      <c r="H5263" s="35">
        <v>2</v>
      </c>
      <c r="I5263" s="35">
        <v>5114</v>
      </c>
      <c r="J5263" s="35" t="s">
        <v>4049</v>
      </c>
      <c r="K5263" s="35">
        <v>1</v>
      </c>
      <c r="L5263" s="193"/>
    </row>
    <row r="5264" s="35" customFormat="1" hidden="1" spans="1:12">
      <c r="A5264" s="190" t="s">
        <v>5212</v>
      </c>
      <c r="B5264" s="191">
        <v>4015601</v>
      </c>
      <c r="D5264" s="35" t="s">
        <v>2621</v>
      </c>
      <c r="E5264" s="35">
        <f>25/30</f>
        <v>0.833333333333333</v>
      </c>
      <c r="F5264" s="35">
        <v>1</v>
      </c>
      <c r="G5264" s="35">
        <v>0</v>
      </c>
      <c r="H5264" s="35">
        <v>2</v>
      </c>
      <c r="I5264" s="35">
        <v>5114</v>
      </c>
      <c r="J5264" s="35" t="s">
        <v>4049</v>
      </c>
      <c r="K5264" s="35">
        <v>1</v>
      </c>
      <c r="L5264" s="193"/>
    </row>
    <row r="5265" s="35" customFormat="1" hidden="1" spans="1:12">
      <c r="A5265" s="190" t="s">
        <v>5213</v>
      </c>
      <c r="B5265" s="191">
        <v>4015601</v>
      </c>
      <c r="D5265" s="35" t="s">
        <v>2623</v>
      </c>
      <c r="E5265" s="35">
        <f>60/30</f>
        <v>2</v>
      </c>
      <c r="F5265" s="35">
        <v>1</v>
      </c>
      <c r="G5265" s="35">
        <v>0</v>
      </c>
      <c r="H5265" s="35">
        <v>2</v>
      </c>
      <c r="I5265" s="35">
        <v>5114</v>
      </c>
      <c r="J5265" s="35" t="s">
        <v>4049</v>
      </c>
      <c r="K5265" s="35">
        <v>1</v>
      </c>
      <c r="L5265" s="193"/>
    </row>
    <row r="5266" s="35" customFormat="1" hidden="1" spans="1:12">
      <c r="A5266" s="190" t="s">
        <v>5214</v>
      </c>
      <c r="B5266" s="191">
        <v>4015601</v>
      </c>
      <c r="D5266" s="35" t="s">
        <v>272</v>
      </c>
      <c r="E5266" s="35">
        <v>1.06666666666667</v>
      </c>
      <c r="F5266" s="35">
        <v>0</v>
      </c>
      <c r="G5266" s="35">
        <v>0</v>
      </c>
      <c r="H5266" s="35">
        <v>2</v>
      </c>
      <c r="I5266" s="35">
        <v>5114</v>
      </c>
      <c r="J5266" s="35" t="s">
        <v>4049</v>
      </c>
      <c r="K5266" s="35">
        <v>1</v>
      </c>
      <c r="L5266" s="193"/>
    </row>
    <row r="5267" s="35" customFormat="1" hidden="1" spans="1:12">
      <c r="A5267" s="190" t="s">
        <v>5215</v>
      </c>
      <c r="B5267" s="191">
        <v>4015601</v>
      </c>
      <c r="D5267" s="35" t="s">
        <v>60</v>
      </c>
      <c r="E5267" s="35">
        <v>2.33333333333333</v>
      </c>
      <c r="F5267" s="35">
        <v>0</v>
      </c>
      <c r="G5267" s="35">
        <v>0</v>
      </c>
      <c r="H5267" s="35">
        <v>2</v>
      </c>
      <c r="I5267" s="35">
        <v>5114</v>
      </c>
      <c r="J5267" s="35" t="s">
        <v>4049</v>
      </c>
      <c r="K5267" s="35">
        <v>1</v>
      </c>
      <c r="L5267" s="193"/>
    </row>
    <row r="5268" s="35" customFormat="1" hidden="1" spans="1:12">
      <c r="A5268" s="190" t="s">
        <v>5216</v>
      </c>
      <c r="B5268" s="191">
        <v>4015601</v>
      </c>
      <c r="D5268" s="35" t="s">
        <v>57</v>
      </c>
      <c r="E5268" s="35">
        <v>2</v>
      </c>
      <c r="F5268" s="35">
        <v>0</v>
      </c>
      <c r="G5268" s="35" t="s">
        <v>2273</v>
      </c>
      <c r="H5268" s="35" t="s">
        <v>2274</v>
      </c>
      <c r="I5268" s="35" t="s">
        <v>5152</v>
      </c>
      <c r="J5268" s="35" t="s">
        <v>5153</v>
      </c>
      <c r="K5268" s="35" t="s">
        <v>3242</v>
      </c>
      <c r="L5268" s="193"/>
    </row>
    <row r="5269" s="35" customFormat="1" hidden="1" spans="1:12">
      <c r="A5269" s="190" t="s">
        <v>5217</v>
      </c>
      <c r="B5269" s="191">
        <v>4015601</v>
      </c>
      <c r="D5269" s="35" t="s">
        <v>1047</v>
      </c>
      <c r="E5269" s="35">
        <v>2</v>
      </c>
      <c r="F5269" s="35">
        <v>0</v>
      </c>
      <c r="G5269" s="35">
        <v>0</v>
      </c>
      <c r="H5269" s="35">
        <v>2</v>
      </c>
      <c r="I5269" s="35">
        <v>5114</v>
      </c>
      <c r="J5269" s="35" t="s">
        <v>4049</v>
      </c>
      <c r="K5269" s="35">
        <v>1</v>
      </c>
      <c r="L5269" s="193"/>
    </row>
    <row r="5270" s="35" customFormat="1" hidden="1" spans="1:12">
      <c r="A5270" s="190" t="s">
        <v>5218</v>
      </c>
      <c r="B5270" s="191">
        <v>4015601</v>
      </c>
      <c r="D5270" s="35" t="s">
        <v>272</v>
      </c>
      <c r="E5270" s="35">
        <v>1.06666666666667</v>
      </c>
      <c r="F5270" s="35">
        <v>0</v>
      </c>
      <c r="G5270" s="35">
        <v>0</v>
      </c>
      <c r="H5270" s="35">
        <v>2</v>
      </c>
      <c r="I5270" s="35">
        <v>5114</v>
      </c>
      <c r="J5270" s="35" t="s">
        <v>4049</v>
      </c>
      <c r="K5270" s="35">
        <v>1</v>
      </c>
      <c r="L5270" s="193"/>
    </row>
    <row r="5271" s="35" customFormat="1" hidden="1" spans="1:12">
      <c r="A5271" s="190" t="s">
        <v>5219</v>
      </c>
      <c r="B5271" s="191">
        <v>4015601</v>
      </c>
      <c r="D5271" s="35" t="s">
        <v>60</v>
      </c>
      <c r="E5271" s="35">
        <v>2.33333333333333</v>
      </c>
      <c r="F5271" s="35">
        <v>0</v>
      </c>
      <c r="G5271" s="35">
        <v>0</v>
      </c>
      <c r="H5271" s="35">
        <v>2</v>
      </c>
      <c r="I5271" s="35">
        <v>5114</v>
      </c>
      <c r="J5271" s="35" t="s">
        <v>4049</v>
      </c>
      <c r="K5271" s="35">
        <v>1</v>
      </c>
      <c r="L5271" s="193"/>
    </row>
    <row r="5272" s="35" customFormat="1" hidden="1" spans="1:12">
      <c r="A5272" s="190" t="s">
        <v>5220</v>
      </c>
      <c r="B5272" s="191">
        <v>4015601</v>
      </c>
      <c r="D5272" s="35" t="s">
        <v>2198</v>
      </c>
      <c r="E5272" s="35">
        <v>2</v>
      </c>
      <c r="F5272" s="35">
        <v>1</v>
      </c>
      <c r="G5272" s="35">
        <v>0</v>
      </c>
      <c r="H5272" s="35">
        <v>2</v>
      </c>
      <c r="I5272" s="35">
        <v>5114</v>
      </c>
      <c r="J5272" s="35" t="s">
        <v>4049</v>
      </c>
      <c r="K5272" s="35">
        <v>1</v>
      </c>
      <c r="L5272" s="193"/>
    </row>
    <row r="5273" s="35" customFormat="1" hidden="1" spans="1:12">
      <c r="A5273" s="190" t="s">
        <v>5221</v>
      </c>
      <c r="B5273" s="191">
        <v>4015601</v>
      </c>
      <c r="D5273" s="35" t="s">
        <v>2182</v>
      </c>
      <c r="E5273" s="35">
        <v>1</v>
      </c>
      <c r="F5273" s="35">
        <v>0</v>
      </c>
      <c r="G5273" s="35">
        <v>0</v>
      </c>
      <c r="H5273" s="35">
        <v>2</v>
      </c>
      <c r="I5273" s="35">
        <v>5114</v>
      </c>
      <c r="J5273" s="35" t="s">
        <v>4049</v>
      </c>
      <c r="K5273" s="35">
        <v>1</v>
      </c>
      <c r="L5273" s="193"/>
    </row>
    <row r="5274" s="35" customFormat="1" hidden="1" spans="1:12">
      <c r="A5274" s="190" t="s">
        <v>5222</v>
      </c>
      <c r="B5274" s="191">
        <v>4015601</v>
      </c>
      <c r="D5274" s="35" t="s">
        <v>2184</v>
      </c>
      <c r="E5274" s="35">
        <v>1</v>
      </c>
      <c r="F5274" s="35">
        <v>0</v>
      </c>
      <c r="G5274" s="35">
        <v>0</v>
      </c>
      <c r="H5274" s="35">
        <v>2</v>
      </c>
      <c r="I5274" s="35">
        <v>5114</v>
      </c>
      <c r="J5274" s="35" t="s">
        <v>4049</v>
      </c>
      <c r="K5274" s="35">
        <v>1</v>
      </c>
      <c r="L5274" s="193"/>
    </row>
    <row r="5275" s="35" customFormat="1" hidden="1" spans="1:12">
      <c r="A5275" s="190" t="s">
        <v>5223</v>
      </c>
      <c r="B5275" s="191">
        <v>4015601</v>
      </c>
      <c r="D5275" s="35" t="s">
        <v>2186</v>
      </c>
      <c r="E5275" s="35">
        <v>1</v>
      </c>
      <c r="F5275" s="35">
        <v>0</v>
      </c>
      <c r="G5275" s="35">
        <v>0</v>
      </c>
      <c r="H5275" s="35">
        <v>2</v>
      </c>
      <c r="I5275" s="35">
        <v>5114</v>
      </c>
      <c r="J5275" s="35" t="s">
        <v>4049</v>
      </c>
      <c r="K5275" s="35">
        <v>1</v>
      </c>
      <c r="L5275" s="193"/>
    </row>
    <row r="5276" s="35" customFormat="1" hidden="1" spans="1:12">
      <c r="A5276" s="190" t="s">
        <v>5224</v>
      </c>
      <c r="B5276" s="191">
        <v>4015601</v>
      </c>
      <c r="D5276" s="35" t="s">
        <v>2188</v>
      </c>
      <c r="E5276" s="35">
        <v>0.533333333333333</v>
      </c>
      <c r="F5276" s="35">
        <v>0</v>
      </c>
      <c r="G5276" s="35">
        <v>0</v>
      </c>
      <c r="H5276" s="35">
        <v>2</v>
      </c>
      <c r="I5276" s="35">
        <v>5114</v>
      </c>
      <c r="J5276" s="35" t="s">
        <v>4049</v>
      </c>
      <c r="K5276" s="35">
        <v>1</v>
      </c>
      <c r="L5276" s="193"/>
    </row>
    <row r="5277" s="35" customFormat="1" hidden="1" spans="1:12">
      <c r="A5277" s="190" t="s">
        <v>5225</v>
      </c>
      <c r="B5277" s="191">
        <v>4015601</v>
      </c>
      <c r="D5277" s="35" t="s">
        <v>2190</v>
      </c>
      <c r="E5277" s="35">
        <v>0.533333333333333</v>
      </c>
      <c r="F5277" s="35">
        <v>0</v>
      </c>
      <c r="G5277" s="35">
        <v>0</v>
      </c>
      <c r="H5277" s="35">
        <v>2</v>
      </c>
      <c r="I5277" s="35">
        <v>5114</v>
      </c>
      <c r="J5277" s="35" t="s">
        <v>4049</v>
      </c>
      <c r="K5277" s="35">
        <v>1</v>
      </c>
      <c r="L5277" s="193"/>
    </row>
    <row r="5278" s="35" customFormat="1" hidden="1" spans="1:12">
      <c r="A5278" s="190" t="s">
        <v>5226</v>
      </c>
      <c r="B5278" s="191">
        <v>4015601</v>
      </c>
      <c r="D5278" s="35" t="s">
        <v>2192</v>
      </c>
      <c r="E5278" s="35">
        <v>0.533333333333333</v>
      </c>
      <c r="F5278" s="35">
        <v>0</v>
      </c>
      <c r="G5278" s="35">
        <v>0</v>
      </c>
      <c r="H5278" s="35">
        <v>2</v>
      </c>
      <c r="I5278" s="35">
        <v>5114</v>
      </c>
      <c r="J5278" s="35" t="s">
        <v>4049</v>
      </c>
      <c r="K5278" s="35">
        <v>1</v>
      </c>
      <c r="L5278" s="193"/>
    </row>
    <row r="5279" s="35" customFormat="1" hidden="1" spans="1:12">
      <c r="A5279" s="190" t="s">
        <v>5227</v>
      </c>
      <c r="B5279" s="191">
        <v>4015601</v>
      </c>
      <c r="D5279" s="35" t="s">
        <v>2194</v>
      </c>
      <c r="E5279" s="35">
        <v>0.533333333333333</v>
      </c>
      <c r="F5279" s="35">
        <v>0</v>
      </c>
      <c r="G5279" s="35">
        <v>0</v>
      </c>
      <c r="H5279" s="35">
        <v>2</v>
      </c>
      <c r="I5279" s="35">
        <v>5114</v>
      </c>
      <c r="J5279" s="35" t="s">
        <v>4049</v>
      </c>
      <c r="K5279" s="35">
        <v>1</v>
      </c>
      <c r="L5279" s="193"/>
    </row>
    <row r="5280" s="35" customFormat="1" hidden="1" spans="1:12">
      <c r="A5280" s="190" t="s">
        <v>5228</v>
      </c>
      <c r="B5280" s="191">
        <v>4015601</v>
      </c>
      <c r="D5280" s="35" t="s">
        <v>300</v>
      </c>
      <c r="E5280" s="35">
        <v>0.8</v>
      </c>
      <c r="F5280" s="35">
        <v>0</v>
      </c>
      <c r="G5280" s="35">
        <v>0</v>
      </c>
      <c r="H5280" s="35">
        <v>2</v>
      </c>
      <c r="I5280" s="35">
        <v>5114</v>
      </c>
      <c r="J5280" s="35" t="s">
        <v>4049</v>
      </c>
      <c r="K5280" s="35">
        <v>1</v>
      </c>
      <c r="L5280" s="193"/>
    </row>
    <row r="5281" s="35" customFormat="1" hidden="1" spans="1:12">
      <c r="A5281" s="190" t="s">
        <v>5229</v>
      </c>
      <c r="B5281" s="191">
        <v>4015601</v>
      </c>
      <c r="D5281" s="35" t="s">
        <v>2178</v>
      </c>
      <c r="E5281" s="35">
        <v>1</v>
      </c>
      <c r="F5281" s="35">
        <v>0</v>
      </c>
      <c r="G5281" s="35">
        <v>0</v>
      </c>
      <c r="H5281" s="35">
        <v>2</v>
      </c>
      <c r="I5281" s="35">
        <v>5114</v>
      </c>
      <c r="J5281" s="35" t="s">
        <v>4049</v>
      </c>
      <c r="K5281" s="35">
        <v>1</v>
      </c>
      <c r="L5281" s="193"/>
    </row>
    <row r="5282" s="35" customFormat="1" hidden="1" spans="1:12">
      <c r="A5282" s="190" t="s">
        <v>5230</v>
      </c>
      <c r="B5282" s="191">
        <v>4015601</v>
      </c>
      <c r="D5282" s="35" t="s">
        <v>2196</v>
      </c>
      <c r="E5282" s="35">
        <v>1.26666666666667</v>
      </c>
      <c r="F5282" s="35">
        <v>0</v>
      </c>
      <c r="G5282" s="35">
        <v>0</v>
      </c>
      <c r="H5282" s="35">
        <v>2</v>
      </c>
      <c r="I5282" s="35">
        <v>5114</v>
      </c>
      <c r="J5282" s="35" t="s">
        <v>4049</v>
      </c>
      <c r="K5282" s="35">
        <v>1</v>
      </c>
      <c r="L5282" s="193"/>
    </row>
    <row r="5283" s="35" customFormat="1" hidden="1" spans="1:12">
      <c r="A5283" s="190" t="s">
        <v>5231</v>
      </c>
      <c r="B5283" s="191">
        <v>4015601</v>
      </c>
      <c r="D5283" s="35" t="s">
        <v>92</v>
      </c>
      <c r="E5283" s="35">
        <v>2.2</v>
      </c>
      <c r="F5283" s="35">
        <v>0</v>
      </c>
      <c r="G5283" s="35">
        <v>0</v>
      </c>
      <c r="H5283" s="35">
        <v>2</v>
      </c>
      <c r="I5283" s="35">
        <v>5114</v>
      </c>
      <c r="J5283" s="35" t="s">
        <v>4049</v>
      </c>
      <c r="K5283" s="35">
        <v>1</v>
      </c>
      <c r="L5283" s="193"/>
    </row>
    <row r="5284" s="35" customFormat="1" hidden="1" spans="1:12">
      <c r="A5284" s="190" t="s">
        <v>5232</v>
      </c>
      <c r="B5284" s="191">
        <v>4015601</v>
      </c>
      <c r="D5284" s="35" t="s">
        <v>109</v>
      </c>
      <c r="E5284" s="35">
        <v>1.16666666666667</v>
      </c>
      <c r="F5284" s="35">
        <v>0</v>
      </c>
      <c r="G5284" s="35">
        <v>0</v>
      </c>
      <c r="H5284" s="35">
        <v>2</v>
      </c>
      <c r="I5284" s="35">
        <v>5114</v>
      </c>
      <c r="J5284" s="35" t="s">
        <v>4049</v>
      </c>
      <c r="K5284" s="35">
        <v>1</v>
      </c>
      <c r="L5284" s="193"/>
    </row>
    <row r="5285" s="35" customFormat="1" hidden="1" spans="1:12">
      <c r="A5285" s="190" t="s">
        <v>5233</v>
      </c>
      <c r="B5285" s="191">
        <v>4015601</v>
      </c>
      <c r="D5285" s="35" t="s">
        <v>97</v>
      </c>
      <c r="E5285" s="35">
        <v>2.8</v>
      </c>
      <c r="F5285" s="35">
        <v>0</v>
      </c>
      <c r="G5285" s="35">
        <v>0</v>
      </c>
      <c r="H5285" s="35">
        <v>2</v>
      </c>
      <c r="I5285" s="35">
        <v>5114</v>
      </c>
      <c r="J5285" s="35" t="s">
        <v>4049</v>
      </c>
      <c r="K5285" s="35">
        <v>1</v>
      </c>
      <c r="L5285" s="193"/>
    </row>
    <row r="5286" s="35" customFormat="1" hidden="1" spans="1:12">
      <c r="A5286" s="190" t="s">
        <v>5234</v>
      </c>
      <c r="B5286" s="191">
        <v>4015601</v>
      </c>
      <c r="D5286" s="35" t="s">
        <v>77</v>
      </c>
      <c r="E5286" s="35">
        <v>2.5</v>
      </c>
      <c r="F5286" s="35">
        <v>0</v>
      </c>
      <c r="G5286" s="35">
        <v>0</v>
      </c>
      <c r="H5286" s="35">
        <v>2</v>
      </c>
      <c r="I5286" s="35">
        <v>5114</v>
      </c>
      <c r="J5286" s="35" t="s">
        <v>4049</v>
      </c>
      <c r="K5286" s="35">
        <v>1</v>
      </c>
      <c r="L5286" s="193"/>
    </row>
    <row r="5287" s="35" customFormat="1" hidden="1" spans="1:12">
      <c r="A5287" s="190" t="s">
        <v>5235</v>
      </c>
      <c r="B5287" s="191">
        <v>4015601</v>
      </c>
      <c r="D5287" s="35" t="s">
        <v>54</v>
      </c>
      <c r="E5287" s="35">
        <v>2.83333333333333</v>
      </c>
      <c r="F5287" s="35">
        <v>0</v>
      </c>
      <c r="G5287" s="35">
        <v>0</v>
      </c>
      <c r="H5287" s="35">
        <v>2</v>
      </c>
      <c r="I5287" s="35">
        <v>5114</v>
      </c>
      <c r="J5287" s="35" t="s">
        <v>4049</v>
      </c>
      <c r="K5287" s="35">
        <v>1</v>
      </c>
      <c r="L5287" s="193"/>
    </row>
    <row r="5288" s="35" customFormat="1" hidden="1" spans="1:12">
      <c r="A5288" s="190" t="s">
        <v>5236</v>
      </c>
      <c r="B5288" s="191">
        <v>4015601</v>
      </c>
      <c r="D5288" s="35" t="s">
        <v>261</v>
      </c>
      <c r="E5288" s="35">
        <v>0.933333333333333</v>
      </c>
      <c r="F5288" s="35">
        <v>0</v>
      </c>
      <c r="G5288" s="35">
        <v>0</v>
      </c>
      <c r="H5288" s="35">
        <v>2</v>
      </c>
      <c r="I5288" s="35">
        <v>5114</v>
      </c>
      <c r="J5288" s="35" t="s">
        <v>4049</v>
      </c>
      <c r="K5288" s="35">
        <v>1</v>
      </c>
      <c r="L5288" s="193"/>
    </row>
    <row r="5289" s="35" customFormat="1" hidden="1" spans="1:12">
      <c r="A5289" s="190" t="s">
        <v>5237</v>
      </c>
      <c r="B5289" s="191">
        <v>4015601</v>
      </c>
      <c r="D5289" s="35" t="s">
        <v>236</v>
      </c>
      <c r="E5289" s="35">
        <v>1.23333333333333</v>
      </c>
      <c r="F5289" s="35">
        <v>0</v>
      </c>
      <c r="G5289" s="35">
        <v>0</v>
      </c>
      <c r="H5289" s="35">
        <v>2</v>
      </c>
      <c r="I5289" s="35">
        <v>5114</v>
      </c>
      <c r="J5289" s="35" t="s">
        <v>4049</v>
      </c>
      <c r="K5289" s="35">
        <v>1</v>
      </c>
      <c r="L5289" s="193"/>
    </row>
    <row r="5290" s="35" customFormat="1" hidden="1" spans="1:12">
      <c r="A5290" s="190" t="s">
        <v>5238</v>
      </c>
      <c r="B5290" s="191">
        <v>4015601</v>
      </c>
      <c r="D5290" s="35" t="s">
        <v>264</v>
      </c>
      <c r="E5290" s="35">
        <v>2</v>
      </c>
      <c r="F5290" s="35">
        <v>0</v>
      </c>
      <c r="G5290" s="35">
        <v>0</v>
      </c>
      <c r="H5290" s="35">
        <v>2</v>
      </c>
      <c r="I5290" s="35">
        <v>5114</v>
      </c>
      <c r="J5290" s="35" t="s">
        <v>4049</v>
      </c>
      <c r="K5290" s="35">
        <v>1</v>
      </c>
      <c r="L5290" s="193"/>
    </row>
    <row r="5291" s="35" customFormat="1" hidden="1" spans="1:12">
      <c r="A5291" s="190" t="s">
        <v>5239</v>
      </c>
      <c r="B5291" s="191">
        <v>4015601</v>
      </c>
      <c r="D5291" s="35" t="s">
        <v>130</v>
      </c>
      <c r="E5291" s="35">
        <v>2</v>
      </c>
      <c r="F5291" s="35">
        <v>0</v>
      </c>
      <c r="G5291" s="35">
        <v>0</v>
      </c>
      <c r="H5291" s="35">
        <v>2</v>
      </c>
      <c r="I5291" s="35">
        <v>5114</v>
      </c>
      <c r="J5291" s="35" t="s">
        <v>4049</v>
      </c>
      <c r="K5291" s="35">
        <v>1</v>
      </c>
      <c r="L5291" s="193"/>
    </row>
    <row r="5292" s="35" customFormat="1" hidden="1" spans="1:12">
      <c r="A5292" s="190" t="s">
        <v>5240</v>
      </c>
      <c r="B5292" s="191">
        <v>4015601</v>
      </c>
      <c r="D5292" s="35" t="s">
        <v>2629</v>
      </c>
      <c r="E5292" s="35">
        <v>1.73333333333333</v>
      </c>
      <c r="F5292" s="35">
        <v>0</v>
      </c>
      <c r="G5292" s="35">
        <v>0</v>
      </c>
      <c r="H5292" s="35">
        <v>2</v>
      </c>
      <c r="I5292" s="35">
        <v>5114</v>
      </c>
      <c r="J5292" s="35" t="s">
        <v>4049</v>
      </c>
      <c r="K5292" s="35">
        <v>1</v>
      </c>
      <c r="L5292" s="193"/>
    </row>
    <row r="5293" s="35" customFormat="1" hidden="1" spans="1:12">
      <c r="A5293" s="190" t="s">
        <v>5241</v>
      </c>
      <c r="B5293" s="191">
        <v>4015601</v>
      </c>
      <c r="D5293" s="35" t="s">
        <v>268</v>
      </c>
      <c r="E5293" s="35">
        <v>2.26666666666667</v>
      </c>
      <c r="F5293" s="35">
        <v>0</v>
      </c>
      <c r="G5293" s="35">
        <v>0</v>
      </c>
      <c r="H5293" s="35">
        <v>2</v>
      </c>
      <c r="I5293" s="35">
        <v>5114</v>
      </c>
      <c r="J5293" s="35" t="s">
        <v>4049</v>
      </c>
      <c r="K5293" s="35">
        <v>1</v>
      </c>
      <c r="L5293" s="193"/>
    </row>
    <row r="5294" s="35" customFormat="1" hidden="1" spans="1:12">
      <c r="A5294" s="190" t="s">
        <v>5242</v>
      </c>
      <c r="B5294" s="191">
        <v>4015601</v>
      </c>
      <c r="D5294" s="35" t="s">
        <v>266</v>
      </c>
      <c r="E5294" s="35">
        <v>1.06666666666667</v>
      </c>
      <c r="F5294" s="35">
        <v>0</v>
      </c>
      <c r="G5294" s="35">
        <v>0</v>
      </c>
      <c r="H5294" s="35">
        <v>2</v>
      </c>
      <c r="I5294" s="35">
        <v>5114</v>
      </c>
      <c r="J5294" s="35" t="s">
        <v>4049</v>
      </c>
      <c r="K5294" s="35">
        <v>1</v>
      </c>
      <c r="L5294" s="193"/>
    </row>
    <row r="5295" s="35" customFormat="1" hidden="1" spans="1:12">
      <c r="A5295" s="190" t="s">
        <v>5243</v>
      </c>
      <c r="B5295" s="191">
        <v>4015601</v>
      </c>
      <c r="D5295" s="35" t="s">
        <v>204</v>
      </c>
      <c r="E5295" s="35">
        <v>1.6</v>
      </c>
      <c r="F5295" s="35">
        <v>0</v>
      </c>
      <c r="G5295" s="35">
        <v>0</v>
      </c>
      <c r="H5295" s="35">
        <v>2</v>
      </c>
      <c r="I5295" s="35">
        <v>5114</v>
      </c>
      <c r="J5295" s="35" t="s">
        <v>4049</v>
      </c>
      <c r="K5295" s="35">
        <v>1</v>
      </c>
      <c r="L5295" s="193"/>
    </row>
    <row r="5296" s="35" customFormat="1" hidden="1" spans="1:12">
      <c r="A5296" s="190" t="s">
        <v>5244</v>
      </c>
      <c r="B5296" s="191">
        <v>4015601</v>
      </c>
      <c r="D5296" s="35" t="s">
        <v>270</v>
      </c>
      <c r="E5296" s="35">
        <v>2</v>
      </c>
      <c r="F5296" s="35">
        <v>0</v>
      </c>
      <c r="G5296" s="35">
        <v>0</v>
      </c>
      <c r="H5296" s="35">
        <v>2</v>
      </c>
      <c r="I5296" s="35">
        <v>5114</v>
      </c>
      <c r="J5296" s="35" t="s">
        <v>4049</v>
      </c>
      <c r="K5296" s="35">
        <v>1</v>
      </c>
      <c r="L5296" s="193"/>
    </row>
    <row r="5297" s="35" customFormat="1" hidden="1" spans="1:12">
      <c r="A5297" s="190" t="s">
        <v>5245</v>
      </c>
      <c r="B5297" s="191">
        <v>4015601</v>
      </c>
      <c r="D5297" s="35" t="s">
        <v>36</v>
      </c>
      <c r="E5297" s="35">
        <f>44/30</f>
        <v>1.46666666666667</v>
      </c>
      <c r="F5297" s="35">
        <v>0</v>
      </c>
      <c r="G5297" s="35">
        <v>0</v>
      </c>
      <c r="H5297" s="35">
        <v>2</v>
      </c>
      <c r="I5297" s="35">
        <v>5114</v>
      </c>
      <c r="J5297" s="35" t="s">
        <v>4049</v>
      </c>
      <c r="K5297" s="35">
        <v>1</v>
      </c>
      <c r="L5297" s="193"/>
    </row>
    <row r="5298" s="35" customFormat="1" hidden="1" spans="1:12">
      <c r="A5298" s="190" t="s">
        <v>5246</v>
      </c>
      <c r="B5298" s="191">
        <v>4015601</v>
      </c>
      <c r="D5298" s="35" t="s">
        <v>38</v>
      </c>
      <c r="E5298" s="35">
        <f>72/30</f>
        <v>2.4</v>
      </c>
      <c r="F5298" s="35">
        <v>0</v>
      </c>
      <c r="G5298" s="35">
        <v>0</v>
      </c>
      <c r="H5298" s="35">
        <v>2</v>
      </c>
      <c r="I5298" s="35">
        <v>5114</v>
      </c>
      <c r="J5298" s="35" t="s">
        <v>4049</v>
      </c>
      <c r="K5298" s="35">
        <v>1</v>
      </c>
      <c r="L5298" s="193"/>
    </row>
    <row r="5299" s="35" customFormat="1" hidden="1" spans="1:12">
      <c r="A5299" s="190" t="s">
        <v>5247</v>
      </c>
      <c r="B5299" s="191">
        <v>4015601</v>
      </c>
      <c r="D5299" s="35" t="s">
        <v>40</v>
      </c>
      <c r="E5299" s="35">
        <f>37/30</f>
        <v>1.23333333333333</v>
      </c>
      <c r="F5299" s="35">
        <v>0</v>
      </c>
      <c r="G5299" s="35">
        <v>0</v>
      </c>
      <c r="H5299" s="35">
        <v>2</v>
      </c>
      <c r="I5299" s="35">
        <v>5114</v>
      </c>
      <c r="J5299" s="35" t="s">
        <v>4049</v>
      </c>
      <c r="K5299" s="35">
        <v>1</v>
      </c>
      <c r="L5299" s="193"/>
    </row>
    <row r="5300" s="35" customFormat="1" hidden="1" spans="1:12">
      <c r="A5300" s="190" t="s">
        <v>5248</v>
      </c>
      <c r="B5300" s="191">
        <v>4015601</v>
      </c>
      <c r="D5300" s="35" t="s">
        <v>42</v>
      </c>
      <c r="E5300" s="35">
        <f>342/30</f>
        <v>11.4</v>
      </c>
      <c r="F5300" s="35">
        <v>0</v>
      </c>
      <c r="G5300" s="35">
        <v>0</v>
      </c>
      <c r="H5300" s="35">
        <v>2</v>
      </c>
      <c r="I5300" s="35">
        <v>5114</v>
      </c>
      <c r="J5300" s="35" t="s">
        <v>4049</v>
      </c>
      <c r="K5300" s="35">
        <v>1</v>
      </c>
      <c r="L5300" s="193"/>
    </row>
    <row r="5301" s="13" customFormat="1" hidden="1" spans="1:12">
      <c r="A5301" s="76">
        <v>15701</v>
      </c>
      <c r="B5301" s="77">
        <v>157</v>
      </c>
      <c r="D5301" s="13" t="s">
        <v>36</v>
      </c>
      <c r="E5301" s="13">
        <f>110/30</f>
        <v>3.66666666666667</v>
      </c>
      <c r="F5301" s="13">
        <v>0</v>
      </c>
      <c r="G5301" s="13">
        <v>0</v>
      </c>
      <c r="L5301" s="78"/>
    </row>
    <row r="5302" s="13" customFormat="1" hidden="1" spans="1:12">
      <c r="A5302" s="76">
        <v>15702</v>
      </c>
      <c r="B5302" s="77">
        <v>157</v>
      </c>
      <c r="D5302" s="13" t="s">
        <v>38</v>
      </c>
      <c r="E5302" s="13">
        <f>141/30</f>
        <v>4.7</v>
      </c>
      <c r="F5302" s="13">
        <v>0</v>
      </c>
      <c r="G5302" s="13">
        <v>0</v>
      </c>
      <c r="L5302" s="78"/>
    </row>
    <row r="5303" s="13" customFormat="1" hidden="1" spans="1:12">
      <c r="A5303" s="76">
        <v>15703</v>
      </c>
      <c r="B5303" s="77">
        <v>157</v>
      </c>
      <c r="D5303" s="13" t="s">
        <v>40</v>
      </c>
      <c r="E5303" s="13">
        <f>175/30</f>
        <v>5.83333333333333</v>
      </c>
      <c r="F5303" s="13">
        <v>0</v>
      </c>
      <c r="G5303" s="13">
        <v>0</v>
      </c>
      <c r="L5303" s="78"/>
    </row>
    <row r="5304" s="13" customFormat="1" hidden="1" spans="1:12">
      <c r="A5304" s="76">
        <v>15704</v>
      </c>
      <c r="B5304" s="77">
        <v>157</v>
      </c>
      <c r="D5304" s="13" t="s">
        <v>42</v>
      </c>
      <c r="E5304" s="13">
        <f>60/30</f>
        <v>2</v>
      </c>
      <c r="F5304" s="13">
        <v>0</v>
      </c>
      <c r="G5304" s="13">
        <v>0</v>
      </c>
      <c r="L5304" s="78"/>
    </row>
    <row r="5305" s="13" customFormat="1" hidden="1" spans="1:12">
      <c r="A5305" s="76">
        <v>15705</v>
      </c>
      <c r="B5305" s="77">
        <v>157</v>
      </c>
      <c r="D5305" s="13" t="s">
        <v>44</v>
      </c>
      <c r="E5305" s="13">
        <f>254/30</f>
        <v>8.46666666666667</v>
      </c>
      <c r="F5305" s="13">
        <v>0</v>
      </c>
      <c r="G5305" s="13">
        <v>0</v>
      </c>
      <c r="L5305" s="78"/>
    </row>
    <row r="5306" s="13" customFormat="1" hidden="1" spans="1:12">
      <c r="A5306" s="76">
        <v>15706</v>
      </c>
      <c r="B5306" s="77">
        <v>157</v>
      </c>
      <c r="D5306" s="13" t="s">
        <v>46</v>
      </c>
      <c r="E5306" s="13">
        <f>442/30</f>
        <v>14.7333333333333</v>
      </c>
      <c r="F5306" s="13">
        <v>0</v>
      </c>
      <c r="G5306" s="13">
        <v>0</v>
      </c>
      <c r="L5306" s="78"/>
    </row>
    <row r="5307" s="13" customFormat="1" hidden="1" spans="1:12">
      <c r="A5307" s="76">
        <v>15707</v>
      </c>
      <c r="B5307" s="77">
        <v>157</v>
      </c>
      <c r="D5307" s="13" t="s">
        <v>86</v>
      </c>
      <c r="E5307" s="13">
        <f>306/30</f>
        <v>10.2</v>
      </c>
      <c r="F5307" s="13">
        <v>0</v>
      </c>
      <c r="G5307" s="13">
        <v>0</v>
      </c>
      <c r="L5307" s="78"/>
    </row>
    <row r="5308" s="13" customFormat="1" hidden="1" spans="1:12">
      <c r="A5308" s="76">
        <v>15708</v>
      </c>
      <c r="B5308" s="77">
        <v>157</v>
      </c>
      <c r="D5308" s="13" t="s">
        <v>50</v>
      </c>
      <c r="E5308" s="13">
        <f>465/30</f>
        <v>15.5</v>
      </c>
      <c r="F5308" s="13">
        <v>0</v>
      </c>
      <c r="G5308" s="13">
        <v>0</v>
      </c>
      <c r="L5308" s="78"/>
    </row>
    <row r="5309" s="13" customFormat="1" hidden="1" spans="1:12">
      <c r="A5309" s="76">
        <v>15709</v>
      </c>
      <c r="B5309" s="77">
        <v>157</v>
      </c>
      <c r="D5309" s="13" t="s">
        <v>90</v>
      </c>
      <c r="E5309" s="13">
        <f>150/30</f>
        <v>5</v>
      </c>
      <c r="F5309" s="13">
        <v>0</v>
      </c>
      <c r="G5309" s="13">
        <v>0</v>
      </c>
      <c r="L5309" s="78"/>
    </row>
    <row r="5310" s="13" customFormat="1" hidden="1" spans="1:12">
      <c r="A5310" s="76">
        <v>15710</v>
      </c>
      <c r="B5310" s="77">
        <v>157</v>
      </c>
      <c r="D5310" s="13" t="s">
        <v>48</v>
      </c>
      <c r="E5310" s="13">
        <f>214/30</f>
        <v>7.13333333333333</v>
      </c>
      <c r="F5310" s="13">
        <v>0</v>
      </c>
      <c r="G5310" s="13">
        <v>0</v>
      </c>
      <c r="L5310" s="78"/>
    </row>
    <row r="5311" s="13" customFormat="1" hidden="1" spans="1:12">
      <c r="A5311" s="76">
        <v>15711</v>
      </c>
      <c r="B5311" s="77">
        <v>157</v>
      </c>
      <c r="D5311" s="13" t="s">
        <v>1047</v>
      </c>
      <c r="E5311" s="13">
        <f>60/30</f>
        <v>2</v>
      </c>
      <c r="F5311" s="13">
        <v>0</v>
      </c>
      <c r="G5311" s="13">
        <v>0</v>
      </c>
      <c r="L5311" s="78"/>
    </row>
    <row r="5312" s="13" customFormat="1" hidden="1" spans="1:12">
      <c r="A5312" s="76">
        <v>15712</v>
      </c>
      <c r="B5312" s="77">
        <v>157</v>
      </c>
      <c r="D5312" s="13" t="s">
        <v>2818</v>
      </c>
      <c r="E5312" s="13">
        <f>89/30</f>
        <v>2.96666666666667</v>
      </c>
      <c r="F5312" s="13">
        <v>0</v>
      </c>
      <c r="G5312" s="13">
        <v>0</v>
      </c>
      <c r="L5312" s="78"/>
    </row>
    <row r="5313" s="13" customFormat="1" hidden="1" spans="1:12">
      <c r="A5313" s="76">
        <v>15713</v>
      </c>
      <c r="B5313" s="77">
        <v>157</v>
      </c>
      <c r="D5313" s="13" t="s">
        <v>5249</v>
      </c>
      <c r="E5313" s="13">
        <f>89/30</f>
        <v>2.96666666666667</v>
      </c>
      <c r="F5313" s="13">
        <v>0</v>
      </c>
      <c r="G5313" s="13">
        <v>0</v>
      </c>
      <c r="L5313" s="78"/>
    </row>
    <row r="5314" s="13" customFormat="1" hidden="1" spans="1:12">
      <c r="A5314" s="76">
        <v>15714</v>
      </c>
      <c r="B5314" s="77">
        <v>157</v>
      </c>
      <c r="D5314" s="13" t="s">
        <v>2198</v>
      </c>
      <c r="E5314" s="13">
        <f>40/30</f>
        <v>1.33333333333333</v>
      </c>
      <c r="F5314" s="13">
        <v>1</v>
      </c>
      <c r="G5314" s="13">
        <v>0</v>
      </c>
      <c r="L5314" s="78"/>
    </row>
    <row r="5315" s="13" customFormat="1" hidden="1" spans="1:12">
      <c r="A5315" s="76">
        <v>15715</v>
      </c>
      <c r="B5315" s="77">
        <v>157</v>
      </c>
      <c r="D5315" s="13" t="s">
        <v>2182</v>
      </c>
      <c r="E5315" s="13">
        <f>38/30</f>
        <v>1.26666666666667</v>
      </c>
      <c r="F5315" s="13">
        <v>0</v>
      </c>
      <c r="G5315" s="13">
        <v>0</v>
      </c>
      <c r="L5315" s="78"/>
    </row>
    <row r="5316" s="13" customFormat="1" hidden="1" spans="1:12">
      <c r="A5316" s="76">
        <v>15716</v>
      </c>
      <c r="B5316" s="77">
        <v>157</v>
      </c>
      <c r="D5316" s="13" t="s">
        <v>2184</v>
      </c>
      <c r="E5316" s="13">
        <f>40/30</f>
        <v>1.33333333333333</v>
      </c>
      <c r="F5316" s="13">
        <v>0</v>
      </c>
      <c r="G5316" s="13">
        <v>0</v>
      </c>
      <c r="L5316" s="78"/>
    </row>
    <row r="5317" s="13" customFormat="1" hidden="1" spans="1:12">
      <c r="A5317" s="76">
        <v>15717</v>
      </c>
      <c r="B5317" s="77">
        <v>157</v>
      </c>
      <c r="D5317" s="13" t="s">
        <v>2186</v>
      </c>
      <c r="E5317" s="13">
        <f>43/30</f>
        <v>1.43333333333333</v>
      </c>
      <c r="F5317" s="13">
        <v>0</v>
      </c>
      <c r="G5317" s="13">
        <v>0</v>
      </c>
      <c r="L5317" s="78"/>
    </row>
    <row r="5318" s="13" customFormat="1" hidden="1" spans="1:12">
      <c r="A5318" s="76">
        <v>15718</v>
      </c>
      <c r="B5318" s="77">
        <v>157</v>
      </c>
      <c r="D5318" s="13" t="s">
        <v>5250</v>
      </c>
      <c r="E5318" s="13">
        <f>100/30</f>
        <v>3.33333333333333</v>
      </c>
      <c r="F5318" s="13">
        <v>0</v>
      </c>
      <c r="G5318" s="13">
        <v>0</v>
      </c>
      <c r="L5318" s="78"/>
    </row>
    <row r="5319" s="13" customFormat="1" hidden="1" spans="1:12">
      <c r="A5319" s="76">
        <v>15719</v>
      </c>
      <c r="B5319" s="77">
        <v>157</v>
      </c>
      <c r="D5319" s="13" t="s">
        <v>2188</v>
      </c>
      <c r="E5319" s="13">
        <f>22/30</f>
        <v>0.733333333333333</v>
      </c>
      <c r="F5319" s="13">
        <v>0</v>
      </c>
      <c r="G5319" s="13">
        <v>0</v>
      </c>
      <c r="L5319" s="78"/>
    </row>
    <row r="5320" s="13" customFormat="1" hidden="1" spans="1:12">
      <c r="A5320" s="76">
        <v>15720</v>
      </c>
      <c r="B5320" s="77">
        <v>157</v>
      </c>
      <c r="D5320" s="13" t="s">
        <v>2190</v>
      </c>
      <c r="E5320" s="13">
        <f>21/30</f>
        <v>0.7</v>
      </c>
      <c r="F5320" s="13">
        <v>0</v>
      </c>
      <c r="G5320" s="13">
        <v>0</v>
      </c>
      <c r="L5320" s="78"/>
    </row>
    <row r="5321" s="13" customFormat="1" hidden="1" spans="1:12">
      <c r="A5321" s="76">
        <v>15721</v>
      </c>
      <c r="B5321" s="77">
        <v>157</v>
      </c>
      <c r="D5321" s="13" t="s">
        <v>2192</v>
      </c>
      <c r="E5321" s="13">
        <f>22/30</f>
        <v>0.733333333333333</v>
      </c>
      <c r="F5321" s="13">
        <v>0</v>
      </c>
      <c r="G5321" s="13">
        <v>0</v>
      </c>
      <c r="L5321" s="78"/>
    </row>
    <row r="5322" s="13" customFormat="1" hidden="1" spans="1:12">
      <c r="A5322" s="76">
        <v>15722</v>
      </c>
      <c r="B5322" s="77">
        <v>157</v>
      </c>
      <c r="D5322" s="13" t="s">
        <v>2194</v>
      </c>
      <c r="E5322" s="13">
        <f>20/30</f>
        <v>0.666666666666667</v>
      </c>
      <c r="F5322" s="13">
        <v>0</v>
      </c>
      <c r="G5322" s="13">
        <v>0</v>
      </c>
      <c r="L5322" s="78"/>
    </row>
    <row r="5323" s="13" customFormat="1" hidden="1" spans="1:12">
      <c r="A5323" s="76">
        <v>15723</v>
      </c>
      <c r="B5323" s="77">
        <v>157</v>
      </c>
      <c r="D5323" s="13" t="s">
        <v>300</v>
      </c>
      <c r="E5323" s="13">
        <f>24/30</f>
        <v>0.8</v>
      </c>
      <c r="F5323" s="13">
        <v>0</v>
      </c>
      <c r="G5323" s="13">
        <v>0</v>
      </c>
      <c r="L5323" s="78"/>
    </row>
    <row r="5324" s="13" customFormat="1" hidden="1" spans="1:12">
      <c r="A5324" s="76">
        <v>15724</v>
      </c>
      <c r="B5324" s="77">
        <v>157</v>
      </c>
      <c r="D5324" s="13" t="s">
        <v>2178</v>
      </c>
      <c r="E5324" s="13">
        <f>24/30</f>
        <v>0.8</v>
      </c>
      <c r="F5324" s="13">
        <v>0</v>
      </c>
      <c r="G5324" s="13">
        <v>0</v>
      </c>
      <c r="L5324" s="78"/>
    </row>
    <row r="5325" s="13" customFormat="1" hidden="1" spans="1:12">
      <c r="A5325" s="76">
        <v>15725</v>
      </c>
      <c r="B5325" s="77">
        <v>157</v>
      </c>
      <c r="D5325" s="13" t="s">
        <v>2196</v>
      </c>
      <c r="E5325" s="13">
        <f>38/30</f>
        <v>1.26666666666667</v>
      </c>
      <c r="F5325" s="13">
        <v>0</v>
      </c>
      <c r="G5325" s="13">
        <v>0</v>
      </c>
      <c r="L5325" s="78"/>
    </row>
    <row r="5326" s="13" customFormat="1" hidden="1" spans="1:12">
      <c r="A5326" s="76">
        <v>15726</v>
      </c>
      <c r="B5326" s="77">
        <v>157</v>
      </c>
      <c r="D5326" s="13" t="s">
        <v>92</v>
      </c>
      <c r="E5326" s="13">
        <f>75/30</f>
        <v>2.5</v>
      </c>
      <c r="F5326" s="13">
        <v>0</v>
      </c>
      <c r="G5326" s="13">
        <v>0</v>
      </c>
      <c r="L5326" s="78"/>
    </row>
    <row r="5327" s="13" customFormat="1" hidden="1" spans="1:12">
      <c r="A5327" s="76">
        <v>15727</v>
      </c>
      <c r="B5327" s="77">
        <v>157</v>
      </c>
      <c r="D5327" s="13" t="s">
        <v>109</v>
      </c>
      <c r="E5327" s="13">
        <f>85/30</f>
        <v>2.83333333333333</v>
      </c>
      <c r="F5327" s="13">
        <v>0</v>
      </c>
      <c r="G5327" s="13">
        <v>0</v>
      </c>
      <c r="L5327" s="78"/>
    </row>
    <row r="5328" s="13" customFormat="1" hidden="1" spans="1:12">
      <c r="A5328" s="76">
        <v>15728</v>
      </c>
      <c r="B5328" s="77">
        <v>157</v>
      </c>
      <c r="D5328" s="13" t="s">
        <v>77</v>
      </c>
      <c r="E5328" s="13">
        <f>87/30</f>
        <v>2.9</v>
      </c>
      <c r="F5328" s="13">
        <v>0</v>
      </c>
      <c r="G5328" s="13">
        <v>0</v>
      </c>
      <c r="L5328" s="78"/>
    </row>
    <row r="5329" s="13" customFormat="1" hidden="1" spans="1:12">
      <c r="A5329" s="76">
        <v>15729</v>
      </c>
      <c r="B5329" s="77">
        <v>157</v>
      </c>
      <c r="D5329" s="13" t="s">
        <v>54</v>
      </c>
      <c r="E5329" s="13">
        <f>67/30</f>
        <v>2.23333333333333</v>
      </c>
      <c r="F5329" s="13">
        <v>0</v>
      </c>
      <c r="G5329" s="13">
        <v>0</v>
      </c>
      <c r="L5329" s="78"/>
    </row>
    <row r="5330" s="13" customFormat="1" hidden="1" spans="1:12">
      <c r="A5330" s="76">
        <v>15730</v>
      </c>
      <c r="B5330" s="77">
        <v>157</v>
      </c>
      <c r="D5330" s="13" t="s">
        <v>57</v>
      </c>
      <c r="E5330" s="13">
        <f>96/30</f>
        <v>3.2</v>
      </c>
      <c r="F5330" s="13">
        <v>0</v>
      </c>
      <c r="G5330" s="13" t="s">
        <v>942</v>
      </c>
      <c r="H5330" s="13" t="s">
        <v>943</v>
      </c>
      <c r="I5330" s="13" t="s">
        <v>5251</v>
      </c>
      <c r="J5330" s="13" t="s">
        <v>5252</v>
      </c>
      <c r="K5330" s="13" t="s">
        <v>1869</v>
      </c>
      <c r="L5330" s="78"/>
    </row>
    <row r="5331" s="13" customFormat="1" hidden="1" spans="1:12">
      <c r="A5331" s="76">
        <v>15731</v>
      </c>
      <c r="B5331" s="77">
        <v>157</v>
      </c>
      <c r="D5331" s="13" t="s">
        <v>2618</v>
      </c>
      <c r="E5331" s="13">
        <f>60/30</f>
        <v>2</v>
      </c>
      <c r="F5331" s="13">
        <v>0</v>
      </c>
      <c r="G5331" s="13">
        <v>0</v>
      </c>
      <c r="L5331" s="78"/>
    </row>
    <row r="5332" s="13" customFormat="1" hidden="1" spans="1:12">
      <c r="A5332" s="76">
        <v>15732</v>
      </c>
      <c r="B5332" s="77">
        <v>157</v>
      </c>
      <c r="D5332" s="13" t="s">
        <v>261</v>
      </c>
      <c r="E5332" s="13">
        <f>22/30</f>
        <v>0.733333333333333</v>
      </c>
      <c r="F5332" s="13">
        <v>0</v>
      </c>
      <c r="G5332" s="13">
        <v>0</v>
      </c>
      <c r="L5332" s="78"/>
    </row>
    <row r="5333" s="13" customFormat="1" hidden="1" spans="1:12">
      <c r="A5333" s="76">
        <v>15733</v>
      </c>
      <c r="B5333" s="77">
        <v>157</v>
      </c>
      <c r="D5333" s="13" t="s">
        <v>236</v>
      </c>
      <c r="E5333" s="13">
        <f>73/30</f>
        <v>2.43333333333333</v>
      </c>
      <c r="F5333" s="13">
        <v>0</v>
      </c>
      <c r="G5333" s="13">
        <v>0</v>
      </c>
      <c r="L5333" s="78"/>
    </row>
    <row r="5334" s="13" customFormat="1" hidden="1" spans="1:12">
      <c r="A5334" s="76">
        <v>15734</v>
      </c>
      <c r="B5334" s="77">
        <v>157</v>
      </c>
      <c r="D5334" s="13" t="s">
        <v>264</v>
      </c>
      <c r="E5334" s="13">
        <f>60/30</f>
        <v>2</v>
      </c>
      <c r="F5334" s="13">
        <v>0</v>
      </c>
      <c r="G5334" s="13">
        <v>0</v>
      </c>
      <c r="L5334" s="78"/>
    </row>
    <row r="5335" s="13" customFormat="1" hidden="1" spans="1:12">
      <c r="A5335" s="76">
        <v>15735</v>
      </c>
      <c r="B5335" s="77">
        <v>157</v>
      </c>
      <c r="D5335" s="13" t="s">
        <v>130</v>
      </c>
      <c r="E5335" s="13">
        <f>40/30</f>
        <v>1.33333333333333</v>
      </c>
      <c r="F5335" s="13">
        <v>0</v>
      </c>
      <c r="G5335" s="13">
        <v>0</v>
      </c>
      <c r="L5335" s="78"/>
    </row>
    <row r="5336" s="13" customFormat="1" hidden="1" spans="1:12">
      <c r="A5336" s="76">
        <v>15736</v>
      </c>
      <c r="B5336" s="77">
        <v>157</v>
      </c>
      <c r="D5336" s="13" t="s">
        <v>2629</v>
      </c>
      <c r="E5336" s="13">
        <f>65/30</f>
        <v>2.16666666666667</v>
      </c>
      <c r="F5336" s="13">
        <v>0</v>
      </c>
      <c r="G5336" s="13">
        <v>0</v>
      </c>
      <c r="L5336" s="78"/>
    </row>
    <row r="5337" s="13" customFormat="1" hidden="1" spans="1:12">
      <c r="A5337" s="76">
        <v>15737</v>
      </c>
      <c r="B5337" s="77">
        <v>157</v>
      </c>
      <c r="D5337" s="13" t="s">
        <v>268</v>
      </c>
      <c r="E5337" s="13">
        <f>85/30</f>
        <v>2.83333333333333</v>
      </c>
      <c r="F5337" s="13">
        <v>0</v>
      </c>
      <c r="G5337" s="13">
        <v>0</v>
      </c>
      <c r="L5337" s="78"/>
    </row>
    <row r="5338" s="13" customFormat="1" hidden="1" spans="1:12">
      <c r="A5338" s="76">
        <v>15738</v>
      </c>
      <c r="B5338" s="77">
        <v>157</v>
      </c>
      <c r="D5338" s="13" t="s">
        <v>266</v>
      </c>
      <c r="E5338" s="13">
        <f>40/30</f>
        <v>1.33333333333333</v>
      </c>
      <c r="F5338" s="13">
        <v>0</v>
      </c>
      <c r="G5338" s="13">
        <v>0</v>
      </c>
      <c r="L5338" s="78"/>
    </row>
    <row r="5339" s="13" customFormat="1" hidden="1" spans="1:12">
      <c r="A5339" s="76">
        <v>15739</v>
      </c>
      <c r="B5339" s="77">
        <v>157</v>
      </c>
      <c r="D5339" s="13" t="s">
        <v>2633</v>
      </c>
      <c r="E5339" s="13">
        <f>32/30</f>
        <v>1.06666666666667</v>
      </c>
      <c r="F5339" s="13">
        <v>0</v>
      </c>
      <c r="G5339" s="13">
        <v>0</v>
      </c>
      <c r="L5339" s="78"/>
    </row>
    <row r="5340" s="13" customFormat="1" hidden="1" spans="1:12">
      <c r="A5340" s="76">
        <v>15740</v>
      </c>
      <c r="B5340" s="77">
        <v>157</v>
      </c>
      <c r="D5340" s="13" t="s">
        <v>204</v>
      </c>
      <c r="E5340" s="13">
        <f>65/30</f>
        <v>2.16666666666667</v>
      </c>
      <c r="F5340" s="13">
        <v>0</v>
      </c>
      <c r="G5340" s="13">
        <v>0</v>
      </c>
      <c r="L5340" s="78"/>
    </row>
    <row r="5341" s="13" customFormat="1" hidden="1" spans="1:12">
      <c r="A5341" s="76">
        <v>15741</v>
      </c>
      <c r="B5341" s="77">
        <v>157</v>
      </c>
      <c r="D5341" s="13" t="s">
        <v>52</v>
      </c>
      <c r="E5341" s="13">
        <v>11.6666666666667</v>
      </c>
      <c r="F5341" s="13">
        <v>0</v>
      </c>
      <c r="G5341" s="13">
        <v>0</v>
      </c>
      <c r="L5341" s="78"/>
    </row>
    <row r="5342" s="13" customFormat="1" hidden="1" spans="1:12">
      <c r="A5342" s="76" t="s">
        <v>5253</v>
      </c>
      <c r="B5342" s="77">
        <v>4015701</v>
      </c>
      <c r="D5342" s="13" t="s">
        <v>36</v>
      </c>
      <c r="E5342" s="13">
        <f>110/30</f>
        <v>3.66666666666667</v>
      </c>
      <c r="F5342" s="13">
        <v>0</v>
      </c>
      <c r="G5342" s="13">
        <v>0</v>
      </c>
      <c r="L5342" s="78"/>
    </row>
    <row r="5343" s="13" customFormat="1" hidden="1" spans="1:12">
      <c r="A5343" s="76" t="s">
        <v>5254</v>
      </c>
      <c r="B5343" s="77">
        <v>4015701</v>
      </c>
      <c r="D5343" s="13" t="s">
        <v>38</v>
      </c>
      <c r="E5343" s="13">
        <f>141/30</f>
        <v>4.7</v>
      </c>
      <c r="F5343" s="13">
        <v>0</v>
      </c>
      <c r="G5343" s="13">
        <v>0</v>
      </c>
      <c r="L5343" s="78"/>
    </row>
    <row r="5344" s="13" customFormat="1" hidden="1" spans="1:12">
      <c r="A5344" s="76" t="s">
        <v>5255</v>
      </c>
      <c r="B5344" s="77">
        <v>4015701</v>
      </c>
      <c r="D5344" s="13" t="s">
        <v>40</v>
      </c>
      <c r="E5344" s="13">
        <f>175/30</f>
        <v>5.83333333333333</v>
      </c>
      <c r="F5344" s="13">
        <v>0</v>
      </c>
      <c r="G5344" s="13">
        <v>0</v>
      </c>
      <c r="L5344" s="78"/>
    </row>
    <row r="5345" s="13" customFormat="1" hidden="1" spans="1:12">
      <c r="A5345" s="76" t="s">
        <v>5256</v>
      </c>
      <c r="B5345" s="77">
        <v>4015701</v>
      </c>
      <c r="D5345" s="13" t="s">
        <v>42</v>
      </c>
      <c r="E5345" s="13">
        <f>60/30</f>
        <v>2</v>
      </c>
      <c r="F5345" s="13">
        <v>0</v>
      </c>
      <c r="G5345" s="13">
        <v>0</v>
      </c>
      <c r="L5345" s="78"/>
    </row>
    <row r="5346" s="13" customFormat="1" hidden="1" spans="1:12">
      <c r="A5346" s="76" t="s">
        <v>5257</v>
      </c>
      <c r="B5346" s="77">
        <v>4015701</v>
      </c>
      <c r="D5346" s="13" t="s">
        <v>44</v>
      </c>
      <c r="E5346" s="13">
        <f>254/30</f>
        <v>8.46666666666667</v>
      </c>
      <c r="F5346" s="13">
        <v>0</v>
      </c>
      <c r="G5346" s="13">
        <v>0</v>
      </c>
      <c r="L5346" s="78"/>
    </row>
    <row r="5347" s="13" customFormat="1" hidden="1" spans="1:12">
      <c r="A5347" s="76" t="s">
        <v>5258</v>
      </c>
      <c r="B5347" s="77">
        <v>4015701</v>
      </c>
      <c r="D5347" s="13" t="s">
        <v>46</v>
      </c>
      <c r="E5347" s="13">
        <f>442/30</f>
        <v>14.7333333333333</v>
      </c>
      <c r="F5347" s="13">
        <v>0</v>
      </c>
      <c r="G5347" s="13">
        <v>0</v>
      </c>
      <c r="L5347" s="78"/>
    </row>
    <row r="5348" s="13" customFormat="1" hidden="1" spans="1:12">
      <c r="A5348" s="76" t="s">
        <v>5259</v>
      </c>
      <c r="B5348" s="77">
        <v>4015701</v>
      </c>
      <c r="D5348" s="13" t="s">
        <v>86</v>
      </c>
      <c r="E5348" s="13">
        <f>306/30</f>
        <v>10.2</v>
      </c>
      <c r="F5348" s="13">
        <v>0</v>
      </c>
      <c r="G5348" s="13">
        <v>0</v>
      </c>
      <c r="L5348" s="78"/>
    </row>
    <row r="5349" s="13" customFormat="1" hidden="1" spans="1:12">
      <c r="A5349" s="76" t="s">
        <v>5260</v>
      </c>
      <c r="B5349" s="77">
        <v>4015701</v>
      </c>
      <c r="D5349" s="13" t="s">
        <v>50</v>
      </c>
      <c r="E5349" s="13">
        <f>465/30</f>
        <v>15.5</v>
      </c>
      <c r="F5349" s="13">
        <v>0</v>
      </c>
      <c r="G5349" s="13">
        <v>0</v>
      </c>
      <c r="L5349" s="78"/>
    </row>
    <row r="5350" s="13" customFormat="1" hidden="1" spans="1:12">
      <c r="A5350" s="76" t="s">
        <v>5261</v>
      </c>
      <c r="B5350" s="77">
        <v>4015701</v>
      </c>
      <c r="D5350" s="13" t="s">
        <v>90</v>
      </c>
      <c r="E5350" s="13">
        <f>150/30</f>
        <v>5</v>
      </c>
      <c r="F5350" s="13">
        <v>0</v>
      </c>
      <c r="G5350" s="13">
        <v>0</v>
      </c>
      <c r="L5350" s="78"/>
    </row>
    <row r="5351" s="13" customFormat="1" hidden="1" spans="1:12">
      <c r="A5351" s="76" t="s">
        <v>5262</v>
      </c>
      <c r="B5351" s="77">
        <v>4015701</v>
      </c>
      <c r="D5351" s="13" t="s">
        <v>48</v>
      </c>
      <c r="E5351" s="13">
        <f>214/30</f>
        <v>7.13333333333333</v>
      </c>
      <c r="F5351" s="13">
        <v>0</v>
      </c>
      <c r="G5351" s="13">
        <v>0</v>
      </c>
      <c r="L5351" s="78"/>
    </row>
    <row r="5352" s="13" customFormat="1" hidden="1" spans="1:12">
      <c r="A5352" s="76" t="s">
        <v>5263</v>
      </c>
      <c r="B5352" s="77">
        <v>4015701</v>
      </c>
      <c r="D5352" s="13" t="s">
        <v>1047</v>
      </c>
      <c r="E5352" s="13">
        <f>60/30</f>
        <v>2</v>
      </c>
      <c r="F5352" s="13">
        <v>0</v>
      </c>
      <c r="G5352" s="13">
        <v>0</v>
      </c>
      <c r="L5352" s="78"/>
    </row>
    <row r="5353" s="13" customFormat="1" hidden="1" spans="1:12">
      <c r="A5353" s="76" t="s">
        <v>5264</v>
      </c>
      <c r="B5353" s="77">
        <v>4015701</v>
      </c>
      <c r="D5353" s="13" t="s">
        <v>2818</v>
      </c>
      <c r="E5353" s="13">
        <f>89/30</f>
        <v>2.96666666666667</v>
      </c>
      <c r="F5353" s="13">
        <v>0</v>
      </c>
      <c r="G5353" s="13">
        <v>0</v>
      </c>
      <c r="L5353" s="78"/>
    </row>
    <row r="5354" s="13" customFormat="1" hidden="1" spans="1:12">
      <c r="A5354" s="76" t="s">
        <v>5265</v>
      </c>
      <c r="B5354" s="77">
        <v>4015701</v>
      </c>
      <c r="D5354" s="13" t="s">
        <v>5249</v>
      </c>
      <c r="E5354" s="13">
        <f>89/30</f>
        <v>2.96666666666667</v>
      </c>
      <c r="F5354" s="13">
        <v>0</v>
      </c>
      <c r="G5354" s="13">
        <v>0</v>
      </c>
      <c r="L5354" s="78"/>
    </row>
    <row r="5355" s="13" customFormat="1" hidden="1" spans="1:12">
      <c r="A5355" s="76" t="s">
        <v>5266</v>
      </c>
      <c r="B5355" s="77">
        <v>4015701</v>
      </c>
      <c r="D5355" s="13" t="s">
        <v>2198</v>
      </c>
      <c r="E5355" s="13">
        <f>40/30</f>
        <v>1.33333333333333</v>
      </c>
      <c r="F5355" s="13">
        <v>1</v>
      </c>
      <c r="G5355" s="13">
        <v>0</v>
      </c>
      <c r="L5355" s="78"/>
    </row>
    <row r="5356" s="13" customFormat="1" hidden="1" spans="1:12">
      <c r="A5356" s="76" t="s">
        <v>5267</v>
      </c>
      <c r="B5356" s="77">
        <v>4015701</v>
      </c>
      <c r="D5356" s="13" t="s">
        <v>2182</v>
      </c>
      <c r="E5356" s="13">
        <f>38/30</f>
        <v>1.26666666666667</v>
      </c>
      <c r="F5356" s="13">
        <v>0</v>
      </c>
      <c r="G5356" s="13">
        <v>0</v>
      </c>
      <c r="L5356" s="78"/>
    </row>
    <row r="5357" s="13" customFormat="1" hidden="1" spans="1:12">
      <c r="A5357" s="76" t="s">
        <v>5268</v>
      </c>
      <c r="B5357" s="77">
        <v>4015701</v>
      </c>
      <c r="D5357" s="13" t="s">
        <v>2184</v>
      </c>
      <c r="E5357" s="13">
        <f>40/30</f>
        <v>1.33333333333333</v>
      </c>
      <c r="F5357" s="13">
        <v>0</v>
      </c>
      <c r="G5357" s="13">
        <v>0</v>
      </c>
      <c r="L5357" s="78"/>
    </row>
    <row r="5358" s="13" customFormat="1" hidden="1" spans="1:12">
      <c r="A5358" s="76" t="s">
        <v>5269</v>
      </c>
      <c r="B5358" s="77">
        <v>4015701</v>
      </c>
      <c r="D5358" s="13" t="s">
        <v>2186</v>
      </c>
      <c r="E5358" s="13">
        <f>43/30</f>
        <v>1.43333333333333</v>
      </c>
      <c r="F5358" s="13">
        <v>0</v>
      </c>
      <c r="G5358" s="13">
        <v>0</v>
      </c>
      <c r="L5358" s="78"/>
    </row>
    <row r="5359" s="13" customFormat="1" hidden="1" spans="1:12">
      <c r="A5359" s="76" t="s">
        <v>5270</v>
      </c>
      <c r="B5359" s="77">
        <v>4015701</v>
      </c>
      <c r="D5359" s="13" t="s">
        <v>5250</v>
      </c>
      <c r="E5359" s="13">
        <f>100/30</f>
        <v>3.33333333333333</v>
      </c>
      <c r="F5359" s="13">
        <v>0</v>
      </c>
      <c r="G5359" s="13">
        <v>0</v>
      </c>
      <c r="L5359" s="78"/>
    </row>
    <row r="5360" s="13" customFormat="1" hidden="1" spans="1:12">
      <c r="A5360" s="76" t="s">
        <v>5271</v>
      </c>
      <c r="B5360" s="77">
        <v>4015701</v>
      </c>
      <c r="D5360" s="13" t="s">
        <v>2188</v>
      </c>
      <c r="E5360" s="13">
        <f>22/30</f>
        <v>0.733333333333333</v>
      </c>
      <c r="F5360" s="13">
        <v>0</v>
      </c>
      <c r="G5360" s="13">
        <v>0</v>
      </c>
      <c r="L5360" s="78"/>
    </row>
    <row r="5361" s="13" customFormat="1" hidden="1" spans="1:12">
      <c r="A5361" s="76" t="s">
        <v>5272</v>
      </c>
      <c r="B5361" s="77">
        <v>4015701</v>
      </c>
      <c r="D5361" s="13" t="s">
        <v>2190</v>
      </c>
      <c r="E5361" s="13">
        <f>21/30</f>
        <v>0.7</v>
      </c>
      <c r="F5361" s="13">
        <v>0</v>
      </c>
      <c r="G5361" s="13">
        <v>0</v>
      </c>
      <c r="L5361" s="78"/>
    </row>
    <row r="5362" s="13" customFormat="1" hidden="1" spans="1:12">
      <c r="A5362" s="76" t="s">
        <v>5273</v>
      </c>
      <c r="B5362" s="77">
        <v>4015701</v>
      </c>
      <c r="D5362" s="13" t="s">
        <v>2192</v>
      </c>
      <c r="E5362" s="13">
        <f>22/30</f>
        <v>0.733333333333333</v>
      </c>
      <c r="F5362" s="13">
        <v>0</v>
      </c>
      <c r="G5362" s="13">
        <v>0</v>
      </c>
      <c r="L5362" s="78"/>
    </row>
    <row r="5363" s="13" customFormat="1" hidden="1" spans="1:12">
      <c r="A5363" s="76" t="s">
        <v>5274</v>
      </c>
      <c r="B5363" s="77">
        <v>4015701</v>
      </c>
      <c r="D5363" s="13" t="s">
        <v>2194</v>
      </c>
      <c r="E5363" s="13">
        <f>20/30</f>
        <v>0.666666666666667</v>
      </c>
      <c r="F5363" s="13">
        <v>0</v>
      </c>
      <c r="G5363" s="13">
        <v>0</v>
      </c>
      <c r="L5363" s="78"/>
    </row>
    <row r="5364" s="13" customFormat="1" hidden="1" spans="1:12">
      <c r="A5364" s="76" t="s">
        <v>5275</v>
      </c>
      <c r="B5364" s="77">
        <v>4015701</v>
      </c>
      <c r="D5364" s="13" t="s">
        <v>300</v>
      </c>
      <c r="E5364" s="13">
        <f>24/30</f>
        <v>0.8</v>
      </c>
      <c r="F5364" s="13">
        <v>0</v>
      </c>
      <c r="G5364" s="13">
        <v>0</v>
      </c>
      <c r="L5364" s="78"/>
    </row>
    <row r="5365" s="13" customFormat="1" hidden="1" spans="1:12">
      <c r="A5365" s="76" t="s">
        <v>5276</v>
      </c>
      <c r="B5365" s="77">
        <v>4015701</v>
      </c>
      <c r="D5365" s="13" t="s">
        <v>2178</v>
      </c>
      <c r="E5365" s="13">
        <f>24/30</f>
        <v>0.8</v>
      </c>
      <c r="F5365" s="13">
        <v>0</v>
      </c>
      <c r="G5365" s="13">
        <v>0</v>
      </c>
      <c r="L5365" s="78"/>
    </row>
    <row r="5366" s="13" customFormat="1" hidden="1" spans="1:12">
      <c r="A5366" s="76" t="s">
        <v>5277</v>
      </c>
      <c r="B5366" s="77">
        <v>4015701</v>
      </c>
      <c r="D5366" s="13" t="s">
        <v>2196</v>
      </c>
      <c r="E5366" s="13">
        <f>38/30</f>
        <v>1.26666666666667</v>
      </c>
      <c r="F5366" s="13">
        <v>0</v>
      </c>
      <c r="G5366" s="13">
        <v>0</v>
      </c>
      <c r="L5366" s="78"/>
    </row>
    <row r="5367" s="13" customFormat="1" hidden="1" spans="1:12">
      <c r="A5367" s="76" t="s">
        <v>5278</v>
      </c>
      <c r="B5367" s="77">
        <v>4015701</v>
      </c>
      <c r="D5367" s="13" t="s">
        <v>92</v>
      </c>
      <c r="E5367" s="13">
        <f>75/30</f>
        <v>2.5</v>
      </c>
      <c r="F5367" s="13">
        <v>0</v>
      </c>
      <c r="G5367" s="13">
        <v>0</v>
      </c>
      <c r="L5367" s="78"/>
    </row>
    <row r="5368" s="13" customFormat="1" hidden="1" spans="1:12">
      <c r="A5368" s="76" t="s">
        <v>5279</v>
      </c>
      <c r="B5368" s="77">
        <v>4015701</v>
      </c>
      <c r="D5368" s="13" t="s">
        <v>109</v>
      </c>
      <c r="E5368" s="13">
        <f>85/30</f>
        <v>2.83333333333333</v>
      </c>
      <c r="F5368" s="13">
        <v>0</v>
      </c>
      <c r="G5368" s="13">
        <v>0</v>
      </c>
      <c r="L5368" s="78"/>
    </row>
    <row r="5369" s="13" customFormat="1" hidden="1" spans="1:12">
      <c r="A5369" s="76" t="s">
        <v>5280</v>
      </c>
      <c r="B5369" s="77">
        <v>4015701</v>
      </c>
      <c r="D5369" s="13" t="s">
        <v>77</v>
      </c>
      <c r="E5369" s="13">
        <f>87/30</f>
        <v>2.9</v>
      </c>
      <c r="F5369" s="13">
        <v>0</v>
      </c>
      <c r="G5369" s="13">
        <v>0</v>
      </c>
      <c r="L5369" s="78"/>
    </row>
    <row r="5370" s="13" customFormat="1" hidden="1" spans="1:12">
      <c r="A5370" s="76" t="s">
        <v>5281</v>
      </c>
      <c r="B5370" s="77">
        <v>4015701</v>
      </c>
      <c r="D5370" s="13" t="s">
        <v>54</v>
      </c>
      <c r="E5370" s="13">
        <f>67/30</f>
        <v>2.23333333333333</v>
      </c>
      <c r="F5370" s="13">
        <v>0</v>
      </c>
      <c r="G5370" s="13">
        <v>0</v>
      </c>
      <c r="L5370" s="78"/>
    </row>
    <row r="5371" s="13" customFormat="1" hidden="1" spans="1:12">
      <c r="A5371" s="76" t="s">
        <v>5282</v>
      </c>
      <c r="B5371" s="77">
        <v>4015701</v>
      </c>
      <c r="D5371" s="13" t="s">
        <v>57</v>
      </c>
      <c r="E5371" s="13">
        <f>96/30</f>
        <v>3.2</v>
      </c>
      <c r="F5371" s="13">
        <v>0</v>
      </c>
      <c r="G5371" s="13" t="s">
        <v>942</v>
      </c>
      <c r="H5371" s="13" t="s">
        <v>943</v>
      </c>
      <c r="I5371" s="13" t="s">
        <v>5251</v>
      </c>
      <c r="J5371" s="13" t="s">
        <v>5252</v>
      </c>
      <c r="K5371" s="13" t="s">
        <v>1869</v>
      </c>
      <c r="L5371" s="78"/>
    </row>
    <row r="5372" s="13" customFormat="1" hidden="1" spans="1:12">
      <c r="A5372" s="76" t="s">
        <v>5283</v>
      </c>
      <c r="B5372" s="77">
        <v>4015701</v>
      </c>
      <c r="D5372" s="13" t="s">
        <v>2618</v>
      </c>
      <c r="E5372" s="13">
        <f>60/30</f>
        <v>2</v>
      </c>
      <c r="F5372" s="13">
        <v>0</v>
      </c>
      <c r="G5372" s="13">
        <v>0</v>
      </c>
      <c r="L5372" s="78"/>
    </row>
    <row r="5373" s="13" customFormat="1" hidden="1" spans="1:12">
      <c r="A5373" s="76" t="s">
        <v>5284</v>
      </c>
      <c r="B5373" s="77">
        <v>4015701</v>
      </c>
      <c r="D5373" s="13" t="s">
        <v>261</v>
      </c>
      <c r="E5373" s="13">
        <f>22/30</f>
        <v>0.733333333333333</v>
      </c>
      <c r="F5373" s="13">
        <v>0</v>
      </c>
      <c r="G5373" s="13">
        <v>0</v>
      </c>
      <c r="L5373" s="78"/>
    </row>
    <row r="5374" s="13" customFormat="1" hidden="1" spans="1:12">
      <c r="A5374" s="76" t="s">
        <v>5285</v>
      </c>
      <c r="B5374" s="77">
        <v>4015701</v>
      </c>
      <c r="D5374" s="13" t="s">
        <v>236</v>
      </c>
      <c r="E5374" s="13">
        <f>73/30</f>
        <v>2.43333333333333</v>
      </c>
      <c r="F5374" s="13">
        <v>0</v>
      </c>
      <c r="G5374" s="13">
        <v>0</v>
      </c>
      <c r="L5374" s="78"/>
    </row>
    <row r="5375" s="13" customFormat="1" hidden="1" spans="1:12">
      <c r="A5375" s="76" t="s">
        <v>5286</v>
      </c>
      <c r="B5375" s="77">
        <v>4015701</v>
      </c>
      <c r="D5375" s="13" t="s">
        <v>264</v>
      </c>
      <c r="E5375" s="13">
        <f>60/30</f>
        <v>2</v>
      </c>
      <c r="F5375" s="13">
        <v>0</v>
      </c>
      <c r="G5375" s="13">
        <v>0</v>
      </c>
      <c r="L5375" s="78"/>
    </row>
    <row r="5376" s="13" customFormat="1" hidden="1" spans="1:12">
      <c r="A5376" s="76" t="s">
        <v>5287</v>
      </c>
      <c r="B5376" s="77">
        <v>4015701</v>
      </c>
      <c r="D5376" s="13" t="s">
        <v>130</v>
      </c>
      <c r="E5376" s="13">
        <f>40/30</f>
        <v>1.33333333333333</v>
      </c>
      <c r="F5376" s="13">
        <v>0</v>
      </c>
      <c r="G5376" s="13">
        <v>0</v>
      </c>
      <c r="L5376" s="78"/>
    </row>
    <row r="5377" s="13" customFormat="1" hidden="1" spans="1:12">
      <c r="A5377" s="76" t="s">
        <v>5288</v>
      </c>
      <c r="B5377" s="77">
        <v>4015701</v>
      </c>
      <c r="D5377" s="13" t="s">
        <v>2629</v>
      </c>
      <c r="E5377" s="13">
        <f>65/30</f>
        <v>2.16666666666667</v>
      </c>
      <c r="F5377" s="13">
        <v>0</v>
      </c>
      <c r="G5377" s="13">
        <v>0</v>
      </c>
      <c r="L5377" s="78"/>
    </row>
    <row r="5378" s="13" customFormat="1" hidden="1" spans="1:12">
      <c r="A5378" s="76" t="s">
        <v>5289</v>
      </c>
      <c r="B5378" s="77">
        <v>4015701</v>
      </c>
      <c r="D5378" s="13" t="s">
        <v>268</v>
      </c>
      <c r="E5378" s="13">
        <f>85/30</f>
        <v>2.83333333333333</v>
      </c>
      <c r="F5378" s="13">
        <v>0</v>
      </c>
      <c r="G5378" s="13">
        <v>0</v>
      </c>
      <c r="L5378" s="78"/>
    </row>
    <row r="5379" s="13" customFormat="1" hidden="1" spans="1:12">
      <c r="A5379" s="76" t="s">
        <v>5290</v>
      </c>
      <c r="B5379" s="77">
        <v>4015701</v>
      </c>
      <c r="D5379" s="13" t="s">
        <v>266</v>
      </c>
      <c r="E5379" s="13">
        <f>40/30</f>
        <v>1.33333333333333</v>
      </c>
      <c r="F5379" s="13">
        <v>0</v>
      </c>
      <c r="G5379" s="13">
        <v>0</v>
      </c>
      <c r="L5379" s="78"/>
    </row>
    <row r="5380" s="13" customFormat="1" hidden="1" spans="1:12">
      <c r="A5380" s="76" t="s">
        <v>5291</v>
      </c>
      <c r="B5380" s="77">
        <v>4015701</v>
      </c>
      <c r="D5380" s="13" t="s">
        <v>2633</v>
      </c>
      <c r="E5380" s="13">
        <f>32/30</f>
        <v>1.06666666666667</v>
      </c>
      <c r="F5380" s="13">
        <v>0</v>
      </c>
      <c r="G5380" s="13">
        <v>0</v>
      </c>
      <c r="L5380" s="78"/>
    </row>
    <row r="5381" s="13" customFormat="1" hidden="1" spans="1:12">
      <c r="A5381" s="76" t="s">
        <v>5292</v>
      </c>
      <c r="B5381" s="77">
        <v>4015701</v>
      </c>
      <c r="D5381" s="13" t="s">
        <v>204</v>
      </c>
      <c r="E5381" s="13">
        <f>65/30</f>
        <v>2.16666666666667</v>
      </c>
      <c r="F5381" s="13">
        <v>0</v>
      </c>
      <c r="G5381" s="13">
        <v>0</v>
      </c>
      <c r="L5381" s="78"/>
    </row>
    <row r="5382" s="13" customFormat="1" hidden="1" spans="1:12">
      <c r="A5382" s="76" t="s">
        <v>5293</v>
      </c>
      <c r="B5382" s="77">
        <v>4015701</v>
      </c>
      <c r="D5382" s="13" t="s">
        <v>52</v>
      </c>
      <c r="E5382" s="13">
        <v>11.6666666666667</v>
      </c>
      <c r="F5382" s="13">
        <v>0</v>
      </c>
      <c r="G5382" s="13">
        <v>0</v>
      </c>
      <c r="L5382" s="78"/>
    </row>
    <row r="5383" hidden="1" spans="1:11">
      <c r="A5383" s="144" t="s">
        <v>5294</v>
      </c>
      <c r="B5383" s="145">
        <v>407801</v>
      </c>
      <c r="C5383" s="25">
        <v>3</v>
      </c>
      <c r="D5383" s="25" t="s">
        <v>36</v>
      </c>
      <c r="E5383" s="25">
        <f>85/30</f>
        <v>2.83333333333333</v>
      </c>
      <c r="F5383" s="25">
        <v>0</v>
      </c>
      <c r="G5383" s="25"/>
      <c r="H5383" s="25"/>
      <c r="I5383" s="25"/>
      <c r="J5383" s="25"/>
      <c r="K5383" s="25"/>
    </row>
    <row r="5384" hidden="1" spans="1:11">
      <c r="A5384" s="144" t="s">
        <v>5295</v>
      </c>
      <c r="B5384" s="145">
        <v>407801</v>
      </c>
      <c r="C5384" s="25">
        <v>3</v>
      </c>
      <c r="D5384" s="25" t="s">
        <v>38</v>
      </c>
      <c r="E5384" s="25">
        <f>170/30</f>
        <v>5.66666666666667</v>
      </c>
      <c r="F5384" s="25">
        <v>0</v>
      </c>
      <c r="G5384" s="25"/>
      <c r="H5384" s="25"/>
      <c r="I5384" s="25"/>
      <c r="J5384" s="25"/>
      <c r="K5384" s="25"/>
    </row>
    <row r="5385" hidden="1" spans="1:11">
      <c r="A5385" s="144" t="s">
        <v>5296</v>
      </c>
      <c r="B5385" s="145">
        <v>407801</v>
      </c>
      <c r="C5385" s="25">
        <v>3</v>
      </c>
      <c r="D5385" s="25" t="s">
        <v>40</v>
      </c>
      <c r="E5385" s="25">
        <f>145/30</f>
        <v>4.83333333333333</v>
      </c>
      <c r="F5385" s="25">
        <v>0</v>
      </c>
      <c r="G5385" s="25"/>
      <c r="H5385" s="25"/>
      <c r="I5385" s="25"/>
      <c r="J5385" s="25"/>
      <c r="K5385" s="25"/>
    </row>
    <row r="5386" hidden="1" spans="1:11">
      <c r="A5386" s="144" t="s">
        <v>5297</v>
      </c>
      <c r="B5386" s="145">
        <v>407801</v>
      </c>
      <c r="C5386" s="25">
        <v>3</v>
      </c>
      <c r="D5386" s="25" t="s">
        <v>42</v>
      </c>
      <c r="E5386" s="25">
        <f>100/30</f>
        <v>3.33333333333333</v>
      </c>
      <c r="F5386" s="25">
        <v>0</v>
      </c>
      <c r="G5386" s="25"/>
      <c r="H5386" s="25"/>
      <c r="I5386" s="25"/>
      <c r="J5386" s="25"/>
      <c r="K5386" s="25"/>
    </row>
    <row r="5387" hidden="1" spans="1:11">
      <c r="A5387" s="144" t="s">
        <v>5298</v>
      </c>
      <c r="B5387" s="145">
        <v>407801</v>
      </c>
      <c r="C5387" s="25">
        <v>3</v>
      </c>
      <c r="D5387" s="25" t="s">
        <v>44</v>
      </c>
      <c r="E5387" s="25">
        <f>84/30</f>
        <v>2.8</v>
      </c>
      <c r="F5387" s="25">
        <v>0</v>
      </c>
      <c r="G5387" s="25"/>
      <c r="H5387" s="25"/>
      <c r="I5387" s="25"/>
      <c r="J5387" s="25"/>
      <c r="K5387" s="25"/>
    </row>
    <row r="5388" hidden="1" spans="1:11">
      <c r="A5388" s="144" t="s">
        <v>5299</v>
      </c>
      <c r="B5388" s="145">
        <v>407801</v>
      </c>
      <c r="C5388" s="25">
        <v>3</v>
      </c>
      <c r="D5388" s="25" t="s">
        <v>46</v>
      </c>
      <c r="E5388" s="25">
        <f>185/30</f>
        <v>6.16666666666667</v>
      </c>
      <c r="F5388" s="25">
        <v>0</v>
      </c>
      <c r="G5388" s="25"/>
      <c r="H5388" s="25"/>
      <c r="I5388" s="25"/>
      <c r="J5388" s="25"/>
      <c r="K5388" s="25"/>
    </row>
    <row r="5389" hidden="1" spans="1:11">
      <c r="A5389" s="144" t="s">
        <v>5300</v>
      </c>
      <c r="B5389" s="145">
        <v>407801</v>
      </c>
      <c r="C5389" s="25">
        <v>3</v>
      </c>
      <c r="D5389" s="25" t="s">
        <v>86</v>
      </c>
      <c r="E5389" s="25">
        <f>220/30</f>
        <v>7.33333333333333</v>
      </c>
      <c r="F5389" s="25">
        <v>0</v>
      </c>
      <c r="G5389" s="25"/>
      <c r="H5389" s="25"/>
      <c r="I5389" s="25"/>
      <c r="J5389" s="25"/>
      <c r="K5389" s="25"/>
    </row>
    <row r="5390" hidden="1" spans="1:11">
      <c r="A5390" s="144" t="s">
        <v>5301</v>
      </c>
      <c r="B5390" s="145">
        <v>407801</v>
      </c>
      <c r="C5390" s="25">
        <v>3</v>
      </c>
      <c r="D5390" s="25" t="s">
        <v>50</v>
      </c>
      <c r="E5390" s="25">
        <f>420/30</f>
        <v>14</v>
      </c>
      <c r="F5390" s="25">
        <v>0</v>
      </c>
      <c r="G5390" s="25"/>
      <c r="H5390" s="25"/>
      <c r="I5390" s="25"/>
      <c r="J5390" s="25"/>
      <c r="K5390" s="25"/>
    </row>
    <row r="5391" hidden="1" spans="1:11">
      <c r="A5391" s="144" t="s">
        <v>5302</v>
      </c>
      <c r="B5391" s="145">
        <v>407801</v>
      </c>
      <c r="C5391" s="25">
        <v>3</v>
      </c>
      <c r="D5391" s="25" t="s">
        <v>1406</v>
      </c>
      <c r="E5391" s="25">
        <f>140/30</f>
        <v>4.66666666666667</v>
      </c>
      <c r="F5391" s="25">
        <v>0</v>
      </c>
      <c r="G5391" s="25"/>
      <c r="H5391" s="25"/>
      <c r="I5391" s="25"/>
      <c r="J5391" s="25"/>
      <c r="K5391" s="25"/>
    </row>
    <row r="5392" hidden="1" spans="1:11">
      <c r="A5392" s="144" t="s">
        <v>5303</v>
      </c>
      <c r="B5392" s="145">
        <v>407801</v>
      </c>
      <c r="C5392" s="25">
        <v>3</v>
      </c>
      <c r="D5392" s="25" t="s">
        <v>1408</v>
      </c>
      <c r="E5392" s="25">
        <v>1</v>
      </c>
      <c r="F5392" s="25">
        <v>0</v>
      </c>
      <c r="G5392" s="25">
        <v>0</v>
      </c>
      <c r="H5392" s="25">
        <v>2</v>
      </c>
      <c r="I5392" s="25">
        <v>1776</v>
      </c>
      <c r="J5392" s="25" t="s">
        <v>58</v>
      </c>
      <c r="K5392" s="25">
        <v>1</v>
      </c>
    </row>
    <row r="5393" hidden="1" spans="1:11">
      <c r="A5393" s="144" t="s">
        <v>5304</v>
      </c>
      <c r="B5393" s="145">
        <v>407801</v>
      </c>
      <c r="C5393" s="25">
        <v>3</v>
      </c>
      <c r="D5393" s="25" t="s">
        <v>92</v>
      </c>
      <c r="E5393" s="25">
        <v>3</v>
      </c>
      <c r="F5393" s="25">
        <v>0</v>
      </c>
      <c r="G5393" s="25">
        <v>0</v>
      </c>
      <c r="H5393" s="25">
        <v>2</v>
      </c>
      <c r="I5393" s="25">
        <v>1839</v>
      </c>
      <c r="J5393" s="25" t="s">
        <v>403</v>
      </c>
      <c r="K5393" s="25">
        <v>1</v>
      </c>
    </row>
    <row r="5394" s="1" customFormat="1" spans="1:14">
      <c r="A5394" s="5" t="s">
        <v>5305</v>
      </c>
      <c r="B5394" s="54">
        <v>405003</v>
      </c>
      <c r="C5394" s="1">
        <v>3</v>
      </c>
      <c r="D5394" s="1" t="s">
        <v>36</v>
      </c>
      <c r="E5394" s="1">
        <v>1.5</v>
      </c>
      <c r="F5394" s="1">
        <v>0</v>
      </c>
      <c r="L5394" s="7"/>
      <c r="N5394" s="1" t="s">
        <v>5306</v>
      </c>
    </row>
    <row r="5395" s="1" customFormat="1" spans="1:14">
      <c r="A5395" s="5" t="s">
        <v>5307</v>
      </c>
      <c r="B5395" s="54">
        <v>405003</v>
      </c>
      <c r="C5395" s="1">
        <v>3</v>
      </c>
      <c r="D5395" s="1" t="s">
        <v>38</v>
      </c>
      <c r="E5395" s="1">
        <v>1.83333333333333</v>
      </c>
      <c r="F5395" s="1">
        <v>0</v>
      </c>
      <c r="L5395" s="7"/>
      <c r="N5395" s="1" t="s">
        <v>5306</v>
      </c>
    </row>
    <row r="5396" s="1" customFormat="1" spans="1:14">
      <c r="A5396" s="5" t="s">
        <v>5308</v>
      </c>
      <c r="B5396" s="54">
        <v>405003</v>
      </c>
      <c r="C5396" s="1">
        <v>3</v>
      </c>
      <c r="D5396" s="1" t="s">
        <v>40</v>
      </c>
      <c r="E5396" s="1">
        <v>9.16666666666667</v>
      </c>
      <c r="F5396" s="1">
        <v>0</v>
      </c>
      <c r="G5396" s="1">
        <v>0</v>
      </c>
      <c r="L5396" s="7" t="s">
        <v>583</v>
      </c>
      <c r="N5396" s="1" t="s">
        <v>5306</v>
      </c>
    </row>
    <row r="5397" s="1" customFormat="1" spans="1:14">
      <c r="A5397" s="5" t="s">
        <v>5309</v>
      </c>
      <c r="B5397" s="54">
        <v>405003</v>
      </c>
      <c r="C5397" s="1">
        <v>3</v>
      </c>
      <c r="D5397" s="1" t="s">
        <v>42</v>
      </c>
      <c r="E5397" s="1">
        <v>6</v>
      </c>
      <c r="F5397" s="1">
        <v>0</v>
      </c>
      <c r="L5397" s="7"/>
      <c r="N5397" s="1" t="s">
        <v>5306</v>
      </c>
    </row>
    <row r="5398" s="1" customFormat="1" spans="1:14">
      <c r="A5398" s="5" t="s">
        <v>5310</v>
      </c>
      <c r="B5398" s="54">
        <v>405003</v>
      </c>
      <c r="C5398" s="1">
        <v>3</v>
      </c>
      <c r="D5398" s="1" t="s">
        <v>44</v>
      </c>
      <c r="E5398" s="1">
        <v>3.5</v>
      </c>
      <c r="F5398" s="1">
        <v>0</v>
      </c>
      <c r="L5398" s="7"/>
      <c r="N5398" s="1" t="s">
        <v>5306</v>
      </c>
    </row>
    <row r="5399" s="1" customFormat="1" spans="1:14">
      <c r="A5399" s="5" t="s">
        <v>5311</v>
      </c>
      <c r="B5399" s="54">
        <v>405003</v>
      </c>
      <c r="C5399" s="1">
        <v>3</v>
      </c>
      <c r="D5399" s="1" t="s">
        <v>46</v>
      </c>
      <c r="E5399" s="1">
        <v>3</v>
      </c>
      <c r="F5399" s="1">
        <v>0</v>
      </c>
      <c r="L5399" s="7"/>
      <c r="N5399" s="1" t="s">
        <v>5306</v>
      </c>
    </row>
    <row r="5400" s="1" customFormat="1" spans="1:14">
      <c r="A5400" s="5" t="s">
        <v>5312</v>
      </c>
      <c r="B5400" s="54">
        <v>405003</v>
      </c>
      <c r="C5400" s="1">
        <v>3</v>
      </c>
      <c r="D5400" s="1" t="s">
        <v>86</v>
      </c>
      <c r="E5400" s="1">
        <v>12.5</v>
      </c>
      <c r="F5400" s="1">
        <v>0</v>
      </c>
      <c r="G5400" s="1">
        <v>0</v>
      </c>
      <c r="L5400" s="7" t="s">
        <v>588</v>
      </c>
      <c r="N5400" s="1" t="s">
        <v>5306</v>
      </c>
    </row>
    <row r="5401" s="1" customFormat="1" spans="1:14">
      <c r="A5401" s="5" t="s">
        <v>5313</v>
      </c>
      <c r="B5401" s="54">
        <v>405003</v>
      </c>
      <c r="C5401" s="1">
        <v>3</v>
      </c>
      <c r="D5401" s="1" t="s">
        <v>50</v>
      </c>
      <c r="E5401" s="1">
        <v>3.16666666666667</v>
      </c>
      <c r="F5401" s="1">
        <v>0</v>
      </c>
      <c r="G5401" s="1">
        <v>0</v>
      </c>
      <c r="L5401" s="7" t="s">
        <v>590</v>
      </c>
      <c r="N5401" s="1" t="s">
        <v>5306</v>
      </c>
    </row>
    <row r="5402" s="1" customFormat="1" spans="1:14">
      <c r="A5402" s="5" t="s">
        <v>5314</v>
      </c>
      <c r="B5402" s="54">
        <v>405003</v>
      </c>
      <c r="C5402" s="1">
        <v>3</v>
      </c>
      <c r="D5402" s="1" t="s">
        <v>90</v>
      </c>
      <c r="E5402" s="1">
        <v>15</v>
      </c>
      <c r="F5402" s="1">
        <v>0</v>
      </c>
      <c r="G5402" s="1">
        <v>0</v>
      </c>
      <c r="L5402" s="7"/>
      <c r="N5402" s="1" t="s">
        <v>5306</v>
      </c>
    </row>
    <row r="5403" s="1" customFormat="1" spans="1:14">
      <c r="A5403" s="5" t="s">
        <v>5315</v>
      </c>
      <c r="B5403" s="54">
        <v>405003</v>
      </c>
      <c r="C5403" s="1">
        <v>3</v>
      </c>
      <c r="D5403" s="1" t="s">
        <v>48</v>
      </c>
      <c r="E5403" s="1">
        <v>2.5</v>
      </c>
      <c r="F5403" s="1">
        <v>0</v>
      </c>
      <c r="L5403" s="7"/>
      <c r="N5403" s="1" t="s">
        <v>5306</v>
      </c>
    </row>
    <row r="5404" s="12" customFormat="1" spans="1:14">
      <c r="A5404" s="61" t="s">
        <v>5316</v>
      </c>
      <c r="B5404" s="62">
        <v>405003</v>
      </c>
      <c r="C5404" s="12">
        <v>3</v>
      </c>
      <c r="D5404" s="12" t="s">
        <v>133</v>
      </c>
      <c r="E5404" s="12">
        <v>8.933</v>
      </c>
      <c r="F5404" s="12">
        <v>0</v>
      </c>
      <c r="G5404" s="12"/>
      <c r="H5404" s="12"/>
      <c r="I5404" s="12"/>
      <c r="J5404" s="12"/>
      <c r="K5404" s="12"/>
      <c r="L5404" s="64"/>
      <c r="N5404" s="12" t="s">
        <v>5306</v>
      </c>
    </row>
    <row r="5405" s="1" customFormat="1" spans="1:14">
      <c r="A5405" s="5" t="s">
        <v>5317</v>
      </c>
      <c r="B5405" s="54">
        <v>405003</v>
      </c>
      <c r="C5405" s="1">
        <v>3</v>
      </c>
      <c r="D5405" s="1" t="s">
        <v>236</v>
      </c>
      <c r="E5405" s="1">
        <v>4.33333333333333</v>
      </c>
      <c r="F5405" s="1">
        <v>0</v>
      </c>
      <c r="G5405" s="1">
        <v>0</v>
      </c>
      <c r="H5405" s="1">
        <v>1</v>
      </c>
      <c r="I5405" s="1">
        <v>693</v>
      </c>
      <c r="J5405" s="1" t="s">
        <v>58</v>
      </c>
      <c r="K5405" s="1">
        <v>0</v>
      </c>
      <c r="L5405" s="7"/>
      <c r="N5405" s="1" t="s">
        <v>5306</v>
      </c>
    </row>
    <row r="5406" s="1" customFormat="1" spans="1:14">
      <c r="A5406" s="5" t="s">
        <v>5318</v>
      </c>
      <c r="B5406" s="54">
        <v>405003</v>
      </c>
      <c r="C5406" s="1">
        <v>3</v>
      </c>
      <c r="D5406" s="1" t="s">
        <v>204</v>
      </c>
      <c r="E5406" s="1">
        <v>2</v>
      </c>
      <c r="F5406" s="1">
        <v>0</v>
      </c>
      <c r="G5406" s="1">
        <v>0</v>
      </c>
      <c r="H5406" s="1">
        <v>1</v>
      </c>
      <c r="I5406" s="1">
        <v>694</v>
      </c>
      <c r="J5406" s="1" t="s">
        <v>596</v>
      </c>
      <c r="K5406" s="1">
        <v>0</v>
      </c>
      <c r="L5406" s="7"/>
      <c r="N5406" s="1" t="s">
        <v>5306</v>
      </c>
    </row>
    <row r="5407" s="1" customFormat="1" spans="1:14">
      <c r="A5407" s="5" t="s">
        <v>5319</v>
      </c>
      <c r="B5407" s="54">
        <v>405003</v>
      </c>
      <c r="C5407" s="1">
        <v>3</v>
      </c>
      <c r="D5407" s="1" t="s">
        <v>598</v>
      </c>
      <c r="E5407" s="1">
        <v>9.16666666666667</v>
      </c>
      <c r="F5407" s="1">
        <v>0</v>
      </c>
      <c r="G5407" s="1">
        <v>0</v>
      </c>
      <c r="H5407" s="1">
        <v>2</v>
      </c>
      <c r="I5407" s="1">
        <v>799</v>
      </c>
      <c r="J5407" s="1" t="s">
        <v>596</v>
      </c>
      <c r="K5407" s="1">
        <v>0</v>
      </c>
      <c r="L5407" s="7"/>
      <c r="N5407" s="1" t="s">
        <v>5306</v>
      </c>
    </row>
    <row r="5408" s="1" customFormat="1" spans="1:14">
      <c r="A5408" s="5" t="s">
        <v>5320</v>
      </c>
      <c r="B5408" s="54">
        <v>405003</v>
      </c>
      <c r="C5408" s="1">
        <v>3</v>
      </c>
      <c r="D5408" s="1" t="s">
        <v>60</v>
      </c>
      <c r="E5408" s="1">
        <v>3.33333333333333</v>
      </c>
      <c r="F5408" s="1">
        <v>0</v>
      </c>
      <c r="G5408" s="1">
        <v>0</v>
      </c>
      <c r="H5408" s="1">
        <v>2</v>
      </c>
      <c r="I5408" s="1">
        <v>952</v>
      </c>
      <c r="J5408" s="1" t="s">
        <v>58</v>
      </c>
      <c r="K5408" s="1">
        <v>0</v>
      </c>
      <c r="L5408" s="7"/>
      <c r="N5408" s="1" t="s">
        <v>5306</v>
      </c>
    </row>
  </sheetData>
  <autoFilter xmlns:etc="http://www.wps.cn/officeDocument/2017/etCustomData" ref="A5:O5408" etc:filterBottomFollowUsedRange="0">
    <filterColumn colId="1">
      <filters>
        <filter val="50"/>
        <filter val="405001"/>
        <filter val="405002"/>
        <filter val="405003"/>
      </filters>
    </filterColumn>
    <extLst/>
  </autoFilter>
  <conditionalFormatting sqref="B2274">
    <cfRule type="duplicateValues" dxfId="0" priority="17"/>
  </conditionalFormatting>
  <conditionalFormatting sqref="B2275">
    <cfRule type="duplicateValues" dxfId="0" priority="16"/>
  </conditionalFormatting>
  <conditionalFormatting sqref="B2276">
    <cfRule type="duplicateValues" dxfId="0" priority="15"/>
  </conditionalFormatting>
  <conditionalFormatting sqref="B2277">
    <cfRule type="duplicateValues" dxfId="0" priority="14"/>
  </conditionalFormatting>
  <conditionalFormatting sqref="B2278">
    <cfRule type="duplicateValues" dxfId="0" priority="13"/>
  </conditionalFormatting>
  <conditionalFormatting sqref="A3449">
    <cfRule type="duplicateValues" dxfId="0" priority="4"/>
  </conditionalFormatting>
  <conditionalFormatting sqref="A3450">
    <cfRule type="duplicateValues" dxfId="0" priority="3"/>
  </conditionalFormatting>
  <conditionalFormatting sqref="I3814">
    <cfRule type="duplicateValues" dxfId="1" priority="2"/>
  </conditionalFormatting>
  <conditionalFormatting sqref="A3437:A3440">
    <cfRule type="duplicateValues" dxfId="0" priority="6"/>
  </conditionalFormatting>
  <conditionalFormatting sqref="A3441:A3445">
    <cfRule type="duplicateValues" dxfId="0" priority="5"/>
  </conditionalFormatting>
  <conditionalFormatting sqref="A3446:A3448">
    <cfRule type="duplicateValues" dxfId="0" priority="7"/>
  </conditionalFormatting>
  <conditionalFormatting sqref="A3451:A3452">
    <cfRule type="duplicateValues" dxfId="0" priority="9"/>
  </conditionalFormatting>
  <conditionalFormatting sqref="A3457:A3467">
    <cfRule type="duplicateValues" dxfId="0" priority="8"/>
  </conditionalFormatting>
  <conditionalFormatting sqref="B838:B841">
    <cfRule type="duplicateValues" dxfId="0" priority="44"/>
  </conditionalFormatting>
  <conditionalFormatting sqref="B1315:B1316">
    <cfRule type="duplicateValues" dxfId="0" priority="42"/>
  </conditionalFormatting>
  <conditionalFormatting sqref="B1681:B1688">
    <cfRule type="duplicateValues" dxfId="0" priority="18"/>
  </conditionalFormatting>
  <conditionalFormatting sqref="B1856:B1865">
    <cfRule type="duplicateValues" dxfId="0" priority="36"/>
  </conditionalFormatting>
  <conditionalFormatting sqref="B1866:B1871">
    <cfRule type="duplicateValues" dxfId="0" priority="35"/>
  </conditionalFormatting>
  <pageMargins left="0.699305555555556" right="0.699305555555556" top="0.75" bottom="0.75" header="0.3" footer="0.3"/>
  <pageSetup paperSize="9" orientation="portrait"/>
  <headerFooter/>
  <ignoredErrors>
    <ignoredError sqref="E136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"/>
  <sheetViews>
    <sheetView workbookViewId="0">
      <selection activeCell="C25" sqref="C25"/>
    </sheetView>
  </sheetViews>
  <sheetFormatPr defaultColWidth="9" defaultRowHeight="15" outlineLevelRow="6" outlineLevelCol="3"/>
  <sheetData>
    <row r="2" spans="1:1">
      <c r="A2" t="s">
        <v>5321</v>
      </c>
    </row>
    <row r="5" spans="2:2">
      <c r="B5" t="s">
        <v>5322</v>
      </c>
    </row>
    <row r="7" spans="1:4">
      <c r="A7" s="8">
        <v>5093</v>
      </c>
      <c r="B7" s="8" t="s">
        <v>5323</v>
      </c>
      <c r="D7" t="s">
        <v>5324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122"/>
  <sheetViews>
    <sheetView topLeftCell="A46" workbookViewId="0">
      <selection activeCell="E109" sqref="E109"/>
    </sheetView>
  </sheetViews>
  <sheetFormatPr defaultColWidth="9" defaultRowHeight="15"/>
  <cols>
    <col min="5" max="5" width="12.6285714285714" customWidth="1"/>
  </cols>
  <sheetData>
    <row r="4" spans="1:2">
      <c r="A4" t="s">
        <v>5325</v>
      </c>
      <c r="B4" t="s">
        <v>5326</v>
      </c>
    </row>
    <row r="5" spans="1:1">
      <c r="A5" t="s">
        <v>5327</v>
      </c>
    </row>
    <row r="6" spans="3:4">
      <c r="C6" t="s">
        <v>15</v>
      </c>
      <c r="D6">
        <v>1</v>
      </c>
    </row>
    <row r="7" spans="3:4">
      <c r="C7" t="s">
        <v>5328</v>
      </c>
      <c r="D7">
        <v>101</v>
      </c>
    </row>
    <row r="8" spans="4:4">
      <c r="D8">
        <v>102</v>
      </c>
    </row>
    <row r="9" spans="4:4">
      <c r="D9">
        <v>103</v>
      </c>
    </row>
    <row r="10" spans="4:4">
      <c r="D10">
        <v>104</v>
      </c>
    </row>
    <row r="11" spans="4:4">
      <c r="D11" t="s">
        <v>5329</v>
      </c>
    </row>
    <row r="20" spans="2:2">
      <c r="B20" t="s">
        <v>5330</v>
      </c>
    </row>
    <row r="21" spans="2:2">
      <c r="B21" t="s">
        <v>5331</v>
      </c>
    </row>
    <row r="29" spans="3:5">
      <c r="C29" t="s">
        <v>1047</v>
      </c>
      <c r="D29">
        <v>55</v>
      </c>
      <c r="E29">
        <f>D29/30</f>
        <v>1.83333333333333</v>
      </c>
    </row>
    <row r="30" spans="3:5">
      <c r="C30" t="s">
        <v>2198</v>
      </c>
      <c r="D30">
        <v>60</v>
      </c>
      <c r="E30">
        <f t="shared" ref="E30:E52" si="0">D30/30</f>
        <v>2</v>
      </c>
    </row>
    <row r="31" spans="3:5">
      <c r="C31" t="s">
        <v>2182</v>
      </c>
      <c r="D31">
        <v>39</v>
      </c>
      <c r="E31">
        <f t="shared" si="0"/>
        <v>1.3</v>
      </c>
    </row>
    <row r="32" spans="3:5">
      <c r="C32" t="s">
        <v>2184</v>
      </c>
      <c r="D32">
        <v>60</v>
      </c>
      <c r="E32">
        <f t="shared" si="0"/>
        <v>2</v>
      </c>
    </row>
    <row r="33" spans="3:5">
      <c r="C33" t="s">
        <v>2186</v>
      </c>
      <c r="D33">
        <v>46</v>
      </c>
      <c r="E33">
        <f t="shared" si="0"/>
        <v>1.53333333333333</v>
      </c>
    </row>
    <row r="34" spans="3:5">
      <c r="C34" t="s">
        <v>2188</v>
      </c>
      <c r="D34">
        <v>22</v>
      </c>
      <c r="E34">
        <f t="shared" si="0"/>
        <v>0.733333333333333</v>
      </c>
    </row>
    <row r="35" spans="3:5">
      <c r="C35" t="s">
        <v>2190</v>
      </c>
      <c r="D35">
        <v>22</v>
      </c>
      <c r="E35">
        <f t="shared" si="0"/>
        <v>0.733333333333333</v>
      </c>
    </row>
    <row r="36" spans="3:5">
      <c r="C36" t="s">
        <v>2192</v>
      </c>
      <c r="D36">
        <v>22</v>
      </c>
      <c r="E36">
        <f t="shared" si="0"/>
        <v>0.733333333333333</v>
      </c>
    </row>
    <row r="37" spans="3:5">
      <c r="C37" t="s">
        <v>2194</v>
      </c>
      <c r="D37">
        <v>22</v>
      </c>
      <c r="E37">
        <f t="shared" si="0"/>
        <v>0.733333333333333</v>
      </c>
    </row>
    <row r="38" spans="3:5">
      <c r="C38" t="s">
        <v>300</v>
      </c>
      <c r="D38">
        <v>30</v>
      </c>
      <c r="E38">
        <f t="shared" si="0"/>
        <v>1</v>
      </c>
    </row>
    <row r="39" spans="3:5">
      <c r="C39" t="s">
        <v>2178</v>
      </c>
      <c r="D39">
        <v>30</v>
      </c>
      <c r="E39">
        <f t="shared" si="0"/>
        <v>1</v>
      </c>
    </row>
    <row r="40" spans="3:5">
      <c r="C40" t="s">
        <v>2196</v>
      </c>
      <c r="D40">
        <v>48</v>
      </c>
      <c r="E40">
        <f t="shared" si="0"/>
        <v>1.6</v>
      </c>
    </row>
    <row r="41" spans="3:5">
      <c r="C41" t="s">
        <v>130</v>
      </c>
      <c r="D41">
        <v>50</v>
      </c>
      <c r="E41">
        <f t="shared" si="0"/>
        <v>1.66666666666667</v>
      </c>
    </row>
    <row r="42" spans="3:5">
      <c r="C42" t="s">
        <v>264</v>
      </c>
      <c r="D42">
        <v>60</v>
      </c>
      <c r="E42">
        <f t="shared" si="0"/>
        <v>2</v>
      </c>
    </row>
    <row r="43" spans="3:5">
      <c r="C43" t="s">
        <v>270</v>
      </c>
      <c r="D43">
        <v>60</v>
      </c>
      <c r="E43">
        <f t="shared" si="0"/>
        <v>2</v>
      </c>
    </row>
    <row r="44" spans="3:5">
      <c r="C44" t="s">
        <v>2618</v>
      </c>
      <c r="D44">
        <v>60</v>
      </c>
      <c r="E44">
        <f t="shared" si="0"/>
        <v>2</v>
      </c>
    </row>
    <row r="45" spans="3:5">
      <c r="C45" t="s">
        <v>261</v>
      </c>
      <c r="D45">
        <v>20</v>
      </c>
      <c r="E45">
        <f t="shared" si="0"/>
        <v>0.666666666666667</v>
      </c>
    </row>
    <row r="46" spans="3:5">
      <c r="C46" t="s">
        <v>236</v>
      </c>
      <c r="D46">
        <v>58</v>
      </c>
      <c r="E46">
        <f t="shared" si="0"/>
        <v>1.93333333333333</v>
      </c>
    </row>
    <row r="47" spans="3:5">
      <c r="C47" t="s">
        <v>2629</v>
      </c>
      <c r="D47">
        <v>75</v>
      </c>
      <c r="E47">
        <f t="shared" si="0"/>
        <v>2.5</v>
      </c>
    </row>
    <row r="48" spans="3:5">
      <c r="C48" t="s">
        <v>268</v>
      </c>
      <c r="D48">
        <v>60</v>
      </c>
      <c r="E48">
        <f t="shared" si="0"/>
        <v>2</v>
      </c>
    </row>
    <row r="49" spans="3:5">
      <c r="C49" t="s">
        <v>266</v>
      </c>
      <c r="D49">
        <v>36</v>
      </c>
      <c r="E49">
        <f t="shared" si="0"/>
        <v>1.2</v>
      </c>
    </row>
    <row r="50" spans="3:5">
      <c r="C50" t="s">
        <v>2633</v>
      </c>
      <c r="D50">
        <v>36</v>
      </c>
      <c r="E50">
        <f t="shared" si="0"/>
        <v>1.2</v>
      </c>
    </row>
    <row r="51" spans="3:5">
      <c r="C51" t="s">
        <v>204</v>
      </c>
      <c r="D51">
        <v>65</v>
      </c>
      <c r="E51">
        <f t="shared" si="0"/>
        <v>2.16666666666667</v>
      </c>
    </row>
    <row r="52" spans="3:5">
      <c r="C52" t="s">
        <v>60</v>
      </c>
      <c r="D52">
        <v>66</v>
      </c>
      <c r="E52">
        <f t="shared" si="0"/>
        <v>2.2</v>
      </c>
    </row>
    <row r="54" spans="1:12">
      <c r="A54" s="2" t="s">
        <v>3000</v>
      </c>
      <c r="B54" s="3">
        <v>4015307</v>
      </c>
      <c r="C54">
        <v>3</v>
      </c>
      <c r="D54" t="s">
        <v>36</v>
      </c>
      <c r="E54">
        <v>3.06666666666667</v>
      </c>
      <c r="F54">
        <v>0</v>
      </c>
      <c r="L54" s="4"/>
    </row>
    <row r="55" spans="1:12">
      <c r="A55" s="2" t="s">
        <v>3001</v>
      </c>
      <c r="B55" s="3">
        <v>4015307</v>
      </c>
      <c r="C55">
        <v>3</v>
      </c>
      <c r="D55" t="s">
        <v>38</v>
      </c>
      <c r="E55">
        <v>3.73333333333333</v>
      </c>
      <c r="F55">
        <v>0</v>
      </c>
      <c r="L55" s="4"/>
    </row>
    <row r="56" spans="1:12">
      <c r="A56" s="2" t="s">
        <v>3002</v>
      </c>
      <c r="B56" s="3">
        <v>4015307</v>
      </c>
      <c r="C56">
        <v>3</v>
      </c>
      <c r="D56" t="s">
        <v>40</v>
      </c>
      <c r="E56">
        <v>2.93333333333333</v>
      </c>
      <c r="F56">
        <v>0</v>
      </c>
      <c r="L56" s="4"/>
    </row>
    <row r="57" spans="1:12">
      <c r="A57" s="2" t="s">
        <v>3003</v>
      </c>
      <c r="B57" s="3">
        <v>4015307</v>
      </c>
      <c r="C57">
        <v>3</v>
      </c>
      <c r="D57" t="s">
        <v>42</v>
      </c>
      <c r="E57">
        <v>3.73333333333333</v>
      </c>
      <c r="F57">
        <v>0</v>
      </c>
      <c r="L57" s="4"/>
    </row>
    <row r="58" spans="1:12">
      <c r="A58" s="2" t="s">
        <v>3004</v>
      </c>
      <c r="B58" s="3">
        <v>4015307</v>
      </c>
      <c r="C58">
        <v>3</v>
      </c>
      <c r="D58" t="s">
        <v>44</v>
      </c>
      <c r="E58">
        <v>14.5</v>
      </c>
      <c r="F58">
        <v>0</v>
      </c>
      <c r="L58" s="4"/>
    </row>
    <row r="59" spans="1:12">
      <c r="A59" s="2" t="s">
        <v>3005</v>
      </c>
      <c r="B59" s="3">
        <v>4015307</v>
      </c>
      <c r="C59">
        <v>3</v>
      </c>
      <c r="D59" t="s">
        <v>46</v>
      </c>
      <c r="E59">
        <v>12.3333333333333</v>
      </c>
      <c r="F59">
        <v>0</v>
      </c>
      <c r="L59" s="4"/>
    </row>
    <row r="60" spans="1:12">
      <c r="A60" s="2" t="s">
        <v>3006</v>
      </c>
      <c r="B60" s="3">
        <v>4015307</v>
      </c>
      <c r="C60">
        <v>3</v>
      </c>
      <c r="D60" t="s">
        <v>86</v>
      </c>
      <c r="E60">
        <v>7.26666666666667</v>
      </c>
      <c r="F60">
        <v>0</v>
      </c>
      <c r="L60" s="4"/>
    </row>
    <row r="61" spans="1:12">
      <c r="A61" s="2" t="s">
        <v>3007</v>
      </c>
      <c r="B61" s="3">
        <v>4015307</v>
      </c>
      <c r="C61">
        <v>3</v>
      </c>
      <c r="D61" t="s">
        <v>92</v>
      </c>
      <c r="E61">
        <v>4.83333333333333</v>
      </c>
      <c r="F61">
        <v>0</v>
      </c>
      <c r="L61" s="4"/>
    </row>
    <row r="62" spans="1:12">
      <c r="A62" s="2" t="s">
        <v>3008</v>
      </c>
      <c r="B62" s="3">
        <v>4015307</v>
      </c>
      <c r="C62">
        <v>3</v>
      </c>
      <c r="D62" t="s">
        <v>109</v>
      </c>
      <c r="E62">
        <v>6.16666666666667</v>
      </c>
      <c r="F62">
        <v>0</v>
      </c>
      <c r="L62" s="4"/>
    </row>
    <row r="63" spans="1:12">
      <c r="A63" s="2" t="s">
        <v>3009</v>
      </c>
      <c r="B63" s="3">
        <v>4015307</v>
      </c>
      <c r="C63">
        <v>3</v>
      </c>
      <c r="D63" t="s">
        <v>97</v>
      </c>
      <c r="E63">
        <v>5.93333333333333</v>
      </c>
      <c r="F63">
        <v>0</v>
      </c>
      <c r="L63" s="4"/>
    </row>
    <row r="64" spans="1:12">
      <c r="A64" s="2" t="s">
        <v>3010</v>
      </c>
      <c r="B64" s="3">
        <v>4015307</v>
      </c>
      <c r="C64">
        <v>3</v>
      </c>
      <c r="D64" t="s">
        <v>77</v>
      </c>
      <c r="E64">
        <v>2</v>
      </c>
      <c r="F64">
        <v>0</v>
      </c>
      <c r="L64" s="4"/>
    </row>
    <row r="65" spans="1:12">
      <c r="A65" s="2" t="s">
        <v>3011</v>
      </c>
      <c r="B65" s="3">
        <v>4015307</v>
      </c>
      <c r="C65">
        <v>3</v>
      </c>
      <c r="D65" t="s">
        <v>54</v>
      </c>
      <c r="E65">
        <v>2.36666666666667</v>
      </c>
      <c r="F65">
        <v>0</v>
      </c>
      <c r="L65" s="4"/>
    </row>
    <row r="66" spans="1:12">
      <c r="A66" s="2" t="s">
        <v>3012</v>
      </c>
      <c r="B66" s="3">
        <v>4015307</v>
      </c>
      <c r="C66">
        <v>3</v>
      </c>
      <c r="D66" t="s">
        <v>57</v>
      </c>
      <c r="E66">
        <v>7.66666666666667</v>
      </c>
      <c r="F66">
        <v>0</v>
      </c>
      <c r="G66">
        <v>0</v>
      </c>
      <c r="H66">
        <v>2</v>
      </c>
      <c r="I66">
        <v>3970</v>
      </c>
      <c r="J66" t="s">
        <v>58</v>
      </c>
      <c r="K66">
        <v>1</v>
      </c>
      <c r="L66" s="4"/>
    </row>
    <row r="67" spans="1:12">
      <c r="A67" s="2">
        <v>401220127</v>
      </c>
      <c r="B67" s="3">
        <v>4015307</v>
      </c>
      <c r="D67" t="s">
        <v>1776</v>
      </c>
      <c r="E67">
        <v>6.36666666666667</v>
      </c>
      <c r="F67">
        <v>0</v>
      </c>
      <c r="G67">
        <v>0</v>
      </c>
      <c r="H67">
        <v>2</v>
      </c>
      <c r="I67">
        <v>4792</v>
      </c>
      <c r="J67" t="s">
        <v>58</v>
      </c>
      <c r="K67">
        <v>1</v>
      </c>
      <c r="L67" s="4"/>
    </row>
    <row r="68" spans="1:12">
      <c r="A68" s="2" t="s">
        <v>2964</v>
      </c>
      <c r="B68" s="3">
        <v>4015306</v>
      </c>
      <c r="C68">
        <v>3</v>
      </c>
      <c r="D68" t="s">
        <v>36</v>
      </c>
      <c r="E68">
        <v>3.66666666666667</v>
      </c>
      <c r="F68">
        <v>0</v>
      </c>
      <c r="L68" s="4"/>
    </row>
    <row r="69" spans="1:12">
      <c r="A69" s="2" t="s">
        <v>2965</v>
      </c>
      <c r="B69" s="3">
        <v>4015306</v>
      </c>
      <c r="C69">
        <v>3</v>
      </c>
      <c r="D69" t="s">
        <v>38</v>
      </c>
      <c r="E69">
        <v>4.33333333333333</v>
      </c>
      <c r="F69">
        <v>0</v>
      </c>
      <c r="L69" s="4"/>
    </row>
    <row r="70" spans="1:12">
      <c r="A70" s="2" t="s">
        <v>2966</v>
      </c>
      <c r="B70" s="3">
        <v>4015306</v>
      </c>
      <c r="C70">
        <v>3</v>
      </c>
      <c r="D70" t="s">
        <v>40</v>
      </c>
      <c r="E70">
        <v>2.13333333333333</v>
      </c>
      <c r="F70">
        <v>0</v>
      </c>
      <c r="L70" s="4"/>
    </row>
    <row r="71" spans="1:12">
      <c r="A71" s="2" t="s">
        <v>2967</v>
      </c>
      <c r="B71" s="3">
        <v>4015306</v>
      </c>
      <c r="C71">
        <v>3</v>
      </c>
      <c r="D71" t="s">
        <v>42</v>
      </c>
      <c r="E71">
        <v>5</v>
      </c>
      <c r="F71">
        <v>0</v>
      </c>
      <c r="L71" s="4"/>
    </row>
    <row r="72" spans="1:12">
      <c r="A72" s="2" t="s">
        <v>2968</v>
      </c>
      <c r="B72" s="3">
        <v>4015306</v>
      </c>
      <c r="C72">
        <v>3</v>
      </c>
      <c r="D72" t="s">
        <v>44</v>
      </c>
      <c r="E72">
        <v>12.3333333333333</v>
      </c>
      <c r="F72">
        <v>0</v>
      </c>
      <c r="L72" s="4"/>
    </row>
    <row r="73" spans="1:12">
      <c r="A73" s="2" t="s">
        <v>2969</v>
      </c>
      <c r="B73" s="3">
        <v>4015306</v>
      </c>
      <c r="C73">
        <v>3</v>
      </c>
      <c r="D73" t="s">
        <v>46</v>
      </c>
      <c r="E73">
        <v>2.7</v>
      </c>
      <c r="F73">
        <v>0</v>
      </c>
      <c r="L73" s="4"/>
    </row>
    <row r="74" spans="1:12">
      <c r="A74" s="2" t="s">
        <v>2970</v>
      </c>
      <c r="B74" s="3">
        <v>4015306</v>
      </c>
      <c r="C74">
        <v>3</v>
      </c>
      <c r="D74" t="s">
        <v>86</v>
      </c>
      <c r="E74">
        <v>4</v>
      </c>
      <c r="F74">
        <v>0</v>
      </c>
      <c r="L74" s="4"/>
    </row>
    <row r="75" s="1" customFormat="1" spans="1:12">
      <c r="A75" s="5" t="s">
        <v>2971</v>
      </c>
      <c r="B75" s="3">
        <v>4015306</v>
      </c>
      <c r="C75" s="1">
        <v>3</v>
      </c>
      <c r="D75" s="1" t="s">
        <v>50</v>
      </c>
      <c r="E75" s="1">
        <v>2.2</v>
      </c>
      <c r="F75" s="1">
        <v>0</v>
      </c>
      <c r="L75" s="7"/>
    </row>
    <row r="76" s="1" customFormat="1" spans="1:12">
      <c r="A76" s="5" t="s">
        <v>2972</v>
      </c>
      <c r="B76" s="3">
        <v>4015306</v>
      </c>
      <c r="C76" s="1">
        <v>3</v>
      </c>
      <c r="D76" s="1" t="s">
        <v>90</v>
      </c>
      <c r="E76" s="1">
        <v>3.8</v>
      </c>
      <c r="F76" s="1">
        <v>0</v>
      </c>
      <c r="L76" s="7"/>
    </row>
    <row r="77" s="1" customFormat="1" spans="1:12">
      <c r="A77" s="5" t="s">
        <v>2973</v>
      </c>
      <c r="B77" s="3">
        <v>4015306</v>
      </c>
      <c r="C77" s="1">
        <v>3</v>
      </c>
      <c r="D77" s="1" t="s">
        <v>48</v>
      </c>
      <c r="E77" s="1">
        <v>10.2</v>
      </c>
      <c r="F77" s="1">
        <v>0</v>
      </c>
      <c r="L77" s="7"/>
    </row>
    <row r="78" spans="1:12">
      <c r="A78" s="2" t="s">
        <v>2974</v>
      </c>
      <c r="B78" s="3">
        <v>4015306</v>
      </c>
      <c r="C78">
        <v>3</v>
      </c>
      <c r="D78" t="s">
        <v>92</v>
      </c>
      <c r="E78">
        <v>1.96666666666667</v>
      </c>
      <c r="F78">
        <v>0</v>
      </c>
      <c r="L78" s="4"/>
    </row>
    <row r="79" spans="1:12">
      <c r="A79" s="2" t="s">
        <v>2975</v>
      </c>
      <c r="B79" s="3">
        <v>4015306</v>
      </c>
      <c r="C79">
        <v>3</v>
      </c>
      <c r="D79" t="s">
        <v>109</v>
      </c>
      <c r="E79">
        <v>3.83333333333333</v>
      </c>
      <c r="F79">
        <v>0</v>
      </c>
      <c r="L79" s="4"/>
    </row>
    <row r="80" spans="1:12">
      <c r="A80" s="2" t="s">
        <v>2976</v>
      </c>
      <c r="B80" s="3">
        <v>4015306</v>
      </c>
      <c r="C80">
        <v>3</v>
      </c>
      <c r="D80" t="s">
        <v>97</v>
      </c>
      <c r="E80">
        <v>2.3</v>
      </c>
      <c r="F80">
        <v>0</v>
      </c>
      <c r="L80" s="4"/>
    </row>
    <row r="81" spans="1:12">
      <c r="A81" s="2" t="s">
        <v>2977</v>
      </c>
      <c r="B81" s="3">
        <v>4015306</v>
      </c>
      <c r="C81">
        <v>3</v>
      </c>
      <c r="D81" t="s">
        <v>77</v>
      </c>
      <c r="E81">
        <v>2.2</v>
      </c>
      <c r="F81">
        <v>0</v>
      </c>
      <c r="L81" s="4"/>
    </row>
    <row r="82" spans="1:12">
      <c r="A82" s="2" t="s">
        <v>2978</v>
      </c>
      <c r="B82" s="3">
        <v>4015306</v>
      </c>
      <c r="C82">
        <v>3</v>
      </c>
      <c r="D82" t="s">
        <v>54</v>
      </c>
      <c r="E82">
        <v>3.33333333333333</v>
      </c>
      <c r="F82">
        <v>0</v>
      </c>
      <c r="L82" s="4"/>
    </row>
    <row r="83" spans="1:12">
      <c r="A83" s="2" t="s">
        <v>2979</v>
      </c>
      <c r="B83" s="3">
        <v>4015306</v>
      </c>
      <c r="C83">
        <v>3</v>
      </c>
      <c r="D83" t="s">
        <v>57</v>
      </c>
      <c r="E83">
        <v>2.36666666666667</v>
      </c>
      <c r="F83">
        <v>0</v>
      </c>
      <c r="G83">
        <v>0</v>
      </c>
      <c r="H83">
        <v>2</v>
      </c>
      <c r="I83">
        <v>3922</v>
      </c>
      <c r="J83" t="s">
        <v>58</v>
      </c>
      <c r="K83">
        <v>1</v>
      </c>
      <c r="L83" s="4"/>
    </row>
    <row r="84" s="1" customFormat="1" spans="1:12">
      <c r="A84" s="5" t="s">
        <v>2981</v>
      </c>
      <c r="B84" s="3">
        <v>4015306</v>
      </c>
      <c r="C84" s="1">
        <v>3</v>
      </c>
      <c r="D84" s="1" t="s">
        <v>1776</v>
      </c>
      <c r="E84" s="1">
        <v>2.03333333333333</v>
      </c>
      <c r="F84" s="1">
        <v>0</v>
      </c>
      <c r="G84" s="1">
        <v>0</v>
      </c>
      <c r="H84" s="1">
        <v>2</v>
      </c>
      <c r="I84" s="1">
        <v>4745</v>
      </c>
      <c r="J84" s="1" t="s">
        <v>58</v>
      </c>
      <c r="K84" s="1">
        <v>1</v>
      </c>
      <c r="L84" s="7"/>
    </row>
    <row r="85" spans="1:12">
      <c r="A85" s="2" t="s">
        <v>3137</v>
      </c>
      <c r="B85" s="3">
        <v>4015308</v>
      </c>
      <c r="C85">
        <v>3</v>
      </c>
      <c r="D85" t="s">
        <v>36</v>
      </c>
      <c r="E85">
        <v>1.86666666666667</v>
      </c>
      <c r="F85">
        <v>0</v>
      </c>
      <c r="G85">
        <v>0</v>
      </c>
      <c r="H85">
        <v>2</v>
      </c>
      <c r="I85">
        <v>4080</v>
      </c>
      <c r="J85" t="s">
        <v>3116</v>
      </c>
      <c r="K85">
        <v>1</v>
      </c>
      <c r="L85" s="4"/>
    </row>
    <row r="86" spans="1:12">
      <c r="A86" s="2" t="s">
        <v>3138</v>
      </c>
      <c r="B86" s="3">
        <v>4015308</v>
      </c>
      <c r="C86">
        <v>3</v>
      </c>
      <c r="D86" t="s">
        <v>38</v>
      </c>
      <c r="E86">
        <v>3.16666666666667</v>
      </c>
      <c r="F86">
        <v>0</v>
      </c>
      <c r="G86">
        <v>0</v>
      </c>
      <c r="H86">
        <v>2</v>
      </c>
      <c r="I86">
        <v>4080</v>
      </c>
      <c r="J86" t="s">
        <v>3116</v>
      </c>
      <c r="K86">
        <v>1</v>
      </c>
      <c r="L86" s="4"/>
    </row>
    <row r="87" spans="1:12">
      <c r="A87" s="2" t="s">
        <v>3139</v>
      </c>
      <c r="B87" s="3">
        <v>4015308</v>
      </c>
      <c r="C87">
        <v>3</v>
      </c>
      <c r="D87" t="s">
        <v>40</v>
      </c>
      <c r="E87">
        <v>3.76666666666667</v>
      </c>
      <c r="F87">
        <v>0</v>
      </c>
      <c r="G87">
        <v>0</v>
      </c>
      <c r="H87">
        <v>2</v>
      </c>
      <c r="I87">
        <v>4080</v>
      </c>
      <c r="J87" t="s">
        <v>3116</v>
      </c>
      <c r="K87">
        <v>1</v>
      </c>
      <c r="L87" s="4"/>
    </row>
    <row r="88" spans="1:12">
      <c r="A88" s="2" t="s">
        <v>3140</v>
      </c>
      <c r="B88" s="3">
        <v>4015308</v>
      </c>
      <c r="C88">
        <v>3</v>
      </c>
      <c r="D88" t="s">
        <v>42</v>
      </c>
      <c r="E88">
        <v>2.53333333333333</v>
      </c>
      <c r="F88">
        <v>0</v>
      </c>
      <c r="G88">
        <v>0</v>
      </c>
      <c r="H88">
        <v>2</v>
      </c>
      <c r="I88">
        <v>4080</v>
      </c>
      <c r="J88" t="s">
        <v>3116</v>
      </c>
      <c r="K88">
        <v>1</v>
      </c>
      <c r="L88" s="4"/>
    </row>
    <row r="89" spans="1:12">
      <c r="A89" s="2" t="s">
        <v>3141</v>
      </c>
      <c r="B89" s="3">
        <v>4015308</v>
      </c>
      <c r="C89">
        <v>3</v>
      </c>
      <c r="D89" t="s">
        <v>44</v>
      </c>
      <c r="E89">
        <v>10.4333333333333</v>
      </c>
      <c r="F89">
        <v>0</v>
      </c>
      <c r="G89">
        <v>0</v>
      </c>
      <c r="H89">
        <v>2</v>
      </c>
      <c r="I89">
        <v>4080</v>
      </c>
      <c r="J89" t="s">
        <v>3116</v>
      </c>
      <c r="K89">
        <v>1</v>
      </c>
      <c r="L89" s="4"/>
    </row>
    <row r="90" spans="1:12">
      <c r="A90" s="2" t="s">
        <v>3142</v>
      </c>
      <c r="B90" s="3">
        <v>4015308</v>
      </c>
      <c r="C90">
        <v>3</v>
      </c>
      <c r="D90" t="s">
        <v>46</v>
      </c>
      <c r="E90">
        <v>12.3333333333333</v>
      </c>
      <c r="F90">
        <v>0</v>
      </c>
      <c r="G90">
        <v>0</v>
      </c>
      <c r="H90">
        <v>2</v>
      </c>
      <c r="I90">
        <v>4080</v>
      </c>
      <c r="J90" t="s">
        <v>3116</v>
      </c>
      <c r="K90">
        <v>1</v>
      </c>
      <c r="L90" s="4"/>
    </row>
    <row r="91" spans="1:12">
      <c r="A91" s="2" t="s">
        <v>3143</v>
      </c>
      <c r="B91" s="3">
        <v>4015308</v>
      </c>
      <c r="C91">
        <v>3</v>
      </c>
      <c r="D91" t="s">
        <v>86</v>
      </c>
      <c r="E91">
        <v>1.4</v>
      </c>
      <c r="F91">
        <v>0</v>
      </c>
      <c r="G91">
        <v>0</v>
      </c>
      <c r="H91">
        <v>2</v>
      </c>
      <c r="I91">
        <v>4080</v>
      </c>
      <c r="J91" t="s">
        <v>3116</v>
      </c>
      <c r="K91">
        <v>1</v>
      </c>
      <c r="L91" s="4"/>
    </row>
    <row r="92" s="1" customFormat="1" spans="1:12">
      <c r="A92" s="5" t="s">
        <v>3144</v>
      </c>
      <c r="B92" s="3">
        <v>4015308</v>
      </c>
      <c r="C92" s="1">
        <v>3</v>
      </c>
      <c r="D92" s="1" t="s">
        <v>48</v>
      </c>
      <c r="E92" s="1">
        <v>17</v>
      </c>
      <c r="F92" s="1">
        <v>0</v>
      </c>
      <c r="G92" s="1">
        <v>0</v>
      </c>
      <c r="H92" s="1">
        <v>2</v>
      </c>
      <c r="I92" s="1">
        <v>4080</v>
      </c>
      <c r="J92" s="1" t="s">
        <v>3116</v>
      </c>
      <c r="K92" s="1">
        <v>1</v>
      </c>
      <c r="L92" s="7"/>
    </row>
    <row r="93" spans="1:12">
      <c r="A93" s="2" t="s">
        <v>3145</v>
      </c>
      <c r="B93" s="3">
        <v>4015308</v>
      </c>
      <c r="C93">
        <v>3</v>
      </c>
      <c r="D93" t="s">
        <v>92</v>
      </c>
      <c r="E93">
        <v>2.7</v>
      </c>
      <c r="F93">
        <v>0</v>
      </c>
      <c r="G93">
        <v>0</v>
      </c>
      <c r="H93">
        <v>2</v>
      </c>
      <c r="I93">
        <v>4080</v>
      </c>
      <c r="J93" t="s">
        <v>3116</v>
      </c>
      <c r="K93">
        <v>1</v>
      </c>
      <c r="L93" s="4"/>
    </row>
    <row r="94" spans="1:12">
      <c r="A94" s="2" t="s">
        <v>3146</v>
      </c>
      <c r="B94" s="3">
        <v>4015308</v>
      </c>
      <c r="C94">
        <v>3</v>
      </c>
      <c r="D94" t="s">
        <v>109</v>
      </c>
      <c r="E94">
        <v>3.1</v>
      </c>
      <c r="F94">
        <v>0</v>
      </c>
      <c r="G94">
        <v>0</v>
      </c>
      <c r="H94">
        <v>2</v>
      </c>
      <c r="I94">
        <v>4080</v>
      </c>
      <c r="J94" t="s">
        <v>3116</v>
      </c>
      <c r="K94">
        <v>1</v>
      </c>
      <c r="L94" s="4"/>
    </row>
    <row r="95" spans="1:12">
      <c r="A95" s="2" t="s">
        <v>3147</v>
      </c>
      <c r="B95" s="3">
        <v>4015308</v>
      </c>
      <c r="C95">
        <v>3</v>
      </c>
      <c r="D95" t="s">
        <v>97</v>
      </c>
      <c r="E95">
        <v>2.86666666666667</v>
      </c>
      <c r="F95">
        <v>0</v>
      </c>
      <c r="G95">
        <v>0</v>
      </c>
      <c r="H95">
        <v>2</v>
      </c>
      <c r="I95">
        <v>4080</v>
      </c>
      <c r="J95" t="s">
        <v>3116</v>
      </c>
      <c r="K95">
        <v>1</v>
      </c>
      <c r="L95" s="4"/>
    </row>
    <row r="96" spans="1:12">
      <c r="A96" s="2" t="s">
        <v>3148</v>
      </c>
      <c r="B96" s="3">
        <v>4015308</v>
      </c>
      <c r="C96">
        <v>3</v>
      </c>
      <c r="D96" t="s">
        <v>77</v>
      </c>
      <c r="E96">
        <v>4.26666666666667</v>
      </c>
      <c r="F96">
        <v>0</v>
      </c>
      <c r="G96">
        <v>0</v>
      </c>
      <c r="H96">
        <v>2</v>
      </c>
      <c r="I96">
        <v>4080</v>
      </c>
      <c r="J96" t="s">
        <v>3116</v>
      </c>
      <c r="K96">
        <v>1</v>
      </c>
      <c r="L96" s="4"/>
    </row>
    <row r="97" spans="1:12">
      <c r="A97" s="2" t="s">
        <v>3149</v>
      </c>
      <c r="B97" s="3">
        <v>4015308</v>
      </c>
      <c r="C97">
        <v>3</v>
      </c>
      <c r="D97" t="s">
        <v>54</v>
      </c>
      <c r="E97">
        <v>1.66666666666667</v>
      </c>
      <c r="F97">
        <v>0</v>
      </c>
      <c r="G97">
        <v>0</v>
      </c>
      <c r="H97">
        <v>2</v>
      </c>
      <c r="I97">
        <v>4080</v>
      </c>
      <c r="J97" t="s">
        <v>3116</v>
      </c>
      <c r="K97">
        <v>1</v>
      </c>
      <c r="L97" s="4"/>
    </row>
    <row r="98" spans="1:12">
      <c r="A98" s="2" t="s">
        <v>3150</v>
      </c>
      <c r="B98" s="3">
        <v>4015308</v>
      </c>
      <c r="C98">
        <v>3</v>
      </c>
      <c r="D98" t="s">
        <v>57</v>
      </c>
      <c r="E98">
        <v>4.03333333333333</v>
      </c>
      <c r="F98">
        <v>0</v>
      </c>
      <c r="G98" t="s">
        <v>942</v>
      </c>
      <c r="H98" t="s">
        <v>943</v>
      </c>
      <c r="I98" t="s">
        <v>3132</v>
      </c>
      <c r="J98" t="s">
        <v>3133</v>
      </c>
      <c r="K98" t="s">
        <v>1869</v>
      </c>
      <c r="L98" s="4"/>
    </row>
    <row r="99" spans="1:12">
      <c r="A99" s="2" t="s">
        <v>3166</v>
      </c>
      <c r="B99" s="3">
        <v>4015308</v>
      </c>
      <c r="C99">
        <v>3</v>
      </c>
      <c r="D99" t="s">
        <v>1047</v>
      </c>
      <c r="E99">
        <v>2.36666666666667</v>
      </c>
      <c r="F99">
        <v>0</v>
      </c>
      <c r="G99">
        <v>0</v>
      </c>
      <c r="H99">
        <v>2</v>
      </c>
      <c r="I99">
        <v>4080</v>
      </c>
      <c r="J99" t="s">
        <v>3116</v>
      </c>
      <c r="K99">
        <v>1</v>
      </c>
      <c r="L99" s="4"/>
    </row>
    <row r="100" spans="1:12">
      <c r="A100" s="2" t="s">
        <v>3167</v>
      </c>
      <c r="B100" s="3">
        <v>4015308</v>
      </c>
      <c r="D100" t="s">
        <v>2198</v>
      </c>
      <c r="E100">
        <v>2</v>
      </c>
      <c r="F100">
        <v>1</v>
      </c>
      <c r="G100">
        <v>0</v>
      </c>
      <c r="H100">
        <v>2</v>
      </c>
      <c r="I100">
        <v>4080</v>
      </c>
      <c r="J100" t="s">
        <v>3116</v>
      </c>
      <c r="K100">
        <v>1</v>
      </c>
      <c r="L100" s="4"/>
    </row>
    <row r="101" spans="1:12">
      <c r="A101" s="2" t="s">
        <v>3168</v>
      </c>
      <c r="B101" s="3">
        <v>4015308</v>
      </c>
      <c r="D101" t="s">
        <v>2182</v>
      </c>
      <c r="E101">
        <v>1.33333333333333</v>
      </c>
      <c r="F101">
        <v>0</v>
      </c>
      <c r="G101">
        <v>0</v>
      </c>
      <c r="H101">
        <v>2</v>
      </c>
      <c r="I101">
        <v>4080</v>
      </c>
      <c r="J101" t="s">
        <v>3116</v>
      </c>
      <c r="K101">
        <v>1</v>
      </c>
      <c r="L101" s="4"/>
    </row>
    <row r="102" spans="1:12">
      <c r="A102" s="2" t="s">
        <v>3169</v>
      </c>
      <c r="B102" s="3">
        <v>4015308</v>
      </c>
      <c r="D102" t="s">
        <v>2184</v>
      </c>
      <c r="E102">
        <v>2</v>
      </c>
      <c r="F102">
        <v>0</v>
      </c>
      <c r="G102">
        <v>0</v>
      </c>
      <c r="H102">
        <v>2</v>
      </c>
      <c r="I102">
        <v>4080</v>
      </c>
      <c r="J102" t="s">
        <v>3116</v>
      </c>
      <c r="K102">
        <v>1</v>
      </c>
      <c r="L102" s="4"/>
    </row>
    <row r="103" spans="1:12">
      <c r="A103" s="2" t="s">
        <v>3170</v>
      </c>
      <c r="B103" s="3">
        <v>4015308</v>
      </c>
      <c r="D103" t="s">
        <v>2186</v>
      </c>
      <c r="E103">
        <v>1.63333333333333</v>
      </c>
      <c r="F103">
        <v>0</v>
      </c>
      <c r="G103">
        <v>0</v>
      </c>
      <c r="H103">
        <v>2</v>
      </c>
      <c r="I103">
        <v>4080</v>
      </c>
      <c r="J103" t="s">
        <v>3116</v>
      </c>
      <c r="K103">
        <v>1</v>
      </c>
      <c r="L103" s="4"/>
    </row>
    <row r="104" spans="1:12">
      <c r="A104" s="2" t="s">
        <v>3171</v>
      </c>
      <c r="B104" s="3">
        <v>4015308</v>
      </c>
      <c r="D104" t="s">
        <v>2188</v>
      </c>
      <c r="E104">
        <v>0.8</v>
      </c>
      <c r="F104">
        <v>0</v>
      </c>
      <c r="G104">
        <v>0</v>
      </c>
      <c r="H104">
        <v>2</v>
      </c>
      <c r="I104">
        <v>4080</v>
      </c>
      <c r="J104" t="s">
        <v>3116</v>
      </c>
      <c r="K104">
        <v>1</v>
      </c>
      <c r="L104" s="4"/>
    </row>
    <row r="105" spans="1:12">
      <c r="A105" s="2" t="s">
        <v>3172</v>
      </c>
      <c r="B105" s="3">
        <v>4015308</v>
      </c>
      <c r="D105" t="s">
        <v>2190</v>
      </c>
      <c r="E105">
        <v>0.8</v>
      </c>
      <c r="F105">
        <v>0</v>
      </c>
      <c r="G105">
        <v>0</v>
      </c>
      <c r="H105">
        <v>2</v>
      </c>
      <c r="I105">
        <v>4080</v>
      </c>
      <c r="J105" t="s">
        <v>3116</v>
      </c>
      <c r="K105">
        <v>1</v>
      </c>
      <c r="L105" s="4"/>
    </row>
    <row r="106" spans="1:12">
      <c r="A106" s="2" t="s">
        <v>3173</v>
      </c>
      <c r="B106" s="3">
        <v>4015308</v>
      </c>
      <c r="D106" t="s">
        <v>2192</v>
      </c>
      <c r="E106">
        <v>0.8</v>
      </c>
      <c r="F106">
        <v>0</v>
      </c>
      <c r="G106">
        <v>0</v>
      </c>
      <c r="H106">
        <v>2</v>
      </c>
      <c r="I106">
        <v>4080</v>
      </c>
      <c r="J106" t="s">
        <v>3116</v>
      </c>
      <c r="K106">
        <v>1</v>
      </c>
      <c r="L106" s="4"/>
    </row>
    <row r="107" spans="1:12">
      <c r="A107" s="2" t="s">
        <v>3174</v>
      </c>
      <c r="B107" s="3">
        <v>4015308</v>
      </c>
      <c r="D107" t="s">
        <v>2194</v>
      </c>
      <c r="E107">
        <v>0.8</v>
      </c>
      <c r="F107">
        <v>0</v>
      </c>
      <c r="G107">
        <v>0</v>
      </c>
      <c r="H107">
        <v>2</v>
      </c>
      <c r="I107">
        <v>4080</v>
      </c>
      <c r="J107" t="s">
        <v>3116</v>
      </c>
      <c r="K107">
        <v>1</v>
      </c>
      <c r="L107" s="4"/>
    </row>
    <row r="108" spans="1:12">
      <c r="A108" s="2" t="s">
        <v>3175</v>
      </c>
      <c r="B108" s="3">
        <v>4015308</v>
      </c>
      <c r="D108" t="s">
        <v>300</v>
      </c>
      <c r="E108">
        <v>1</v>
      </c>
      <c r="F108">
        <v>0</v>
      </c>
      <c r="G108">
        <v>0</v>
      </c>
      <c r="H108">
        <v>2</v>
      </c>
      <c r="I108">
        <v>4080</v>
      </c>
      <c r="J108" t="s">
        <v>3116</v>
      </c>
      <c r="K108">
        <v>1</v>
      </c>
      <c r="L108" s="4"/>
    </row>
    <row r="109" spans="1:12">
      <c r="A109" s="2" t="s">
        <v>3176</v>
      </c>
      <c r="B109" s="3">
        <v>4015308</v>
      </c>
      <c r="D109" t="s">
        <v>2178</v>
      </c>
      <c r="E109">
        <v>1</v>
      </c>
      <c r="F109">
        <v>0</v>
      </c>
      <c r="G109">
        <v>0</v>
      </c>
      <c r="H109">
        <v>2</v>
      </c>
      <c r="I109">
        <v>4080</v>
      </c>
      <c r="J109" t="s">
        <v>3116</v>
      </c>
      <c r="K109">
        <v>1</v>
      </c>
      <c r="L109" s="4"/>
    </row>
    <row r="110" spans="1:12">
      <c r="A110" s="2" t="s">
        <v>3177</v>
      </c>
      <c r="B110" s="3">
        <v>4015308</v>
      </c>
      <c r="D110" t="s">
        <v>2196</v>
      </c>
      <c r="E110">
        <v>1.4</v>
      </c>
      <c r="F110">
        <v>0</v>
      </c>
      <c r="G110">
        <v>0</v>
      </c>
      <c r="H110">
        <v>2</v>
      </c>
      <c r="I110">
        <v>4080</v>
      </c>
      <c r="J110" t="s">
        <v>3116</v>
      </c>
      <c r="K110">
        <v>1</v>
      </c>
      <c r="L110" s="4"/>
    </row>
    <row r="111" spans="1:12">
      <c r="A111" s="2" t="s">
        <v>3178</v>
      </c>
      <c r="B111" s="3">
        <v>4015308</v>
      </c>
      <c r="D111" t="s">
        <v>130</v>
      </c>
      <c r="E111">
        <v>2</v>
      </c>
      <c r="F111">
        <v>1</v>
      </c>
      <c r="G111">
        <v>0</v>
      </c>
      <c r="H111">
        <v>2</v>
      </c>
      <c r="I111">
        <v>4080</v>
      </c>
      <c r="J111" t="s">
        <v>3116</v>
      </c>
      <c r="K111">
        <v>1</v>
      </c>
      <c r="L111" s="4"/>
    </row>
    <row r="112" spans="1:12">
      <c r="A112" s="2" t="s">
        <v>3192</v>
      </c>
      <c r="B112" s="3">
        <v>4015308</v>
      </c>
      <c r="D112" t="s">
        <v>264</v>
      </c>
      <c r="E112">
        <v>2</v>
      </c>
      <c r="F112">
        <v>1</v>
      </c>
      <c r="G112">
        <v>0</v>
      </c>
      <c r="H112">
        <v>2</v>
      </c>
      <c r="I112">
        <v>4080</v>
      </c>
      <c r="J112" t="s">
        <v>3116</v>
      </c>
      <c r="K112">
        <v>1</v>
      </c>
      <c r="L112" s="4"/>
    </row>
    <row r="113" spans="1:12">
      <c r="A113" s="2" t="s">
        <v>3193</v>
      </c>
      <c r="B113" s="3">
        <v>4015308</v>
      </c>
      <c r="D113" t="s">
        <v>270</v>
      </c>
      <c r="E113">
        <v>2</v>
      </c>
      <c r="F113">
        <v>1</v>
      </c>
      <c r="G113">
        <v>0</v>
      </c>
      <c r="H113">
        <v>2</v>
      </c>
      <c r="I113">
        <v>4080</v>
      </c>
      <c r="J113" t="s">
        <v>3116</v>
      </c>
      <c r="K113">
        <v>1</v>
      </c>
      <c r="L113" s="4"/>
    </row>
    <row r="114" spans="1:12">
      <c r="A114" s="2" t="s">
        <v>3194</v>
      </c>
      <c r="B114" s="3">
        <v>4015308</v>
      </c>
      <c r="D114" t="s">
        <v>2618</v>
      </c>
      <c r="E114">
        <v>2</v>
      </c>
      <c r="F114">
        <v>1</v>
      </c>
      <c r="G114">
        <v>0</v>
      </c>
      <c r="H114">
        <v>2</v>
      </c>
      <c r="I114">
        <v>4080</v>
      </c>
      <c r="J114" t="s">
        <v>3116</v>
      </c>
      <c r="K114">
        <v>1</v>
      </c>
      <c r="L114" s="4"/>
    </row>
    <row r="115" spans="1:12">
      <c r="A115" s="2" t="s">
        <v>3195</v>
      </c>
      <c r="B115" s="3">
        <v>4015308</v>
      </c>
      <c r="D115" t="s">
        <v>261</v>
      </c>
      <c r="E115">
        <v>0.8</v>
      </c>
      <c r="F115">
        <v>1</v>
      </c>
      <c r="G115">
        <v>0</v>
      </c>
      <c r="H115">
        <v>2</v>
      </c>
      <c r="I115">
        <v>4080</v>
      </c>
      <c r="J115" t="s">
        <v>3116</v>
      </c>
      <c r="K115">
        <v>1</v>
      </c>
      <c r="L115" s="4"/>
    </row>
    <row r="116" spans="1:12">
      <c r="A116" s="2" t="s">
        <v>3196</v>
      </c>
      <c r="B116" s="3">
        <v>4015308</v>
      </c>
      <c r="D116" t="s">
        <v>236</v>
      </c>
      <c r="E116">
        <v>1.4</v>
      </c>
      <c r="F116">
        <v>0</v>
      </c>
      <c r="G116">
        <v>0</v>
      </c>
      <c r="H116">
        <v>2</v>
      </c>
      <c r="I116">
        <v>4080</v>
      </c>
      <c r="J116" t="s">
        <v>3116</v>
      </c>
      <c r="K116">
        <v>1</v>
      </c>
      <c r="L116" s="4"/>
    </row>
    <row r="117" spans="1:12">
      <c r="A117" s="2" t="s">
        <v>3197</v>
      </c>
      <c r="B117" s="3">
        <v>4015308</v>
      </c>
      <c r="D117" t="s">
        <v>2629</v>
      </c>
      <c r="E117">
        <v>2.5</v>
      </c>
      <c r="F117">
        <v>0</v>
      </c>
      <c r="G117">
        <v>0</v>
      </c>
      <c r="H117">
        <v>2</v>
      </c>
      <c r="I117">
        <v>4080</v>
      </c>
      <c r="J117" t="s">
        <v>3116</v>
      </c>
      <c r="K117">
        <v>1</v>
      </c>
      <c r="L117" s="4"/>
    </row>
    <row r="118" spans="1:12">
      <c r="A118" s="2" t="s">
        <v>3198</v>
      </c>
      <c r="B118" s="3">
        <v>4015308</v>
      </c>
      <c r="D118" t="s">
        <v>268</v>
      </c>
      <c r="E118">
        <v>2.33333333333333</v>
      </c>
      <c r="F118">
        <v>1</v>
      </c>
      <c r="G118">
        <v>0</v>
      </c>
      <c r="H118">
        <v>2</v>
      </c>
      <c r="I118">
        <v>4080</v>
      </c>
      <c r="J118" t="s">
        <v>3116</v>
      </c>
      <c r="K118">
        <v>1</v>
      </c>
      <c r="L118" s="4"/>
    </row>
    <row r="119" spans="1:12">
      <c r="A119" s="2" t="s">
        <v>3199</v>
      </c>
      <c r="B119" s="3">
        <v>4015308</v>
      </c>
      <c r="D119" t="s">
        <v>266</v>
      </c>
      <c r="E119">
        <v>1.2</v>
      </c>
      <c r="F119">
        <v>1</v>
      </c>
      <c r="G119">
        <v>0</v>
      </c>
      <c r="H119">
        <v>2</v>
      </c>
      <c r="I119">
        <v>4080</v>
      </c>
      <c r="J119" t="s">
        <v>3116</v>
      </c>
      <c r="K119">
        <v>1</v>
      </c>
      <c r="L119" s="4"/>
    </row>
    <row r="120" spans="1:12">
      <c r="A120" s="2" t="s">
        <v>3200</v>
      </c>
      <c r="B120" s="3">
        <v>4015308</v>
      </c>
      <c r="D120" t="s">
        <v>2633</v>
      </c>
      <c r="E120">
        <v>1.2</v>
      </c>
      <c r="F120">
        <v>1</v>
      </c>
      <c r="G120">
        <v>0</v>
      </c>
      <c r="H120">
        <v>2</v>
      </c>
      <c r="I120">
        <v>4080</v>
      </c>
      <c r="J120" t="s">
        <v>3116</v>
      </c>
      <c r="K120">
        <v>1</v>
      </c>
      <c r="L120" s="4"/>
    </row>
    <row r="121" spans="1:12">
      <c r="A121" s="2" t="s">
        <v>3201</v>
      </c>
      <c r="B121" s="3">
        <v>4015308</v>
      </c>
      <c r="D121" t="s">
        <v>204</v>
      </c>
      <c r="E121">
        <v>1.5</v>
      </c>
      <c r="F121">
        <v>0</v>
      </c>
      <c r="G121">
        <v>0</v>
      </c>
      <c r="H121">
        <v>2</v>
      </c>
      <c r="I121">
        <v>4080</v>
      </c>
      <c r="J121" t="s">
        <v>3116</v>
      </c>
      <c r="K121">
        <v>1</v>
      </c>
      <c r="L121" s="4"/>
    </row>
    <row r="122" spans="1:12">
      <c r="A122" s="2" t="s">
        <v>3202</v>
      </c>
      <c r="B122" s="3">
        <v>4015308</v>
      </c>
      <c r="D122" t="s">
        <v>1776</v>
      </c>
      <c r="E122" s="6">
        <v>3.33333333333333</v>
      </c>
      <c r="F122">
        <v>0</v>
      </c>
      <c r="G122" t="s">
        <v>61</v>
      </c>
      <c r="H122" t="s">
        <v>62</v>
      </c>
      <c r="I122" t="s">
        <v>3190</v>
      </c>
      <c r="J122" t="s">
        <v>3191</v>
      </c>
      <c r="K122" t="s">
        <v>95</v>
      </c>
      <c r="L122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WPS_1638872795</cp:lastModifiedBy>
  <dcterms:created xsi:type="dcterms:W3CDTF">2016-10-21T06:21:00Z</dcterms:created>
  <dcterms:modified xsi:type="dcterms:W3CDTF">2026-02-04T06:17:37Z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5EF5CC226A3E4430BF6993A5437B81EA</vt:lpwstr>
  </property>
  <property fmtid="{D5CDD505-2E9C-101B-9397-08002B2CF9AE}" pid="4" name="KSOReadingLayout">
    <vt:bool>true</vt:bool>
  </property>
</Properties>
</file>