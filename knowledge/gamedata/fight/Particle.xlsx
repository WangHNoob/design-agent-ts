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Sheet1!$A$6:$H$5293</definedName>
    <definedName name="_xlnm._FilterDatabase" localSheetId="2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该表用于特效注册
该列：1-9999为技能特效注册
100001+为buff特效注册
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特效文件名
根据Assets/OriginalRes/OutputBundle/Particle/英雄文件名/特效文件名填写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特效时长：
技能特效填写对应技能时长
受击特效填写1
循环播放特效填0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特效是否循环播放
若需要循环播放填1，前一列填0；
若不需要循环则填写0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备注</t>
        </r>
      </text>
    </comment>
  </commentList>
</comments>
</file>

<file path=xl/sharedStrings.xml><?xml version="1.0" encoding="utf-8"?>
<sst xmlns="http://schemas.openxmlformats.org/spreadsheetml/2006/main" count="9431" uniqueCount="8225">
  <si>
    <t>7</t>
  </si>
  <si>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</si>
  <si>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</si>
  <si>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</si>
  <si>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</si>
  <si>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</si>
  <si>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</si>
  <si>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</si>
  <si>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EmptyKey-H2</t>
  </si>
  <si>
    <t>ParticleId</t>
  </si>
  <si>
    <t>ResourceUrl</t>
  </si>
  <si>
    <t>Duration</t>
  </si>
  <si>
    <t>IsLoop</t>
  </si>
  <si>
    <t>int</t>
  </si>
  <si>
    <t>string</t>
  </si>
  <si>
    <t>double</t>
  </si>
  <si>
    <t>primary</t>
  </si>
  <si>
    <t>none</t>
  </si>
  <si>
    <t>ParticleId-B2</t>
  </si>
  <si>
    <t>luffy001_body/luffy001_body_attack01</t>
  </si>
  <si>
    <t>luffy001_body/luffy001_body_attack02</t>
  </si>
  <si>
    <t>luffy001_body/luffy001_body_attack03</t>
  </si>
  <si>
    <t>luffy001_body/luffy001_body_attack04</t>
  </si>
  <si>
    <t>luffy001_body/luffy001_body_attack05</t>
  </si>
  <si>
    <t>zoro001_body/zoro001_body_attack01</t>
  </si>
  <si>
    <t>zoro001_body/zoro001_body_attack02</t>
  </si>
  <si>
    <t>zoro001_body/zoro001_body_attack03</t>
  </si>
  <si>
    <t>zoro001_body/zoro001_body_attack04</t>
  </si>
  <si>
    <t>zoro001_body/zoro001_body_attack05</t>
  </si>
  <si>
    <t>sanji001_body/sanji001_body_attack01</t>
  </si>
  <si>
    <t>sanji001_body/sanji001_body_attack02</t>
  </si>
  <si>
    <t>sanji001_body/sanji001_body_attack03</t>
  </si>
  <si>
    <t>sanji001_body/sanji001_body_attack04</t>
  </si>
  <si>
    <t>sanji001_body/sanji001_body_attack05</t>
  </si>
  <si>
    <t>01_killhit/baodian_01</t>
  </si>
  <si>
    <t>common/jifei-test</t>
  </si>
  <si>
    <t>击飞远处特效</t>
  </si>
  <si>
    <t>common/jiaoxiayanchen</t>
  </si>
  <si>
    <t>向前冲的脚下特效</t>
  </si>
  <si>
    <t>common/jifei-yanchen</t>
  </si>
  <si>
    <t>击飞特效</t>
  </si>
  <si>
    <t>zoro001_body/zoro001_body_attack03_hit</t>
  </si>
  <si>
    <t>luffy001_body/luffy001_small_001</t>
  </si>
  <si>
    <t>路飞小人特效</t>
  </si>
  <si>
    <t>luffy001_body/luffy001_small_002_Bip001Pelvis</t>
  </si>
  <si>
    <t>luffy001_body/luffy001_body_attack05_yan</t>
  </si>
  <si>
    <t>luffy001_body/luffy001_body_attack06</t>
  </si>
  <si>
    <t>luffy001_body/luffy001_body_attack08</t>
  </si>
  <si>
    <t>luffy001_body/luffy001_body_attack10</t>
  </si>
  <si>
    <t>zoro001_body/zoro001_body_attack06</t>
  </si>
  <si>
    <t>zoro001_body/zoro001_body_attack07</t>
  </si>
  <si>
    <t>zoro001_body/zoro001_body_attack08</t>
  </si>
  <si>
    <t>sanji001_body/sanji001_body_attack06</t>
  </si>
  <si>
    <t>sanji001_body/sanji001_body_attack07</t>
  </si>
  <si>
    <t>sanji001_body/sanji001_body_attack08</t>
  </si>
  <si>
    <t>usopp001_body/usopp001_body_attack01</t>
  </si>
  <si>
    <t>usopp001_body/usopp001_body_attack02</t>
  </si>
  <si>
    <t>usopp001_body/usopp001_body_attack03</t>
  </si>
  <si>
    <t>nami001_body/nami001_body_attack01</t>
  </si>
  <si>
    <t>nami001_body/nami001_body_attack02</t>
  </si>
  <si>
    <t>nami001_body/nami001_body_attack02_buff</t>
  </si>
  <si>
    <t>01_killhit/baodian_03</t>
  </si>
  <si>
    <t>01_killhit/baodian_04</t>
  </si>
  <si>
    <t>usopp001_body/usopp001_body_attack01_hit01</t>
  </si>
  <si>
    <t>usopp001_body/usopp001_body_attack01_hit02_big</t>
  </si>
  <si>
    <t>usopp001_body/usopp001_body_attack04_hit01</t>
  </si>
  <si>
    <t>usopp001_body/usopp001_body_attack05_hit01_fire</t>
  </si>
  <si>
    <t>usopp001_body/usopp001_body_attack05_hit02_you</t>
  </si>
  <si>
    <t>usopp001_body/usopp001_body_attack06_hit01_smoke</t>
  </si>
  <si>
    <t>01_killhit/baodian_05</t>
  </si>
  <si>
    <t>usopp001_body/usopp_attack07_niangao</t>
  </si>
  <si>
    <t>usopp001_body/usopp001_body_attack01_pro01</t>
  </si>
  <si>
    <t>usopp001_body/usopp001_body_attack01_pro02_big</t>
  </si>
  <si>
    <t>usopp001_body/usopp001_body_attack04_pro01</t>
  </si>
  <si>
    <t>usopp001_body/usopp001_body_attack05_pro01</t>
  </si>
  <si>
    <t>usopp001_body/usopp001_body_attack06_pro01</t>
  </si>
  <si>
    <t>nami001_body/nami001_body_attack03_pro</t>
  </si>
  <si>
    <t>nami001_body/nami001_body_attack04_pro</t>
  </si>
  <si>
    <t>usopp001_body/usopp001_body_attack03_wuqir</t>
  </si>
  <si>
    <t>nami001_body/nami001_body_attack01_pro</t>
  </si>
  <si>
    <t>nami001_body/nami001_body_attack08</t>
  </si>
  <si>
    <t>01_killhit/baodian_02</t>
  </si>
  <si>
    <t>franky001_body/franky001_body_attack01</t>
  </si>
  <si>
    <t>franky001_body/franky001_body_attack01_Bip001LFinger2Nub</t>
  </si>
  <si>
    <t>franky001_body/franky001_body_attack02</t>
  </si>
  <si>
    <t>franky001_body/franky001_body_attack04</t>
  </si>
  <si>
    <t>franky001_body/franky001_body_attack06</t>
  </si>
  <si>
    <t>franky001_body/franky001_body_attack07</t>
  </si>
  <si>
    <t>franky001_body/franky001_body_attack08</t>
  </si>
  <si>
    <t>franky001_body/franky001_body_attack02_hit</t>
  </si>
  <si>
    <t>franky001_body/franky001_body_attack02_pro</t>
  </si>
  <si>
    <t>luffy001_body/luffy001_body_attack02_zhengqi</t>
  </si>
  <si>
    <t>usopp001_body/usopp001_body_attack07</t>
  </si>
  <si>
    <t>usopp001_body/usopp001_body_attack08</t>
  </si>
  <si>
    <t>franky001_body/franky001_body_attack05</t>
  </si>
  <si>
    <t>nami001_body/nami001_body_attack067_hit</t>
  </si>
  <si>
    <t>nami001_body/nami001_body_attack09</t>
  </si>
  <si>
    <t>nami001_body/nami001_body_attack09_wuqi</t>
  </si>
  <si>
    <t>nami001_body/nami001_body_attack10</t>
  </si>
  <si>
    <t>nami001_body/nami001_body_attack10_wuqi11</t>
  </si>
  <si>
    <t>chopper_body/chopper_body_attack01</t>
  </si>
  <si>
    <t>chopper_body/chopper_body_attack01_wuqir</t>
  </si>
  <si>
    <t>chopper_body/chopper_body_attack02</t>
  </si>
  <si>
    <t>chopper_body/chopper_body_attack03_01</t>
  </si>
  <si>
    <t>chopper_body/chopper_body_attack03_01_wuqil</t>
  </si>
  <si>
    <t>chopper_body/chopper_body_attack04</t>
  </si>
  <si>
    <t>chopper_body/chopper_body_attack05</t>
  </si>
  <si>
    <t>chopper_body/chopper_body_attack05_wuqil</t>
  </si>
  <si>
    <t>chopper_body/chopper_body_attack05_wuqir</t>
  </si>
  <si>
    <t>chopper_body/chopper_body_attack06</t>
  </si>
  <si>
    <t>chopper_body/chopper_body_attack06_wuqir</t>
  </si>
  <si>
    <t>chopper_body/chopper_body_attack07</t>
  </si>
  <si>
    <t>chopper_body/chopper_body_attack07_Bip001RFinger1</t>
  </si>
  <si>
    <t>chopper_body/chopper_body_attack09</t>
  </si>
  <si>
    <t>chopper_body/chopper_body_attack05_jiaxue</t>
  </si>
  <si>
    <t>chopper_body/chopper_body_attack06_jiedu</t>
  </si>
  <si>
    <t>samfisher001_body/samfisher_attack01</t>
  </si>
  <si>
    <t>butchi001_body/butchi001_body_attack01</t>
  </si>
  <si>
    <t>nami001_body/nami001_body_attack05</t>
  </si>
  <si>
    <t>01_killhit/baodian_09</t>
  </si>
  <si>
    <t>nami001_body/nami001_body_attack05_wuqi02</t>
  </si>
  <si>
    <t>01_killhit/baodian_06</t>
  </si>
  <si>
    <t>luffy001_body/luffy001_body_attack05_yan_2</t>
  </si>
  <si>
    <t>luffy001_body/luffy001_body_attack05_hit_Bip001Spine</t>
  </si>
  <si>
    <t>jango/jango_attack01</t>
  </si>
  <si>
    <t>jango/jango_attack02</t>
  </si>
  <si>
    <t>jango/jango_attack03</t>
  </si>
  <si>
    <t>jango/jango_attack02_buff</t>
  </si>
  <si>
    <t>jango/jango_attack01_pro</t>
  </si>
  <si>
    <t>blackcat003_body/blackcat003_body_attack01</t>
  </si>
  <si>
    <t>blackcat004_body/blackcat004_body_attack01</t>
  </si>
  <si>
    <t>jango/jango_attack03_pro</t>
  </si>
  <si>
    <t>brook/brook_attack01</t>
  </si>
  <si>
    <t>brook/brook_attack02</t>
  </si>
  <si>
    <t>brook/brook_attack03</t>
  </si>
  <si>
    <t>brook/brook_attack04</t>
  </si>
  <si>
    <t>brook/brook_attack05</t>
  </si>
  <si>
    <t>brook/brook_attack06</t>
  </si>
  <si>
    <t>brook/brook_attack07</t>
  </si>
  <si>
    <t>brook/brook_attack08</t>
  </si>
  <si>
    <t>brook/brook_attack05_buff</t>
  </si>
  <si>
    <t>01_killhit/baodian_13_xueye</t>
  </si>
  <si>
    <t>buggy/buggy_attack02</t>
  </si>
  <si>
    <t>buggy/buggy_attack03</t>
  </si>
  <si>
    <t>buggy/buggy_attack04</t>
  </si>
  <si>
    <t>buggy/buggy_attack04_gro</t>
  </si>
  <si>
    <t>buggy/buggy_attack05</t>
  </si>
  <si>
    <t>buggy/buggy_attack06</t>
  </si>
  <si>
    <t>buggy/buggy_attack08</t>
  </si>
  <si>
    <t>01_killhit/baodian_11</t>
  </si>
  <si>
    <t>buggy/buggy_attack07_gro</t>
  </si>
  <si>
    <t>buggy/buggy_attack01_pro</t>
  </si>
  <si>
    <t>buggy/buggy_attack02_pro</t>
  </si>
  <si>
    <t>smoker/smoker_attack01</t>
  </si>
  <si>
    <t>smoker/smoker_attack02</t>
  </si>
  <si>
    <t>smoker/smoker_attack03</t>
  </si>
  <si>
    <t>smoker/smoker_attack03_wuqir</t>
  </si>
  <si>
    <t>smoker/smoker_attack04</t>
  </si>
  <si>
    <t>smoker/smoker_attack05</t>
  </si>
  <si>
    <t xml:space="preserve">smoker/smoker_attack05_Bip001 </t>
  </si>
  <si>
    <t>smoker/smoker_attack05_Bip001_R_Foot</t>
  </si>
  <si>
    <t>smoker/smoker_attack06</t>
  </si>
  <si>
    <t xml:space="preserve">smoker/smoker_attack07 </t>
  </si>
  <si>
    <t>smoker/smoker_attack07_Bip001_R_Toe0Nub</t>
  </si>
  <si>
    <t xml:space="preserve">smoker/smoker_attack08 </t>
  </si>
  <si>
    <t>smoker/smoker_attack08_Bip001_R_Foot</t>
  </si>
  <si>
    <t>kuzan/kuzan_attack01</t>
  </si>
  <si>
    <t>kuzan/kuzan_attack02</t>
  </si>
  <si>
    <t>kuzan/kuzan_attack03</t>
  </si>
  <si>
    <t>kuzan/kuzan_attack04</t>
  </si>
  <si>
    <t>kuzan/kuzan_attack05</t>
  </si>
  <si>
    <t>kuzan/kuzan_attack06</t>
  </si>
  <si>
    <t>kuzan/kuzan_attack07</t>
  </si>
  <si>
    <t>smoker/smoker_attack05_hit</t>
  </si>
  <si>
    <t>kuzan/kuzan_hit01</t>
  </si>
  <si>
    <t>kuzan/kuzan_attack02_ground</t>
  </si>
  <si>
    <t>bentham/bentham_attack01</t>
  </si>
  <si>
    <t>bentham/bentham_attack02</t>
  </si>
  <si>
    <t>bentham/bentham_attack03</t>
  </si>
  <si>
    <t>bentham/bentham_attack04</t>
  </si>
  <si>
    <t>bentham/bentham_attack05</t>
  </si>
  <si>
    <t>bentham/bentham_attack06</t>
  </si>
  <si>
    <t>bentham/bentham_attack07</t>
  </si>
  <si>
    <t>bentham/bentham_attack08</t>
  </si>
  <si>
    <t>tashigi/tashigi_attack01</t>
  </si>
  <si>
    <t>tashigi/tashigi_attack02</t>
  </si>
  <si>
    <t>tashigi/tashigi_attack03</t>
  </si>
  <si>
    <t>tashigi/tashigi_attack04</t>
  </si>
  <si>
    <t>tashigi/tashigi_attack05</t>
  </si>
  <si>
    <t>tashigi/tashigi_attack06</t>
  </si>
  <si>
    <t>tashigi/tashigi_attack07</t>
  </si>
  <si>
    <t>tashigi/tashigi_attack08</t>
  </si>
  <si>
    <t>mr1/mr1_attack01</t>
  </si>
  <si>
    <t>mr1/mr1_attack02</t>
  </si>
  <si>
    <t>mr1/mr1_attack03</t>
  </si>
  <si>
    <t>mr1/mr1_attack05</t>
  </si>
  <si>
    <t>mr1/mr1_attack06</t>
  </si>
  <si>
    <t>mr1/mr1_attack07</t>
  </si>
  <si>
    <t>mr1/mr1_attack07_Bip001LHand</t>
  </si>
  <si>
    <t>mr1/mr1_attack07_Bip001RHand</t>
  </si>
  <si>
    <t>mr1/mr1_attack08</t>
  </si>
  <si>
    <t>mr1/mr1_attack08_Bip001LHand</t>
  </si>
  <si>
    <t>mr1/mr1_attack08_Bip001RHand</t>
  </si>
  <si>
    <t>mr3/mr3_attack01</t>
  </si>
  <si>
    <t>mr3/mr3_attack02_Bip001RHand</t>
  </si>
  <si>
    <t>mr3/mr3_attack03_Bip001RHand</t>
  </si>
  <si>
    <t>mr3/mr3_attack04</t>
  </si>
  <si>
    <t>mr3/mr3_attack05</t>
  </si>
  <si>
    <t>mr3/mr3_attack06</t>
  </si>
  <si>
    <t>mr3/mr3_attack07</t>
  </si>
  <si>
    <t>mr3/mr3_attack08</t>
  </si>
  <si>
    <t>paula/paula_attack01</t>
  </si>
  <si>
    <t>paula/paula_attack02</t>
  </si>
  <si>
    <t>paula/paula_attack03</t>
  </si>
  <si>
    <t>paula/paula_attack04</t>
  </si>
  <si>
    <t>paula/paula_attack05</t>
  </si>
  <si>
    <t>paula/paula_attack06</t>
  </si>
  <si>
    <t>paula/paula_attack07</t>
  </si>
  <si>
    <t>paula/paula_attack08</t>
  </si>
  <si>
    <t>bentham/bentham_attack01_hit</t>
  </si>
  <si>
    <t>01_killhit/baodian_16</t>
  </si>
  <si>
    <t>mr1/mr1_attack03_gro</t>
  </si>
  <si>
    <t>mr1/mr1_attack04_gro</t>
  </si>
  <si>
    <t>mr3/mr3_attack01_hit</t>
  </si>
  <si>
    <t>mr3/mr3_attack03_gro</t>
  </si>
  <si>
    <t>mr3/mr3_attack05_gro</t>
  </si>
  <si>
    <t>mr3/mr3_attack01_pro</t>
  </si>
  <si>
    <t>mr3/mr3_attack02_pro</t>
  </si>
  <si>
    <t>mr3/mr3_attack03_pro</t>
  </si>
  <si>
    <t>arlong/arlong_attack01</t>
  </si>
  <si>
    <t>arlong/arlong_attack02</t>
  </si>
  <si>
    <t>arlong/arlong_attack03</t>
  </si>
  <si>
    <t>arlong/arlong_attack04</t>
  </si>
  <si>
    <t>morgan/morgan_attack01</t>
  </si>
  <si>
    <t>morgan/morgan_attack02</t>
  </si>
  <si>
    <t>morgan/morgan_attack03</t>
  </si>
  <si>
    <t>kuro/kuro_attack01</t>
  </si>
  <si>
    <t>kuro/kuro_attack02</t>
  </si>
  <si>
    <t>kuro/kuro_attack03</t>
  </si>
  <si>
    <t>kuro/kuro_attack04</t>
  </si>
  <si>
    <t>goldenweek/goldenweek_attack01</t>
  </si>
  <si>
    <t>goldenweek/goldenweek_attack02</t>
  </si>
  <si>
    <t>goldenweek/goldenweek_attack03</t>
  </si>
  <si>
    <t>goldenweek/goldenweek_attack04</t>
  </si>
  <si>
    <t>goldenweek/goldenweek_attack04_bimao</t>
  </si>
  <si>
    <t>cabaji/cabaji_attack01</t>
  </si>
  <si>
    <t>cabaji/cabaji_attack02</t>
  </si>
  <si>
    <t>cabaji/cabaji_attack03</t>
  </si>
  <si>
    <t>kuromarimo/kuromarimo_attack01</t>
  </si>
  <si>
    <t>01_killhit/baodian_12_xue_Hit</t>
  </si>
  <si>
    <t>01_killhit/baodian_11_water_Hit</t>
  </si>
  <si>
    <t>01_killhit/baodian_14</t>
  </si>
  <si>
    <t>01_killhit/baodian_15</t>
  </si>
  <si>
    <t>goldenweek/goldenweek_attack01_buff</t>
  </si>
  <si>
    <t>goldenweek/goldenweek_attack02_buff</t>
  </si>
  <si>
    <t>goldenweek/goldenweek_attack03_buff</t>
  </si>
  <si>
    <t>goldenweek/goldenweek_attack04_buff</t>
  </si>
  <si>
    <t>kuromarimo/kuromarimo_attack02_hit</t>
  </si>
  <si>
    <t>kuromarimo/kuromarimo_attack02_pro</t>
  </si>
  <si>
    <t>franky001_body/franky001_body_attack03</t>
  </si>
  <si>
    <t>01_killhit/baodian_10</t>
  </si>
  <si>
    <t>coby/coby_attack01</t>
  </si>
  <si>
    <t>coby/coby_attack02</t>
  </si>
  <si>
    <t>coby/coby_attack03</t>
  </si>
  <si>
    <t>01_killhit/baodian_17</t>
  </si>
  <si>
    <t>helmeppo/helmeppo_attack01</t>
  </si>
  <si>
    <t>soldier001/soldier001_attack01</t>
  </si>
  <si>
    <t>soldier002/soldier002_attack01</t>
  </si>
  <si>
    <t>clown001_body/clown001_body_attack01</t>
  </si>
  <si>
    <t>kuzan/kuzan_attack08</t>
  </si>
  <si>
    <t>perona/perona_attack03</t>
  </si>
  <si>
    <t>perona/perona_attack04</t>
  </si>
  <si>
    <t>perona/perona_attack05</t>
  </si>
  <si>
    <t>perona/perona_attack07</t>
  </si>
  <si>
    <t>perona/perona_attack08</t>
  </si>
  <si>
    <t>perona/perona_attack01_Hit</t>
  </si>
  <si>
    <t>perona/perona_attack02_buff</t>
  </si>
  <si>
    <t>perona/perona_attack02_Hit_youling</t>
  </si>
  <si>
    <t>perona/perona_attack05_kongju_buff</t>
  </si>
  <si>
    <t>ryuma/ryuma_attack01</t>
  </si>
  <si>
    <t>ryuma/ryuma_attack02</t>
  </si>
  <si>
    <t>ryuma/ryuma_attack03</t>
  </si>
  <si>
    <t>ryuma/ryuma_attack04</t>
  </si>
  <si>
    <t>ryuma/ryuma_attack05</t>
  </si>
  <si>
    <t>ryuma/ryuma_attack06</t>
  </si>
  <si>
    <t>ryuma/ryuma_attack06_wuqir</t>
  </si>
  <si>
    <t>ryuma/ryuma_attack07</t>
  </si>
  <si>
    <t>ryuma/ryuma_attack07_Bip001_HeadNub</t>
  </si>
  <si>
    <t>ryuma/ryuma_attack08</t>
  </si>
  <si>
    <t>ryuma/ryuma_attack01_hit</t>
  </si>
  <si>
    <t>absalom/absalom_attack01</t>
  </si>
  <si>
    <t>absalom/absalom_attack02</t>
  </si>
  <si>
    <t>absalom/absalom_attack03</t>
  </si>
  <si>
    <t>absalom/absalom_attack04</t>
  </si>
  <si>
    <t>absalom/absalom_attack05</t>
  </si>
  <si>
    <t>absalom/absalom_attack06</t>
  </si>
  <si>
    <t>absalom/absalom_attack06_Bip001Head</t>
  </si>
  <si>
    <t>perona/perona_attack06</t>
  </si>
  <si>
    <t>absalom/absalom_attack08</t>
  </si>
  <si>
    <t>absalom/absalom_attack04_hit</t>
  </si>
  <si>
    <t>bellamy/bellamy_attack01</t>
  </si>
  <si>
    <t>bellamy/bellamy_attack02</t>
  </si>
  <si>
    <t>bellamy/bellamy_attack03</t>
  </si>
  <si>
    <t>bellamy/bellamy_attack04</t>
  </si>
  <si>
    <t>bellamy/bellamy_attack05</t>
  </si>
  <si>
    <t>bellamy/bellamy_attack06</t>
  </si>
  <si>
    <t>bellamy/bellamy_attack07</t>
  </si>
  <si>
    <t>bellamy/bellamy_attack08</t>
  </si>
  <si>
    <t>bellamy/bellamy_attack08_Bip001</t>
  </si>
  <si>
    <t>bellamy/bellamy_attack08_hit</t>
  </si>
  <si>
    <t>hachi/hachi_attack01</t>
  </si>
  <si>
    <t>hachi/hachi_attack02</t>
  </si>
  <si>
    <t>hachi/hachi_attack03</t>
  </si>
  <si>
    <t>hachi/hachi_attack02_hit</t>
  </si>
  <si>
    <t>mr4/mr4_attack01</t>
  </si>
  <si>
    <t>mr4/mr4_attack02</t>
  </si>
  <si>
    <t>mr4/mr4_attack03</t>
  </si>
  <si>
    <t>mr4/mr4_attack01_hit</t>
  </si>
  <si>
    <t>mr5/mr5_attack01</t>
  </si>
  <si>
    <t>mr5/mr5_attack02</t>
  </si>
  <si>
    <t>mr5/mr5_attack03</t>
  </si>
  <si>
    <t>mr5/mr5_attack04</t>
  </si>
  <si>
    <t>mr5/mr5_attack01_hit</t>
  </si>
  <si>
    <t>mr5/mr5_attack02_gro</t>
  </si>
  <si>
    <t>wapol/wapol_attack01</t>
  </si>
  <si>
    <t>瓦波尔</t>
  </si>
  <si>
    <t>wapol/wapol_attack02_a</t>
  </si>
  <si>
    <t>wapol/wapol_attack02_b</t>
  </si>
  <si>
    <t>wapol/wapol_attack03</t>
  </si>
  <si>
    <t>wapol/wapol_attack04</t>
  </si>
  <si>
    <t>wapol/wapol_attack01_hit</t>
  </si>
  <si>
    <t>wapol/wapol_attack04_hit</t>
  </si>
  <si>
    <t>bootle/bootle_attack01</t>
  </si>
  <si>
    <t>crocus/crocus_attack01</t>
  </si>
  <si>
    <t>crocus/crocus_attack02</t>
  </si>
  <si>
    <t>crocus/crocus_attack02_hit</t>
  </si>
  <si>
    <t>perona/perona_attack01_pro</t>
  </si>
  <si>
    <t>perona/perona_attack02_pro</t>
  </si>
  <si>
    <t>perona/perona_attack04_xiong_pro</t>
  </si>
  <si>
    <t>mr4/mr4_attack01_pro</t>
  </si>
  <si>
    <t>crocus/crocus_attack02_pro</t>
  </si>
  <si>
    <t>krieg/krieg_attack01</t>
  </si>
  <si>
    <t>krieg/krieg_attack03</t>
  </si>
  <si>
    <t>krieg/krieg_attack04</t>
  </si>
  <si>
    <t>krieg/krieg_attack05</t>
  </si>
  <si>
    <t>krieg/krieg_attack02_gro</t>
  </si>
  <si>
    <t>krieg/krieg_attack02_pro</t>
  </si>
  <si>
    <t>usopp001_body/usopp001_body_attack02_hit</t>
  </si>
  <si>
    <t>kuzan/kuzan_attack07_gro</t>
  </si>
  <si>
    <t>buggy/buggy_attack08_gro</t>
  </si>
  <si>
    <t>buggy/buggy_attack03_Point009</t>
  </si>
  <si>
    <t>roblucci/roblucci_attack01</t>
  </si>
  <si>
    <t>roblucci/roblucci_attack02</t>
  </si>
  <si>
    <t>roblucci/roblucci_attack03</t>
  </si>
  <si>
    <t>roblucci/roblucci_attack04</t>
  </si>
  <si>
    <t>roblucci/roblucci_attack04_Bip001</t>
  </si>
  <si>
    <t>roblucci/roblucci_attack05</t>
  </si>
  <si>
    <t>roblucci/roblucci_attack06</t>
  </si>
  <si>
    <t>roblucci/roblucci_attack07</t>
  </si>
  <si>
    <t>gin/gin_attack01</t>
  </si>
  <si>
    <t>gin/gin_attack01_weapon_R</t>
  </si>
  <si>
    <t>gin/gin_attack02</t>
  </si>
  <si>
    <t>gin/gin_attack02_weapon_R</t>
  </si>
  <si>
    <t>gin/gin_attack03</t>
  </si>
  <si>
    <t>mr1/mr1_attack07_hit</t>
  </si>
  <si>
    <t>krieg/krieg_attack04_wp003</t>
  </si>
  <si>
    <t>gin/gin_attack03_hit</t>
  </si>
  <si>
    <t>crocodile/crocodile_attack01</t>
  </si>
  <si>
    <t>crocodile/crocodile_attack02</t>
  </si>
  <si>
    <t>crocodile/crocodile_attack03</t>
  </si>
  <si>
    <t>crocodile/crocodile_attack04</t>
  </si>
  <si>
    <t>crocodile/crocodile_attack05</t>
  </si>
  <si>
    <t>crocodile/crocodile_attack06</t>
  </si>
  <si>
    <t>crocodile/crocodile_attack07</t>
  </si>
  <si>
    <t>crocodile/crocodile_attack08</t>
  </si>
  <si>
    <t>crocodile/crocodile_attack01_hit</t>
  </si>
  <si>
    <t>crocodile/crocodile_attack03_hit</t>
  </si>
  <si>
    <t>enel/enel_attack01</t>
  </si>
  <si>
    <t>enel/enel_attack02</t>
  </si>
  <si>
    <t>enel/enel_attack02_bip001spine1</t>
  </si>
  <si>
    <t>enel/enel_attack03</t>
  </si>
  <si>
    <t>enel/enel_attack03_bip001spine1</t>
  </si>
  <si>
    <t>enel/enel_attack04</t>
  </si>
  <si>
    <t>enel/enel_attack04_bip001_l_hand</t>
  </si>
  <si>
    <t>enel/enel_attack06</t>
  </si>
  <si>
    <t>[特殊BUFF]电击心脏</t>
  </si>
  <si>
    <t>enel/enel_attack07</t>
  </si>
  <si>
    <t>enel/enel_Battack02</t>
  </si>
  <si>
    <t>enel/enel_Battack02_point008</t>
  </si>
  <si>
    <t>enel/enel_Battack02_point009</t>
  </si>
  <si>
    <t>enel/enel_Battack09</t>
  </si>
  <si>
    <t>enel/enel_Battack10</t>
  </si>
  <si>
    <t>enel/enel_Battack10_hand</t>
  </si>
  <si>
    <t>enel/enel_show_bip001_r_hand</t>
  </si>
  <si>
    <t>enel/enel_attack04_hit</t>
  </si>
  <si>
    <t>enel/enel_attack01_hit</t>
  </si>
  <si>
    <t>enel/enel_Battack10_hit</t>
  </si>
  <si>
    <t>03_ani/yanchen</t>
  </si>
  <si>
    <t>crocodile/crocodile_attack08_b</t>
  </si>
  <si>
    <t>01_killhit/baodian_20</t>
  </si>
  <si>
    <t>enel/enel_attack03_hit</t>
  </si>
  <si>
    <t>jyabura/jyabura_attack01</t>
  </si>
  <si>
    <t>jyabura/jyabura_attack02</t>
  </si>
  <si>
    <t>jyabura/jyabura_attack03</t>
  </si>
  <si>
    <t>jyabura/jyabura_attack04</t>
  </si>
  <si>
    <t>jyabura/jyabura_attack05</t>
  </si>
  <si>
    <t>jyabura/jyabura_attack07</t>
  </si>
  <si>
    <t>jyabura/jyabura_attack08</t>
  </si>
  <si>
    <t>jyabura/jyabura_attack04_hit</t>
  </si>
  <si>
    <t>jyabura/jyabura_attack05_hit</t>
  </si>
  <si>
    <t xml:space="preserve">kuma/kuma_attack01  </t>
  </si>
  <si>
    <t>kuma/kuma_attack01_Bip001LHand</t>
  </si>
  <si>
    <t>kuma/kuma_attack01_Bip001RHand</t>
  </si>
  <si>
    <t>kuma/kuma_attack02</t>
  </si>
  <si>
    <t>kuma/kuma_attack02_Bone009</t>
  </si>
  <si>
    <t>kuma/kuma_attack03</t>
  </si>
  <si>
    <t>kuma/kuma_attack04</t>
  </si>
  <si>
    <t>kuma/kuma_attack05</t>
  </si>
  <si>
    <t>kuma/kuma_attack06</t>
  </si>
  <si>
    <t>kuma/kuma_attack08</t>
  </si>
  <si>
    <t>kuma/kuma_attack02_gro</t>
  </si>
  <si>
    <t>kuma/kuma_attack03_hit</t>
  </si>
  <si>
    <t>kuma/kuma_attack04_gro</t>
  </si>
  <si>
    <t>01_killhit/baodian_18</t>
  </si>
  <si>
    <t>absalom/absalom_attack02_hit</t>
  </si>
  <si>
    <t>sakazuki/sakazuki_attack01</t>
  </si>
  <si>
    <t>sakazuki/sakazuki_attack03</t>
  </si>
  <si>
    <t>sakazuki/sakazuki_attack04</t>
  </si>
  <si>
    <t>sakazuki/sakazuki_attack05</t>
  </si>
  <si>
    <t>sakazuki/sakazuki_attack05_Hand</t>
  </si>
  <si>
    <t>sakazuki/sakazuki_attack06</t>
  </si>
  <si>
    <t>sakazuki/sakazuki_attack07</t>
  </si>
  <si>
    <t>sakazuki/sakazuki_attack07_Hand</t>
  </si>
  <si>
    <t>sakazuki/sakazuki_attack08</t>
  </si>
  <si>
    <t>sakazuki/sakazuki_attack08_Hand</t>
  </si>
  <si>
    <t>sakazuki/sakazuki_attack03_hit</t>
  </si>
  <si>
    <t>kalifa/kalifa_attack02</t>
  </si>
  <si>
    <t>kalifa/kalifa_attack03</t>
  </si>
  <si>
    <t>kalifa/kalifa_attack04</t>
  </si>
  <si>
    <t>kalifa/kalifa_attack05</t>
  </si>
  <si>
    <t>kalifa/kalifa_attack06</t>
  </si>
  <si>
    <t>kalifa/kalifa_attack07</t>
  </si>
  <si>
    <t>kalifa/kalifa_attack08</t>
  </si>
  <si>
    <t>kalifa/kalifa_attack08_hand</t>
  </si>
  <si>
    <t>kalifa/kalifa_attack03_hit</t>
  </si>
  <si>
    <t>kalifa/kalifa_attack05_hit</t>
  </si>
  <si>
    <t>kalifa/kalifa_attack07_buff</t>
  </si>
  <si>
    <t>kalifa/kalifa_attack01_pro1</t>
  </si>
  <si>
    <t>kalifa/kalifa_attack03_pro</t>
  </si>
  <si>
    <t>zoro001_body/zoro001_body_attack03_pro</t>
  </si>
  <si>
    <t>perona/perona_attack07_hit</t>
  </si>
  <si>
    <t>perona/perona_attack02_Hit</t>
  </si>
  <si>
    <t>jyabura/jyabura_attack09</t>
  </si>
  <si>
    <t>jyabura/jyabura_attack09_Bip001_R_Hand</t>
  </si>
  <si>
    <t>enel/enel_attack04_gro</t>
  </si>
  <si>
    <t>01_killhit/baodian_21</t>
  </si>
  <si>
    <t>jyabura/pro</t>
  </si>
  <si>
    <t>cabaji/cabaji_attack02_Hit</t>
  </si>
  <si>
    <t>smoker/smoker_attack03_yan</t>
  </si>
  <si>
    <t>smoker/smoker_attack03_yantou</t>
  </si>
  <si>
    <t>garp/garp_attack01</t>
  </si>
  <si>
    <t>garp/garp_attack02</t>
  </si>
  <si>
    <t>garp/garp_attack03</t>
  </si>
  <si>
    <t>garp/garp_attack04</t>
  </si>
  <si>
    <t>garp/garp_attack05</t>
  </si>
  <si>
    <t>garp/garp_attack06</t>
  </si>
  <si>
    <t>garp/garp_attack08</t>
  </si>
  <si>
    <t>garp/garp_attack01_Hit</t>
  </si>
  <si>
    <t>garp/garp_attack05_gro</t>
  </si>
  <si>
    <t>sakazuki/sakazuki_attack06_hit</t>
  </si>
  <si>
    <t>garp/garp_attack03_wuqil</t>
  </si>
  <si>
    <t>garp/garp_attack03_wuqir</t>
  </si>
  <si>
    <t>garp/garp_attack04_wuqir</t>
  </si>
  <si>
    <t>enel/enel_Battack_leidian</t>
  </si>
  <si>
    <t>garp/garp_attack06_Hit_lianji</t>
  </si>
  <si>
    <t>garp/garp_attack06_Hit_chuantou</t>
  </si>
  <si>
    <t>ecki/ecki_attack01</t>
  </si>
  <si>
    <t>ecki/ecki_attack02</t>
  </si>
  <si>
    <t>ecki/ecki_attack03</t>
  </si>
  <si>
    <t>ecki/ecki_attack04</t>
  </si>
  <si>
    <t>ecki/ecki_attack05</t>
  </si>
  <si>
    <t>ecki/ecki_attack06</t>
  </si>
  <si>
    <t>ecki/ecki_attack07</t>
  </si>
  <si>
    <t>01_killhit/baodian_22</t>
  </si>
  <si>
    <t>ecki/ecki_attack07_gro</t>
  </si>
  <si>
    <t>wapa/wapa_attack01</t>
  </si>
  <si>
    <t>wapa/wapa_attack02</t>
  </si>
  <si>
    <t>wapa/wapa_attack03</t>
  </si>
  <si>
    <t>wapa/wapa_attack03_Bip001LFoot</t>
  </si>
  <si>
    <t>wapa/wapa_attack03_Bip001RFoot</t>
  </si>
  <si>
    <t>wapa/wapa_attack04</t>
  </si>
  <si>
    <t>wapa/wapa_attack04_Bip001RFoot</t>
  </si>
  <si>
    <t xml:space="preserve">wapa/wapa_attack05 </t>
  </si>
  <si>
    <t>wapa/wapa_attack05_Bip001LFoot</t>
  </si>
  <si>
    <t>wapa/wapa_attack05_Bip001RFoot</t>
  </si>
  <si>
    <t>wapa/wapa_attack01_hit</t>
  </si>
  <si>
    <t>wapa/wapa_attack02_hit</t>
  </si>
  <si>
    <t>wapa/wapa_attack01_pro</t>
  </si>
  <si>
    <t>wapa/wapa_attack02_hit1</t>
  </si>
  <si>
    <t>mr3/mr3_attack06_Bip001_L_Hand</t>
  </si>
  <si>
    <t>mr3/mr3_attack09</t>
  </si>
  <si>
    <t>mr3/mr3_attack07_hit</t>
  </si>
  <si>
    <t>luffy001_body/luffy001_body_attack11</t>
  </si>
  <si>
    <t>kuma/kuma_attack07</t>
  </si>
  <si>
    <t>mr3/mr3_fire_one</t>
  </si>
  <si>
    <t>mr3/mr3_fire_loop</t>
  </si>
  <si>
    <t>balu/balu_attack01</t>
  </si>
  <si>
    <t>balu/balu_attack02</t>
  </si>
  <si>
    <t>balu/balu_attack03</t>
  </si>
  <si>
    <t>balu/balu_attack03_Bip001Spine_01</t>
  </si>
  <si>
    <t>balu/balu_attack03_Bip001Spine_02</t>
  </si>
  <si>
    <t>balu/balu_attack03_Point001</t>
  </si>
  <si>
    <t>balu/balu_attack03_Point002</t>
  </si>
  <si>
    <t>balu/balu_attack03_hit</t>
  </si>
  <si>
    <t>mihawk/mihawk_attack01</t>
  </si>
  <si>
    <t>mihawk/mihawk_attack02</t>
  </si>
  <si>
    <t>mihawk/mihawk_attack02_Bone022</t>
  </si>
  <si>
    <t>mihawk/mihawk_attack03</t>
  </si>
  <si>
    <t>mihawk/mihawk_attack04</t>
  </si>
  <si>
    <t>mihawk/mihawk_attack05</t>
  </si>
  <si>
    <t>mihawk/mihawk_attack05_Bone022</t>
  </si>
  <si>
    <t>mihawk/mihawk_attack06</t>
  </si>
  <si>
    <t>mihawk/mihawk_hit_1</t>
  </si>
  <si>
    <t>clown002_body/clown002_body_attack01</t>
  </si>
  <si>
    <t>clown003_body/clown003_body_attack01</t>
  </si>
  <si>
    <t>chew/chew_attack01</t>
  </si>
  <si>
    <t>chew/chew_attack01_pro</t>
  </si>
  <si>
    <t>soldier001_body04/soldier001_body04_attack01</t>
  </si>
  <si>
    <t>blackcat002/blackcat002_attack01</t>
  </si>
  <si>
    <t>pirates001_body/pirates001_body_attack01</t>
  </si>
  <si>
    <t>pirates001_body01/pirates001_body01_attack01</t>
  </si>
  <si>
    <t>pirates002_body/pirates002_body_attack01</t>
  </si>
  <si>
    <t>pirates002_body02/pirates002_body02_body_attack01</t>
  </si>
  <si>
    <t>pirates003_body01/pirates003_body01_attack01</t>
  </si>
  <si>
    <t>pirates003_body01/pirates003_body01_attack01_hit</t>
  </si>
  <si>
    <t>pirates003_body01/pirates003_body01_attack01_pro</t>
  </si>
  <si>
    <t>pirates003_body02/pirates003_body02_attack01</t>
  </si>
  <si>
    <t>fishmen002_body/fishmen002_body_attack01</t>
  </si>
  <si>
    <t>kuroobi001_body/kuroobi001_body_attack01</t>
  </si>
  <si>
    <t>pirates004_body/pirates004_body_attack01</t>
  </si>
  <si>
    <t>pirates004_body01/pirates004_body01_attack01</t>
  </si>
  <si>
    <t>pirates004_body01/pirates004_body01_attack01_hit</t>
  </si>
  <si>
    <t>pirates004_body01/pirates004_body01_attack01_pro</t>
  </si>
  <si>
    <t>mohji001_body/mohji001_body_attack01</t>
  </si>
  <si>
    <t>mohji001_body/mohji001_body_attack02</t>
  </si>
  <si>
    <t>01_killhit/baodian_07</t>
  </si>
  <si>
    <t>luffy001_body/luffy001_bianshen</t>
  </si>
  <si>
    <r>
      <rPr>
        <sz val="11"/>
        <rFont val="等线"/>
        <charset val="134"/>
      </rPr>
      <t>路飞变身下B</t>
    </r>
    <r>
      <rPr>
        <sz val="11"/>
        <rFont val="等线"/>
        <charset val="134"/>
      </rPr>
      <t>UFF特效</t>
    </r>
  </si>
  <si>
    <t>mr3/mr3_bianshen</t>
  </si>
  <si>
    <t>Mr.3变身下BUFF特效</t>
  </si>
  <si>
    <t>bentham/Mr_2_bianshen_L</t>
  </si>
  <si>
    <t>Mr.2变身下BUFF特效</t>
  </si>
  <si>
    <t>chopper_body/chopper_bianshen</t>
  </si>
  <si>
    <t>乔巴变身下BUFF特效</t>
  </si>
  <si>
    <t>enel/enel_bianshen</t>
  </si>
  <si>
    <t>艾尼路变身下BUFF特效</t>
  </si>
  <si>
    <t>fishmen001_body/fishmen001_body_attack01</t>
  </si>
  <si>
    <t>猩猩阔嘴鱼人</t>
  </si>
  <si>
    <t>fishmen003_body/fishmen003_body_attack01</t>
  </si>
  <si>
    <t>流氓鱼人</t>
  </si>
  <si>
    <t>fishmen004_body/fishmen004_body_attack01</t>
  </si>
  <si>
    <t>刺豚鱼人</t>
  </si>
  <si>
    <t>mihawk/mihawk_attack09</t>
  </si>
  <si>
    <t>鹰眼大招</t>
  </si>
  <si>
    <t>mihawk/mihawk_attack09_Bone022</t>
  </si>
  <si>
    <t>mihawk/mihawk_hit_2</t>
  </si>
  <si>
    <t>nami001_body/nami001_body_attack11</t>
  </si>
  <si>
    <t>娜美冷气泡</t>
  </si>
  <si>
    <t>01_killhit/baodian_08</t>
  </si>
  <si>
    <t>nami001_body/nami001_body_attack01_hit</t>
  </si>
  <si>
    <t>nami001_body/nami001_body_attack01_pro_02</t>
  </si>
  <si>
    <t>mihawk/mihawk_attack07</t>
  </si>
  <si>
    <t>mihawk/mihawk_attack05_gro</t>
  </si>
  <si>
    <t>鹰眼出境特效</t>
  </si>
  <si>
    <t>mihawk/mihawk_hit_3</t>
  </si>
  <si>
    <t>02_UI/shuxing/renwu_shengji_01</t>
  </si>
  <si>
    <t>kuroobi001_body/kuroobi001_body_attack02</t>
  </si>
  <si>
    <t>chew/chew_attack02</t>
  </si>
  <si>
    <t>chew/chew_attack03_pro</t>
  </si>
  <si>
    <t>tashigi/tashigi_attack04_pro</t>
  </si>
  <si>
    <t>塔西琪刀波子弹</t>
  </si>
  <si>
    <t>双手指</t>
  </si>
  <si>
    <t>paula/paula_attack04_Bip001_Spine1</t>
  </si>
  <si>
    <t>乔巴</t>
  </si>
  <si>
    <t>chopper_body/chopper_body_attack10</t>
  </si>
  <si>
    <t>nine001_body/nine001_body_attack01</t>
  </si>
  <si>
    <t>Mr.9</t>
  </si>
  <si>
    <t>chopper_body/chopper_body_attack09_gro</t>
  </si>
  <si>
    <t>chopper_body/chopper_body_attack10_gro</t>
  </si>
  <si>
    <t>chopper_body/chopper_body_attack11_gro</t>
  </si>
  <si>
    <t>chopper_body/chopper_body_attack08</t>
  </si>
  <si>
    <t>nine001_body/nine001_body_attack02</t>
  </si>
  <si>
    <t>igaram/igaram_attack01</t>
  </si>
  <si>
    <t>伊卡莱姆</t>
  </si>
  <si>
    <t>igaram/igaram_attack02</t>
  </si>
  <si>
    <t>monday001/monday001_attack01</t>
  </si>
  <si>
    <t>星期一</t>
  </si>
  <si>
    <t>monday001/monday001_attack02</t>
  </si>
  <si>
    <t>missvalentine001/missvalentine001_attack01</t>
  </si>
  <si>
    <t>情人节</t>
  </si>
  <si>
    <t>missvalentine001/missvalentine001_attack02</t>
  </si>
  <si>
    <t>missvalentine001/missvalentine001_attack01_hit</t>
  </si>
  <si>
    <t>01_killhit/baodian_23</t>
  </si>
  <si>
    <t xml:space="preserve">enel/enel_Battack13        </t>
  </si>
  <si>
    <t>艾尼路-雷神</t>
  </si>
  <si>
    <t>enel/enel_Battack13_shenti</t>
  </si>
  <si>
    <t>enel/enel_Battack13_Point008</t>
  </si>
  <si>
    <t>garp/garp_attack09</t>
  </si>
  <si>
    <t>robin/robin_attack03</t>
  </si>
  <si>
    <t>罗宾</t>
  </si>
  <si>
    <t>robin/robin_attack04</t>
  </si>
  <si>
    <t>robin/robin_attack05</t>
  </si>
  <si>
    <t>robin/robin_attack07</t>
  </si>
  <si>
    <t>robin/robin_attack08</t>
  </si>
  <si>
    <t>robin/robin_attack01_Bip001_Neck</t>
  </si>
  <si>
    <t>robin/robin_attack01_bit</t>
  </si>
  <si>
    <t>robin/robin_attack02</t>
  </si>
  <si>
    <t>robin/robin_attack06_Bip001_L_Foot</t>
  </si>
  <si>
    <t>robin/robin_attack06_Bip001_R_Foot</t>
  </si>
  <si>
    <t>robin/robin_attack06_root</t>
  </si>
  <si>
    <t>garp/garp_attack09_Bip001_Head</t>
  </si>
  <si>
    <t>卡普睡觉</t>
  </si>
  <si>
    <t>chess001_body/chess001_body_attack01_Dummy02</t>
  </si>
  <si>
    <t>棋子普攻</t>
  </si>
  <si>
    <t>chess001_body/chess001_body_attack02_Dummy02</t>
  </si>
  <si>
    <t>棋子火焰箭</t>
  </si>
  <si>
    <t>chess001_body/chess001_body_attack01_hit</t>
  </si>
  <si>
    <t>棋子</t>
  </si>
  <si>
    <t>chess001_body/chess001_body_attack02_hit</t>
  </si>
  <si>
    <t>chess001_body/chess001_body_attack01_pro</t>
  </si>
  <si>
    <t>chess001_body/chess001_body_attack02_pro</t>
  </si>
  <si>
    <t>zoro001_body/zoro001_body_attack10</t>
  </si>
  <si>
    <t>佐罗</t>
  </si>
  <si>
    <t>01_killhit/baodian_25</t>
  </si>
  <si>
    <t>state001_body/state001_body_attack01</t>
  </si>
  <si>
    <t>兔子</t>
  </si>
  <si>
    <t>state001_body/state001_body_attack02</t>
  </si>
  <si>
    <t>sanji001_body/sanji001_body_attack09</t>
  </si>
  <si>
    <t>山智</t>
  </si>
  <si>
    <t>sanji001_body/sanji001_body_attack09_hit</t>
  </si>
  <si>
    <t>vivi002/vivi002_attack01_Bip001LFinger4</t>
  </si>
  <si>
    <t>薇薇</t>
  </si>
  <si>
    <t>vivi002/vivi002_attack01_Bip001RFinger4</t>
  </si>
  <si>
    <t>vivi002/vivi002_attack02_Bip001LFinger4</t>
  </si>
  <si>
    <t>vivi002/vivi002_attack02_Bip001RFinger4</t>
  </si>
  <si>
    <t>vivi002/vivi002_attack04</t>
  </si>
  <si>
    <t>vivi002/vivi002_attack01_hit</t>
  </si>
  <si>
    <t>vivi002/vivi002_attack01_pro</t>
  </si>
  <si>
    <t>vivi002/vivi002_attack02_pro</t>
  </si>
  <si>
    <t>vivi002/vivi002_attack03</t>
  </si>
  <si>
    <t>vivi002/vivi002_attack02</t>
  </si>
  <si>
    <t>fukurou/fukurou_attack01</t>
  </si>
  <si>
    <t>猫头鹰</t>
  </si>
  <si>
    <t>fukurou/fukurou_attack02</t>
  </si>
  <si>
    <t>fukurou/fukurou_attack03</t>
  </si>
  <si>
    <t>fukurou/fukurou_attack04</t>
  </si>
  <si>
    <t>fukurou/fukurou_attack04_pro</t>
  </si>
  <si>
    <t>ace/ace_attack01</t>
  </si>
  <si>
    <t>艾斯</t>
  </si>
  <si>
    <t>ace/ace_attack01_pro</t>
  </si>
  <si>
    <t>ace/ace_attack01_hit</t>
  </si>
  <si>
    <t>ace/ace_attack02</t>
  </si>
  <si>
    <t xml:space="preserve">ace/ace_attack02_Bip001_R_Hand </t>
  </si>
  <si>
    <t xml:space="preserve">ace/ace_attack03 </t>
  </si>
  <si>
    <t>ace/ace_attack03_Bip001_R_Hand_FX</t>
  </si>
  <si>
    <t>ace/ace_attack03_Bip001_L_Hand_FX</t>
  </si>
  <si>
    <t>ace/ace_attack03_Bip001_Spine1_yao_huo</t>
  </si>
  <si>
    <t xml:space="preserve">ace/ace_attack04 </t>
  </si>
  <si>
    <t xml:space="preserve">ace/ace_attack04_Bip001_L_UpperArm </t>
  </si>
  <si>
    <t xml:space="preserve">ace/ace_attack04_Bip001_R_UpperArm </t>
  </si>
  <si>
    <t>ace/ace_attack04_Bip001_R_Foot</t>
  </si>
  <si>
    <t>ace/ace_attack04_Bip001_Spine1</t>
  </si>
  <si>
    <t>ace/ace_attack05</t>
  </si>
  <si>
    <t>ace/ace_attack05_hit</t>
  </si>
  <si>
    <t>ace/ace_attack06</t>
  </si>
  <si>
    <t>ace/ace_attack06_hit</t>
  </si>
  <si>
    <t xml:space="preserve">ace/ace_attack08 </t>
  </si>
  <si>
    <t>ace/ace_attack08_Bip001_L_Hand</t>
  </si>
  <si>
    <t>ace/ace_attack08_Bip001_R_Hand</t>
  </si>
  <si>
    <t>ace/ace_attack08_Bip001_L_Calf</t>
  </si>
  <si>
    <t xml:space="preserve">ace/ace_attack09 </t>
  </si>
  <si>
    <t xml:space="preserve">ace/ace_attack09_Bip001_L_Hand </t>
  </si>
  <si>
    <t xml:space="preserve">ace/ace_attack09_Bip001_R_Hand </t>
  </si>
  <si>
    <t>guard001_body001/guard001_body001_attack01</t>
  </si>
  <si>
    <t>持枪护卫队</t>
  </si>
  <si>
    <t>guard001_body002/guard001_body002_attack01</t>
  </si>
  <si>
    <t>持刀护卫队</t>
  </si>
  <si>
    <t>dalton/dalton_attack01</t>
  </si>
  <si>
    <t>达尔顿</t>
  </si>
  <si>
    <t>dalton/dalton_attack02</t>
  </si>
  <si>
    <t>manatee001_body/manatee001_body_attack01</t>
  </si>
  <si>
    <t>功夫海牛</t>
  </si>
  <si>
    <t>christmas001/christmas001_attack01</t>
  </si>
  <si>
    <t>圣诞快乐</t>
  </si>
  <si>
    <t>christmas001/christmas001_attack02</t>
  </si>
  <si>
    <t>rebels001_body01/rebels001_body01_attack01</t>
  </si>
  <si>
    <t>反叛军A01</t>
  </si>
  <si>
    <t>rebels001_body02/rebels001_body02_attack01</t>
  </si>
  <si>
    <t>叛军A02</t>
  </si>
  <si>
    <t>rebels002_body01/rebels002_body01_attack01</t>
  </si>
  <si>
    <t>叛军B01</t>
  </si>
  <si>
    <t>rebels002_body02/rebels002_body02_attack01</t>
  </si>
  <si>
    <t>叛军B02</t>
  </si>
  <si>
    <t>hogubarker/hogubarker_attack01</t>
  </si>
  <si>
    <t>豪格巴克</t>
  </si>
  <si>
    <t>hogubarker/hogubarker_attack04_Dummy003</t>
  </si>
  <si>
    <t>hogubarker/hogubarker_attack05_Dummy003</t>
  </si>
  <si>
    <t>hogubarker/hogubarker_attack06_Dummy003</t>
  </si>
  <si>
    <t>hogubarker/hogubarker_attack08</t>
  </si>
  <si>
    <t>hogubarker/hogubarker_attack01_gro</t>
  </si>
  <si>
    <t>hogubarker/hogubarker_attack02_hit</t>
  </si>
  <si>
    <t>hogubarker/hogubarker_attack03_gro</t>
  </si>
  <si>
    <t>hogubarker/hogubarker_attack04_gro</t>
  </si>
  <si>
    <t>hogubarker/hogubarker_attack07_hit</t>
  </si>
  <si>
    <t>hogubarker/hogubarker_attack02_pro</t>
  </si>
  <si>
    <t>hogubarker/hogubarker_attack07_pro</t>
  </si>
  <si>
    <t>robin/robin_attack07_hua_bit</t>
  </si>
  <si>
    <t>hogubarker/hogubarker_attack06</t>
  </si>
  <si>
    <t xml:space="preserve">ace/ace_attack02_hit </t>
  </si>
  <si>
    <t>ace/ace_attack02_pro</t>
  </si>
  <si>
    <t>morgan/morgan_attack02_Bip001_R_Hand</t>
  </si>
  <si>
    <t>摩根</t>
  </si>
  <si>
    <t>army001_body001/army001_body001_attack01</t>
  </si>
  <si>
    <t>钝器国王军</t>
  </si>
  <si>
    <t>commander001_body/commander001_body_attack01</t>
  </si>
  <si>
    <t>海军统领</t>
  </si>
  <si>
    <t>captain/captain_attack01</t>
  </si>
  <si>
    <t>海贼头目狼牙棒</t>
  </si>
  <si>
    <t>captain/captain_attack02</t>
  </si>
  <si>
    <t>nami001_body/nami_attack04_wuqi03</t>
  </si>
  <si>
    <t>奈美</t>
  </si>
  <si>
    <t>ace/ace_attack05_pro</t>
  </si>
  <si>
    <t>ace/ace_attack06_pro</t>
  </si>
  <si>
    <t>ace/ace_attack04_hit</t>
  </si>
  <si>
    <t>ace/ace_attack05_Bip001_Hand</t>
  </si>
  <si>
    <t>ace/ace_attack09_xiaoshi</t>
  </si>
  <si>
    <t>kalifa/kalifa_attack08_progroundmo</t>
  </si>
  <si>
    <t>佳妮法</t>
  </si>
  <si>
    <t>wapol/wapol_attack03_dao</t>
  </si>
  <si>
    <t>kuma/kuma_attack09</t>
  </si>
  <si>
    <t>大熊</t>
  </si>
  <si>
    <t>usopp001_body/usopp001_body_attack08_ground_xuehua</t>
  </si>
  <si>
    <t>乌索普大招</t>
  </si>
  <si>
    <t>alvida001/alvida001_attack01</t>
  </si>
  <si>
    <t>艾比达</t>
  </si>
  <si>
    <t>alvida001/alvida001_attack02</t>
  </si>
  <si>
    <t>thugs001_body/thugs001_body_attack01</t>
  </si>
  <si>
    <t>艾比达船员1</t>
  </si>
  <si>
    <t>ace/ace_show_root</t>
  </si>
  <si>
    <t>艾斯进场</t>
  </si>
  <si>
    <t>ace/ace_win_Bip001_R_Hand</t>
  </si>
  <si>
    <t>艾斯胜利</t>
  </si>
  <si>
    <t>enel/enel_run_root</t>
  </si>
  <si>
    <t>艾尼路城镇跑</t>
  </si>
  <si>
    <t>02_UI/shuxing/renwu_tupo_01</t>
  </si>
  <si>
    <t>beret001/beret001_attack01</t>
  </si>
  <si>
    <t>贝雷帽近战</t>
  </si>
  <si>
    <t>godarmy001_body01/godarmy001_body01_attack01</t>
  </si>
  <si>
    <t>神兵A</t>
  </si>
  <si>
    <t>godarmy001_body02/godarmy001_body02_attack01</t>
  </si>
  <si>
    <t>神兵B</t>
  </si>
  <si>
    <t>godarmy001_body01/godarmy001_body01_attack01_hit</t>
  </si>
  <si>
    <t>神兵A被击</t>
  </si>
  <si>
    <t>godarmy001_body02/godarmy001_body02_attack01_hit</t>
  </si>
  <si>
    <t>神兵B被击</t>
  </si>
  <si>
    <t>satori001_body/satori001_body_attack01</t>
  </si>
  <si>
    <t>阿悟</t>
  </si>
  <si>
    <t>satori001_body/satori001_body_attack02</t>
  </si>
  <si>
    <t>satori001_body/satori001_body_attack03</t>
  </si>
  <si>
    <t>shura001_body/shura001_body_attack01</t>
  </si>
  <si>
    <t>修罗</t>
  </si>
  <si>
    <t>gonforr001_body/gonforr001_body_attack01</t>
  </si>
  <si>
    <t>旧神-甘·福尔</t>
  </si>
  <si>
    <t>shura001_body/shura001_body_attack02</t>
  </si>
  <si>
    <t>wapa/wapa_attack02_Bone27</t>
  </si>
  <si>
    <t>瓦帕</t>
  </si>
  <si>
    <t>shura001_body/shura001_body_attack03</t>
  </si>
  <si>
    <t>shura001_body/shura001_body_attack01_bit</t>
  </si>
  <si>
    <t>shura001_body/shura001_body_attack02_bit</t>
  </si>
  <si>
    <t>shura001_body/shura001_body_attack03_hit</t>
  </si>
  <si>
    <t xml:space="preserve">gedatsu001_body/gedatsu001_body_attack01 </t>
  </si>
  <si>
    <t>涅槃</t>
  </si>
  <si>
    <t>gedatsu001_body/gedatsu001_body_attack02</t>
  </si>
  <si>
    <t>gedatsu001_body/gedatsu001_body_attack03</t>
  </si>
  <si>
    <t>gedatsu001_body/gedatsu001_body_attack01_hit</t>
  </si>
  <si>
    <t>gedatsu001_body/gedatsu001_body_attack02_hit</t>
  </si>
  <si>
    <t>gedatsu001_body/gedatsu001_body_attack03_hit</t>
  </si>
  <si>
    <t>ohm001_body/ohm001_body_attack01</t>
  </si>
  <si>
    <t>欧姆</t>
  </si>
  <si>
    <t>ohm001_body/ohm001_body_attack02</t>
  </si>
  <si>
    <t>ohm001_body/ohm001_body_attack03</t>
  </si>
  <si>
    <t>ohm001_body/ohm001_body_attack03_Dummy03</t>
  </si>
  <si>
    <t>01_killhit/baodian_24</t>
  </si>
  <si>
    <t>pell001_body/pell001_body_attack01</t>
  </si>
  <si>
    <t>佩鲁</t>
  </si>
  <si>
    <t>pell001_body/pell001_body_attack02</t>
  </si>
  <si>
    <t>chaka001/chaka001_attack01</t>
  </si>
  <si>
    <t>恰卡</t>
  </si>
  <si>
    <t>chaka001/chaka001_attack02</t>
  </si>
  <si>
    <t>state002_body/state002_body_attack01</t>
  </si>
  <si>
    <t>兔子拉邦小弟</t>
  </si>
  <si>
    <t>kuzan/kuzan_attack09</t>
  </si>
  <si>
    <t>青雉</t>
  </si>
  <si>
    <t>kuzan/kuzan_attack09_hit</t>
  </si>
  <si>
    <t>soldier001_body05/soldier001_body05_attack01</t>
  </si>
  <si>
    <t>沙漠装-步枪海军</t>
  </si>
  <si>
    <t>soldier001_body06/soldier001_body06_attack01</t>
  </si>
  <si>
    <t>沙漠装-单刀海军</t>
  </si>
  <si>
    <t>mihawk/mihawk_tuowei_Bone022</t>
  </si>
  <si>
    <t>鹰眼</t>
  </si>
  <si>
    <t>ace/ace_attack04_canliu</t>
  </si>
  <si>
    <t>sanji001_body/sanji001_body_attack09_hit1</t>
  </si>
  <si>
    <t>kuma/kuma_attack02_gro1</t>
  </si>
  <si>
    <t>大熊新普攻</t>
  </si>
  <si>
    <t>01_killhit/baodian_28</t>
  </si>
  <si>
    <t>nami001_body/nami001_body_attack07_gro</t>
  </si>
  <si>
    <t>奈美风速计雷云</t>
  </si>
  <si>
    <t>ecki/ecki_attack09</t>
  </si>
  <si>
    <t>borsalino/borsalino_attack01</t>
  </si>
  <si>
    <t>黄猿</t>
  </si>
  <si>
    <t>borsalino/borsalino_attack02</t>
  </si>
  <si>
    <t>borsalino/borsalino_attack03</t>
  </si>
  <si>
    <t>borsalino/borsalino_attack03_Bip001LToe0</t>
  </si>
  <si>
    <t>borsalino/borsalino_attack04</t>
  </si>
  <si>
    <t>borsalino/borsalino_attack04_Bip001RHand</t>
  </si>
  <si>
    <t>borsalino/borsalino_attack05_Bip001LHand</t>
  </si>
  <si>
    <t>borsalino/borsalino_attack06</t>
  </si>
  <si>
    <t>borsalino/borsalino_attack06_Bip001LHand</t>
  </si>
  <si>
    <t>borsalino/borsalino_attack07</t>
  </si>
  <si>
    <t>borsalino/borsalino_attack08</t>
  </si>
  <si>
    <t>borsalino/borsalino_01_hit</t>
  </si>
  <si>
    <t>borsalino/borsalino_attack03_gro</t>
  </si>
  <si>
    <t>borsalino/borsalino_attack05_baozha</t>
  </si>
  <si>
    <t>borsalino/borsalino_jiguang</t>
  </si>
  <si>
    <t>garp/garp_attack08_ground</t>
  </si>
  <si>
    <t>卡普奥义出场</t>
  </si>
  <si>
    <t>kuzan/kuzan_attack03_gro</t>
  </si>
  <si>
    <t>joseph/joseph_attack01</t>
  </si>
  <si>
    <t>约撒</t>
  </si>
  <si>
    <t>joseph/joseph_attack02</t>
  </si>
  <si>
    <t>joseph/joseph_attack03</t>
  </si>
  <si>
    <t>joseph/joseph_attack03_wuqir</t>
  </si>
  <si>
    <t>joseph/joseph_attack04</t>
  </si>
  <si>
    <t>joseph/joseph_attack04_Bip001_L_Foot</t>
  </si>
  <si>
    <t>joseph/johnny_attack04_Bip001_R_Foot</t>
  </si>
  <si>
    <t>root</t>
  </si>
  <si>
    <t>kuzan/kuzan_attack09_canliu</t>
  </si>
  <si>
    <t>青雉大招出场</t>
  </si>
  <si>
    <t>bentham/Mr_2_bianshen_R</t>
  </si>
  <si>
    <t>bentham/Mr_2_bianshen_L_jian</t>
  </si>
  <si>
    <t>bentham/Mr_2_bianshen_R_jian</t>
  </si>
  <si>
    <t>vivi002/vivi002_attack01</t>
  </si>
  <si>
    <t>kuma/kuma_xiaoshi</t>
  </si>
  <si>
    <t>大熊跳跃 特效</t>
  </si>
  <si>
    <t>enel_attack01</t>
  </si>
  <si>
    <t>enel/enel_attack01_lian01</t>
  </si>
  <si>
    <t>艾尼路激光</t>
  </si>
  <si>
    <t xml:space="preserve">  18帧出现    36帧结束</t>
  </si>
  <si>
    <t>enel/enel_attack01_lian02</t>
  </si>
  <si>
    <t xml:space="preserve">18帧出现    33帧结束  </t>
  </si>
  <si>
    <t>艾尼路</t>
  </si>
  <si>
    <t>kuma/kuma_chuxian</t>
  </si>
  <si>
    <t>大熊跳跃结束 特效</t>
  </si>
  <si>
    <t>enel/chuxian</t>
  </si>
  <si>
    <t>艾尼路跳跃</t>
  </si>
  <si>
    <t>enel/xiaoshi</t>
  </si>
  <si>
    <t>enel/enel_win_Bip001_L_Hand</t>
  </si>
  <si>
    <t>win</t>
  </si>
  <si>
    <t>mr3/mr3_win_Bip001_L_Hand</t>
  </si>
  <si>
    <t>mr3/mr3_attack01_hit_xiao</t>
  </si>
  <si>
    <t>MR.3buff受击</t>
  </si>
  <si>
    <t>enel/enel002_body_chuxian</t>
  </si>
  <si>
    <t>艾尼路跳跃-雷神</t>
  </si>
  <si>
    <t>enel/enel002_body_xiaoshi</t>
  </si>
  <si>
    <t>03_ani/jingyuwater</t>
  </si>
  <si>
    <t>鲸鱼水花</t>
  </si>
  <si>
    <t>kuzan/kuzan_jump_jianshe</t>
  </si>
  <si>
    <t>kuzan/kuzan_jump_jianshe_fan</t>
  </si>
  <si>
    <t>kuzan/kuzan_jump_jianshe_ting</t>
  </si>
  <si>
    <t>zoro001_body/zoro001_baodian_02</t>
  </si>
  <si>
    <t>tashigi/tashigi_attack07_hit</t>
  </si>
  <si>
    <t>crocodile/crocodile_city_daiji</t>
  </si>
  <si>
    <t>克罗克达尔 跑动</t>
  </si>
  <si>
    <t>ace/ace_mood05_Bip001RHand</t>
  </si>
  <si>
    <t>ace/ace_daiji_root</t>
  </si>
  <si>
    <t>03_ani/shoukao_shoukao</t>
  </si>
  <si>
    <t>手铐通用</t>
  </si>
  <si>
    <t>borsalino/borsalino_attack05_guangzhu</t>
  </si>
  <si>
    <t>borsalino/borsalino_attack03_hit</t>
  </si>
  <si>
    <t>borsalino/borsalino_attack07_Bip001LHand</t>
  </si>
  <si>
    <t>borsalino/borsalino_attack07_Bip001RHand</t>
  </si>
  <si>
    <t>sakazuki/sakazuki_attack09</t>
  </si>
  <si>
    <t>moria/moria_attack01</t>
  </si>
  <si>
    <t>moria/moria_attack02</t>
  </si>
  <si>
    <t>moria/moria_attack03</t>
  </si>
  <si>
    <t>moria/moria_attack04</t>
  </si>
  <si>
    <t>moria/moria_attack05</t>
  </si>
  <si>
    <t>moria/moria_attack06</t>
  </si>
  <si>
    <t>moria/moria_attack09</t>
  </si>
  <si>
    <t>moria/moria_attack08</t>
  </si>
  <si>
    <t>moria/moria_attack11</t>
  </si>
  <si>
    <t>moria/moria_attack01_hit</t>
  </si>
  <si>
    <t>moria/moria_attack02_hit</t>
  </si>
  <si>
    <t>moria/moria_attack05_hit</t>
  </si>
  <si>
    <t>moria/moria_attack11_hit</t>
  </si>
  <si>
    <t>borsalino/borsalino_shunyi01</t>
  </si>
  <si>
    <t>borsalino/borsalino_shunyi02</t>
  </si>
  <si>
    <t>borsalino/borsalino_attack08_xiaoshi</t>
  </si>
  <si>
    <t>sakazuki/sakazuki_attack03_Hand</t>
  </si>
  <si>
    <t>sakazuki/sakazuki_attack01_hit</t>
  </si>
  <si>
    <t>sakazuki/sakazuki_attack04_canliu</t>
  </si>
  <si>
    <t>sakazuki/sakazuki_attack08_canliu</t>
  </si>
  <si>
    <t>borsalino/borsalino_attack02_hit</t>
  </si>
  <si>
    <t>sakazuki/sakazuki_jump_jianshe</t>
  </si>
  <si>
    <t>sakazuki/sakazuki_jump_jianshe_fan</t>
  </si>
  <si>
    <t>sakazuki/sakazuki_jump_jianshe_ting</t>
  </si>
  <si>
    <t>kuromarimo/kuromarimo_attack02_BUFF</t>
  </si>
  <si>
    <t>kuromarimo/kuromarimo_attack02_BUFF1</t>
  </si>
  <si>
    <t>army001_body002/army001_body002_pro</t>
  </si>
  <si>
    <t>brook/brook_attack07_pro</t>
  </si>
  <si>
    <t>christmas001/christmas001_attack03</t>
  </si>
  <si>
    <t>libasi001_body/libasi001_attack01</t>
  </si>
  <si>
    <t>sarquiss001_body/sarquiss001_body_attack01</t>
  </si>
  <si>
    <t>garp/garp_attack04_groud</t>
  </si>
  <si>
    <t>05_paobu/1_run_chengzhen</t>
  </si>
  <si>
    <t>05_paobu/2_run_senlin</t>
  </si>
  <si>
    <t>05_paobu/3_run_xuedi</t>
  </si>
  <si>
    <t>05_paobu/4_run_shadi</t>
  </si>
  <si>
    <t>missvalentine001/missvalentine001_attack03</t>
  </si>
  <si>
    <t>borsalino/borsalino_shunyi_run</t>
  </si>
  <si>
    <t>黄猿场景瞬移特效</t>
  </si>
  <si>
    <t>soldier002_body05/soldier002_body05_attack01</t>
  </si>
  <si>
    <t>rou_obj_1001/rou_obj_1001</t>
  </si>
  <si>
    <t>路飞待机5 大肉腿</t>
  </si>
  <si>
    <t>mr3/mr3_show</t>
  </si>
  <si>
    <t>soldier002_body03/soldier002_body03_attack01</t>
  </si>
  <si>
    <t>火炮海军A</t>
  </si>
  <si>
    <t>soldier002_body06/soldier002_body06_attack01</t>
  </si>
  <si>
    <t>沙漠装-火炮海军</t>
  </si>
  <si>
    <t>enel/enel_mood01</t>
  </si>
  <si>
    <t>kuma/kuma_xiaoshi_run</t>
  </si>
  <si>
    <t>garp/garp_stand</t>
  </si>
  <si>
    <t>卡普待机</t>
  </si>
  <si>
    <t>kuma/kuma_stand</t>
  </si>
  <si>
    <t>大熊待机</t>
  </si>
  <si>
    <t>kuzan/kuzan_show</t>
  </si>
  <si>
    <t>kuzan/kuzan_stand</t>
  </si>
  <si>
    <t>青雉待机</t>
  </si>
  <si>
    <t>sakazuki/sakazuki_stand</t>
  </si>
  <si>
    <t>赤犬待机</t>
  </si>
  <si>
    <t>mihawk/mihawk_stand</t>
  </si>
  <si>
    <t>米霍克</t>
  </si>
  <si>
    <t>borsalino/borsalino_stand</t>
  </si>
  <si>
    <t>roblucci/roblucci_attack08</t>
  </si>
  <si>
    <t>路奇变身普攻</t>
  </si>
  <si>
    <t>roblucci/roblucci_attack09</t>
  </si>
  <si>
    <t>jyabura/jyabura_attack11</t>
  </si>
  <si>
    <t>杰布拉人形态</t>
  </si>
  <si>
    <t>jyabura/jyabura_attack12</t>
  </si>
  <si>
    <t>jyabura/jyabura_attack13</t>
  </si>
  <si>
    <t>crocodile/crocodile_mood03</t>
  </si>
  <si>
    <t>沙·鳄鱼城镇展示</t>
  </si>
  <si>
    <t>bulahamu/bulahamu_attack01</t>
  </si>
  <si>
    <t>布拉哈姆</t>
  </si>
  <si>
    <t>mantis001_body/mantis001_body_attack01</t>
  </si>
  <si>
    <t>战士螳螂</t>
  </si>
  <si>
    <t>mantis001_body/mantis001_body_attack02</t>
  </si>
  <si>
    <t>shandia001_body/shandia001_body_attack01</t>
  </si>
  <si>
    <t>山迪亚战士远程</t>
  </si>
  <si>
    <t>shandia002/shandia002_attack01</t>
  </si>
  <si>
    <t>山迪亚战士</t>
  </si>
  <si>
    <t>enel/enel_mood02_Bip001RHand</t>
  </si>
  <si>
    <t>艾尼路待机2</t>
  </si>
  <si>
    <t>crocodile/crocodile_mood02</t>
  </si>
  <si>
    <t>crocodile/crocodile_mood02_Bip001RFinger1</t>
  </si>
  <si>
    <t>borsalino/borsalino_mood02</t>
  </si>
  <si>
    <t>表情特效</t>
  </si>
  <si>
    <t>borsalino/borsalino_mood04</t>
  </si>
  <si>
    <t>sakazuki/sakazuki_mood03_R_Hand</t>
  </si>
  <si>
    <t>sakazuki/sakazuki_mood05_L_Hand</t>
  </si>
  <si>
    <t>zoro001_body/zoro_mood04</t>
  </si>
  <si>
    <t>usopp001_body/usopp_mood02</t>
  </si>
  <si>
    <t>brook/brook_mood02</t>
  </si>
  <si>
    <t>brook/brook_mood05</t>
  </si>
  <si>
    <t>crocodile/crocodile_mood01_Bip001LFinger2Nub</t>
  </si>
  <si>
    <t>Bip001 L Finger2Nub</t>
  </si>
  <si>
    <t>garp/garp_mood05_Bip001Head</t>
  </si>
  <si>
    <t>Bip001 Head</t>
  </si>
  <si>
    <t>kuma/kuma_mood03</t>
  </si>
  <si>
    <t>kuma/kuma_mood05</t>
  </si>
  <si>
    <t>nami001_body/nami_mood01</t>
  </si>
  <si>
    <t>buggy/buggy_mood05</t>
  </si>
  <si>
    <t>sanji001_body/sanji_mood01</t>
  </si>
  <si>
    <t>sanji001_body/sanji_mood01_sanji001faced</t>
  </si>
  <si>
    <t>sanji001_face_d</t>
  </si>
  <si>
    <t>sanji001_body/sanji_mood03</t>
  </si>
  <si>
    <t>sanji001_body/sanji_mood03_sanji001faced</t>
  </si>
  <si>
    <t>sanji001_body/sanji_mood04</t>
  </si>
  <si>
    <t>smoker/smoker_mood05</t>
  </si>
  <si>
    <t>luffy001_body/luffy001_body_mood06</t>
  </si>
  <si>
    <t>laki/laki001_attack01</t>
  </si>
  <si>
    <t>山狄亚拉基</t>
  </si>
  <si>
    <t>laki/laki001_attack02</t>
  </si>
  <si>
    <t>laki/laki001_attack02_Bip001LFinger01</t>
  </si>
  <si>
    <t>laki/laki001_attack02_gro</t>
  </si>
  <si>
    <t>roblucci/roblucci_buff_bianshen</t>
  </si>
  <si>
    <t>路奇包子变身回来</t>
  </si>
  <si>
    <t>robin/robin001_mood03</t>
  </si>
  <si>
    <t>robin/robin001_mood03_L_Hand</t>
  </si>
  <si>
    <t>robin/robin001_mood04</t>
  </si>
  <si>
    <t>luffy001_body/luffy001_body_display02_rou</t>
  </si>
  <si>
    <t>bali001_body/bali001_body_attack01</t>
  </si>
  <si>
    <t>bali001_body/bali001_body_attack02</t>
  </si>
  <si>
    <t>hogubarker/hogubarker_attack07</t>
  </si>
  <si>
    <t>bali001_body/bali001_body_attack02_hit</t>
  </si>
  <si>
    <t>tilestone/tilestone_attack01</t>
  </si>
  <si>
    <t>tilestone/tilestone_attack02</t>
  </si>
  <si>
    <t>tilestone/tilestone_attack02_hit</t>
  </si>
  <si>
    <t>zanbai001_body/zanbai001_body_attack01</t>
  </si>
  <si>
    <t>zanbai001_body/zanbai001_body_attack02</t>
  </si>
  <si>
    <t>zanbai001_body/zanbai001_body_attack01_hit</t>
  </si>
  <si>
    <t>zanbai001_body/zanbai001_body_attack02_hit</t>
  </si>
  <si>
    <t>nero001_body/nero001_body_attack01</t>
  </si>
  <si>
    <t>nero001_body/nero001_body_attack02</t>
  </si>
  <si>
    <t>nero001_body/nero001_body_attack03</t>
  </si>
  <si>
    <t>tilejie001_body/tilejie001_body_attack01</t>
  </si>
  <si>
    <t>tilejie001_body/tilejie001_body_attack02</t>
  </si>
  <si>
    <t>tilejie001_body/tilejie001_body_attack02_Bip001_Spine1</t>
  </si>
  <si>
    <t>tilejie001_body/tilejie001_body_attack03</t>
  </si>
  <si>
    <t>tilejie001_body/tilejie001_body_attack03_hit</t>
  </si>
  <si>
    <t>tilejie001_body/tilejie001_body_attack02_hit</t>
  </si>
  <si>
    <t>blueno001_body/blueno001_body_attack01</t>
  </si>
  <si>
    <t>blueno001_body/blueno001_body_attack02</t>
  </si>
  <si>
    <t>blueno001_body/blueno001_body_attack03</t>
  </si>
  <si>
    <t>blueno001_body/blueno001_body_attack03_Bip001_R_Foot</t>
  </si>
  <si>
    <t>spandam001_body/spandam001_body_attack01</t>
  </si>
  <si>
    <t>spandam001_body/spandam001_body_attack02</t>
  </si>
  <si>
    <t>squaresister001_body02/squaresister001_body02_attack01</t>
  </si>
  <si>
    <t>squaresister001_body02/squaresister001_body02_attack02</t>
  </si>
  <si>
    <t>squaresister001_body01/squaresister001_body01_hit</t>
  </si>
  <si>
    <t>squaresister001_body01/squaresister001_body01_attack01</t>
  </si>
  <si>
    <t>squaresister001_body01/squaresister001_body01_attack02</t>
  </si>
  <si>
    <t>squaresister001_body02/squaresister001_body02_hit</t>
  </si>
  <si>
    <t>coby002_body/coby002_body_attack01</t>
  </si>
  <si>
    <t>coby002_body/coby002_body_attack02</t>
  </si>
  <si>
    <t>coby002_body/coby002_body_attack03</t>
  </si>
  <si>
    <t>helmeppo002_body/helmeppo002_body_attack01</t>
  </si>
  <si>
    <t>helmeppo002_body/helmeppo002_body_attack02</t>
  </si>
  <si>
    <t>kumadori001_body/kumadori001_body_attack01</t>
  </si>
  <si>
    <t>kumadori001_body/kumadori001_body_attack02</t>
  </si>
  <si>
    <t>kumadori001_body/kumadori001_body_attack03</t>
  </si>
  <si>
    <t>kumadori001_body/kumadori001_body_attack04</t>
  </si>
  <si>
    <t>kumadori001_body/kumadori001_body_attack04_wq</t>
  </si>
  <si>
    <t>luffy001_body/luffy001_body_display02</t>
  </si>
  <si>
    <t>crocodile/crocodile_display_chuxian</t>
  </si>
  <si>
    <t>Bip001 R Hand</t>
  </si>
  <si>
    <t>crocodile/crocodile_display_Bip001RFinger1</t>
  </si>
  <si>
    <t>ace/ace_display02_chouka</t>
  </si>
  <si>
    <t>enel/enel_display02_root</t>
  </si>
  <si>
    <t>kuzan/kuzan_display02</t>
  </si>
  <si>
    <t>kuzan/kuzan_display02_R_Hand</t>
  </si>
  <si>
    <t>robin/luobingchouka_2</t>
  </si>
  <si>
    <t>borsalino/borsalino_display02</t>
  </si>
  <si>
    <t>soldier003_body01/soldier003_body01_attack01</t>
  </si>
  <si>
    <t xml:space="preserve">   2.8s      baodian_20</t>
  </si>
  <si>
    <t>soldier003_body02/soldier003_body02_attack01</t>
  </si>
  <si>
    <t xml:space="preserve">   1.8s      baodian_20</t>
  </si>
  <si>
    <t>shipworker001_body/shipworker001_body_attack01</t>
  </si>
  <si>
    <t>    1.8s     baodian_23</t>
  </si>
  <si>
    <t>family001_body/family001_body_attack01</t>
  </si>
  <si>
    <t>   1s    baodian_09</t>
  </si>
  <si>
    <t>family001_body02/family001_body_attack02</t>
  </si>
  <si>
    <t>   1.5s  baodian_09</t>
  </si>
  <si>
    <t>family002_body/family002_body_attack01</t>
  </si>
  <si>
    <t>   1.8s  baodian_09</t>
  </si>
  <si>
    <t>soldier004_body01/soldier004_body01_attack01</t>
  </si>
  <si>
    <t>soldier004_body02/soldier004_body02_attack01</t>
  </si>
  <si>
    <t>soldier005_body01/soldier005_body01_attack01</t>
  </si>
  <si>
    <t>soldier005_body02/soldier005_body02_attack01</t>
  </si>
  <si>
    <t>lawdog001_body/lawdog001_body_attack01</t>
  </si>
  <si>
    <t>guilty001_body/guilty001_body_attack01</t>
  </si>
  <si>
    <t>01_killhit/baodian_21_dxp</t>
  </si>
  <si>
    <t>roblucci/roblucci_attack05_Bip001</t>
  </si>
  <si>
    <t>kalifa/kalifa_attack01_attack01</t>
  </si>
  <si>
    <t>kalifa/kalifa_attack01_pro2</t>
  </si>
  <si>
    <t>robin/robin_attack01</t>
  </si>
  <si>
    <t>robin/robin_attack01_Bip001_L_Hand</t>
  </si>
  <si>
    <t>robin/robin_attack02_Bip001_L_Hand</t>
  </si>
  <si>
    <t>robin/robin_attack02_Bip001_R_Hand</t>
  </si>
  <si>
    <t>robin/robin_attack02_root</t>
  </si>
  <si>
    <t>robin/robin_attack03_Bip001_L_Hand</t>
  </si>
  <si>
    <t>robin/robin_attack03_root</t>
  </si>
  <si>
    <t>robin/robin_attack04_Bip001_L_Foot</t>
  </si>
  <si>
    <t>robin/robin_attack04_Bip001_R_Foot</t>
  </si>
  <si>
    <t>robin/robin_attack04_Bip001_Neck</t>
  </si>
  <si>
    <t>robin/robin_attack05_Bip001_L_Hand</t>
  </si>
  <si>
    <t>robin/robin_attack05_root</t>
  </si>
  <si>
    <t>robin/robin_attack06</t>
  </si>
  <si>
    <t>robin/luobingchouka_1</t>
  </si>
  <si>
    <t xml:space="preserve">roblucci/roblucci_run </t>
  </si>
  <si>
    <t>foxy001_body/foxy001_body_attack01</t>
  </si>
  <si>
    <t>foxy001_body/foxy001_body_attack02</t>
  </si>
  <si>
    <t>foxy001_body/foxy001_body_attack02_hit</t>
  </si>
  <si>
    <t>foxy001_body/foxy001_body_attack03</t>
  </si>
  <si>
    <t>foxy001_body/foxy001_body_attack03_hit</t>
  </si>
  <si>
    <t>foxy001_body/foxy001_body_attack03_Bip001_R_Finger0Nub</t>
  </si>
  <si>
    <t>foxy001_body/foxy001_body_attack04</t>
  </si>
  <si>
    <t>porche/porche_attack01</t>
  </si>
  <si>
    <t>porche/porche_attack02</t>
  </si>
  <si>
    <t>porche/porche_attack02_Bip001_R_Finger31</t>
  </si>
  <si>
    <t>hamburg001_body/hamburg001_body_attack01</t>
  </si>
  <si>
    <t>pickles001_body/pickles001_attack01</t>
  </si>
  <si>
    <t>pickles001_body/pickles001_attack02</t>
  </si>
  <si>
    <t>robin/robin_attack08_Bip001_L_Forearm</t>
  </si>
  <si>
    <t>robin/robin_attack08_Bip001_L_UpperArm</t>
  </si>
  <si>
    <t xml:space="preserve">robin/robin_attack08_Bip001_R_Claviclem </t>
  </si>
  <si>
    <t>ecki/ecki_attack08</t>
  </si>
  <si>
    <t>01_killhit/baodian_27_dxp</t>
  </si>
  <si>
    <t>01_killhit/baodian_27</t>
  </si>
  <si>
    <t>02_UI/haizhan_gonghui/ui_gonghui_dabenying_penquan</t>
  </si>
  <si>
    <t>公会战-据点-大本营喷泉特效</t>
  </si>
  <si>
    <t>moria/moria_attack01_pro</t>
  </si>
  <si>
    <t>moria/moria_attack07</t>
  </si>
  <si>
    <t>moria/moria_attack07_gro</t>
  </si>
  <si>
    <t>moria/moria_attack07_gro1</t>
  </si>
  <si>
    <t>moria/moria_attack10</t>
  </si>
  <si>
    <t>moria/moria_attack04_hit</t>
  </si>
  <si>
    <t>moria/moria_stand</t>
  </si>
  <si>
    <t>jinbe001_body/jinbe001_body_attack01</t>
  </si>
  <si>
    <t>jinbe001_body/jinbe001_body_attack02</t>
  </si>
  <si>
    <t>jinbe001_body/jinbe001_body_attack03</t>
  </si>
  <si>
    <t>jinbe001_body/jinbe001_body_attack04</t>
  </si>
  <si>
    <t>BUFF</t>
  </si>
  <si>
    <t>jinbe001_body/jinbe001_body_attack05</t>
  </si>
  <si>
    <t>jinbe001_body/jinbe001_body_attack06</t>
  </si>
  <si>
    <t>jinbe001_body/jinbe001_body_attack07</t>
  </si>
  <si>
    <t>jinbe001_body/jinbe001_body_attack08</t>
  </si>
  <si>
    <t>jinbe001_body/jinbe001_body_attack08_Bip001RHand</t>
  </si>
  <si>
    <t>jinbe001_body/jinbe001_body_attack02_hit</t>
  </si>
  <si>
    <t>jinbe001_body/jinbe001_body_attack04_buff</t>
  </si>
  <si>
    <t>jinbe001_body/jinbe001_body_mood01_Bip001RHand</t>
  </si>
  <si>
    <t>甚平待机</t>
  </si>
  <si>
    <t>jinbe001_body/jinbe001_body_mood02</t>
  </si>
  <si>
    <t>jinbe001_body/jinbe001_body_mood03</t>
  </si>
  <si>
    <t>jinbe001_body/jinbe001_body_stand</t>
  </si>
  <si>
    <t>moria/moria_attack01_hit1</t>
  </si>
  <si>
    <t>moria/moria_attack08_gro</t>
  </si>
  <si>
    <t>jinbe001_body/jinbe001_body_attack01_hit_xiao</t>
  </si>
  <si>
    <t>jinbe001_body/jinbe001_body_attack01_hit_da</t>
  </si>
  <si>
    <t>jinbe001_body/jinbe001_body_mood03_Bip001RHand</t>
  </si>
  <si>
    <t>jinbe001_body/jinbe001_bodyattack07_Bip001LFinger21</t>
  </si>
  <si>
    <t>挂点是Bip001LFinger2</t>
  </si>
  <si>
    <t>cindry001_body/cindry001_body_attack01</t>
  </si>
  <si>
    <t>辛德丽普攻（受击129）</t>
  </si>
  <si>
    <t>cindry001_body/cindry001_body_attack02</t>
  </si>
  <si>
    <t>辛德丽技能</t>
  </si>
  <si>
    <t>cindry001_body/cindry001_body_attack02_hit</t>
  </si>
  <si>
    <t>辛德丽技能受击</t>
  </si>
  <si>
    <t>cindry001_body/cindry001_body_attack02_pro</t>
  </si>
  <si>
    <t>抛射物</t>
  </si>
  <si>
    <t>zombies001_body01/zombies001_body01_attack01</t>
  </si>
  <si>
    <t>僵尸A普攻（受击229）</t>
  </si>
  <si>
    <t>zombies001_body02/zombies001_body02_attack01</t>
  </si>
  <si>
    <t>僵尸B普攻（受击229）</t>
  </si>
  <si>
    <t>zombies001_body03/zombies001_body03_attack01</t>
  </si>
  <si>
    <t>僵尸C普攻（受击229）</t>
  </si>
  <si>
    <t>zombies001_body04/zombies001_body04_attack01</t>
  </si>
  <si>
    <t>僵尸D普攻（受击229）</t>
  </si>
  <si>
    <t>zombies002_body01/zombies002_body01_attack01</t>
  </si>
  <si>
    <t>僵尸E普攻（受击229）</t>
  </si>
  <si>
    <t>zombies002_body02/zombies002_body02_attack01</t>
  </si>
  <si>
    <t>僵尸F普攻（受击229）</t>
  </si>
  <si>
    <t>zombies002_body03/zombies002_body03_attack01</t>
  </si>
  <si>
    <t>僵尸G普攻（受击229）</t>
  </si>
  <si>
    <t>armor001_body/armor001_body_attack01</t>
  </si>
  <si>
    <t>盔甲兵A普攻（受击61）</t>
  </si>
  <si>
    <t>armor002_body/armor002_body_attack01</t>
  </si>
  <si>
    <t>盔甲兵B普攻（受击61）</t>
  </si>
  <si>
    <t>hippopotamus001_body_d/hippopotamus001_body_d_attack01</t>
  </si>
  <si>
    <t>河马僵尸普攻（受击99）</t>
  </si>
  <si>
    <t>panda001_body/panda001_body_attack01</t>
  </si>
  <si>
    <t>熊猫僵尸普攻（受击40）</t>
  </si>
  <si>
    <t>zombiestree/zombiestree_attack01</t>
  </si>
  <si>
    <t>僵尸树普攻（受击40）</t>
  </si>
  <si>
    <t>shockbox/shockbox_attack01</t>
  </si>
  <si>
    <t>惊吓盒子普攻（受击前两下576，第三下40）</t>
  </si>
  <si>
    <t>moria/moria_attack02_hit1</t>
  </si>
  <si>
    <t>莫利亚hit02</t>
  </si>
  <si>
    <t>ryuma/ryuma_BG</t>
  </si>
  <si>
    <t>龙马抽卡场景特效</t>
  </si>
  <si>
    <t>01_killhit/baodian_29</t>
  </si>
  <si>
    <t>僵尸受击（紫色）</t>
  </si>
  <si>
    <t>trafalgarlaw/trafalgarlaw_body_attack01</t>
  </si>
  <si>
    <t>trafalgarlaw/trafalgarlaw_body_attack02</t>
  </si>
  <si>
    <t>trafalgarlaw/trafalgarlaw_body_attack03</t>
  </si>
  <si>
    <t>trafalgarlaw/trafalgarlaw_body_attack04</t>
  </si>
  <si>
    <t>trafalgarlaw/trafalgarlaw_body_attack05</t>
  </si>
  <si>
    <t>trafalgarlaw/trafalgarlaw_body_attack07</t>
  </si>
  <si>
    <t>trafalgarlaw/trafalgarlaw_body_attack08</t>
  </si>
  <si>
    <t>trafalgarlaw/trafalgarlaw_body_attack08_Bip001RHand</t>
  </si>
  <si>
    <t>trafalgarlaw/trafalgarlaw_body_attack09</t>
  </si>
  <si>
    <t>trafalgarlaw/trafalgarlaw_body_attack11</t>
  </si>
  <si>
    <t>trafalgarlaw/trafalgarlaw_body_attack01_hit</t>
  </si>
  <si>
    <t>trafalgarlaw/trafalgarlaw_body_attack05_hit</t>
  </si>
  <si>
    <t>trafalgarlaw/trafalgarlaw_body_attack07_hit</t>
  </si>
  <si>
    <t>trafalgarlaw/trafalgarlaw_body_attack11_Hit</t>
  </si>
  <si>
    <t>luffy001_body/luffy001_body_attack02_skin</t>
  </si>
  <si>
    <t>crocodile/crocodile_attack02_skin</t>
  </si>
  <si>
    <t>trafalgarlaw/trafalgarlaw_body_attack07_SliceEffect</t>
  </si>
  <si>
    <t>boar001_body/boar001_body_attack01</t>
  </si>
  <si>
    <t>野猪萝拉1</t>
  </si>
  <si>
    <t>boar001_body/boar001_body_attack02</t>
  </si>
  <si>
    <t>野猪萝拉2</t>
  </si>
  <si>
    <t>boar001_body/boar001_body_attack03</t>
  </si>
  <si>
    <t>野猪萝拉3</t>
  </si>
  <si>
    <t>boar001_body/boar001_body_attack01_hit</t>
  </si>
  <si>
    <t>野猪萝拉1受击</t>
  </si>
  <si>
    <t>野猪萝拉2受击</t>
  </si>
  <si>
    <t>jgoroh001_body/jgoroh001_body_attack01</t>
  </si>
  <si>
    <t>治五郎1</t>
  </si>
  <si>
    <t>jgoroh001_body/jgoroh001_body_attack02</t>
  </si>
  <si>
    <t>治五郎2</t>
  </si>
  <si>
    <t>jgoroh001_body/jgoroh001_body_attack03</t>
  </si>
  <si>
    <t>治五郎3</t>
  </si>
  <si>
    <t>治五郎1受击</t>
  </si>
  <si>
    <t>治五郎2受击</t>
  </si>
  <si>
    <t>治五郎3受击</t>
  </si>
  <si>
    <t>治五郎2抛射物（烦恼风）</t>
  </si>
  <si>
    <t>penguin001_body/penguin001_body_attack01</t>
  </si>
  <si>
    <t>企鹅1</t>
  </si>
  <si>
    <t>penguin001_body/penguin001_body_attack02</t>
  </si>
  <si>
    <t>企鹅2</t>
  </si>
  <si>
    <t>penguin001_body/penguin001_body_attack03</t>
  </si>
  <si>
    <t>企鹅3</t>
  </si>
  <si>
    <t>penguin001_body/penguin001_body_hit</t>
  </si>
  <si>
    <t>企鹅1受击</t>
  </si>
  <si>
    <t>企鹅2受击</t>
  </si>
  <si>
    <t>企鹅3受击</t>
  </si>
  <si>
    <t>ateles001_body/ateles001_body_attack01</t>
  </si>
  <si>
    <t>蜘蛛1（这是普攻）</t>
  </si>
  <si>
    <t>ateles001_body/ateles001_body_attack02</t>
  </si>
  <si>
    <t>蜘蛛2</t>
  </si>
  <si>
    <t>ateles001_body/ateles001_body_attack03</t>
  </si>
  <si>
    <t>蜘蛛3</t>
  </si>
  <si>
    <t>ateles001_body/ateles001_body_attack01_hit</t>
  </si>
  <si>
    <t>蜘蛛1受击（这是普攻）</t>
  </si>
  <si>
    <t>蜘蛛2受击</t>
  </si>
  <si>
    <t>蜘蛛3受击</t>
  </si>
  <si>
    <t>ateles001_body/ateles001_body_attack01_pro</t>
  </si>
  <si>
    <t>蜘蛛1抛射物</t>
  </si>
  <si>
    <t>oades001_body/oades001_body_attack01</t>
  </si>
  <si>
    <t>奥兹普攻</t>
  </si>
  <si>
    <t>oades001_body/oades001_body_attack02</t>
  </si>
  <si>
    <t>奥兹橡胶锥</t>
  </si>
  <si>
    <t>oades001_body/oades001_body_attack03</t>
  </si>
  <si>
    <t>奥兹橡胶头槌</t>
  </si>
  <si>
    <t>oades001_body/oades001_body_attack04</t>
  </si>
  <si>
    <t>奥兹橡胶下压</t>
  </si>
  <si>
    <t>oades001_body/oades001_body_attack05</t>
  </si>
  <si>
    <t>奥兹橡胶手枪</t>
  </si>
  <si>
    <t>oades001_body/oades001_body_attack06</t>
  </si>
  <si>
    <t>奥兹橡胶机关枪</t>
  </si>
  <si>
    <t>kidpirates/kidpirates_body_attack01</t>
  </si>
  <si>
    <t>kidpirates/kidpirates_body_attack02</t>
  </si>
  <si>
    <t xml:space="preserve">kidpirates/kidpirates_body_attack02_luodi </t>
  </si>
  <si>
    <t>kidpirates/kidpirates_body_attack02_chixu</t>
  </si>
  <si>
    <t>kidpirates/kidpirates_body_attack03</t>
  </si>
  <si>
    <t>kidpirates/kidpirates_body_attack04</t>
  </si>
  <si>
    <t>kidpirates/kidpirates_body_attack05_Pro</t>
  </si>
  <si>
    <t>kidpirates/kidpirates_body_attack06_loop</t>
  </si>
  <si>
    <t>kidpirates/kidpirates_body_attack06_shifang</t>
  </si>
  <si>
    <t>kidpirates/kidpirates_body_attack07</t>
  </si>
  <si>
    <t>kidpirates/kidpirates_body_attack08</t>
  </si>
  <si>
    <t>kidpirates/kidpirates_body_attack09</t>
  </si>
  <si>
    <t>hancock/hancock_attack01</t>
  </si>
  <si>
    <t>hancock/hancock_attack02</t>
  </si>
  <si>
    <t>hancock/hancock_attack03</t>
  </si>
  <si>
    <t>hancock/hancock_attack04</t>
  </si>
  <si>
    <t>hancock/hancock_attack05</t>
  </si>
  <si>
    <t>hancock/hancock_attack06</t>
  </si>
  <si>
    <t>hancock/hancock_attack07</t>
  </si>
  <si>
    <t>hancock/hancock_attack08</t>
  </si>
  <si>
    <t>hancock/hancock_attack01_hit</t>
  </si>
  <si>
    <t>hancock/hancock_attack02_gro</t>
  </si>
  <si>
    <t>hancock/hancock_attack05_hit</t>
  </si>
  <si>
    <t>hancock/hancock_attack01_hit1</t>
  </si>
  <si>
    <t>kidpirates/kidpirates_body_attack01_hit</t>
  </si>
  <si>
    <t>kidpirates/kidpirates_body_stand</t>
  </si>
  <si>
    <t>oades001_body/oades001_body_attack05_Bip001RFinger0</t>
  </si>
  <si>
    <t>奥兹技能5extra</t>
  </si>
  <si>
    <t>oades001_body/oades001_body_feng</t>
  </si>
  <si>
    <t>奥兹-场地风</t>
  </si>
  <si>
    <t>oades001_body/oades001_body_hit</t>
  </si>
  <si>
    <t>奥兹技能被击</t>
  </si>
  <si>
    <t>moria/moria004_body_attack01</t>
  </si>
  <si>
    <t>莫利亚影子分身爪击</t>
  </si>
  <si>
    <t>hancock/hancock_stand</t>
  </si>
  <si>
    <t>trafalgarlaw/trafalgarlaw001_body_stand</t>
  </si>
  <si>
    <t>oades001_body/dilie_001</t>
  </si>
  <si>
    <t>奥兹通用地裂效果（平）</t>
  </si>
  <si>
    <t>hancock/hancock_attack05_pro</t>
  </si>
  <si>
    <t>oades001_body/oades001_body_hit_01</t>
  </si>
  <si>
    <t>奥兹机关枪受击</t>
  </si>
  <si>
    <t>ryuma/ryuma_BG_zhandou</t>
  </si>
  <si>
    <t>龙马战斗场景特效</t>
  </si>
  <si>
    <t>hancock/hancock_attack07_canliu_hit</t>
  </si>
  <si>
    <t>hancock/hancock_attack07_canliu</t>
  </si>
  <si>
    <t>hancock/hancock_attack07_hit</t>
  </si>
  <si>
    <t>trafalgarlaw/trafalgarlaw_body_attack01_hit2</t>
  </si>
  <si>
    <t>trafalgarlaw/trafalgarlaw_body_attack05_hitmubiao</t>
  </si>
  <si>
    <t>trafalgarlaw/trafalgarlaw_body_attack03_02</t>
  </si>
  <si>
    <t>trafalgarlaw/trafalgarlaw_body_attack03_chuxian</t>
  </si>
  <si>
    <t>trafalgarlaw/trafalgarlaw_body_attack03_xiaoshi</t>
  </si>
  <si>
    <t>trafalgarlaw/trafalgarlaw_body_Mood01</t>
  </si>
  <si>
    <t>[表情]</t>
  </si>
  <si>
    <t>06_huodong/forest_pla_901_fx</t>
  </si>
  <si>
    <t>圣诞树</t>
  </si>
  <si>
    <t>hancock/hancock_attack04_gro</t>
  </si>
  <si>
    <t>hancock/hancock_attack04_canliu</t>
  </si>
  <si>
    <t>hancock/hancock_mood04</t>
  </si>
  <si>
    <t>kidpirates/kidpirates_body_attack03_gro</t>
  </si>
  <si>
    <t>kidpirates/kidpirates_body_attack07_gro</t>
  </si>
  <si>
    <t>kidpirates/kidpirates_body_attack09_gro</t>
  </si>
  <si>
    <t>kidpirates/kidpirates_body_attack02_xi</t>
  </si>
  <si>
    <t>sentoumaru/sentoumaru_attack01</t>
  </si>
  <si>
    <t>肥子1</t>
  </si>
  <si>
    <t>sentoumaru/sentoumaru_attack02</t>
  </si>
  <si>
    <t>肥子2</t>
  </si>
  <si>
    <t>kidpirates/kidpirates_body_attack05_hit</t>
  </si>
  <si>
    <t>kidpirates/kidpirates_body_attack05</t>
  </si>
  <si>
    <t>kidpirates/kidpirates_body_attack02_BallDeath</t>
  </si>
  <si>
    <t>bepo/bepo_attack01</t>
  </si>
  <si>
    <t>bepo/bepo_attack02</t>
  </si>
  <si>
    <t>bepo/bepo_attack03</t>
  </si>
  <si>
    <t>bepo/bepo_attack04</t>
  </si>
  <si>
    <t>bepo/bepo_attack05</t>
  </si>
  <si>
    <t>bepo/bepo_attack06</t>
  </si>
  <si>
    <t>bepo/body_attack_hit</t>
  </si>
  <si>
    <t>BP受击</t>
  </si>
  <si>
    <t>rayleigh/rayleigh_body_attack01</t>
  </si>
  <si>
    <t>rayleigh/rayleigh_body_Hit_01</t>
  </si>
  <si>
    <t>rayleigh/rayleigh_body_Hit_02</t>
  </si>
  <si>
    <t>rayleigh/rayleigh_body_attack02</t>
  </si>
  <si>
    <t>rayleigh/rayleigh_body_attack07</t>
  </si>
  <si>
    <t>rayleigh/rayleigh_body_Attack07_ScenceFx</t>
  </si>
  <si>
    <t>rayleigh/rayleigh_body_attack03_Ground</t>
  </si>
  <si>
    <t>ryuma/ryuma_stand</t>
  </si>
  <si>
    <t>rayleigh/rayleigh_body_attack03</t>
  </si>
  <si>
    <t>sentoumaru/sentoumaru_attack06</t>
  </si>
  <si>
    <t>rayleigh/rayleigh_body_attack04</t>
  </si>
  <si>
    <t>rayleigh/rayleigh_body_attack04_Hit</t>
  </si>
  <si>
    <t>rayleigh/rayleigh_body_attack05</t>
  </si>
  <si>
    <t>fishknights001_body/fishknights001_attack01</t>
  </si>
  <si>
    <t>yu1</t>
  </si>
  <si>
    <t>bepo/bepo_attack07</t>
  </si>
  <si>
    <t>流星</t>
  </si>
  <si>
    <t>bepo/bepo_attack08</t>
  </si>
  <si>
    <t>炸裂</t>
  </si>
  <si>
    <t>sentoumaru/sentoumaru_attack05</t>
  </si>
  <si>
    <t>跺脚</t>
  </si>
  <si>
    <t>sentoumaru/sentoumaru_attack08</t>
  </si>
  <si>
    <t>PX</t>
  </si>
  <si>
    <t>sentoumaru/sentoumaru_attack03</t>
  </si>
  <si>
    <t>pai</t>
  </si>
  <si>
    <t>sentoumaru/sentoumaru_attack04</t>
  </si>
  <si>
    <t>pao</t>
  </si>
  <si>
    <t>sentoumaru/sentoumaru_attack07</t>
  </si>
  <si>
    <t>fly</t>
  </si>
  <si>
    <t>sentoumaru/sentoumaru_attack08_canliu</t>
  </si>
  <si>
    <t>canliu</t>
  </si>
  <si>
    <t>bepo/bepo_attack07_hit</t>
  </si>
  <si>
    <t>贝波受击2</t>
  </si>
  <si>
    <t>fishknights001_body/fishknights001_attack01_Bip001_L_Finger1</t>
  </si>
  <si>
    <t>yu1L</t>
  </si>
  <si>
    <t>fishknights001_body/fishknights001_attack01_Bip001_R_Finger1</t>
  </si>
  <si>
    <t>yu1R</t>
  </si>
  <si>
    <t>usepirate005_body/usepirate005_body_attack01</t>
  </si>
  <si>
    <t>新海盗5</t>
  </si>
  <si>
    <t>usepirate006_body/usepirate006_body_attack01</t>
  </si>
  <si>
    <t>新海盗6</t>
  </si>
  <si>
    <t>usepirate007_body/usepirate007_body_attack01</t>
  </si>
  <si>
    <t>新海盗7</t>
  </si>
  <si>
    <t>usepirate008_body/usepirate008_body_attack01</t>
  </si>
  <si>
    <t>新海盗8</t>
  </si>
  <si>
    <t>usepirate006_body/usepirate006_body_attack01_pro</t>
  </si>
  <si>
    <t>新海盗68抛射</t>
  </si>
  <si>
    <t>usepirate006_body/usepirate006_body_attack01_hit</t>
  </si>
  <si>
    <t>新海盗8抛射受击</t>
  </si>
  <si>
    <t>auction001_body/auction001_attack01</t>
  </si>
  <si>
    <t>拍卖行</t>
  </si>
  <si>
    <t>auction001_body/auction001_attack01_hit</t>
  </si>
  <si>
    <t>拍卖行受击</t>
  </si>
  <si>
    <t>bepo/bepo_attack06_hit</t>
  </si>
  <si>
    <t>bepo006hit</t>
  </si>
  <si>
    <t>fishknights002_body/fishknights002_attack01_gro</t>
  </si>
  <si>
    <t>锤子飞鱼2新受击</t>
  </si>
  <si>
    <t>fishknights002_body/fishknights002_attack01_pro</t>
  </si>
  <si>
    <t>锤子飞鱼2新抛射</t>
  </si>
  <si>
    <t>usepirate006_body/usepirate006_body_attack01_hit_01</t>
  </si>
  <si>
    <t>新海盗炮弹爆炸（大）</t>
  </si>
  <si>
    <t>usepirate006_body/usepirate006_body_attack01_hit_02</t>
  </si>
  <si>
    <t>新海盗炮弹爆炸（小）</t>
  </si>
  <si>
    <t>sengoku/sengoku_attack01</t>
  </si>
  <si>
    <t>sengoku/sengoku_attack02</t>
  </si>
  <si>
    <t>sengoku/sengoku_attack03</t>
  </si>
  <si>
    <t>sengoku/sengoku_attack04</t>
  </si>
  <si>
    <t>sengoku/sengoku_attack05</t>
  </si>
  <si>
    <t>sengoku/sengoku_attack06</t>
  </si>
  <si>
    <t>sengoku/sengoku_attack07</t>
  </si>
  <si>
    <t>sengoku/sengoku_attack08</t>
  </si>
  <si>
    <t>sengoku/sengoku_attack09</t>
  </si>
  <si>
    <t>sengoku/sengoku_attack01_hit</t>
  </si>
  <si>
    <t>sengoku/sengoku_attack07_hit</t>
  </si>
  <si>
    <t>sengoku/sengoku_attack08_hit</t>
  </si>
  <si>
    <t>sengoku/sengoku_attack01_hit1</t>
  </si>
  <si>
    <t>sengoku/sengoku_attack02_Bip001RHand</t>
  </si>
  <si>
    <t>fishknights001_body/fishknights001_attack01_hit</t>
  </si>
  <si>
    <t>单独扫射</t>
  </si>
  <si>
    <t>auction002_body/auction002_attack01</t>
  </si>
  <si>
    <t>远程拍卖行</t>
  </si>
  <si>
    <t>amazon001_body/amazon001_attack01</t>
  </si>
  <si>
    <t>亚马逊剑</t>
  </si>
  <si>
    <t>amazon002_body/amazon002_attack01</t>
  </si>
  <si>
    <t>亚马逊弓</t>
  </si>
  <si>
    <t>dragonguard001_body/dragonguard001_attack01</t>
  </si>
  <si>
    <t>天龙人护卫长枪</t>
  </si>
  <si>
    <t>dragonguard002_body/dragonguard002_attack01</t>
  </si>
  <si>
    <t>天龙人护卫剑</t>
  </si>
  <si>
    <t>daisy001_body/daisy001_attack01</t>
  </si>
  <si>
    <t>雏菊01</t>
  </si>
  <si>
    <t>fishmobs001_body/fishmobs001_attack01</t>
  </si>
  <si>
    <t>马克罗三人组1</t>
  </si>
  <si>
    <t>fishmobs002_body/fishmobs002_attack01</t>
  </si>
  <si>
    <t>马克罗三人组2</t>
  </si>
  <si>
    <t>fishmobs003_body/fishmobs003_attack01</t>
  </si>
  <si>
    <t>马克罗三人组3</t>
  </si>
  <si>
    <t>kuma002/kuma002_attack05</t>
  </si>
  <si>
    <t>kuma002/kuma002_attack05_Bip001LHand</t>
  </si>
  <si>
    <t>kuma002/kuma002_attack05_Bip001RHand</t>
  </si>
  <si>
    <t>kuma002/kuma002_attack06</t>
  </si>
  <si>
    <t>kuma002/kuma002_attack06_Bone009</t>
  </si>
  <si>
    <t>kuma002/kuma002_attack06_gro</t>
  </si>
  <si>
    <t>usepirate001_body/usepirate001_body_attack01</t>
  </si>
  <si>
    <t>通用海盗近战1</t>
  </si>
  <si>
    <t>usepirate002_body/usepirate002_body_attack01</t>
  </si>
  <si>
    <t>通用海盗近战2</t>
  </si>
  <si>
    <t>usepirate003_body/usepirate003_body_attack01</t>
  </si>
  <si>
    <t>通用海盗近战3</t>
  </si>
  <si>
    <t>usepirate004_body/usepirate004_body_attack01</t>
  </si>
  <si>
    <t>通用海盗近战4</t>
  </si>
  <si>
    <t>luoziwode001_body/luoziwode001_attack01</t>
  </si>
  <si>
    <t>老天</t>
  </si>
  <si>
    <t>luoziwode002_body/luoziwode002_attack01</t>
  </si>
  <si>
    <t>小天1</t>
  </si>
  <si>
    <t>luoziwode002_body/luoziwode002_attack02</t>
  </si>
  <si>
    <t>小天2</t>
  </si>
  <si>
    <t>luoziwode002_body/luoziwode002_attack03</t>
  </si>
  <si>
    <t>小天3</t>
  </si>
  <si>
    <t>daisy001_body/daisy001_attack02</t>
  </si>
  <si>
    <t>雏菊02</t>
  </si>
  <si>
    <t>amazon002_body/amazon002_attack01_pro</t>
  </si>
  <si>
    <t>amz弓箭抛射</t>
  </si>
  <si>
    <t>usepirate005_body/usepirate005_body_attack01_hit</t>
  </si>
  <si>
    <t>一般海盗远程受击</t>
  </si>
  <si>
    <t>01_killhit/baodian_30</t>
  </si>
  <si>
    <t>马克罗限定受击</t>
  </si>
  <si>
    <t>dibalu001_body/dibalu001_attack01</t>
  </si>
  <si>
    <t>迪巴鲁1</t>
  </si>
  <si>
    <t>dibalu001_body/dibalu001_attack02</t>
  </si>
  <si>
    <t>迪巴鲁2</t>
  </si>
  <si>
    <t>dibalu001_body/dibalu001_attack02_gro</t>
  </si>
  <si>
    <t>迪巴鲁地面</t>
  </si>
  <si>
    <t>rayleigh/rayleigh_body_attack08</t>
  </si>
  <si>
    <t>rayleigh/rayleigh_body_attack06</t>
  </si>
  <si>
    <t>rayleigh/rayleigh_body_attack05_Hit</t>
  </si>
  <si>
    <t>sengoku/sengoku_attack02_hit</t>
  </si>
  <si>
    <t>sengoku/sengoku_attack02_pro</t>
  </si>
  <si>
    <t>sengoku/sengoku_attack03_hit</t>
  </si>
  <si>
    <t>sengoku/sengoku_attack06_Bip001_R_Hand</t>
  </si>
  <si>
    <t>sengoku/sengoku_attack06_canliu</t>
  </si>
  <si>
    <t>sengoku/sengoku_attack09_Bip001_R_Hand</t>
  </si>
  <si>
    <t>daisy001_body/daisy001_attack01_pro</t>
  </si>
  <si>
    <t>daisy001_body/daisy001_attack01_hit</t>
  </si>
  <si>
    <t>固定箭</t>
  </si>
  <si>
    <t>daisy001_body/daisy001_attack02_hit</t>
  </si>
  <si>
    <t>随机箭</t>
  </si>
  <si>
    <t>dibalu001_body/dibalu001_attack01_hit</t>
  </si>
  <si>
    <t>dibalu001_body/dibalu001_attack02_hit</t>
  </si>
  <si>
    <t>dibalu001_body/dibalu001_pro</t>
  </si>
  <si>
    <t>rayleigh/rayleigh_body_JumpF_Trail_01</t>
  </si>
  <si>
    <t>rayleigh/rayleigh_body_Stand</t>
  </si>
  <si>
    <t>sandersonia001_body/sandersonia001_body_attack01</t>
  </si>
  <si>
    <t>sandersonia001_body/sandersonia001_body_attack02</t>
  </si>
  <si>
    <t>D</t>
  </si>
  <si>
    <t>sandersonia001_body/sandersonia001_body_attack03</t>
  </si>
  <si>
    <t>sandersonia001_body/sandersonia001_body_attack04</t>
  </si>
  <si>
    <t>sandersonia001_body/sandersonia001_body_attack05</t>
  </si>
  <si>
    <t>sandersonia001_body/sandersonia001_body_attack06</t>
  </si>
  <si>
    <t>C</t>
  </si>
  <si>
    <t>sandersonia001_body/sandersonia001_body_attack07</t>
  </si>
  <si>
    <t>sandersonia001_body/sandersonia001_body_attack08</t>
  </si>
  <si>
    <t>sandersonia001_body/sandersonia001_body_attack09</t>
  </si>
  <si>
    <t>calendula/calendula001_body_attack01</t>
  </si>
  <si>
    <t>calendula/calendula001_body_attack02</t>
  </si>
  <si>
    <t>calendula/calendula001_body_attack02_Bip001Head</t>
  </si>
  <si>
    <t>calendula/calendula001_body_attack02_Hit</t>
  </si>
  <si>
    <t>calendula/calendula001_body_attack03</t>
  </si>
  <si>
    <t>calendula/calendula001_body_attack05</t>
  </si>
  <si>
    <t>calendula/calendula001_body_attack06</t>
  </si>
  <si>
    <t>calendula/calendula001_body_attack07</t>
  </si>
  <si>
    <t>calendula/calendula001_body_attack08</t>
  </si>
  <si>
    <t>sengoku/sengoku_attack05_Bip001LHand</t>
  </si>
  <si>
    <t>rayleigh/rayleigh_body_attack06_Bip001</t>
  </si>
  <si>
    <t>sengoku/sengoku_stand</t>
  </si>
  <si>
    <t>04_buff/buff_she_hudun</t>
  </si>
  <si>
    <t>buff蛇护盾（瞬间）</t>
  </si>
  <si>
    <t>04_buff/buff_she_hudun_sui</t>
  </si>
  <si>
    <t>buff蛇护盾碎裂</t>
  </si>
  <si>
    <t>rayleigh/rayleigh001_body_jumpf_01</t>
  </si>
  <si>
    <t>雷利跳跃</t>
  </si>
  <si>
    <t>rayleigh/rayleigh001_body_jumpf_02</t>
  </si>
  <si>
    <t>rayleigh/rayleigh_body_buff01_gj</t>
  </si>
  <si>
    <t>雷利专用buff加攻击</t>
  </si>
  <si>
    <t>rayleigh/rayleigh_body_buff01_hx</t>
  </si>
  <si>
    <t>雷利专用buff回血</t>
  </si>
  <si>
    <t>rayleigh/rayleigh_body_buff01_hy</t>
  </si>
  <si>
    <t>雷利专用buff加魂玉</t>
  </si>
  <si>
    <t>04_buff/buff_she_hudun_loop</t>
  </si>
  <si>
    <t>buff蛇护盾（永续）</t>
  </si>
  <si>
    <t>calendula/calendula001_body_buff</t>
  </si>
  <si>
    <t>毒雾场地buff</t>
  </si>
  <si>
    <t>sengoku/sengoku_attack06_canliu2</t>
  </si>
  <si>
    <t>sengoku/sengoku_attack05_canliu</t>
  </si>
  <si>
    <t>sengoku/sengoku_BUFF_judahua</t>
  </si>
  <si>
    <t>sengoku/sengoku_bianshen</t>
  </si>
  <si>
    <t>rayleigh/rayleigh_body_attack08_Dummy001</t>
  </si>
  <si>
    <t>03_ani/paimaihang_shuigang1</t>
  </si>
  <si>
    <t>凯米鱼缸</t>
  </si>
  <si>
    <t>sengoku/sengoku_BUFF_jianshang</t>
  </si>
  <si>
    <t>战国受击减伤环[新]</t>
  </si>
  <si>
    <t>magellan/magellan001_body_attack01</t>
  </si>
  <si>
    <t>magellan/magellan001_body_attack01_Hit</t>
  </si>
  <si>
    <t>magellan/magellan001_body_attack01_Hit_02</t>
  </si>
  <si>
    <t>magellan/magellan001_body_attack02_Mouth_01</t>
  </si>
  <si>
    <t>magellan/magellan001_body_attack03</t>
  </si>
  <si>
    <t>magellan/magellan001_body_attack03_Gro</t>
  </si>
  <si>
    <t>magellan/magellan001_body_attack03_Pro_01</t>
  </si>
  <si>
    <t>magellan/magellan001_body_attack03_Pro_02</t>
  </si>
  <si>
    <t>magellan/magellan001_body_attack08</t>
  </si>
  <si>
    <t>magellan/magellan001_body_attack08_Drops_body</t>
  </si>
  <si>
    <t>麦哲伦人形毒液身体模型挂点</t>
  </si>
  <si>
    <t>magellan/magellan001_body_attack08_Drops_wing</t>
  </si>
  <si>
    <t>麦哲伦人形毒液翅膀模型挂点</t>
  </si>
  <si>
    <t>magellan/magellan001_body_attack08_hit</t>
  </si>
  <si>
    <t>magellan/magellan001_body_attack08_pan_root</t>
  </si>
  <si>
    <t>麦哲伦脚下毒液</t>
  </si>
  <si>
    <t>magellan/magellan001_body_attack09</t>
  </si>
  <si>
    <t>magellan/magellan001_body_BodyDrops</t>
  </si>
  <si>
    <t>本体身体滴毒</t>
  </si>
  <si>
    <t>magellan/magellan001_body_wingDrops</t>
  </si>
  <si>
    <t>本体翅膀滴毒</t>
  </si>
  <si>
    <t>magellan/magellan002_body_attack08_Drops_body</t>
  </si>
  <si>
    <t>巨兵身体模型挂点</t>
  </si>
  <si>
    <t>magellan/magellan003_body_attack01</t>
  </si>
  <si>
    <t>magellan/magellan003_body_attack01_Hit_01</t>
  </si>
  <si>
    <t>magellan/magellan003_body_attack01_Hit_02</t>
  </si>
  <si>
    <t>magellan/magellan003_body_attack02</t>
  </si>
  <si>
    <t>magellan/magellan003_body_attack02_Mouth_01</t>
  </si>
  <si>
    <t xml:space="preserve">Bip001 Head  </t>
  </si>
  <si>
    <t>magellan/magellan003_body_attack02_Mouth_02</t>
  </si>
  <si>
    <t>texiao02</t>
  </si>
  <si>
    <t>Bone007</t>
  </si>
  <si>
    <t xml:space="preserve">Bone006 </t>
  </si>
  <si>
    <t>magellan/magellan003_body_attack03</t>
  </si>
  <si>
    <t>magellan/magellan003_body_BodyDrops</t>
  </si>
  <si>
    <t>龙身体滴毒</t>
  </si>
  <si>
    <t>magellan/magellan003_body_Drops</t>
  </si>
  <si>
    <t>magellan/magellan003_body_Tail01Drops</t>
  </si>
  <si>
    <t>龙尾巴01滴毒</t>
  </si>
  <si>
    <t>magellan/magellan003_body_Tail02Drops</t>
  </si>
  <si>
    <t>龙尾巴02滴毒</t>
  </si>
  <si>
    <t>sentoumaru_SSR/sentoumaru_attack01</t>
  </si>
  <si>
    <t>战桃丸</t>
  </si>
  <si>
    <t>sentoumaru_SSR/sentoumaru_attack02</t>
  </si>
  <si>
    <t>sentoumaru_SSR/sentoumaru_attack03</t>
  </si>
  <si>
    <t>sentoumaru_SSR/sentoumaru_attack06</t>
  </si>
  <si>
    <t>sentoumaru_SSR/sentoumaru_attack07</t>
  </si>
  <si>
    <t>sentoumaru_SSR/sentoumaru_stand</t>
  </si>
  <si>
    <t>战桃丸站街</t>
  </si>
  <si>
    <t>sentoumaru_SSR/sentoumaru_BUFF_jiguang</t>
  </si>
  <si>
    <t>战桃丸远程激光buff</t>
  </si>
  <si>
    <t>hannyabal001/hannyabal001_body_attack01</t>
  </si>
  <si>
    <t>汉尼拔</t>
  </si>
  <si>
    <t>hannyabal001/hannyabal001_body_attack02</t>
  </si>
  <si>
    <t>hannyabal001/hannyabal001_body_attack03</t>
  </si>
  <si>
    <t>hannyabal001/hannyabal001_body_attack04</t>
  </si>
  <si>
    <t>hannyabal001/hannyabal001_body_attack05</t>
  </si>
  <si>
    <t>hannyabal001/hannyabal001_body_attack06</t>
  </si>
  <si>
    <t>hannyabal001/hannyabal001_body_attack07</t>
  </si>
  <si>
    <t>hannyabal001/baodian_13_huo</t>
  </si>
  <si>
    <t>wolfbattle001_body/wolfbattle001_body_attack01</t>
  </si>
  <si>
    <t>狼</t>
  </si>
  <si>
    <t>wolfbattle001_body/wolfbattle001_body_attack02</t>
  </si>
  <si>
    <t>wolfbattle001_body/wolfbattle001_body_attack03</t>
  </si>
  <si>
    <t>wolfbattle001_body/wolfbattle001_hit</t>
  </si>
  <si>
    <t>mantikra001_body/mantikra001_attack01</t>
  </si>
  <si>
    <t>满体克拉</t>
  </si>
  <si>
    <t>mantikra001_body/mantikra001_attack02</t>
  </si>
  <si>
    <t>mantikra001_body/mantikra001_attack03</t>
  </si>
  <si>
    <t>mantikra001_body/mantikra001_hit</t>
  </si>
  <si>
    <t>mantikra001_body/mantikra001_yao</t>
  </si>
  <si>
    <t>koala001_body/koala001_attack01</t>
  </si>
  <si>
    <t>考拉</t>
  </si>
  <si>
    <t>koala001_body/koala001_attack02</t>
  </si>
  <si>
    <t>koala001_body/koala001_attack03</t>
  </si>
  <si>
    <t>koala001_body/koala001_at_hit</t>
  </si>
  <si>
    <t>hoss001_body/hoss001_attack01</t>
  </si>
  <si>
    <t>豪斯</t>
  </si>
  <si>
    <t>hoss001_body/hoss001_attack02</t>
  </si>
  <si>
    <t>hoss001_body/hoss001_attack03</t>
  </si>
  <si>
    <t>hoss001_body/hoss001_hit</t>
  </si>
  <si>
    <t>bajilisike001_body/bajilisike001_body_attack01</t>
  </si>
  <si>
    <t>巴吉里斯克</t>
  </si>
  <si>
    <t>bajilisike001_body/bajilisike001_body_attack02</t>
  </si>
  <si>
    <t>bajilisike001_body/bajilisike001_body_attack03</t>
  </si>
  <si>
    <t>sphinx001_body/sphinx001_body_attack01</t>
  </si>
  <si>
    <t>斯芬克斯</t>
  </si>
  <si>
    <t>sphinx001_body/sphinx001_body_attack02</t>
  </si>
  <si>
    <t>sphinx001_body/sphinx001_body_attack03</t>
  </si>
  <si>
    <t>sphinx001_body/sphinx001_body_attack04</t>
  </si>
  <si>
    <t>sphinx001_body/sphinx001_body_attack05</t>
  </si>
  <si>
    <t>guard002_body/guard002_body_attack01</t>
  </si>
  <si>
    <t>谜守卫2号</t>
  </si>
  <si>
    <t>guard002_body/guard002_body_attack02</t>
  </si>
  <si>
    <t>humanox001_body/humanox001_body_attack01</t>
  </si>
  <si>
    <t>牛人儿</t>
  </si>
  <si>
    <t>humanox001_body/humanox001_body_attack03</t>
  </si>
  <si>
    <t>humanox001_body/humanox001_body_attack04</t>
  </si>
  <si>
    <t>prison001_body/prison001_body_attack01</t>
  </si>
  <si>
    <t>囚犯</t>
  </si>
  <si>
    <t>prison001_body/prison001_01hit</t>
  </si>
  <si>
    <t>rhinoceros001_body/rhinoceros001_body_attack01</t>
  </si>
  <si>
    <t>rhinoceros</t>
  </si>
  <si>
    <t>rhinoceros001_body/rhinoceros001_body_attack03</t>
  </si>
  <si>
    <t>sadie001_body/sadie001_body_attack01</t>
  </si>
  <si>
    <t>萨迪</t>
  </si>
  <si>
    <t>sadie001_body/sadie001_body_attack03</t>
  </si>
  <si>
    <t>sadie001_body/sadie001_body_attack03_buff</t>
  </si>
  <si>
    <t>zebra001_body/zebra001_body_attack01</t>
  </si>
  <si>
    <t>斑马</t>
  </si>
  <si>
    <t>zebra001_body/zebra001_body_attack03</t>
  </si>
  <si>
    <t>magellan/magellan001_body_attack04</t>
  </si>
  <si>
    <t>magellan/magellan001_body_attack04_Gro</t>
  </si>
  <si>
    <t>magellan/magellan001_body_attack04_Pro</t>
  </si>
  <si>
    <t>瓦斯弹</t>
  </si>
  <si>
    <t>magellan/magellan001_body_attack05</t>
  </si>
  <si>
    <t>magellan/magellan001_body_attack07</t>
  </si>
  <si>
    <t>magellan/magellan002_body_Dummy004</t>
  </si>
  <si>
    <t>巨兵嘴里的烟</t>
  </si>
  <si>
    <t>magellan/magellan003_body_attack04</t>
  </si>
  <si>
    <t>magellan/magellan003_body_attack04_Gro</t>
  </si>
  <si>
    <t>magellan/magellan003_body_attack05</t>
  </si>
  <si>
    <t>magellan/magellan001_body_attack06</t>
  </si>
  <si>
    <t>magellan/magellan001_body_attack010</t>
  </si>
  <si>
    <t>magellan/magellan001_body_attack010_BodyFly_Bip001Spine1</t>
  </si>
  <si>
    <t>bluestar001_body/bluestar001_body_attack01</t>
  </si>
  <si>
    <t>蓝星</t>
  </si>
  <si>
    <t>bluestar001_body/bluestar001_body_attack02</t>
  </si>
  <si>
    <t>bluestar001_body/bluestar001_body_attack03</t>
  </si>
  <si>
    <t>lvankov001/lvankov001_body_attack01</t>
  </si>
  <si>
    <t>lvankov001/lvankov001_body_attack01_hit01</t>
  </si>
  <si>
    <t>lvankov001/lvankov001_body_attack01_hit02</t>
  </si>
  <si>
    <t>lvankov001/lvankov001_body_attack02</t>
  </si>
  <si>
    <t>lvankov001/lvankov001_body_attack03</t>
  </si>
  <si>
    <t>lvankov001/lvankov001_body_attack04</t>
  </si>
  <si>
    <t>lvankov001/lvankov001_body_attack06</t>
  </si>
  <si>
    <t>lvankov001/lvankov001_body_attack06_buff</t>
  </si>
  <si>
    <t>lvankov001/lvankov001_body_attack07</t>
  </si>
  <si>
    <t>lvankov001/lvankov001_body_attack07_buff</t>
  </si>
  <si>
    <t>lvankov001/lvankov001_body_attack07_trail_Bip001_R_Finger1</t>
  </si>
  <si>
    <t>lvankov001/lvankov001_body_attack08</t>
  </si>
  <si>
    <t>lvankov001/lvankov001_body_attack08_Bip001</t>
  </si>
  <si>
    <t>lvankov001/lvankov001_body_attack08_hit</t>
  </si>
  <si>
    <t>lvankov001/lvankov001_body_stand01</t>
  </si>
  <si>
    <t>lvankov001/lvankov001_body_stand02</t>
  </si>
  <si>
    <t>lvankov001/lvankov001_body_attack03_hit</t>
  </si>
  <si>
    <r>
      <rPr>
        <sz val="11"/>
        <color theme="1"/>
        <rFont val="微软雅黑"/>
        <charset val="134"/>
      </rPr>
      <t>lvankov001/lvankov001_body_</t>
    </r>
    <r>
      <rPr>
        <sz val="11"/>
        <color theme="1"/>
        <rFont val="微软雅黑"/>
        <charset val="134"/>
      </rPr>
      <t>attack09</t>
    </r>
  </si>
  <si>
    <t>lvankov001/lvankov001_body_attack05</t>
  </si>
  <si>
    <t>magellan/magellan001_body_attack03_Hit_01</t>
  </si>
  <si>
    <t>magellan/magellan003_body_attack03_Gro</t>
  </si>
  <si>
    <t>magellan/magellan003_body_attack02_Hit</t>
  </si>
  <si>
    <r>
      <rPr>
        <sz val="11"/>
        <color theme="1"/>
        <rFont val="微软雅黑"/>
        <charset val="134"/>
      </rPr>
      <t>lvankov001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lvankov001_body_attack010</t>
    </r>
  </si>
  <si>
    <t>lvankov001/lvankov001_body_attack010_buff</t>
  </si>
  <si>
    <r>
      <rPr>
        <sz val="11"/>
        <color theme="1"/>
        <rFont val="微软雅黑"/>
        <charset val="134"/>
      </rPr>
      <t>magellan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magellan001_body_stand</t>
    </r>
  </si>
  <si>
    <t>magellan/magellan001_body_stand_LRhand</t>
  </si>
  <si>
    <t>magellan/magellan003_body_l_stand_body</t>
  </si>
  <si>
    <t>magellan/magellan003_boby_l_stand_Bone001</t>
  </si>
  <si>
    <r>
      <rPr>
        <sz val="11"/>
        <color theme="1"/>
        <rFont val="微软雅黑"/>
        <charset val="134"/>
      </rPr>
      <t>lvankov001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lvankov001_body_attack09_hit</t>
    </r>
  </si>
  <si>
    <t>magellan/magellan001_body_stand_Dummy001</t>
  </si>
  <si>
    <t>magellan/magellan_xiaoshi_jubing</t>
  </si>
  <si>
    <t>magellan/magellan_xiaoshi_long</t>
  </si>
  <si>
    <t>magellan/magellan003_boby_l_mood01_bone08_016</t>
  </si>
  <si>
    <t>magellan/magellan003_boby_l_mood01_bone008mirrored</t>
  </si>
  <si>
    <t>03_ani/OK_jianyu_duwu_01</t>
  </si>
  <si>
    <t>监狱毒雾</t>
  </si>
  <si>
    <t>lvankov001/lvankov_mood02</t>
  </si>
  <si>
    <t>lvankov001/lvankov_mood04</t>
  </si>
  <si>
    <t>lvankov001/lvankov_mood04_Bip001_R_Finger1</t>
  </si>
  <si>
    <t>lvankov001/lvankov_buff_bianshen</t>
  </si>
  <si>
    <t>magellan/magellan_xiaoshi_long_chuxian</t>
  </si>
  <si>
    <t>captain003/Captain003_body_attack01</t>
  </si>
  <si>
    <t>锤子</t>
  </si>
  <si>
    <t>captain003/Captain003_body_attack01_Hit</t>
  </si>
  <si>
    <t>captain003/Captain003_body_attack02</t>
  </si>
  <si>
    <t>captain003/Captain003_body_attack02_WeaponR</t>
  </si>
  <si>
    <t>captain003/Captain003_body_attack03_Bip001Head</t>
  </si>
  <si>
    <t>soldier004_body03/soldier004_body03_attack01</t>
  </si>
  <si>
    <t>火枪精英海军</t>
  </si>
  <si>
    <t>soldier004_body03/soldier004_body03_attack02</t>
  </si>
  <si>
    <t>soldier004_body03/soldier004_body03_attack03</t>
  </si>
  <si>
    <t>soldier004_body03/soldier004_body03_attack04</t>
  </si>
  <si>
    <t>soldier004_body03/soldier004_body03_attack05</t>
  </si>
  <si>
    <t>soldier004_body03/soldier004_body03_hit_bing</t>
  </si>
  <si>
    <t>冰子弹受击</t>
  </si>
  <si>
    <t>soldier004_body03/soldier004_body03_hit_dian</t>
  </si>
  <si>
    <t>电子弹受击</t>
  </si>
  <si>
    <t>soldier004_body03/soldier004_body03_hit_feng</t>
  </si>
  <si>
    <t>风子弹受击</t>
  </si>
  <si>
    <t>soldier004_body03/soldier004_body03_hit_huo</t>
  </si>
  <si>
    <t>火子弹受击</t>
  </si>
  <si>
    <t>soldier004_body03/soldier004_body03_pro_bing</t>
  </si>
  <si>
    <t>冰子弹</t>
  </si>
  <si>
    <t>soldier004_body03/soldier004_body03_pro_dian</t>
  </si>
  <si>
    <t>电子弹</t>
  </si>
  <si>
    <t>soldier004_body03/soldier004_body03_pro_feng</t>
  </si>
  <si>
    <t>风子弹</t>
  </si>
  <si>
    <t>soldier004_body03/soldier004_body03_pro_huo</t>
  </si>
  <si>
    <t>火子弹</t>
  </si>
  <si>
    <t>soldier004_body03/soldier004_body03_pro_pao</t>
  </si>
  <si>
    <t>扩散弹</t>
  </si>
  <si>
    <t>usepirate009_body/usepirate009_body_attack01</t>
  </si>
  <si>
    <t>刀</t>
  </si>
  <si>
    <t>usepirate009_body/usepirate009_body_attack02</t>
  </si>
  <si>
    <t>usepirate009_body/usepirate009_body_attack03</t>
  </si>
  <si>
    <t>usepirate009_body/usepirate009_body_attack04</t>
  </si>
  <si>
    <t>Jozu001/jozu001_body_attack01</t>
  </si>
  <si>
    <t>Jozu001/jozu001_body_attack01_hit</t>
  </si>
  <si>
    <t>Jozu001/jozu001_body_attack02</t>
  </si>
  <si>
    <t>乔兹盾</t>
  </si>
  <si>
    <t>Jozu001/jozu001_body_attack05</t>
  </si>
  <si>
    <t>Jozu001/Jozu001_body_attack06</t>
  </si>
  <si>
    <t>Jozu001/Jozu001_body_attack06_HTrail_Bip001Spine1</t>
  </si>
  <si>
    <t>Jozu001/jozu001_body_attack07</t>
  </si>
  <si>
    <t>Jozu001/jozu001_body_attack03</t>
  </si>
  <si>
    <t>Jozu001/jozu001_body_attack04</t>
  </si>
  <si>
    <t>Jozu001/jozu001_body_attack04_hit</t>
  </si>
  <si>
    <t>usepirate009_body/usepirate009_body_attack01_hit</t>
  </si>
  <si>
    <t>红色受击</t>
  </si>
  <si>
    <t>pirates001_body02/pirates001_body02_attack01</t>
  </si>
  <si>
    <t>管儿枪</t>
  </si>
  <si>
    <t>pirates001_body02/pirates001_body02_attack01_hit01</t>
  </si>
  <si>
    <t>pirates001_body02/pirates001_body02_attack02</t>
  </si>
  <si>
    <t>pirates001_body02/pirates001_body02_attack03</t>
  </si>
  <si>
    <t>pirates001_body02/pirates001_body02_attack04</t>
  </si>
  <si>
    <t>pirates001_body02/pirates001_body02_attack05</t>
  </si>
  <si>
    <t>soldier004_body03/soldier004_body03_attack01_hit</t>
  </si>
  <si>
    <t>火枪大佐受击</t>
  </si>
  <si>
    <t>pirates001_body/pirates001_body_attack02</t>
  </si>
  <si>
    <t>通用小兵攻击</t>
  </si>
  <si>
    <t>pirates003_body02/pirates003_body02_attack02</t>
  </si>
  <si>
    <t>soldier003_body02/soldier003_body02_attack02</t>
  </si>
  <si>
    <t>soldier003_body03/soldier003_body03_atttack01</t>
  </si>
  <si>
    <t>刀大佐</t>
  </si>
  <si>
    <t>soldier003_body03/soldier003_body03_atttack02</t>
  </si>
  <si>
    <t>soldier003_body03/soldier003_body03_atttack03</t>
  </si>
  <si>
    <t>soldier003_body03/soldier003_body03_atttack04</t>
  </si>
  <si>
    <t>soldier003_body03/soldier003_body03_atttack05</t>
  </si>
  <si>
    <t>soldier003_body03/soldier003_body03_atttack06</t>
  </si>
  <si>
    <t>Jozu001/jozu001_body_attack02_birth</t>
  </si>
  <si>
    <t>Jozu001/jozu001_body_attack02 _death</t>
  </si>
  <si>
    <t>Jozu001/jozu001_body_attack08</t>
  </si>
  <si>
    <t>Jozu001/jozu001_body_attack01_Bip001RForeTwist1</t>
  </si>
  <si>
    <t>Jozu001/jozu001_body_attack03_Bip001RForeTwist1</t>
  </si>
  <si>
    <t>Jozu001/jozu001_body_attack04_Bip001RForeTwist1</t>
  </si>
  <si>
    <t>Jozu001/jozu001_body_attack05_Bip001RForeTwist1</t>
  </si>
  <si>
    <t>Jozu001/jozu001_body_stand</t>
  </si>
  <si>
    <t>edward001/edward001_body_attack01</t>
  </si>
  <si>
    <t>edward001/edward001_body_attack01_hit</t>
  </si>
  <si>
    <t>edward001/edward001_body_attack02</t>
  </si>
  <si>
    <t>edward001/edward001_body_attack05</t>
  </si>
  <si>
    <t>pirates002_body/pirates002_body_attack02</t>
  </si>
  <si>
    <t>soldier004_body02/soldier004_body02_attack02</t>
  </si>
  <si>
    <t>edward001/edward001_body_attack03</t>
  </si>
  <si>
    <t>edward001/edward001_body_attack04</t>
  </si>
  <si>
    <t>edward001/edward001_body_attack06</t>
  </si>
  <si>
    <t>4.2秒切场景，白胡子06</t>
  </si>
  <si>
    <t>edward001/edward001_body_attack07</t>
  </si>
  <si>
    <t>白胡子07</t>
  </si>
  <si>
    <t>edward001/edward001_body_attack04_hit</t>
  </si>
  <si>
    <t>hit</t>
  </si>
  <si>
    <t>edward001/edward001_body_attack07_Bip001_R_Foot</t>
  </si>
  <si>
    <t>脚上的球</t>
  </si>
  <si>
    <t>edward001/edward001_body_attack07_Bip001_R_Hand</t>
  </si>
  <si>
    <t>edward001/edward001_body_attack01_Dummy001</t>
  </si>
  <si>
    <t>sadie001_body/sadie001_body_attack04</t>
  </si>
  <si>
    <t>sadie001_body/sadie001_body_attack05</t>
  </si>
  <si>
    <t>sadie001_body/sadie001_body_attack06</t>
  </si>
  <si>
    <t>marco/marco001_body_attack01</t>
  </si>
  <si>
    <t>marco/marco001_body_attack02</t>
  </si>
  <si>
    <t>marco/marco001_body_attack03</t>
  </si>
  <si>
    <t>marco/marco001_body_attack04</t>
  </si>
  <si>
    <t>marco/marco001_body_attack05</t>
  </si>
  <si>
    <t>marco/marco001_body_attack06</t>
  </si>
  <si>
    <t>marco/marco001_body_attack07</t>
  </si>
  <si>
    <t>marco/marco001_body_attack08</t>
  </si>
  <si>
    <t>marco/marco001_body_attack09</t>
  </si>
  <si>
    <t>marco/marco001_body_attack10</t>
  </si>
  <si>
    <t>marco/marco001_body_attack11</t>
  </si>
  <si>
    <t>marco/marco001_body_attack12</t>
  </si>
  <si>
    <t>marco/marco001_body_attack13</t>
  </si>
  <si>
    <t>marco/marco001_body_attack11_tuowei</t>
  </si>
  <si>
    <t>11拖尾</t>
  </si>
  <si>
    <t>marco/marco001_body_claws</t>
  </si>
  <si>
    <t>火焰脚</t>
  </si>
  <si>
    <t>marco/marco001_body_wing</t>
  </si>
  <si>
    <t>火焰翅膀</t>
  </si>
  <si>
    <t>marco/marco001_body_wing_03</t>
  </si>
  <si>
    <t>火焰翅膀3</t>
  </si>
  <si>
    <t>marco/marco001_body_01_hit</t>
  </si>
  <si>
    <t>人型受击</t>
  </si>
  <si>
    <t>marco/marco001_body_09_hit</t>
  </si>
  <si>
    <t>鸟型受击</t>
  </si>
  <si>
    <t>marco/marco001_body_09_hit2</t>
  </si>
  <si>
    <t>鸟型受击（大）</t>
  </si>
  <si>
    <t>hoss001_body/Hoss001_body_attack04</t>
  </si>
  <si>
    <t>猴斯</t>
  </si>
  <si>
    <t>hoss001_body/Hoss001_body_attack05</t>
  </si>
  <si>
    <t>marco/marco001_body_06_hit</t>
  </si>
  <si>
    <t>镜头6受击（大）</t>
  </si>
  <si>
    <t>marco/marco001_body_huo_attack06</t>
  </si>
  <si>
    <t>marco/marco001_body_wing_attack06</t>
  </si>
  <si>
    <t>marco/marco001_body_wing_attack07</t>
  </si>
  <si>
    <t>marco/marco001_body_claws_attack07</t>
  </si>
  <si>
    <t>拖尾</t>
  </si>
  <si>
    <t>marco/marco001_body_attack12_tuowei</t>
  </si>
  <si>
    <t>humanox001_body/humanox001_body_attack05</t>
  </si>
  <si>
    <t>牛头</t>
  </si>
  <si>
    <t>humanox001_body/humanox001_body_attack06</t>
  </si>
  <si>
    <t>koala001_body/koala001_body_attack04</t>
  </si>
  <si>
    <t>koala001_body/koala001_body_attack04_Buff</t>
  </si>
  <si>
    <t>marco/marco001_body_attack07_Bip001_L_Foot</t>
  </si>
  <si>
    <t>马尔高07尾巴</t>
  </si>
  <si>
    <t>marco/marco001_body_claws_attack08</t>
  </si>
  <si>
    <t>马尔高08</t>
  </si>
  <si>
    <t>marco/marco001_body_wing_attack08</t>
  </si>
  <si>
    <t>rhinoceros001_body/rhinoceros001_body_attack04</t>
  </si>
  <si>
    <t>犀牛</t>
  </si>
  <si>
    <t>rhinoceros001_body/rhinoceros001_body_attack04_Dummy001</t>
  </si>
  <si>
    <t>03_ani/058_jianyuwudianwucengrun_001_canjiao</t>
  </si>
  <si>
    <t>啊啊啊啊</t>
  </si>
  <si>
    <t>guard004_body/guard004_body_attack01</t>
  </si>
  <si>
    <t>监狱大炮管子</t>
  </si>
  <si>
    <t>prison002_body/prison002_body_attack01</t>
  </si>
  <si>
    <t>监狱步枪狱卒</t>
  </si>
  <si>
    <t>zebra001_body/zebra001_body_attack04</t>
  </si>
  <si>
    <t>zebra001_body/zebra001_body_attack04_Bip001</t>
  </si>
  <si>
    <t>Jozu001/jozu001_body_buff_dunfan</t>
  </si>
  <si>
    <t>乔兹尖刺</t>
  </si>
  <si>
    <t>guard004_body/guard004_baodian_01</t>
  </si>
  <si>
    <t>小怪爆炸</t>
  </si>
  <si>
    <t>marco/marco001_body_stand</t>
  </si>
  <si>
    <t>马尔高8星</t>
  </si>
  <si>
    <t>marco/marco001_body_stand_Bip001_Spine1</t>
  </si>
  <si>
    <t>marco/marco001_body_stand_point001</t>
  </si>
  <si>
    <t>marco/marco001_body_stand2</t>
  </si>
  <si>
    <t>马尔高8星鸟</t>
  </si>
  <si>
    <t>edward001/edward001_stand</t>
  </si>
  <si>
    <t>白胡子8星</t>
  </si>
  <si>
    <t>edward001/edward001_body_attack08</t>
  </si>
  <si>
    <t>白胡子08</t>
  </si>
  <si>
    <t>marco/marco001_body_buff1</t>
  </si>
  <si>
    <t>马尔高第一个出手buff</t>
  </si>
  <si>
    <t>marco/marco001_body_buff2</t>
  </si>
  <si>
    <t>马尔高浴火重生buff</t>
  </si>
  <si>
    <t>marco/marco001_body_buff3</t>
  </si>
  <si>
    <t>马尔高浴火重生buff（不需新插件）</t>
  </si>
  <si>
    <t>marco/marco001_body_buff_bianshen</t>
  </si>
  <si>
    <t>马尔高解除变身</t>
  </si>
  <si>
    <t>edward001/edward001_body_stand</t>
  </si>
  <si>
    <t>白胡子战斗待机特效</t>
  </si>
  <si>
    <t>vista/vista001_body_attack01</t>
  </si>
  <si>
    <t>比斯塔1</t>
  </si>
  <si>
    <t>vista/vista001_body_attack02</t>
  </si>
  <si>
    <t>比斯塔2</t>
  </si>
  <si>
    <t>vista/vista001_body_attack03</t>
  </si>
  <si>
    <t>比斯塔3</t>
  </si>
  <si>
    <t>vista/vista001_body_attack04</t>
  </si>
  <si>
    <t>比斯塔4</t>
  </si>
  <si>
    <t>vista/vista001_body_attack05</t>
  </si>
  <si>
    <t>比斯塔5</t>
  </si>
  <si>
    <t>vista/vista001_body_attack06</t>
  </si>
  <si>
    <t>比斯塔6</t>
  </si>
  <si>
    <t>vista/vista001_body_attack07</t>
  </si>
  <si>
    <t>比斯塔7</t>
  </si>
  <si>
    <t>vista/vista001_body_attack08</t>
  </si>
  <si>
    <t>比斯塔8</t>
  </si>
  <si>
    <t>vista/vista001_body_stand</t>
  </si>
  <si>
    <t>比斯塔城镇</t>
  </si>
  <si>
    <t>vista/vista001_body_attack02_hit</t>
  </si>
  <si>
    <t>vista/vista001_body_attack02_hit_da</t>
  </si>
  <si>
    <t>vista/vista001_body_attack03_hit</t>
  </si>
  <si>
    <t>vista/vista001_body_attack04_hit</t>
  </si>
  <si>
    <t>edward001/edward001_body_attack03_wuqi01</t>
  </si>
  <si>
    <t>白胡子时空斩白球</t>
  </si>
  <si>
    <t>edward001/edward001_Attack05_Charge_Hand_Parnt</t>
  </si>
  <si>
    <t>白胡子 坏天</t>
  </si>
  <si>
    <t>edward001/edward001_body_jumpb</t>
  </si>
  <si>
    <t>白胡子跳跃动作特效-前跳</t>
  </si>
  <si>
    <t>edward001/edward001_body_jumpf</t>
  </si>
  <si>
    <t>白胡子跳跃动作特效-后跳</t>
  </si>
  <si>
    <t>edward001/edward001_body_jumpb_xialuo</t>
  </si>
  <si>
    <t>白胡子跳跃动作特效-落地</t>
  </si>
  <si>
    <t>edward001/edward001_body_attack02_LHand</t>
  </si>
  <si>
    <t>edward001/edward001_body_attack07_Bip001</t>
  </si>
  <si>
    <t>白胡子06自身环绕光</t>
  </si>
  <si>
    <t>edward001/edward001_body_attack07_gro</t>
  </si>
  <si>
    <t>07残留</t>
  </si>
  <si>
    <t>edward001/edward_attack06_Bip001LHand</t>
  </si>
  <si>
    <t>06手，白胡子</t>
  </si>
  <si>
    <t>vista/vista001_body_attack07_hit01</t>
  </si>
  <si>
    <t>比斯塔07受击1（连续的）</t>
  </si>
  <si>
    <t>vista/vista001_body_attack07_hit02</t>
  </si>
  <si>
    <t>比斯塔07受击2</t>
  </si>
  <si>
    <t>vista/vista001_body_mood_dummy04</t>
  </si>
  <si>
    <t>比斯塔待机通用，3秒</t>
  </si>
  <si>
    <t>edward001/edward001_body_attack06_gro</t>
  </si>
  <si>
    <t>白胡子06残留</t>
  </si>
  <si>
    <t>edward001/edward001_body_attack08_gro</t>
  </si>
  <si>
    <t>白胡子08残留</t>
  </si>
  <si>
    <t>edward001/edward001_body_attack04_Dummy001</t>
  </si>
  <si>
    <t>白胡子04新传的球 挂点Dummy001</t>
  </si>
  <si>
    <t>edward001/edward001_body_buff1</t>
  </si>
  <si>
    <t>白胡子buff01（震地板）</t>
  </si>
  <si>
    <t>edward001/edward001_body_buff2</t>
  </si>
  <si>
    <t>白胡子buff02（反击）</t>
  </si>
  <si>
    <t>edward001/edward001_body_buff3</t>
  </si>
  <si>
    <t>白胡子buff03（闪电）</t>
  </si>
  <si>
    <t>momonga/momonga001_body_attack01</t>
  </si>
  <si>
    <t>鼯鼠中将</t>
  </si>
  <si>
    <t>momonga/momonga001_body_attack01_hit</t>
  </si>
  <si>
    <t>momonga/momonga001_body_attack02</t>
  </si>
  <si>
    <t>momonga/momonga001_body_attack03</t>
  </si>
  <si>
    <t>momonga/momonga001_body_attack03_hit</t>
  </si>
  <si>
    <t>momonga/momonga001_body_attack04</t>
  </si>
  <si>
    <t>momonga/momonga001_body_attack05</t>
  </si>
  <si>
    <t>momonga/momonga001_body_attack06</t>
  </si>
  <si>
    <t>momonga/momonga001_body_attack06_hit</t>
  </si>
  <si>
    <t>momonga/momonga001_body_attack07</t>
  </si>
  <si>
    <t>momonga/momonga001_body_attack08</t>
  </si>
  <si>
    <t>momonga/momonga001_body_attack08_hit</t>
  </si>
  <si>
    <t>shanks/shanks_attack01</t>
  </si>
  <si>
    <t>香克斯01</t>
  </si>
  <si>
    <t>shanks/shanks_attack01_hit01</t>
  </si>
  <si>
    <t>香克斯普攻受击1</t>
  </si>
  <si>
    <t>shanks/shanks_attack01_hit02</t>
  </si>
  <si>
    <t>香克斯普攻受击2</t>
  </si>
  <si>
    <t>shanks/shanks_attack01_hit03</t>
  </si>
  <si>
    <t>香克斯普攻受击3</t>
  </si>
  <si>
    <t>shanks/shanks_attack02</t>
  </si>
  <si>
    <t>香克斯02</t>
  </si>
  <si>
    <t>shanks/shanks_attack03</t>
  </si>
  <si>
    <t>香克斯</t>
  </si>
  <si>
    <t>shanks/shanks_attack04</t>
  </si>
  <si>
    <t>shanks/shanks_attack05</t>
  </si>
  <si>
    <t>shanks/shanks_attack06</t>
  </si>
  <si>
    <t>shanks/shanks_attack07</t>
  </si>
  <si>
    <t>shanks/shanks_attack08</t>
  </si>
  <si>
    <t>shanks/shanks_attack01_hit04</t>
  </si>
  <si>
    <t>香克斯普攻受击4</t>
  </si>
  <si>
    <t>momonga/momonga001_body_buffA1_Dummy001</t>
  </si>
  <si>
    <t>鼯鼠剑气lv1</t>
  </si>
  <si>
    <t>momonga/momonga001_body_buffA2_Dummy001</t>
  </si>
  <si>
    <t>鼯鼠剑气lv2</t>
  </si>
  <si>
    <t>momonga/momonga001_body_buffA3_Dummy001</t>
  </si>
  <si>
    <t>鼯鼠剑气lv3</t>
  </si>
  <si>
    <t>momonga/momonga001_body_buffA4_Dummy001</t>
  </si>
  <si>
    <t>鼯鼠剑气lv4</t>
  </si>
  <si>
    <t>momonga/momonga001_body_buffA5_Dummy001</t>
  </si>
  <si>
    <t>鼯鼠剑气lv5</t>
  </si>
  <si>
    <t>shanks/shanks_attack02_hit01</t>
  </si>
  <si>
    <t>香克斯02受击1</t>
  </si>
  <si>
    <t>shanks/shanks_attack02_hit02</t>
  </si>
  <si>
    <t>香克斯02受击2</t>
  </si>
  <si>
    <t>shanks/shanks_attack02_hit03</t>
  </si>
  <si>
    <t>香克斯02受击3</t>
  </si>
  <si>
    <t>shanks/shanks_attack02_gro</t>
  </si>
  <si>
    <t>香克斯02残留</t>
  </si>
  <si>
    <t>bastille/bastille001_body_attack01</t>
  </si>
  <si>
    <t>巴士底</t>
  </si>
  <si>
    <t>bastille/bastille001_body_attack02</t>
  </si>
  <si>
    <t>bastille/bastille001_body_attack03</t>
  </si>
  <si>
    <t>bastille/bastille001_body_attack04</t>
  </si>
  <si>
    <t>bastille/bastille001_body_attack05</t>
  </si>
  <si>
    <t>bastille/bastille001_body_attack01_hit</t>
  </si>
  <si>
    <t>mosou/musou001_body_attack01</t>
  </si>
  <si>
    <t>鬼蜘蛛</t>
  </si>
  <si>
    <t>mosou/musou001_body_attack02</t>
  </si>
  <si>
    <t>mosou/musou001_body_attack03</t>
  </si>
  <si>
    <t>mosou/musou001_body_attack04</t>
  </si>
  <si>
    <t>mosou/musou001_body_attack05</t>
  </si>
  <si>
    <t>mosou/musou001_body_attack06</t>
  </si>
  <si>
    <t>mosou/musou001_body_attack07</t>
  </si>
  <si>
    <t>hina001/hina001_attack01</t>
  </si>
  <si>
    <t>日奈</t>
  </si>
  <si>
    <t>hina001/hina001_attack02</t>
  </si>
  <si>
    <t>hina001/hina001_attack03</t>
  </si>
  <si>
    <t>hina001/hina001_attack04</t>
  </si>
  <si>
    <t>hina001/hina001_attack05</t>
  </si>
  <si>
    <t>无特效废弃</t>
  </si>
  <si>
    <t>hina001/hina001_attack06</t>
  </si>
  <si>
    <t>hina001/hina001_attack07</t>
  </si>
  <si>
    <t>hina001/hina001_attack01_hit</t>
  </si>
  <si>
    <t>hina001/hina001_attack02_hit01</t>
  </si>
  <si>
    <t>hina001/hina001_attack03_buff</t>
  </si>
  <si>
    <t>hina001/hina001_attack04_hit</t>
  </si>
  <si>
    <t>shanks/shanks_attack08_cut-in</t>
  </si>
  <si>
    <t>香克斯CI</t>
  </si>
  <si>
    <t>shanks/shanks_attack06_Dummy001</t>
  </si>
  <si>
    <t>香克斯06刀拖尾</t>
  </si>
  <si>
    <t>vista/visita_buff_body_01</t>
  </si>
  <si>
    <t>vista/visita_buff_body_02</t>
  </si>
  <si>
    <t>vista/visita_buff_hand_01</t>
  </si>
  <si>
    <t>vista/visita_buff_hand_02</t>
  </si>
  <si>
    <t>03_ani/dingshang/FX_kuma_baozha</t>
  </si>
  <si>
    <t>和平主义者激光</t>
  </si>
  <si>
    <t>03_ani/dingshang/FX_kuma_jiguang</t>
  </si>
  <si>
    <t>03_ani/dingshang/FX_baihuzi_gou</t>
  </si>
  <si>
    <t>白胡子VS赤犬</t>
  </si>
  <si>
    <t>03_ani/dingshang/FX_dingshang_huoyan</t>
  </si>
  <si>
    <t>环绕火焰</t>
  </si>
  <si>
    <t>03_ani/dingshang/FX_suijibaozha</t>
  </si>
  <si>
    <t>顶上场地内爆炸特效</t>
  </si>
  <si>
    <t>03_ani/dingshang/FX_aodes</t>
  </si>
  <si>
    <t>奥兹攻击地面</t>
  </si>
  <si>
    <t>shanks/shanks_mood01_Dummy007</t>
  </si>
  <si>
    <t>香克斯酒碗1</t>
  </si>
  <si>
    <t>shanks/shanks_mood01_Dummy008</t>
  </si>
  <si>
    <t>香克斯酒碗2</t>
  </si>
  <si>
    <t>shanks/shanks_body_jumpf_01</t>
  </si>
  <si>
    <t>红发前跳瞬移</t>
  </si>
  <si>
    <t>shanks/shanks_body_jumpb_02</t>
  </si>
  <si>
    <t>红发后跳瞬移</t>
  </si>
  <si>
    <t>zoro007/zoro007_body_attack01</t>
  </si>
  <si>
    <t>SSR佐罗001</t>
  </si>
  <si>
    <t>zoro007/zoro007_body_attack02</t>
  </si>
  <si>
    <t>SSR佐罗002</t>
  </si>
  <si>
    <t>zoro007/zoro007_body_attack03</t>
  </si>
  <si>
    <t>SSR佐罗003</t>
  </si>
  <si>
    <t>zoro007/zoro007_body_attack04</t>
  </si>
  <si>
    <t>SSR佐罗004</t>
  </si>
  <si>
    <t>zoro007/zoro007_body_attack05</t>
  </si>
  <si>
    <t>SSR佐罗005</t>
  </si>
  <si>
    <t>zoro007/zoro007_body_attack06</t>
  </si>
  <si>
    <t>SSR佐罗006</t>
  </si>
  <si>
    <t>zoro007/zoro007_body_attack07</t>
  </si>
  <si>
    <t>SSR佐罗007</t>
  </si>
  <si>
    <t>zoro007/zoro007_body_attack08</t>
  </si>
  <si>
    <t>SSR佐罗008</t>
  </si>
  <si>
    <t>zoro007/zoro007_body_attack06_Bip001_HeadNub</t>
  </si>
  <si>
    <t>红眼</t>
  </si>
  <si>
    <t>zoro007/zoro007_body_attack06_Dummy009</t>
  </si>
  <si>
    <t>06三把刀</t>
  </si>
  <si>
    <t>zoro007/zoro007_body_attack06_Dummy011</t>
  </si>
  <si>
    <t>zoro007/zoro007_body_attack06_Dummy013</t>
  </si>
  <si>
    <t>zoro007/zoro007_body_attack07_youshoudao01</t>
  </si>
  <si>
    <t>右手刀</t>
  </si>
  <si>
    <t>zoro007/zoro007_body_attack01_hit01</t>
  </si>
  <si>
    <t>zoro007/zoro007_body_attack01_hit03</t>
  </si>
  <si>
    <t>shanks/UI_shanks_jineng</t>
  </si>
  <si>
    <t>香克斯技能UI</t>
  </si>
  <si>
    <t>shanks/shanks_mood06</t>
  </si>
  <si>
    <t>s8</t>
  </si>
  <si>
    <t>shanks/shanks_stand</t>
  </si>
  <si>
    <t>zoro007/zoro007_body_mood06</t>
  </si>
  <si>
    <t>z8</t>
  </si>
  <si>
    <t>zoro007/zoro007_body_stand</t>
  </si>
  <si>
    <t>zoro007/zoro007_body_attack08_zuoshoudao01</t>
  </si>
  <si>
    <t>左守刀</t>
  </si>
  <si>
    <t>shanks/shanks_BUFF_bazhe</t>
  </si>
  <si>
    <t>香克斯-霸者</t>
  </si>
  <si>
    <t>shanks/shanks_BUFF_duanhun</t>
  </si>
  <si>
    <t>香克斯-断魂</t>
  </si>
  <si>
    <t>shanks/shanks_BUFF_jianhao</t>
  </si>
  <si>
    <t>香克斯-剑豪</t>
  </si>
  <si>
    <t>shanks/shanks_BUFF_jianhun</t>
  </si>
  <si>
    <t>香克斯-减魂</t>
  </si>
  <si>
    <t>usopp006_body/usopp006_body_attack01</t>
  </si>
  <si>
    <t>乌索普</t>
  </si>
  <si>
    <t>usopp006_body/usopp006_body_attack01_hit01</t>
  </si>
  <si>
    <t>usopp006_body/usopp006_body_attack01_hit02</t>
  </si>
  <si>
    <t>usopp006_body/usopp006_body_attack01_hit03</t>
  </si>
  <si>
    <t>usopp006_body/usopp006_body_attack01_pro01</t>
  </si>
  <si>
    <t>usopp006_body/usopp006_body_attack01_pro02</t>
  </si>
  <si>
    <t>usopp006_body/usopp006_body_attack01_pro03</t>
  </si>
  <si>
    <t>usopp006_body/usopp006_body_attack02</t>
  </si>
  <si>
    <t>usopp006_body/usopp006_body_attack02_hit</t>
  </si>
  <si>
    <t>usopp006_body/usopp006_body_attack03</t>
  </si>
  <si>
    <t>usopp006_body/usopp006_body_attack03_hit</t>
  </si>
  <si>
    <t>usopp006_body/usopp006_body_attack04</t>
  </si>
  <si>
    <t>usopp006_body/usopp006_body_attack06</t>
  </si>
  <si>
    <t>usopp006_body/usopp006_body_attack07</t>
  </si>
  <si>
    <t>usopp006_body/usopp006_body_attack07_Bip001_R_Finger1Nub</t>
  </si>
  <si>
    <t>usopp006_body/usopp006_body_attack07_hit</t>
  </si>
  <si>
    <t>falseluffy001_body/falseluffy001_body_attack01</t>
  </si>
  <si>
    <t>假路飞</t>
  </si>
  <si>
    <t>falseluffy001_body/falseluffy001_body_attack02</t>
  </si>
  <si>
    <t>falseluffy001_body/falseluffy001_body_attack03</t>
  </si>
  <si>
    <t>falseluffy001_body/falseluffy001_body_attack03_Rhand</t>
  </si>
  <si>
    <t>falsenami001_body/falsenami001_body_attack01</t>
  </si>
  <si>
    <t>假奈美</t>
  </si>
  <si>
    <t>falsenami001_body/falsenami001_body_attack02_hit</t>
  </si>
  <si>
    <t>falsenami001_body/falsenami001_body_attack02_Lhand</t>
  </si>
  <si>
    <t>falsenami001_body/falsenami001_body_attack02_pro</t>
  </si>
  <si>
    <t>falsenami001_body/falsenami001_body_attack03</t>
  </si>
  <si>
    <t>falseusopp001_body/falseusopp001_body_attack01</t>
  </si>
  <si>
    <t>假乌索普</t>
  </si>
  <si>
    <t>falseusopp001_body/falseusopp001_body_attack02</t>
  </si>
  <si>
    <t>falseusopp001_body/falseusopp001_body_attack02_hit</t>
  </si>
  <si>
    <t>falseusopp001_body/falseusopp001_body_attack02_pro</t>
  </si>
  <si>
    <t>falseusopp001_body/falseusopp001_body_attack03</t>
  </si>
  <si>
    <t>zoro007/zoro007_body_attack04_hit</t>
  </si>
  <si>
    <t>佐罗鬼斩受击</t>
  </si>
  <si>
    <t>zoro007/zoro007_body_attack04_hit_hei</t>
  </si>
  <si>
    <t>zoro007/zoro007_body_attack04_hit_hei01</t>
  </si>
  <si>
    <t>usopp006_body/usopp006_body_attack05</t>
  </si>
  <si>
    <t>usopp006_body/usopp006_body_attack05_pro1</t>
  </si>
  <si>
    <t>usopp006_body/usopp006_body_attack05_pro2</t>
  </si>
  <si>
    <t>usopp006_body/usopp006_body_attack08</t>
  </si>
  <si>
    <t>usopp006_body/usopp006_body_mood06</t>
  </si>
  <si>
    <t>usopp006_body/usopp006_body_stand</t>
  </si>
  <si>
    <t>usopp006_body/usopp006_body_attack04_hit</t>
  </si>
  <si>
    <t>usopp006_body/usopp006_body_attack05_hit</t>
  </si>
  <si>
    <t>usopp006_body/usopp006_body_attack05_hit1</t>
  </si>
  <si>
    <t>03_ani/dingshang/OK_xiongkou_yansho</t>
  </si>
  <si>
    <t>白胡子胸口燃烧</t>
  </si>
  <si>
    <t>zoro007/zoro007_body_buff01</t>
  </si>
  <si>
    <t>自身护盾</t>
  </si>
  <si>
    <t>zoro007/zoro007_body_buff02</t>
  </si>
  <si>
    <t>风墙</t>
  </si>
  <si>
    <t>blackbeard003_body/blackbeard003_attack01</t>
  </si>
  <si>
    <t>blackbeard003_body/blackbeard003_attack01_hit</t>
  </si>
  <si>
    <t>blackbeard003_body/blackbeard003_attack01_hit1</t>
  </si>
  <si>
    <t>blackbeard003_body/blackbeard003_attack02</t>
  </si>
  <si>
    <t>blackbeard003_body/blackbeard003_attack03</t>
  </si>
  <si>
    <t>blackbeard003_body/blackbeard003_attack03_gro</t>
  </si>
  <si>
    <t>blackbeard003_body/blackbeard003_attack03_L_Hand</t>
  </si>
  <si>
    <t>blackbeard003_body/blackbeard003_attack04</t>
  </si>
  <si>
    <t>blackbeard003_body/blackbeard003_attack04_Bip001LHand</t>
  </si>
  <si>
    <t>blackbeard003_body/blackbeard003_attack05_Bip001LHand</t>
  </si>
  <si>
    <t>blackbeard003_body/blackbeard003_attack05_Bip001RHand</t>
  </si>
  <si>
    <t>blackbeard003_body/blackbeard003_attack05_gro</t>
  </si>
  <si>
    <t>blackbeard003_body/blackbeard003_attack06</t>
  </si>
  <si>
    <t>blackbeard003_body/blackbeard003_attack07</t>
  </si>
  <si>
    <t>blackbeard003_body/blackbeard003_attack08</t>
  </si>
  <si>
    <t>blackbeard003_body/blackbeard003_attack08_Bip001RHand</t>
  </si>
  <si>
    <t>blackbeard003_body/blackbeard003_attack08_cut-in</t>
  </si>
  <si>
    <t>blackbeard003_body/blackbeard003_mood06</t>
  </si>
  <si>
    <t>blackbeard003_body/blackbeard003_stand</t>
  </si>
  <si>
    <t>blackbeard003_body/blackbeard003_stand_Bip001LHand</t>
  </si>
  <si>
    <t>blackbeard003_body/blackbeard003_stand_Bip001RHand</t>
  </si>
  <si>
    <t>usopp006_body/usopp006_body_attack08_canliu</t>
  </si>
  <si>
    <t>blackbeard003_body/blackbeard003_attack07_L_hand</t>
  </si>
  <si>
    <t>usopp006_body/usopp006_body_attack01_pro04</t>
  </si>
  <si>
    <t>blackbeard003_body/blackbeard003_attack02_pro</t>
  </si>
  <si>
    <t>黑胡子子弹</t>
  </si>
  <si>
    <t>usopp006_body/usopp006_body_attack02_hit_01</t>
  </si>
  <si>
    <t>绿星受击</t>
  </si>
  <si>
    <t>usopp006_body/usopp006_body_attack04_hit_01</t>
  </si>
  <si>
    <t>霸王花受击</t>
  </si>
  <si>
    <t>blackbeard003_body/blackbeard003_attack02_hit</t>
  </si>
  <si>
    <t>黑胡子02地面炸</t>
  </si>
  <si>
    <t>blackbeard003_body/blackbeard003_attack01_Bip001LHand</t>
  </si>
  <si>
    <t>黑胡子普攻左</t>
  </si>
  <si>
    <t>blackbeard003_body/blackbeard003_attack01_Bip001RHand</t>
  </si>
  <si>
    <t>黑胡子普攻右</t>
  </si>
  <si>
    <t>nami006/nami006_body_attack04</t>
  </si>
  <si>
    <t>发招特效</t>
  </si>
  <si>
    <t>nami006/nami006_body_attack04_Fly</t>
  </si>
  <si>
    <t>飞行子弹（天气蛋）（起始时间：0.9）</t>
  </si>
  <si>
    <t>nami006/nami006_body_attack04_Fly_End</t>
  </si>
  <si>
    <t>飞行子弹结束后，闪电云出现，放电消失全过程</t>
  </si>
  <si>
    <t>nami006/nami006_body_attack05</t>
  </si>
  <si>
    <t>nami006/nami006_body_attack05_Buff</t>
  </si>
  <si>
    <t>电云BUFF（起始时间：命中后0.2）</t>
  </si>
  <si>
    <t>nami006/nami006_body_attack05_Buff_Atk</t>
  </si>
  <si>
    <t>电云BUFF放电（起始时间：命中后0.2）</t>
  </si>
  <si>
    <t>nami006/nami006_body_attack05_Buff_End</t>
  </si>
  <si>
    <t>电云BUFF死亡大电爆（起始时间：BUFF结束前0.2）</t>
  </si>
  <si>
    <t>nami006/nami006_body_attack05_Buff_End_Ground</t>
  </si>
  <si>
    <t>电云BUFF死亡大电爆地面（起始时间：BUFF结束前0.2）</t>
  </si>
  <si>
    <t>nami006/nami006_body_attack05_Fly</t>
  </si>
  <si>
    <t>飞行云子弹（起始时间：1.7）</t>
  </si>
  <si>
    <t>nami006/nami006_body_attack05_Fly_Ground</t>
  </si>
  <si>
    <t>飞行云子弹地面照亮光斑（起始时间：1.7）</t>
  </si>
  <si>
    <t>nami006/nami006_body_attack05_Fly_Hit</t>
  </si>
  <si>
    <t>飞行云子弹命中</t>
  </si>
  <si>
    <t>nami006/nami006_Xianjing</t>
  </si>
  <si>
    <t>雷</t>
  </si>
  <si>
    <t>nami006/nami006_Xianjing_Yun</t>
  </si>
  <si>
    <t>云</t>
  </si>
  <si>
    <t>nami006/Nami006_body_Flow_01</t>
  </si>
  <si>
    <t>奈美8星云1</t>
  </si>
  <si>
    <t>nami006/Nami006_body_Flow_02</t>
  </si>
  <si>
    <t>奈美8星云2</t>
  </si>
  <si>
    <t>nami006/Nami006_body_Flow_03</t>
  </si>
  <si>
    <t>奈美8星云3</t>
  </si>
  <si>
    <t>usopp006_body/usopp006_body_attack07_dimian</t>
  </si>
  <si>
    <t>乌索普骷髅爆炸地面残留烟</t>
  </si>
  <si>
    <t>nami006/nami006_body_attack01</t>
  </si>
  <si>
    <t>nami006/nami006_body_attack01_hit1</t>
  </si>
  <si>
    <t>nami006/nami006_body_attack02</t>
  </si>
  <si>
    <t>nami006/nami006_body_attack02_wuqi002</t>
  </si>
  <si>
    <t>nami006/nami006_body_attack03</t>
  </si>
  <si>
    <t>nami006/nami006_body_attack03_hit</t>
  </si>
  <si>
    <t>nami006/nami006_body_attack06</t>
  </si>
  <si>
    <t>nami006/nami006_body_attack07</t>
  </si>
  <si>
    <t>nami006/nami006_body_attack07_wuqi001</t>
  </si>
  <si>
    <t>nami006/nami006_body_attack08</t>
  </si>
  <si>
    <t>nami006/nami006_body_attack08_wuqi001_01</t>
  </si>
  <si>
    <t>nami006/nami006_body_attack08_wuqi001_02</t>
  </si>
  <si>
    <t>nami006/nami006_body_BX</t>
  </si>
  <si>
    <t>usopp006_body/usopp006_body_attack02_kong</t>
  </si>
  <si>
    <t>usopp006_body/usopp006_body_yanwu</t>
  </si>
  <si>
    <t>buff烟雾</t>
  </si>
  <si>
    <t>usopp006_body/usopp006_body_BUFF01</t>
  </si>
  <si>
    <t>麻古</t>
  </si>
  <si>
    <t>usopp006_body/usopp006_body_BUFF02</t>
  </si>
  <si>
    <t>毒烟儿</t>
  </si>
  <si>
    <t>usopp006_body/usopp006_body_BUFF03</t>
  </si>
  <si>
    <t>神乌索普光环</t>
  </si>
  <si>
    <t>usopp006_body/usopp006_body_BUFF04_B</t>
  </si>
  <si>
    <t>usopp006_body/usopp006_body_BUFF04_G</t>
  </si>
  <si>
    <t>usopp006_body/usopp006_body_BUFF04_R</t>
  </si>
  <si>
    <t>usopp006_body/usopp006_body_BUFF04_HB</t>
  </si>
  <si>
    <t>usopp006_body/usopp006_body_BUFF04_HG</t>
  </si>
  <si>
    <t>usopp006_body/usopp006_body_BUFF04_HR</t>
  </si>
  <si>
    <t>karib/karib_attack01</t>
  </si>
  <si>
    <t>卡里布</t>
  </si>
  <si>
    <t>karib/karib_attack02</t>
  </si>
  <si>
    <t>karib/karib_attack03</t>
  </si>
  <si>
    <t>karib/karib_attack04</t>
  </si>
  <si>
    <t>karib/karib_attack05</t>
  </si>
  <si>
    <t>nami006/nami006_body_attack02_pro</t>
  </si>
  <si>
    <t>karib/karib_attack04_gro</t>
  </si>
  <si>
    <t>blackbeard003_body/blackbeard003_Buff</t>
  </si>
  <si>
    <t>黑胡子解放</t>
  </si>
  <si>
    <t>blackbeard003_body/blackbeard003_attack08_Bip001LHand</t>
  </si>
  <si>
    <t>blackbeard003_body/blackbeard003_mood01_Bip001LHand</t>
  </si>
  <si>
    <t>黑胡子mood01</t>
  </si>
  <si>
    <t>blackbeard003_body/blackbeard003_attack08_hit</t>
  </si>
  <si>
    <t>黑胡子奥义受击</t>
  </si>
  <si>
    <t>nami006/nami006_body_attack06_1</t>
  </si>
  <si>
    <t>奈美6蓝棍子</t>
  </si>
  <si>
    <t>blackbeard003_body/blackbeard003_attack08_canliu</t>
  </si>
  <si>
    <t>黑胡子奥义残留</t>
  </si>
  <si>
    <t>nami006/nami006_body_mood02</t>
  </si>
  <si>
    <t>奈美闪光灯</t>
  </si>
  <si>
    <t>blackbeard003_body/blackbeard003_jump</t>
  </si>
  <si>
    <t>黑胡子前跳</t>
  </si>
  <si>
    <t>blackbeard003_body/blackbeard003_jupm1</t>
  </si>
  <si>
    <t>黑胡子跳跃结束</t>
  </si>
  <si>
    <t>nami006/nami006_body_attack07_buff</t>
  </si>
  <si>
    <t>奈美地面残留</t>
  </si>
  <si>
    <t>blackbeard003_body/blackbeard003_jump_back</t>
  </si>
  <si>
    <t>黑胡子后跳</t>
  </si>
  <si>
    <t>blackbeard003_body/blackbeard003_BUFF_heitian1</t>
  </si>
  <si>
    <t>场景黑天空球</t>
  </si>
  <si>
    <t>blackbeard003_body/blackbeard003_BUFF_heitian2</t>
  </si>
  <si>
    <t>自身扩散黑圈</t>
  </si>
  <si>
    <t>blackbeard003_body/blackbeard003_BUFF_hudun</t>
  </si>
  <si>
    <t>黑胡子黑暗护盾</t>
  </si>
  <si>
    <t>blackbeard003_body/UI_blackbeard_jineng</t>
  </si>
  <si>
    <t>黑胡子技能圈</t>
  </si>
  <si>
    <t>blackbeard003_body/UI_blackbeard_jineng01</t>
  </si>
  <si>
    <t>黑胡子技能圈（大）</t>
  </si>
  <si>
    <t>robin004/robin004_body_attack08</t>
  </si>
  <si>
    <t>新世界罗宾08</t>
  </si>
  <si>
    <t>nami007/nami006_body_attack06_1</t>
  </si>
  <si>
    <t>新世界奈美唐装06-1</t>
  </si>
  <si>
    <t>nami007/nami007_body_attack06</t>
  </si>
  <si>
    <t>新世界奈美唐装06-2</t>
  </si>
  <si>
    <t>hordy001/hordy001_attack01</t>
  </si>
  <si>
    <t>hordy001/hordy001_attack01_hit01</t>
  </si>
  <si>
    <t>hordy001/hordy001_attack01_pro</t>
  </si>
  <si>
    <t>hordy001/hordy001_attack01_R_Finger2</t>
  </si>
  <si>
    <t>hordy001/hordy001_attack02</t>
  </si>
  <si>
    <t>hordy001/hordy001_attack03</t>
  </si>
  <si>
    <t>hordy001/hordy001_attack03_pro</t>
  </si>
  <si>
    <t>hordy001/hordy001_attack03_R_Finger2</t>
  </si>
  <si>
    <t>hordy001/hordy001_attack04</t>
  </si>
  <si>
    <t>hordy001/hordy001_attack04_R_Finger2</t>
  </si>
  <si>
    <t>hordy001/hordy001_attack05</t>
  </si>
  <si>
    <t>hordy001/hordy001_attack06</t>
  </si>
  <si>
    <t>hordy001/hordy001_attack06_qi_Bone06</t>
  </si>
  <si>
    <t>hordy001/hordy001_attack07</t>
  </si>
  <si>
    <t>hordy001/hordy001_attack0204_Hit</t>
  </si>
  <si>
    <t>hordy001/hordy001_attack0304_R_Finger2</t>
  </si>
  <si>
    <t>hyouzou001_body/hyouzou001_body_attack01</t>
  </si>
  <si>
    <t>hyouzou001_body/hyouzou001_body_attack01_hit</t>
  </si>
  <si>
    <t>hyouzou001_body/hyouzou001_body_attack02</t>
  </si>
  <si>
    <t>hyouzou001_body/hyouzou001_body_attack02_hit</t>
  </si>
  <si>
    <t>hyouzou001_body/hyouzou001_body_attack03</t>
  </si>
  <si>
    <t>hyouzou001_body/hyouzou001_body_attack03_Bip001_Head</t>
  </si>
  <si>
    <t>hyouzou001_body/hyouzou001_body_attack04</t>
  </si>
  <si>
    <t>hyouzou001_body/hyouzou001_body_attack05</t>
  </si>
  <si>
    <t>hyouzou001_body/hyouzou001_body_attack05_Dummy001</t>
  </si>
  <si>
    <t>hyouzou001_body/hyouzou001_body_attack05_Dummy004</t>
  </si>
  <si>
    <t>hyouzou001_body/hyouzou001_body_attack05_Dummy005</t>
  </si>
  <si>
    <t>hyouzou001_body/hyouzou001_body_attack05_Dummy006</t>
  </si>
  <si>
    <t>hyouzou001_body/hyouzou001_body_attack05_Dummy007</t>
  </si>
  <si>
    <t>hyouzou001_body/hyouzou001_body_attack05_Dummy008</t>
  </si>
  <si>
    <t>hyouzou001_body/hyouzou001_body_attack05_Dummy009</t>
  </si>
  <si>
    <t>hyouzou001_body/hyouzou001_body_attack05_Dummy010</t>
  </si>
  <si>
    <t>hyouzou001_body/hyouzou001_body_attack05_hit</t>
  </si>
  <si>
    <t>decken002/decken002_attack01_pro</t>
  </si>
  <si>
    <t>decken002/decken002_attack02</t>
  </si>
  <si>
    <t>decken002/decken002_attack02_gro</t>
  </si>
  <si>
    <t>decken002/decken002_attack03_gro</t>
  </si>
  <si>
    <t>decken002/decken002_attack04</t>
  </si>
  <si>
    <t>decken002/decken002_attack05</t>
  </si>
  <si>
    <t>soldier006/soldier006_body_attack01</t>
  </si>
  <si>
    <t>soldier007/soldier007_body_attack01</t>
  </si>
  <si>
    <t>soldier007/soldier007_body_attack01_hit</t>
  </si>
  <si>
    <t>xinyuren001/xiyuren001_body_attack01</t>
  </si>
  <si>
    <t>xinyuren002/xiyuren002_body_attack01</t>
  </si>
  <si>
    <t>xinyuren002/xiyuren002_body_attack01_hit</t>
  </si>
  <si>
    <t>nami006/nami006_body_buff_dian</t>
  </si>
  <si>
    <t>nami006/nami006_body_buff_yun</t>
  </si>
  <si>
    <t>nami006/nami006_body_buff_dian1</t>
  </si>
  <si>
    <t>nami006/nami006_body_buff_dian2</t>
  </si>
  <si>
    <t>doflamingo/doflamingo_body_attack01_gro</t>
  </si>
  <si>
    <t>doflamingo/doflamingo_body_attack01_hit01</t>
  </si>
  <si>
    <t>doflamingo/doflamingo_body_attack01_hit02</t>
  </si>
  <si>
    <t>doflamingo/doflamingo_body_attack02</t>
  </si>
  <si>
    <t>doflamingo/doflamingo_body_attack02_buff</t>
  </si>
  <si>
    <t>doflamingo/doflamingo_body_attack02_buff_line</t>
  </si>
  <si>
    <t>doflamingo/doflamingo_body_attack02_hit</t>
  </si>
  <si>
    <t>doflamingo/doflamingo_body_attack03</t>
  </si>
  <si>
    <t>doflamingo/doflamingo_body_attack03_gro</t>
  </si>
  <si>
    <t>doflamingo/doflamingo_body_attack04</t>
  </si>
  <si>
    <t>doflamingo/doflamingo_body_attack04_gro</t>
  </si>
  <si>
    <t>doflamingo/doflamingo_body_attack05_buff</t>
  </si>
  <si>
    <t>doflamingo/doflamingo_body_attack05_buff_line</t>
  </si>
  <si>
    <t>doflamingo/doflamingo_body_attack06</t>
  </si>
  <si>
    <t>doflamingo/doflamingo_body_attack07</t>
  </si>
  <si>
    <t>doflamingo/doflamingo_body_attack07_hit</t>
  </si>
  <si>
    <t>doflamingo/doflamingo_body_attack08</t>
  </si>
  <si>
    <t>doflamingo/doflamingo_body_attack09</t>
  </si>
  <si>
    <t>doflamingo/doflamingo_body_attack09_hit</t>
  </si>
  <si>
    <t>doflamingo/doflamingo_body_attack10</t>
  </si>
  <si>
    <t>doflamingo/doflamingo_body_attack11</t>
  </si>
  <si>
    <t>doflamingo/doflamingo_body_attack11_dimian</t>
  </si>
  <si>
    <t>doflamingo/doflamingo_body_attack11_R_Finger2</t>
  </si>
  <si>
    <t>doflamingo/doflamingo_body_attack06_Bip001LFinger31</t>
  </si>
  <si>
    <t>doflamingo/doflamingo_body_attack06_Bip001RFinger31</t>
  </si>
  <si>
    <t>doflamingo/doflamingo_body_mood05</t>
  </si>
  <si>
    <t>doflamingo/doflamingo_body_stand</t>
  </si>
  <si>
    <t>doflamingo/doflamingo_body_attack01</t>
  </si>
  <si>
    <t>doflamingo/doflamingo_body_stand_xian</t>
  </si>
  <si>
    <t>doflamingo/doflamingo_body_attack10_zhu</t>
  </si>
  <si>
    <t>doflamingo/doflamingo_body_attack09_dimian</t>
  </si>
  <si>
    <t>doflamingo/doflamingo_body_attack09_yan</t>
  </si>
  <si>
    <t>doflamingo/doflamingo_body_attack09_yan1</t>
  </si>
  <si>
    <t>robin004/robin004_body_Atk06_Bip001RLFinger2</t>
  </si>
  <si>
    <t>robin004/robin004_body_Atk06_H_Bip001Spine</t>
  </si>
  <si>
    <t>robin004/robin004_body_Atk06_Hit</t>
  </si>
  <si>
    <t>robin004/robin004_body_attack01</t>
  </si>
  <si>
    <t>robin004/robin004_body_attack01_gro</t>
  </si>
  <si>
    <t>robin004/robin004_body_attack01_hit</t>
  </si>
  <si>
    <t>robin004/robin004_body_attack01_hit02</t>
  </si>
  <si>
    <t>robin004/robin004_body_attack02</t>
  </si>
  <si>
    <t>robin004/robin004_body_attack02_gro</t>
  </si>
  <si>
    <t>robin004/robin004_body_attack03</t>
  </si>
  <si>
    <t>robin004/robin004_body_attack03_hit</t>
  </si>
  <si>
    <t>robin004/robin004_body_attack04</t>
  </si>
  <si>
    <t>robin004/robin004_body_attack04_gro</t>
  </si>
  <si>
    <t>robin004/robin004_body_attack05</t>
  </si>
  <si>
    <t>robin004/robin004_body_attack05_gro</t>
  </si>
  <si>
    <t>robin004/robin004_body_attack05_hit</t>
  </si>
  <si>
    <t>robin004/robin004_body_attack06</t>
  </si>
  <si>
    <t>robin004/robin004_body_attack07</t>
  </si>
  <si>
    <t>robin004/robin004_body_attack07_Bip001RLFinger2</t>
  </si>
  <si>
    <t>decken002/decken002_attack01</t>
  </si>
  <si>
    <t>doflamingo/doflamingo_body_run02</t>
  </si>
  <si>
    <t>doflamingo/doflamingo_body_BUFF01</t>
  </si>
  <si>
    <t>doflamingo/doflamingo_body_BUFF02</t>
  </si>
  <si>
    <t>doflamingo/doflamingo_body_BUFF03</t>
  </si>
  <si>
    <t>doflamingo/doflamingo_body_attack08_canliu</t>
  </si>
  <si>
    <t>robin004/robin004_body_BX</t>
  </si>
  <si>
    <t>robin004/robin004_body_BXnew</t>
  </si>
  <si>
    <t>robin004/robin004_body_BXnew_chibang01</t>
  </si>
  <si>
    <t>robin004/robin004_body_BXnew_chibang02</t>
  </si>
  <si>
    <t>robin004/robin004_body_BXnew_root</t>
  </si>
  <si>
    <t>robin004/robin004_body_attack_canliu</t>
  </si>
  <si>
    <t>daruma001_body/daruma001_body_attack01</t>
  </si>
  <si>
    <t>daruma001_body/daruma001_body_attack02</t>
  </si>
  <si>
    <t>daruma001_body/daruma001_body_attack02_Bip001</t>
  </si>
  <si>
    <t>daruma001_body/daruma001_body_attack03</t>
  </si>
  <si>
    <t>daruma001_body/daruma001_body_attack04</t>
  </si>
  <si>
    <t>hyeongje001_body/hyeongje001_body_attack01</t>
  </si>
  <si>
    <t>hyeongje001_body/hyeongje001_body_attack02</t>
  </si>
  <si>
    <t>hyeongje001_body/hyeongje001_body_attack03</t>
  </si>
  <si>
    <t>hyeongje001_body/hyeongje001_body_attack04</t>
  </si>
  <si>
    <t>icarus001_body/icarus001_body_attack01</t>
  </si>
  <si>
    <t>icarus001_body/icarus001_body_attack02</t>
  </si>
  <si>
    <t>icarus001_body/icarus001_body_attack03</t>
  </si>
  <si>
    <t>icarus001_body/icarus001_body_attack04</t>
  </si>
  <si>
    <t>zeao001_body/zeao001_body_attack01</t>
  </si>
  <si>
    <t>zeao001_body/zeao001_body_attack02</t>
  </si>
  <si>
    <t>zeao001_body/zeao001_body_attack03</t>
  </si>
  <si>
    <t>zeao001_body/zeao001_body_attack03_hit</t>
  </si>
  <si>
    <t>zeao001_body/zeao001_body_attack04</t>
  </si>
  <si>
    <t>zeao001_body/zeao001_body_attack05</t>
  </si>
  <si>
    <t>robin004/robin004_body_hunyi1</t>
  </si>
  <si>
    <t>罗宾前跳</t>
  </si>
  <si>
    <t>robin004/robin004_body_shunyi2</t>
  </si>
  <si>
    <t>罗宾后跳</t>
  </si>
  <si>
    <t>robin004/robin004_body_buff1</t>
  </si>
  <si>
    <t>罗宾自身花环buff</t>
  </si>
  <si>
    <t>robin004/robin004_body_buff2</t>
  </si>
  <si>
    <t>罗宾给敌方花之印buff</t>
  </si>
  <si>
    <t>robin004/robin005_body_attack08</t>
  </si>
  <si>
    <t>新世界罗宾唐装08</t>
  </si>
  <si>
    <t>03_ani/juqing_longgong/071_haidisenlinrun_001_pingmu</t>
  </si>
  <si>
    <t>霍迪屏幕</t>
  </si>
  <si>
    <t>03_ani/juqing_longgong/071_haidisenlinrun_001_zhezhao</t>
  </si>
  <si>
    <t>暗黑遮罩</t>
  </si>
  <si>
    <t>03_ani/juqing_longgong/mermaid004_body_yaoquan_Bip001Spine1</t>
  </si>
  <si>
    <t>腰圈</t>
  </si>
  <si>
    <t>03_ani/juqing_longgong/shirahoshi001_body_yanlei_Bip001Head</t>
  </si>
  <si>
    <t>白星眼泪</t>
  </si>
  <si>
    <t>03_ani/juqing_longgong/xiali001_body_yandou_Dummy001</t>
  </si>
  <si>
    <t>夏莉夫人烟斗</t>
  </si>
  <si>
    <t>03_ani/juqing_longgong/xiali001_body_zuo_Bip001Spine</t>
  </si>
  <si>
    <t>坐姿气泡</t>
  </si>
  <si>
    <t>03_ani/juqing_longgong/xinyuren001_body_hongyan</t>
  </si>
  <si>
    <t>鱼人1红眼</t>
  </si>
  <si>
    <t>03_ani/juqing_longgong/xinyuren002_body_hongyan</t>
  </si>
  <si>
    <t>鱼人2红眼</t>
  </si>
  <si>
    <t>03_ani/juqing_longgong/xiali001_body_zuo_Bip001Spine_s</t>
  </si>
  <si>
    <t>坐姿气泡(xiao)</t>
  </si>
  <si>
    <t>luffy010_body/luffy010_body_attack01</t>
  </si>
  <si>
    <t>luffy010_body/luffy010_body_attack01_hit01</t>
  </si>
  <si>
    <t>luffy010_body/luffy010_body_attack01_hit02</t>
  </si>
  <si>
    <t>luffy010_body/luffy010_body_attack02</t>
  </si>
  <si>
    <t>luffy010_body/luffy010_body_attack02_Bone063</t>
  </si>
  <si>
    <t>luffy010_body/luffy010_body_attack02_Bullet</t>
  </si>
  <si>
    <t>luffy010_body/luffy010_body_attack02_Bullet_02</t>
  </si>
  <si>
    <t>luffy010_body/luffy010_body_attack02_hit</t>
  </si>
  <si>
    <t>luffy010_body/luffy010_body_attack02_HitGround</t>
  </si>
  <si>
    <t>luffy010_body/luffy010_body_attack03</t>
  </si>
  <si>
    <t>luffy010_body/luffy010_body_attack03_point012</t>
  </si>
  <si>
    <t>luffy010_body/luffy010_body_attack03_point013</t>
  </si>
  <si>
    <t>luffy010_body/luffy010_body_attack03_point014</t>
  </si>
  <si>
    <t>luffy010_body/luffy010_body_attack03_point015</t>
  </si>
  <si>
    <t>luffy010_body/luffy010_body_attack03_point016</t>
  </si>
  <si>
    <t>luffy010_body/luffy010_body_attack03_point017</t>
  </si>
  <si>
    <t>luffy010_body/luffy010_body_attack04</t>
  </si>
  <si>
    <t>luffy010_body/luffy010_body_attack04_hit</t>
  </si>
  <si>
    <t>luffy010_body/luffy012_body_attack05</t>
  </si>
  <si>
    <t>luffy010_body/luffy010_body_attack06</t>
  </si>
  <si>
    <t>luffy010_body/luffy012_body_attack07</t>
  </si>
  <si>
    <t>luffy010_body/luffy012_body_attack07_hit</t>
  </si>
  <si>
    <t>luffy010_body/luffy012_body_Attack08</t>
  </si>
  <si>
    <t>luffy010_body/luffy012_body_attack08_Bip001RLHand</t>
  </si>
  <si>
    <t>luffy010_body/luffy012_body_Attack08_Hit</t>
  </si>
  <si>
    <t>luffy010_body/luffy010_body_mood06</t>
  </si>
  <si>
    <t>luffy010_body/luffy010_body_run02_chuxian</t>
  </si>
  <si>
    <t>luffy010_body/luffy010_body_run02_xiaoshi</t>
  </si>
  <si>
    <t>luffy010_body/luffy010_body_stand</t>
  </si>
  <si>
    <t>luffy010_body/luffy010_body_stand_Bip001LHand</t>
  </si>
  <si>
    <t>luffy010_body/luffy010_body_stand_Bip001LThigh</t>
  </si>
  <si>
    <t>luffy010_body/luffy010_body_stand_Bip001RCalf</t>
  </si>
  <si>
    <t>luffy010_body/luffy010_body_stand_Bip001RHand</t>
  </si>
  <si>
    <t>luffy010_body/luffy010_body_stand_Bip001RThigh</t>
  </si>
  <si>
    <t>luffy010_body/luffy010_body_stand_Bone006</t>
  </si>
  <si>
    <t>luffy010_body/luffy010_body_stand_Bone057</t>
  </si>
  <si>
    <t>luffy010_body/luffy010_body_stand_Dummy001</t>
  </si>
  <si>
    <t>luffy010_body/luffy012_body_attack09</t>
  </si>
  <si>
    <t>luffy010_body/luffy012_body_attack09_Dummy001</t>
  </si>
  <si>
    <t>hyouzou001_body/hyouzou001_body_attack03_chixuxueqi</t>
  </si>
  <si>
    <t>豹藏持续</t>
  </si>
  <si>
    <t>hyouzou001_body/hyouzou001_body_buff_duyediluo</t>
  </si>
  <si>
    <t>豹藏毒液</t>
  </si>
  <si>
    <t>hordy001/hordy001_BUFF_hudun</t>
  </si>
  <si>
    <t>水盾</t>
  </si>
  <si>
    <t>hordy001/hordy001_BUFF_shuilao</t>
  </si>
  <si>
    <t>水牢</t>
  </si>
  <si>
    <t>hordy001/hordy001_BUFF_shuilaobao</t>
  </si>
  <si>
    <t>水牢下buff爆炸</t>
  </si>
  <si>
    <t>decken002/decken002_attack01_BUFF_daozi</t>
  </si>
  <si>
    <t>带肯刀子</t>
  </si>
  <si>
    <t>升级特效,以后用经验回退特效代替</t>
  </si>
  <si>
    <t>luffy010_body/luffy010_body_attack03_hit</t>
  </si>
  <si>
    <t>luffy010_body/luffy010_body_run02</t>
  </si>
  <si>
    <t>路飞新run02特效</t>
  </si>
  <si>
    <t>luffy010_body/luffy10_body_buff_xuruo</t>
  </si>
  <si>
    <t>路飞虚弱buff</t>
  </si>
  <si>
    <t>tashigi002_body/tashigi002_body_attack_hit</t>
  </si>
  <si>
    <t>tashigi002_body/tashigi002_body_attack01</t>
  </si>
  <si>
    <t>tashigi002_body/tashigi002_body_attack01_hit</t>
  </si>
  <si>
    <t>tashigi002_body/tashigi002_body_attack01_hit_2</t>
  </si>
  <si>
    <t>tashigi002_body/tashigi002_body_attack02</t>
  </si>
  <si>
    <t>tashigi002_body/tashigi002_body_attack02_hit</t>
  </si>
  <si>
    <t>tashigi002_body/tashigi002_body_attack03</t>
  </si>
  <si>
    <t>tashigi002_body/tashigi002_body_attack03_hit_01</t>
  </si>
  <si>
    <t>tashigi002_body/tashigi002_body_attack03_hit_02</t>
  </si>
  <si>
    <t>tashigi002_body/tashigi002_body_attack04</t>
  </si>
  <si>
    <t>tashigi002_body/tashigi002_body_attack04_1</t>
  </si>
  <si>
    <t>tashigi002_body/tashigi002_body_attack05</t>
  </si>
  <si>
    <t>tashigi002_body/tashigi002_body_attack05_Dummy001</t>
  </si>
  <si>
    <t>tashigi002_body/tashigi002_body_attack05_hit</t>
  </si>
  <si>
    <t>tashigi002_body/tashigi002_body_attack06</t>
  </si>
  <si>
    <t>tashigi002_body/tashigi002_body_attack06_Bone25</t>
  </si>
  <si>
    <t>tashigi002_body/tashigi002_body_attack07</t>
  </si>
  <si>
    <t>tashigi002_body/tashigi002_body_attack07_Bip001Head</t>
  </si>
  <si>
    <t>tashigi002_body/tashigi002_body_attack07_Bip001Spine</t>
  </si>
  <si>
    <t>tashigi002_body/tashigi002_body_attack07_Dummy001</t>
  </si>
  <si>
    <t>tashigi002_body/tashigi002_body_attack08</t>
  </si>
  <si>
    <t>tashigi002_body/tashigi002_body_attack08_Bip001Spine</t>
  </si>
  <si>
    <t>tashigi002_body/tashigi002_body_attack08_Bone25</t>
  </si>
  <si>
    <t>smoker002/smoker002_attack01</t>
  </si>
  <si>
    <t>斯摩格特效</t>
  </si>
  <si>
    <t>smoker002/smoker002_attack01_hit01</t>
  </si>
  <si>
    <t>smoker002/smoker002_attack01_hit02</t>
  </si>
  <si>
    <t>smoker002/smoker002_attack02</t>
  </si>
  <si>
    <t>smoker002/smoker002_attack02_hit01</t>
  </si>
  <si>
    <t>smoker002/smoker002_attack03</t>
  </si>
  <si>
    <t>smoker002/smoker002_attack03_hit01</t>
  </si>
  <si>
    <t>smoker002/smoker002_attack03_hit02</t>
  </si>
  <si>
    <t>smoker002/smoker002_attack04</t>
  </si>
  <si>
    <t>smoker002/smoker002_attack04_hit01</t>
  </si>
  <si>
    <t>smoker002/smoker002_attack05</t>
  </si>
  <si>
    <t>smoker002/smoker002_attack05_hit01</t>
  </si>
  <si>
    <t>smoker002/smoker002_attack06</t>
  </si>
  <si>
    <t>smoker002/smoker002_attack07</t>
  </si>
  <si>
    <t>smoker002/smoker002_attack08</t>
  </si>
  <si>
    <t>smoker002/smoker002_stand</t>
  </si>
  <si>
    <t>斯摩格8星</t>
  </si>
  <si>
    <t>tashigi002_body/tashigi002_body_BX</t>
  </si>
  <si>
    <t>塔西米8星</t>
  </si>
  <si>
    <t>smoker002/smoker002_run02</t>
  </si>
  <si>
    <t>smoker002/smoker002_attack05_Bip001LForearm</t>
  </si>
  <si>
    <t>smoker002/smoker002_attack05_Bip001RForearm</t>
  </si>
  <si>
    <t>smoker002/smoker002_attack05_Bip001LHand</t>
  </si>
  <si>
    <t>smoker002/smoker002_attack05_Bip001RHand</t>
  </si>
  <si>
    <t>smoker002/smoker002_attack07_canliu</t>
  </si>
  <si>
    <t>03_ani/juqing_binghuodao/luffy010_paopao_Bip001</t>
  </si>
  <si>
    <t>路飞全身气泡</t>
  </si>
  <si>
    <t>sanji003/sanji003_body_attack01</t>
  </si>
  <si>
    <t>sanji003/sanji003_body_attack01_hit01</t>
  </si>
  <si>
    <t>sanji003/sanji003_body_attack01_hit02</t>
  </si>
  <si>
    <t>sanji003/sanji003_body_attack02</t>
  </si>
  <si>
    <t>sanji003/sanji003_body_attack02_Bip001RToe0Nub</t>
  </si>
  <si>
    <t>sanji003/sanji003_body_attack02_hit</t>
  </si>
  <si>
    <t>sanji003/sanji003_body_attack04</t>
  </si>
  <si>
    <t>sanji003/sanji003_body_attack04_hit</t>
  </si>
  <si>
    <t>sanji003/sanji003_body_attack05</t>
  </si>
  <si>
    <t>sanji003/sanji003_body_attack05_Bip001RFoot</t>
  </si>
  <si>
    <t>sanji003/sanji003_body_attack05_hit</t>
  </si>
  <si>
    <t>sanji003/sanji003_body_attack06</t>
  </si>
  <si>
    <t>sanji003/sanji003_body_attack06_Bip001RToe0Nub</t>
  </si>
  <si>
    <t>sanji003/sanji003_body_attack06_texiao</t>
  </si>
  <si>
    <t>sanji003/sanji003_body_attack07</t>
  </si>
  <si>
    <t>sanji003/sanji003_body_attack08</t>
  </si>
  <si>
    <t>sanji003/sanji003_body_attack08_cut-in</t>
  </si>
  <si>
    <t>有红色背景的ci</t>
  </si>
  <si>
    <t>sanji003/sanji003_body_attack03</t>
  </si>
  <si>
    <t>sanji003/sanji003_body_stand</t>
  </si>
  <si>
    <t>山治8</t>
  </si>
  <si>
    <t>sanji003/sanji003_body_mood06</t>
  </si>
  <si>
    <t>山治mood06</t>
  </si>
  <si>
    <t>sanji003/sanji003_body_attack08_cut-in1</t>
  </si>
  <si>
    <t>没背景的ci</t>
  </si>
  <si>
    <t>smoker002/smoker002_BUFF1_1</t>
  </si>
  <si>
    <t>smoker002/smoker002_BUFF1_2</t>
  </si>
  <si>
    <t>smoker002/smoker002_BUFF1_3</t>
  </si>
  <si>
    <t>smoker002/smoker002_BUFF2</t>
  </si>
  <si>
    <t>tashigi002_body/tashigi002_body_Buff01</t>
  </si>
  <si>
    <t>塔西米循环buff</t>
  </si>
  <si>
    <t>tashigi002_body/tashigi002_body_Buff02</t>
  </si>
  <si>
    <t>塔西米弹反</t>
  </si>
  <si>
    <t>山治03</t>
  </si>
  <si>
    <t>sanji003/sanji003_body_mood01_Bip001Head</t>
  </si>
  <si>
    <t>山治01桃心</t>
  </si>
  <si>
    <t>sanji003/sanji003_body_mood06_Bip001LToe0_tuihuozuo</t>
  </si>
  <si>
    <t>sanji003/sanji003_body_mood06_Bip001RToe0_tuihuozuo</t>
  </si>
  <si>
    <t>sanji003/sanji003_body_attack07_tui_Bip001_L_Toe0</t>
  </si>
  <si>
    <t>sanji003/sanji003_body_attack07_tui_Bip001_R_Toe0</t>
  </si>
  <si>
    <t>sanji003/sanji003_body_attack04_hit02</t>
  </si>
  <si>
    <t>山治04带光圈爆点</t>
  </si>
  <si>
    <t>sanji003/sanji003_body_attack08_canliu</t>
  </si>
  <si>
    <t>山治残留</t>
  </si>
  <si>
    <t>sanji003/sanji003_body_attack08_cut-in2</t>
  </si>
  <si>
    <t>山治唐装1</t>
  </si>
  <si>
    <t>sanji003/sanji003_body_attack08_cut-in3</t>
  </si>
  <si>
    <t>山治唐装2</t>
  </si>
  <si>
    <t>chopper005/chopper_attack01</t>
  </si>
  <si>
    <t>乔巴01主动</t>
  </si>
  <si>
    <t>chopper005/chopper_attack01_buff</t>
  </si>
  <si>
    <t>这个被删了不要用</t>
  </si>
  <si>
    <t>chopper005/chopper_attack01_dimian_buff</t>
  </si>
  <si>
    <t>阵营绿药剂</t>
  </si>
  <si>
    <t>chopper005/chopper_attack01_geren_buff</t>
  </si>
  <si>
    <t>chopper005/chopper_attack01_hit</t>
  </si>
  <si>
    <t>chopper005/chopper_attack02</t>
  </si>
  <si>
    <t>chopper005/chopper_attack02_hit</t>
  </si>
  <si>
    <t>chopper005/chopper_attack04</t>
  </si>
  <si>
    <t>chopper005/chopper_attack04_Bip001RFinger1</t>
  </si>
  <si>
    <t>chopper005/chopper_attack05</t>
  </si>
  <si>
    <t>chopper005/chopper_attack05_Buff</t>
  </si>
  <si>
    <t>持续粉雪特效</t>
  </si>
  <si>
    <t>chopper005/chopper_attack05_H_root</t>
  </si>
  <si>
    <t>chopper005/chopper_attack08</t>
  </si>
  <si>
    <t>chopper005/chopper_attack09</t>
  </si>
  <si>
    <t>chopper005/chopper_mood06</t>
  </si>
  <si>
    <t>chopper005/chopper_stand</t>
  </si>
  <si>
    <t>chopper005/chopper_WB_attack03</t>
  </si>
  <si>
    <t>chopper005/chopper_WB_attack03_gro</t>
  </si>
  <si>
    <t>chopper005/chopper_WB_attack06</t>
  </si>
  <si>
    <t>chopper005/chopper_WB_attack06_hit1</t>
  </si>
  <si>
    <t>chopper005/chopper_WB_attack06_hit2</t>
  </si>
  <si>
    <t>chopper005/chopper_WB_attack07</t>
  </si>
  <si>
    <t>chopper005/chopper_WB_attack07_hit</t>
  </si>
  <si>
    <t>zeao001_body/zeao_BUFF_baonu</t>
  </si>
  <si>
    <t>泽奥：激怒buff</t>
  </si>
  <si>
    <t>sanji003/sanji003_body_buff</t>
  </si>
  <si>
    <t>山治buff01</t>
  </si>
  <si>
    <t>chopper005/chopper_attack01_qiu</t>
  </si>
  <si>
    <t>乔巴attack01手里瓶子</t>
  </si>
  <si>
    <t>chopper005/chopper_attack09_xing_Bip001</t>
  </si>
  <si>
    <t>chopper005/chopper_WB_attack03_Bip001</t>
  </si>
  <si>
    <t>乔巴03身上挂</t>
  </si>
  <si>
    <t>chopper005/chopper_attack09_yao_R_Hand</t>
  </si>
  <si>
    <t>chopper005/chopper_attack05_Buff01</t>
  </si>
  <si>
    <t>3秒的粉雪特效</t>
  </si>
  <si>
    <t>chopper005/chopper_attack04_qiu_qingzi</t>
  </si>
  <si>
    <t>乔巴手上瓶子</t>
  </si>
  <si>
    <t>chopper005/chopper_attack04_Bip001RFinger1_wan</t>
  </si>
  <si>
    <t>乔巴碗</t>
  </si>
  <si>
    <t>chopper005/chopper_attack05_Hit</t>
  </si>
  <si>
    <t>乔巴05最后一下</t>
  </si>
  <si>
    <t>franky002/franky002_Mood05</t>
  </si>
  <si>
    <t>franky002/franky002_Stand</t>
  </si>
  <si>
    <t>trafalgarlaw002_body/trafalgarlaw002_body_attack01</t>
  </si>
  <si>
    <t>trafalgarlaw002_body/trafalgarlaw002_body_attack01_hit</t>
  </si>
  <si>
    <t>trafalgarlaw002_body/trafalgarlaw002_body_attack02</t>
  </si>
  <si>
    <t>trafalgarlaw002_body/trafalgarlaw002_body_attack02_hit</t>
  </si>
  <si>
    <t>trafalgarlaw002_body/trafalgarlaw002_body_attack02_hit1</t>
  </si>
  <si>
    <t>trafalgarlaw002_body/trafalgarlaw002_body_attack03</t>
  </si>
  <si>
    <t>trafalgarlaw002_body/trafalgarlaw002_body_attack03_go</t>
  </si>
  <si>
    <t>trafalgarlaw002_body/trafalgarlaw002_body_attack03_hit</t>
  </si>
  <si>
    <t>trafalgarlaw002_body/trafalgarlaw002_body_attack03_room</t>
  </si>
  <si>
    <t>trafalgarlaw002_body/trafalgarlaw002_body_attack04</t>
  </si>
  <si>
    <t>trafalgarlaw002_body/trafalgarlaw002_body_attack04_ht1</t>
  </si>
  <si>
    <t>trafalgarlaw002_body/trafalgarlaw002_body_attack04_ht2</t>
  </si>
  <si>
    <t>trafalgarlaw002_body/trafalgarlaw002_body_attack05</t>
  </si>
  <si>
    <t>trafalgarlaw002_body/trafalgarlaw002_body_attack06</t>
  </si>
  <si>
    <t>trafalgarlaw002_body/trafalgarlaw002_body_attack06_Bip001</t>
  </si>
  <si>
    <t>trafalgarlaw002_body/trafalgarlaw002_body_attack07</t>
  </si>
  <si>
    <t>trafalgarlaw002_body/trafalgarlaw002_body_attack07_Bip001RHand</t>
  </si>
  <si>
    <t>trafalgarlaw002_body/trafalgarlaw002_body_attack07_daobing</t>
  </si>
  <si>
    <t>trafalgarlaw002_body/trafalgarlaw002_body_attack08</t>
  </si>
  <si>
    <t>trafalgarlaw002_body/trafalgarlaw002_body_attack08_Bip001LHand</t>
  </si>
  <si>
    <t>trafalgarlaw002_body/trafalgarlaw002_body_attack08_Bip001RHand</t>
  </si>
  <si>
    <t>trafalgarlaw002_body/trafalgarlaw002_body_attack08_Bone018</t>
  </si>
  <si>
    <t>franky002/franky_attack10_deng</t>
  </si>
  <si>
    <t>franky002/franky002_body_attack10</t>
  </si>
  <si>
    <t>franky002/franky002_body_attack07</t>
  </si>
  <si>
    <t>trafalgarlaw002_body/trafalgarlaw002_body_BX</t>
  </si>
  <si>
    <t>trafalgarlaw002_body/trafalgarlaw002_body_mood06</t>
  </si>
  <si>
    <t>trafalgarlaw002_body/trafalgarlaw002_body_mood06_Bip001RFinger21</t>
  </si>
  <si>
    <t>franky002/franky002_Mood03</t>
  </si>
  <si>
    <t>franky002/franky002_body_motor_chuxian</t>
  </si>
  <si>
    <t>franky002/franky002_body_motor_run</t>
  </si>
  <si>
    <t>franky002/franky002_body_motor_stand</t>
  </si>
  <si>
    <t>franky002/franky002_body_attack01</t>
  </si>
  <si>
    <t>franky002/franky002_body_attack01_hit01</t>
  </si>
  <si>
    <t>franky002/franky002_body_attack01_hit02</t>
  </si>
  <si>
    <t>franky002/franky002_body_attack01_hit03</t>
  </si>
  <si>
    <t>franky002/franky002_body_attack02</t>
  </si>
  <si>
    <t>franky002/franky002_body_attack04</t>
  </si>
  <si>
    <t>franky002/franky002_body_attack06</t>
  </si>
  <si>
    <t>franky002/franky002_body_attack06_Point039</t>
  </si>
  <si>
    <t>franky002/franky002_body_attack06_Point045</t>
  </si>
  <si>
    <t>franky002/franky002_body_attack08</t>
  </si>
  <si>
    <t>franky002/franky002_body_attack09</t>
  </si>
  <si>
    <t>franky002/franky002_body_attack09_hit01</t>
  </si>
  <si>
    <t>franky002/franky002_body_attack09_hit02</t>
  </si>
  <si>
    <t>chopper005/chopper_buff_pingzi1</t>
  </si>
  <si>
    <t>一个瓶子</t>
  </si>
  <si>
    <t>chopper005/chopper_buff_pingzi2</t>
  </si>
  <si>
    <t>两个瓶子</t>
  </si>
  <si>
    <t>chopper005/chopper_buff_pingzi3</t>
  </si>
  <si>
    <t>三个瓶子</t>
  </si>
  <si>
    <t>chopper005/chopper_BUFF02_danti</t>
  </si>
  <si>
    <t>粉色buff</t>
  </si>
  <si>
    <t>chopper005/chopper_BUFF02_guaiwu</t>
  </si>
  <si>
    <t>黄色buff</t>
  </si>
  <si>
    <t>trafalgarlaw002_body/trafalgarlaw002_body_attack031</t>
  </si>
  <si>
    <t>03大刀光</t>
  </si>
  <si>
    <t>trafalgarlaw002_body/trafalgarlaw002_body_attack02_dao_xuanzhuan</t>
  </si>
  <si>
    <t>02刀上圈</t>
  </si>
  <si>
    <t>trafalgarlaw002_body/trafalgarlaw002_body_attack02_hit2</t>
  </si>
  <si>
    <t>单次的爆点方向1</t>
  </si>
  <si>
    <t>trafalgarlaw002_body/trafalgarlaw002_body_attack06_shouji</t>
  </si>
  <si>
    <t>06受击</t>
  </si>
  <si>
    <t>trafalgarlaw002_body/trafalgarlaw002_body_attack02_hit3</t>
  </si>
  <si>
    <t>单次的爆点方向2</t>
  </si>
  <si>
    <t>trafalgarlaw002_body/trafalgarlaw002_body_attack02_hit4</t>
  </si>
  <si>
    <t>单次的爆点方向3</t>
  </si>
  <si>
    <t>nami011/nami011_body_attack06</t>
  </si>
  <si>
    <t>奈美011新时装：突风剑特效1</t>
  </si>
  <si>
    <t>nami011/nami011_body_attack06_1</t>
  </si>
  <si>
    <t>奈美011新时装：突风剑特效2</t>
  </si>
  <si>
    <t>BH_BOSS_chahuzi/chahuzi_attack01</t>
  </si>
  <si>
    <t>茶胡子攻击1</t>
  </si>
  <si>
    <t>BH_BOSS_chahuzi/chahuzi_attack02</t>
  </si>
  <si>
    <t>茶胡子攻击2</t>
  </si>
  <si>
    <t>BH_BOSS_chahuzi/chahuzi_attack03</t>
  </si>
  <si>
    <t>茶胡子攻击3</t>
  </si>
  <si>
    <t>shuangzufeilong/shuangzufeilong_attack01</t>
  </si>
  <si>
    <t>双足飞龙攻击1</t>
  </si>
  <si>
    <t>shuangzufeilong/shuangzufeilong_attack01_Bip001HeadNub</t>
  </si>
  <si>
    <t>shuangzufeilong/shuangzufeilong_attack01_Hit</t>
  </si>
  <si>
    <t>shuangzufeilong/shuangzufeilong_attack02</t>
  </si>
  <si>
    <t>双足飞龙攻击2</t>
  </si>
  <si>
    <t>shuangzufeilong/shuangzufeilong_attack02_Bip001HeadNub</t>
  </si>
  <si>
    <t>shuangzufeilong/shuangzufeilong_attack02_Hit</t>
  </si>
  <si>
    <t>shuangzufeilong/shuangzufeilong_attack03</t>
  </si>
  <si>
    <t>双足飞龙攻击3</t>
  </si>
  <si>
    <t>shuangzufeilong/shuangzufeilong_attack03_Bip001HeadNub</t>
  </si>
  <si>
    <t>huolong001/huolong001_attack01</t>
  </si>
  <si>
    <t>火龙攻击1</t>
  </si>
  <si>
    <t>huolong001/huolong001_attack01_Bip001HeadNub</t>
  </si>
  <si>
    <t>huolong001/huolong001_attack01_Hit</t>
  </si>
  <si>
    <t>huolong001/huolong001_attack02</t>
  </si>
  <si>
    <t>火龙攻击2</t>
  </si>
  <si>
    <t>huolong001/huolong001_attack02_Bip001HeadNub</t>
  </si>
  <si>
    <t>huolong001/huolong001_attack03</t>
  </si>
  <si>
    <t>火龙攻击3</t>
  </si>
  <si>
    <t>huolong001/huolong001_attack03_Bip001HeadNub</t>
  </si>
  <si>
    <t>phtroops001_body/phtroops001_attack01</t>
  </si>
  <si>
    <t>ph部队持刀攻击1</t>
  </si>
  <si>
    <t>phtroops002_body/phtroops002_attack02</t>
  </si>
  <si>
    <t>ph部队持枪攻击2</t>
  </si>
  <si>
    <t>phtroops002_body/phtroops002_attack02_hit</t>
  </si>
  <si>
    <t>g5navy001_body/g5navy001_attack01</t>
  </si>
  <si>
    <t>G5海军持刀攻击1</t>
  </si>
  <si>
    <t>g5navy002_body/g5navy002_attack02</t>
  </si>
  <si>
    <t>G5海军持枪攻击2</t>
  </si>
  <si>
    <t>g5navy002_body/g5navy002_attack02_hit</t>
  </si>
  <si>
    <t>baoxingrenma001_body/baoxingrenma001_attack01</t>
  </si>
  <si>
    <t>豹型人马攻击1</t>
  </si>
  <si>
    <t>cjlbanrenma001_body/cjlbanrenma001_attack01</t>
  </si>
  <si>
    <t>长颈鹿人马攻击1</t>
  </si>
  <si>
    <t>cjlbanrenma001_body/cjlbanrenma001_attack01_gro</t>
  </si>
  <si>
    <t>xueshanxiongdi001_body/xueshanxiongdi001_body_attack01</t>
  </si>
  <si>
    <t>雪山兄弟攻击1</t>
  </si>
  <si>
    <t>xueshanxiongdi001_body/xueshanxiongdi001_body_attack01_hit</t>
  </si>
  <si>
    <t>xueshanxiongdi001_body/xueshanxiongdi001_body_attack02</t>
  </si>
  <si>
    <t>雪山兄弟攻击2</t>
  </si>
  <si>
    <t>xueshanxiongdi001_body/xueshanxiongdi001_body_attack03</t>
  </si>
  <si>
    <t>雪山兄弟攻击3</t>
  </si>
  <si>
    <t>xueshanxiongdi001_body/xueshanxiongdi001_body_attack04</t>
  </si>
  <si>
    <t>雪山兄弟攻击4</t>
  </si>
  <si>
    <t>xueshanxiongdi001_body/xueshanxiongdi001_body_attack05</t>
  </si>
  <si>
    <t>雪山兄弟攻击5</t>
  </si>
  <si>
    <t>xueshanxiongdi001_body/xueshanxiongdi001_body_attack05_hit_dian</t>
  </si>
  <si>
    <t>xueshanxiongdi001_body/xueshanxiongdi001_body_attack05_hit_qun</t>
  </si>
  <si>
    <t>trafalgarlaw002_body/trafalgarlaw002_body_BUFF01</t>
  </si>
  <si>
    <t>新世界罗buff：瞬移</t>
  </si>
  <si>
    <t>trafalgarlaw002_body/trafalgarlaw002_body_BUFF02</t>
  </si>
  <si>
    <t>新世界罗buff：开局room</t>
  </si>
  <si>
    <t>trafalgarlaw002_body/trafalgarlaw002_body_BUFF03</t>
  </si>
  <si>
    <t>新世界罗buff：心脏</t>
  </si>
  <si>
    <t>trafalgarlaw002_body/trafalgarlaw002_body_BUFF04</t>
  </si>
  <si>
    <t>新世界罗buff：脚下环</t>
  </si>
  <si>
    <t>trafalgarlaw002_body/trafalgarlaw002_body_BUFF05</t>
  </si>
  <si>
    <t>新世界罗buff：风圈</t>
  </si>
  <si>
    <t>brook002/brook002_attack01</t>
  </si>
  <si>
    <t>布鲁克</t>
  </si>
  <si>
    <t>brook002/brook002_attack01_hit1</t>
  </si>
  <si>
    <t>brook002/brook002_attack01_hit2</t>
  </si>
  <si>
    <t>brook002/brook002_attack01_hit3</t>
  </si>
  <si>
    <t>brook002/brook002_attack01_hit4</t>
  </si>
  <si>
    <t>brook002/brook002_attack02</t>
  </si>
  <si>
    <t>brook002/brook002_attack02_hit1</t>
  </si>
  <si>
    <t>brook002/brook002_attack03</t>
  </si>
  <si>
    <t>brook002/brook002_attack03_hit1</t>
  </si>
  <si>
    <t>brook002/brook002_attack04</t>
  </si>
  <si>
    <t>brook002/brook002_attack04_hit1</t>
  </si>
  <si>
    <t>brook002/brook002_attack04_hit2</t>
  </si>
  <si>
    <t>brook002/brook002_attack05</t>
  </si>
  <si>
    <t>brook002/brook002_attack05_gro</t>
  </si>
  <si>
    <t>brook002/brook002_attack05_hit</t>
  </si>
  <si>
    <t>brook002/brook002_attack06</t>
  </si>
  <si>
    <t>brook002/brook002_attack06_guadian</t>
  </si>
  <si>
    <t>brook002/brook002_attack07</t>
  </si>
  <si>
    <t>brook002/brook002_attack07_Bip001LToe0Nub_yan</t>
  </si>
  <si>
    <t>brook002/brook002_attack07_Bip001RToe0Nub_yan</t>
  </si>
  <si>
    <t>brook002/brook002_attack07_xiaotiqin_yinlv</t>
  </si>
  <si>
    <t>brook002/brook002_attack08</t>
  </si>
  <si>
    <t>brook002/brook002_attack08_Bip001</t>
  </si>
  <si>
    <t>brook002/brook002_mood05</t>
  </si>
  <si>
    <t>brook002/brook002_stand</t>
  </si>
  <si>
    <t>franky002/franky002_body_attack02_hit</t>
  </si>
  <si>
    <t>franky002/franky002_body_attack04_hit</t>
  </si>
  <si>
    <t>导弹</t>
  </si>
  <si>
    <t>franky002/franky002_body_attack04_hit02</t>
  </si>
  <si>
    <t>风暴</t>
  </si>
  <si>
    <t>franky002/franky002_body_attack08_hit</t>
  </si>
  <si>
    <t>franky002/franky002_body_attack02_LnatouL_Bip001Neck</t>
  </si>
  <si>
    <t>franky002/franky002_body_attack02_Ljiantoupao_Point020</t>
  </si>
  <si>
    <t>franky002/franky002_body_attack02_Rjiantoupao_Point018</t>
  </si>
  <si>
    <t>franky002/franky002_body_attack02_RnatouL_Bip001Neck</t>
  </si>
  <si>
    <t>nami011/nami011_body_stand</t>
  </si>
  <si>
    <t>新世界奈美</t>
  </si>
  <si>
    <t>phtroops001_body/phtroops001_attack02_hit</t>
  </si>
  <si>
    <t>ph,g5通用爆点</t>
  </si>
  <si>
    <t>franky002/franky002_body_attack01_pro</t>
  </si>
  <si>
    <t>弗兰奇01炮弹</t>
  </si>
  <si>
    <t>franky002/franky002_body_attack06_RHand</t>
  </si>
  <si>
    <t>弗兰奇06拳</t>
  </si>
  <si>
    <t>franky002/franky002_body_attack06_hit01</t>
  </si>
  <si>
    <t>弗兰奇镜头技爆点1（没对时长）</t>
  </si>
  <si>
    <t>franky002/franky002_body_attack06_hit02</t>
  </si>
  <si>
    <t>弗兰奇镜头技爆点2（没对时长）</t>
  </si>
  <si>
    <t>shimaili003/shimaili_attack01</t>
  </si>
  <si>
    <t>史姆丽普攻</t>
  </si>
  <si>
    <t>shimaili003/shimaili_attack01_hit</t>
  </si>
  <si>
    <t>史姆丽普攻受击</t>
  </si>
  <si>
    <t>shimaili003/shimaili_attack02</t>
  </si>
  <si>
    <t>史姆丽猛扑</t>
  </si>
  <si>
    <t>shimaili003/shimaili_attack02_hit</t>
  </si>
  <si>
    <t>史姆丽猛扑受击</t>
  </si>
  <si>
    <t>shimaili003/shimaili_attack03</t>
  </si>
  <si>
    <t>史姆丽分裂</t>
  </si>
  <si>
    <t>shimaili003/shimaili_attack03_guai</t>
  </si>
  <si>
    <t>史姆丽分裂生成怪</t>
  </si>
  <si>
    <t>shimaili001/shimaili001_body_attack01</t>
  </si>
  <si>
    <t>小史姆丽攻击</t>
  </si>
  <si>
    <t>shimaili001/shimaili001_body_attack01_Buff01</t>
  </si>
  <si>
    <t>小史姆丽buff效果</t>
  </si>
  <si>
    <t>shimaili001/shimaili001_body_attack01_Hit01</t>
  </si>
  <si>
    <t>小史姆丽受击</t>
  </si>
  <si>
    <t>franky002/franky002_body_attack10_canliu</t>
  </si>
  <si>
    <t>弗兰奇将军炮残留</t>
  </si>
  <si>
    <t>03_ani/juqing_binghuodao/JQ_chopper005_body_yanlei_Bip001HeadNub</t>
  </si>
  <si>
    <t>乔巴的眼泪</t>
  </si>
  <si>
    <t>03_ani/juqing_binghuodao/JQ_dianhuachong001_body_d_yanlei_Bone057</t>
  </si>
  <si>
    <t>电话虫的眼泪</t>
  </si>
  <si>
    <t>03_ani/juqing_binghuodao/JQ_dianhuachong001_body_d_yanlei_Bone053</t>
  </si>
  <si>
    <t>kinemon001_body/kinemon001_body_attack01</t>
  </si>
  <si>
    <t>锦卫门</t>
  </si>
  <si>
    <t>kinemon001_body/kinemon001_body_attack01_hit01</t>
  </si>
  <si>
    <t>kinemon001_body/kinemon001_body_attack01_hit02</t>
  </si>
  <si>
    <t>kinemon001_body/kinemon001_body_attack02</t>
  </si>
  <si>
    <t>kinemon001_body/kinemon001_body_attack02_hit</t>
  </si>
  <si>
    <t>kinemon001_body/kinemon001_body_attack03</t>
  </si>
  <si>
    <t>kinemon001_body/kinemon001_body_attack03_hit</t>
  </si>
  <si>
    <t>kinemon001_body/kinemon001_body_attack04</t>
  </si>
  <si>
    <t>kinemon001_body/kinemon001_body_attack04_cast</t>
  </si>
  <si>
    <t>kinemon001_body/kinemon001_body_attack04_Dummy001</t>
  </si>
  <si>
    <t>kinemon001_body/kinemon001_body_attack04_Dummy002</t>
  </si>
  <si>
    <t>kinemon001_body/kinemon001_body_attack04_hit</t>
  </si>
  <si>
    <t>kinemon001_body/kinemon001_body_attack05</t>
  </si>
  <si>
    <t>kinemon001_body/kinemon001_body_attack05_cast</t>
  </si>
  <si>
    <t>kinemon001_body/kinemon001_body_attack05_Dummy002</t>
  </si>
  <si>
    <t>kinemon001_body/kinemon001_body_attack05_hit</t>
  </si>
  <si>
    <t>kinemon001_body/kinemon002_body_attack06</t>
  </si>
  <si>
    <t>kinemon001_body/kinemon002_body_attack06_Bip001Head</t>
  </si>
  <si>
    <t>kinemon001_body/kinemon002_body_attack06_Bip001Spine</t>
  </si>
  <si>
    <t>kinemon001_body/kinemon001_body_attack7</t>
  </si>
  <si>
    <t>kinemon001_body/kinemon001_body_attack7_Dummy004</t>
  </si>
  <si>
    <t>kinemon001_body/kinemon001_body_attack8</t>
  </si>
  <si>
    <t>kinemon001_body/kinemon001_body_attack8_Dummy002</t>
  </si>
  <si>
    <t>kinemon001_body/kinemon001_body_attack8_hit</t>
  </si>
  <si>
    <t>franky002/franky002_body_Bip001Head_toufabia</t>
  </si>
  <si>
    <t>弗兰奇换发型</t>
  </si>
  <si>
    <t>franky002/franky002_body_buff_guozai</t>
  </si>
  <si>
    <t>弗兰奇-过载</t>
  </si>
  <si>
    <t>franky002/franky002_body_buff_kelequdong1</t>
  </si>
  <si>
    <t>红-单次</t>
  </si>
  <si>
    <t>franky002/franky002_body_buff_kelequdong2</t>
  </si>
  <si>
    <t>橙-单次</t>
  </si>
  <si>
    <t>franky002/franky002_body_buff_kelequdong3</t>
  </si>
  <si>
    <t>绿</t>
  </si>
  <si>
    <t>franky002/franky002_body_buff_kelequdong4</t>
  </si>
  <si>
    <t>蓝</t>
  </si>
  <si>
    <t>franky002/franky002_body_buff_kelequdong5</t>
  </si>
  <si>
    <t>黄</t>
  </si>
  <si>
    <t>katakuri001/katakuri001_body_attack01</t>
  </si>
  <si>
    <t>卡塔库栗</t>
  </si>
  <si>
    <t>katakuri001/katakuri001_body_attack01_Bip001LHand</t>
  </si>
  <si>
    <t>katakuri001/katakuri001_body_attack01_Bip001RHand</t>
  </si>
  <si>
    <t>katakuri001/katakuri001_body_attack01_Hit</t>
  </si>
  <si>
    <t>katakuri001/katakuri001_body_attack02</t>
  </si>
  <si>
    <t>katakuri001/katakuri001_body_attack02_hit</t>
  </si>
  <si>
    <t>katakuri001/katakuri001_body_attack03</t>
  </si>
  <si>
    <t>katakuri001/katakuri001_body_attack03_hit01_01</t>
  </si>
  <si>
    <t>katakuri001/katakuri001_body_attack03_hit02</t>
  </si>
  <si>
    <t>katakuri001/katakuri001_body_attack03_wuqi_01_Point005</t>
  </si>
  <si>
    <t>katakuri001/katakuri001_body_attack03_wuqi_02_Point005</t>
  </si>
  <si>
    <t>katakuri001/katakuri001_body_attack03_wuqi_03_Point005</t>
  </si>
  <si>
    <t>katakuri001/katakuri001_body_attack04</t>
  </si>
  <si>
    <t>katakuri001/katakuri001_body_attack04_Bip001LHand</t>
  </si>
  <si>
    <t>katakuri001/katakuri001_body_attack04_Bip001RHand</t>
  </si>
  <si>
    <t>katakuri001/katakuri001_body_attack04_Hit</t>
  </si>
  <si>
    <t>katakuri001/katakuri001_body_attack05</t>
  </si>
  <si>
    <t>katakuri001/katakuri001_body_attack05_hit</t>
  </si>
  <si>
    <t>katakuri001/katakuri001_body_attack06</t>
  </si>
  <si>
    <t>katakuri001/katakuri001_body_attack06_Bip001</t>
  </si>
  <si>
    <t>katakuri001/katakuri001_body_attack06_Point009</t>
  </si>
  <si>
    <t>katakuri001/katakuri001_body_attack07</t>
  </si>
  <si>
    <t>katakuri001/katakuri001_body_attack07_Bip001LHand</t>
  </si>
  <si>
    <t>katakuri001/katakuri001_body_attack07_Bip001RHand</t>
  </si>
  <si>
    <t>katakuri001/katakuri001_body_attack08</t>
  </si>
  <si>
    <t>katakuri001/katakuri001_body_mood06</t>
  </si>
  <si>
    <t>katakuri001/katakuri001_body_Stand</t>
  </si>
  <si>
    <t>lssho001_body/lssho001_body_attack01</t>
  </si>
  <si>
    <t>藤虎</t>
  </si>
  <si>
    <t>lssho001_body/lssho001_body_attack01_hit01</t>
  </si>
  <si>
    <t>lssho001_body/lssho001_body_attack01_hit02</t>
  </si>
  <si>
    <t>lssho001_body/lssho001_body_attack02</t>
  </si>
  <si>
    <t>lssho001_body/lssho001_body_attack02_gro</t>
  </si>
  <si>
    <t>lssho001_body/lssho001_body_attack02_hit</t>
  </si>
  <si>
    <t>lssho001_body/lssho001_body_attack03</t>
  </si>
  <si>
    <t>lssho001_body/lssho001_body_attack03_gro</t>
  </si>
  <si>
    <t>lssho001_body/lssho001_body_attack03_hit</t>
  </si>
  <si>
    <t>lssho001_body/lssho001_body_attack04</t>
  </si>
  <si>
    <t>lssho001_body/lssho001_body_attack04_gro_01</t>
  </si>
  <si>
    <t>lssho001_body/lssho001_body_attack04_gro_02</t>
  </si>
  <si>
    <t>lssho001_body/lssho001_body_attack04_gro_03</t>
  </si>
  <si>
    <t>lssho001_body/lssho001_body_attack04_hit</t>
  </si>
  <si>
    <t>lssho001_body/lssho001_body_attack05</t>
  </si>
  <si>
    <t>lssho001_body/lssho001_body_attack05_gro</t>
  </si>
  <si>
    <t>lssho001_body/lssho001_body_attack05_hit</t>
  </si>
  <si>
    <t>lssho001_body/lssho001_body_attack06</t>
  </si>
  <si>
    <t>lssho001_body/lssho001_body_attack06_Bip001RForearm_zhongli</t>
  </si>
  <si>
    <t>lssho001_body/lssho001_body_attack06_Bip001RHand_zhongli</t>
  </si>
  <si>
    <t>lssho001_body/lssho001_body_attack06_Bip001RUpperArm_zhongli</t>
  </si>
  <si>
    <t>lssho001_body/lssho001_body_attack07</t>
  </si>
  <si>
    <t>lssho001_body/lssho001_body_attack08</t>
  </si>
  <si>
    <t>lssho001_body/lssho001_body_attack08_Point001_TX</t>
  </si>
  <si>
    <t>lssho001_body/lssho001_body_mood06</t>
  </si>
  <si>
    <t>lssho001_body/lssho001_body_stand</t>
  </si>
  <si>
    <t>lssho001_body/lssho001_body_attack01_hit01_01</t>
  </si>
  <si>
    <t>lssho001_body/lssho001_body_attack01_hit01_gro</t>
  </si>
  <si>
    <t>lssho001_body/lssho001_body_attack01_hit02_01</t>
  </si>
  <si>
    <t>lssho001_body/lssho001_body_attack01_hit02_gro</t>
  </si>
  <si>
    <t>lssho001_body/lssho001_body_BUFF1</t>
  </si>
  <si>
    <t>藤虎空间斩</t>
  </si>
  <si>
    <t>lssho001_body/lssho001_body_BUFF2</t>
  </si>
  <si>
    <t>藤虎水墨斩</t>
  </si>
  <si>
    <t>lssho001_body/lssho001_body_attack07_dimian</t>
  </si>
  <si>
    <t>lssho001_body/lssho001_body_attack01_hit03</t>
  </si>
  <si>
    <t>caesar001_body/caesar001_body_attack01</t>
  </si>
  <si>
    <t>凯撒</t>
  </si>
  <si>
    <t>caesar001_body/caesar001_body_attack01_hit01</t>
  </si>
  <si>
    <t>caesar001_body/caesar001_body_attack01_hit02</t>
  </si>
  <si>
    <t>caesar001_body/caesar001_body_attack02</t>
  </si>
  <si>
    <t>caesar001_body/caesar001_body_attack02_gro</t>
  </si>
  <si>
    <t>caesar001_body/caesar001_body_attack02_hit01</t>
  </si>
  <si>
    <t>caesar001_body/caesar001_body_attack2_Bip001LFinger31</t>
  </si>
  <si>
    <t>caesar001_body/caesar001_body_attack2_Bip001RFinger31</t>
  </si>
  <si>
    <t>caesar001_body/caesar001_body_attack03</t>
  </si>
  <si>
    <t>caesar001_body/caesar001_body_attack03_hit01</t>
  </si>
  <si>
    <t>caesar001_body/caesar001_body_attack03_hit02</t>
  </si>
  <si>
    <t>caesar001_body/caesar001_body_attack3_Point002</t>
  </si>
  <si>
    <t>brook002/brook002_buff01</t>
  </si>
  <si>
    <t>布鲁克buff</t>
  </si>
  <si>
    <t>brook002/brook002_buff02</t>
  </si>
  <si>
    <t>katakuri001/katakuri001_body_attack03_hit01_02</t>
  </si>
  <si>
    <t>katakuri001/katakuri001_body_attack03_hit01_03</t>
  </si>
  <si>
    <t>katakuri001/katakuri001_body_attack04_Hit_02</t>
  </si>
  <si>
    <t>卡塔库栗04年糕圈</t>
  </si>
  <si>
    <t>katakuri001/katakuri001_body_attack08_Bip001HeadNub</t>
  </si>
  <si>
    <t>katakuri001/katakuri001_body_attack04_Hit_03</t>
  </si>
  <si>
    <t>单次坑儿</t>
  </si>
  <si>
    <t>Babyfive001/babyfive001_body_attack01</t>
  </si>
  <si>
    <t>baby5</t>
  </si>
  <si>
    <t>Babyfive001/babyfive001_body_attack01_hit_01</t>
  </si>
  <si>
    <t>Babyfive001/babyfive001_body_attack01_hit_02</t>
  </si>
  <si>
    <t>Babyfive001/babyfive001_body_attack02</t>
  </si>
  <si>
    <t>Babyfive001/babyfive001_body_attack02_hit</t>
  </si>
  <si>
    <t>Babyfive001/babyfive001_body_attack03</t>
  </si>
  <si>
    <t>Babyfive001/babyfive001_body_attack03_hit</t>
  </si>
  <si>
    <t>Babyfive001/babyfive001_body_attack04</t>
  </si>
  <si>
    <t>Babyfive001/babyfive001_body_attack04_hit</t>
  </si>
  <si>
    <t>Babyfive001/babyfive001_body_attack04_zidn</t>
  </si>
  <si>
    <t>Babyfive001/babyfive001_body_attack05</t>
  </si>
  <si>
    <t>Babyfive001/babyfive001_body_attack05_Hit</t>
  </si>
  <si>
    <t>Babyfive001/babyfive001_body_attack05_Point023</t>
  </si>
  <si>
    <t>Babyfive001/babyfive001_body_attack06</t>
  </si>
  <si>
    <t>Babyfive001/babyfive001_body_attack07</t>
  </si>
  <si>
    <t>Babyfive001/babyfive001_body_attack08</t>
  </si>
  <si>
    <t>Babyfive001/babyfive001_body_attack08_Bip001Spine1</t>
  </si>
  <si>
    <t>katakuri001/katakuri001_body_attack02_hit_01</t>
  </si>
  <si>
    <t>kinemon001_body/kinemon002_body_stand</t>
  </si>
  <si>
    <t>锦卫门8星</t>
  </si>
  <si>
    <t>Babyfive001/babyfive001_body_attack08_gro</t>
  </si>
  <si>
    <t>baby508残留</t>
  </si>
  <si>
    <t>perona/perona_attack05_new</t>
  </si>
  <si>
    <t>佩罗娜05泳装特效</t>
  </si>
  <si>
    <t>sabo002/sabo002_body_attack01</t>
  </si>
  <si>
    <t>萨博</t>
  </si>
  <si>
    <t>sabo002/sabo002_body_attack01_hit01</t>
  </si>
  <si>
    <t>sabo002/sabo002_body_attack01_hit02</t>
  </si>
  <si>
    <t>sabo002/sabo002_body_attack01_Point001</t>
  </si>
  <si>
    <t>sabo002/sabo002_body_attack02</t>
  </si>
  <si>
    <t>sabo002/sabo002_body_attack02_Bip001LFinger22</t>
  </si>
  <si>
    <t>sabo002/sabo002_body_attack02_hit</t>
  </si>
  <si>
    <t>sabo002/sabo002_body_attack02_Point001_gunzi</t>
  </si>
  <si>
    <t>sabo002/sabo002_body_attack03</t>
  </si>
  <si>
    <t>sabo002/sabo002_body_attack03_Hit</t>
  </si>
  <si>
    <t>sabo002/sabo002_body_attack04</t>
  </si>
  <si>
    <t>sabo002/sabo002_body_attack04_Bip001LFinger22</t>
  </si>
  <si>
    <t>sabo002/sabo002_body_attack04_Bip001RFinger22</t>
  </si>
  <si>
    <t>sabo002/sabo002_body_attack04_hit</t>
  </si>
  <si>
    <t>sabo002/sabo002_body_attack05</t>
  </si>
  <si>
    <t>sabo002/sabo002_body_attack05_Boom01</t>
  </si>
  <si>
    <t>sabo002/sabo002_body_attack05_Boom02</t>
  </si>
  <si>
    <t>sabo002/sabo002_body_attack05_Bullet</t>
  </si>
  <si>
    <t>sabo002/sabo002_body_attack05_Hit01</t>
  </si>
  <si>
    <t>sabo002/sabo002_body_attack05_Hit02</t>
  </si>
  <si>
    <t>sabo002/sabo002_body_attack06</t>
  </si>
  <si>
    <t>sabo002/sabo002_body_attack06_Bip001Spine</t>
  </si>
  <si>
    <t>sabo002/sabo002_body_attack06_gro</t>
  </si>
  <si>
    <t>sabo002/sabo002_body_attack08</t>
  </si>
  <si>
    <t>sabo002/sabo002_body_attck06_Point001</t>
  </si>
  <si>
    <t>sabo002/sabo002_body_mood06</t>
  </si>
  <si>
    <t>sabo002/sabo002_body_mood07</t>
  </si>
  <si>
    <t>sabo002/sabo002_body_stand</t>
  </si>
  <si>
    <t>sabo002/sabo002_body_stand_Bip001LFinger22</t>
  </si>
  <si>
    <t>萨博（废弃）</t>
  </si>
  <si>
    <t>sabo002/sabo002_body_stand_Bip001LToe0</t>
  </si>
  <si>
    <t>sabo002/sabo002_body_stand_Bip001RToe0</t>
  </si>
  <si>
    <t>sabo002/sabo002_body_attack07</t>
  </si>
  <si>
    <t>tashigi002_body/tashigi002_body_BX1</t>
  </si>
  <si>
    <t>塔希米泳装</t>
  </si>
  <si>
    <t>sabo002/sabo002_body_attack08_Bip001_R_Hand</t>
  </si>
  <si>
    <t>萨博08手</t>
  </si>
  <si>
    <t>katakuri001/katakuri001_body_attack01_Hit_01</t>
  </si>
  <si>
    <t>卡塔库栗年糕圈</t>
  </si>
  <si>
    <t>katakuri001/katakuri001_body_attack02_hit_02</t>
  </si>
  <si>
    <t>katakuri001/katakuri001_body_attack05_hit_01</t>
  </si>
  <si>
    <t>katakuri001/katakuri001_body_attack03_hit03</t>
  </si>
  <si>
    <t>卡塔库栗年糕圈3</t>
  </si>
  <si>
    <t>katakuri001/katakuri001_body_Buff01</t>
  </si>
  <si>
    <t>卡二BUFF1：电光</t>
  </si>
  <si>
    <t>katakuri001/katakuri001_body_Buff02</t>
  </si>
  <si>
    <t>卡二BUFF2：循环紫色</t>
  </si>
  <si>
    <t>katakuri001/katakuri001_body_Buff03</t>
  </si>
  <si>
    <t>卡二BUFF3：年糕回血</t>
  </si>
  <si>
    <t>katakuri001/katakuri001_body_Buff04</t>
  </si>
  <si>
    <t>卡二BUFF4：持续加减伤</t>
  </si>
  <si>
    <t>sabo002/sabo002_body_mood02_Bip001LHand</t>
  </si>
  <si>
    <t>萨博表情02</t>
  </si>
  <si>
    <t>katakuri001/katakuri001_body_mood01</t>
  </si>
  <si>
    <t>卡二mood01豆子（挂root）</t>
  </si>
  <si>
    <t>hancock005/hancock005_attack02</t>
  </si>
  <si>
    <t>女帝泳装02</t>
  </si>
  <si>
    <t>hancock005/hancock005_attack06</t>
  </si>
  <si>
    <t>女帝泳装06</t>
  </si>
  <si>
    <t>hancock005/hancock005_attack07</t>
  </si>
  <si>
    <t>女帝泳装07</t>
  </si>
  <si>
    <t>hancock005/hancock005_stand</t>
  </si>
  <si>
    <t>女帝泳装8星站街</t>
  </si>
  <si>
    <t>robin004/robin006_body_BX</t>
  </si>
  <si>
    <t>罗宾泳装8星站街</t>
  </si>
  <si>
    <t>robin004/robin006_body_attack08</t>
  </si>
  <si>
    <t>monet001/monet001_body_Atk01</t>
  </si>
  <si>
    <t>莫奈</t>
  </si>
  <si>
    <t>monet001/monet001_body_Atk01_hit</t>
  </si>
  <si>
    <t>monet001/monet001_body_Atk02</t>
  </si>
  <si>
    <t>monet001/monet001_body_Atk02_hit</t>
  </si>
  <si>
    <t>monet001/monet001_body_Atk05</t>
  </si>
  <si>
    <t>monet001/monet001_body_Atk05_Bone005</t>
  </si>
  <si>
    <t>monet001/monet001_body_Atk05_Bone005Mirrored</t>
  </si>
  <si>
    <t>monet001/monet001_body_Atk05_Hit</t>
  </si>
  <si>
    <t>monet001/monet001_body_Atk06</t>
  </si>
  <si>
    <t>monet001/monet001_body_Atk06_Bip001</t>
  </si>
  <si>
    <t>buffalo001_body/buffalo001_body_attack01</t>
  </si>
  <si>
    <t>巴发罗</t>
  </si>
  <si>
    <t>buffalo001_body/buffalo001_body_attack02</t>
  </si>
  <si>
    <t>buffalo001_body/buffalo001_body_attack03</t>
  </si>
  <si>
    <t>buffalo001_body/buffalo001_body_hit01</t>
  </si>
  <si>
    <t>buffalo001_body/buffalo001_body_hit02</t>
  </si>
  <si>
    <t>buffalo001_body/buffalo001_body_hit03</t>
  </si>
  <si>
    <t>vergo001_body/vergo001_body_attack01</t>
  </si>
  <si>
    <t>维尔戈</t>
  </si>
  <si>
    <t>vergo001_body/vergo001_body_attack02</t>
  </si>
  <si>
    <t>vergo001_body/vergo001_body_attack03</t>
  </si>
  <si>
    <t>vergo001_body/vergo001_body_attack03_hit_01</t>
  </si>
  <si>
    <t>vergo001_body/vergo001_body_attack03_wuqi</t>
  </si>
  <si>
    <t>vergo001_body/vergo001_body_attack04</t>
  </si>
  <si>
    <t>vergo001_body/vergo001_body_attack04_hit_01</t>
  </si>
  <si>
    <t>vergo001_body/vergo001_body_attack04_hit_02</t>
  </si>
  <si>
    <t>vergo001_body/vergo001_body_attack05</t>
  </si>
  <si>
    <t>vergo001_body/vergo001_body_attack_hit01</t>
  </si>
  <si>
    <t>vergo001_body/vergo001_body_attack_hit02</t>
  </si>
  <si>
    <t>vergo001_body/vergo001_body_attack_hit03</t>
  </si>
  <si>
    <t>charlotte001/UI_Charlotte_attack02</t>
  </si>
  <si>
    <t>大妈技能UI</t>
  </si>
  <si>
    <t>charlotte001/UI_Charlotte_attack03</t>
  </si>
  <si>
    <t>charlotte001/UI_Charlotte_attack04</t>
  </si>
  <si>
    <t>charlotte001/UI_Charlotte_attack05</t>
  </si>
  <si>
    <t>charlotte001/UI_Charlotte_attack06</t>
  </si>
  <si>
    <t>charlotte001/UI_Charlotte_attack07</t>
  </si>
  <si>
    <t>charlotte001/UI_Charlotte_attack08</t>
  </si>
  <si>
    <t>charlotte001/UI_Charlotte_attack09</t>
  </si>
  <si>
    <t>大妈技能UI（海浪）</t>
  </si>
  <si>
    <t>sabo002/sabo002_body_buff1</t>
  </si>
  <si>
    <t>萨博buff</t>
  </si>
  <si>
    <t>sabo002/sabo002_body_buff2_1</t>
  </si>
  <si>
    <t>sabo002/sabo002_body_buff2_2</t>
  </si>
  <si>
    <t>sabo002/sabo002_body_buff2_3</t>
  </si>
  <si>
    <t>sabo002/sabo002_body_attack05_gro</t>
  </si>
  <si>
    <t>萨博05</t>
  </si>
  <si>
    <t>caesar001_body/caesar001_body_attack04</t>
  </si>
  <si>
    <t>caesar001_body/caesar001_body_attack04_Bip001LFinger1</t>
  </si>
  <si>
    <t>caesar001_body/caesar001_body_attack04_Bip001RFinger11</t>
  </si>
  <si>
    <t>caesar001_body/caesar001_body_attack05</t>
  </si>
  <si>
    <t>caesar001_body/caesar001_body_attack06</t>
  </si>
  <si>
    <t>caesar001_body/caesar001_body_attack06_Hit_01</t>
  </si>
  <si>
    <t>caesar001_body/caesar001_body_attack07</t>
  </si>
  <si>
    <t>caesar001_body/caesar001_body_attack07_Bip001LForearm</t>
  </si>
  <si>
    <t>caesar001_body/caesar001_body_attack07_Bip001RHand</t>
  </si>
  <si>
    <t>caesar001_body/caesar001_body_attack07_hit</t>
  </si>
  <si>
    <t>caesar001_body/caesar001_body_attack08</t>
  </si>
  <si>
    <t>charlotte001/charlotte001_body_attack01</t>
  </si>
  <si>
    <t>DAMA（暂时）</t>
  </si>
  <si>
    <t>charlotte001/charlotte001_body_attack01_hit</t>
  </si>
  <si>
    <t>charlotte001/charlotte001_body_attack02</t>
  </si>
  <si>
    <t>charlotte001/charlotte001_body_attack03</t>
  </si>
  <si>
    <t>charlotte001/charlotte001_body_attack03_huoqiu</t>
  </si>
  <si>
    <t>charlotte001/charlotte001_body_attack03_lei</t>
  </si>
  <si>
    <t>charlotte001/charlotte001_body_attack04</t>
  </si>
  <si>
    <t>charlotte001/charlotte001_body_attack04_Bone162</t>
  </si>
  <si>
    <t>DAMA普通状态常驻特效（循环）</t>
  </si>
  <si>
    <t>charlotte001/charlotte001_body_attack04_hit01</t>
  </si>
  <si>
    <t>charlotte001/charlotte001_body_attack04_huoqiupiao</t>
  </si>
  <si>
    <t>charlotte001/charlotte001_body_attack05</t>
  </si>
  <si>
    <t>charlotte001/charlotte001_body_stand_02</t>
  </si>
  <si>
    <t>大妈太阳和云8星站街</t>
  </si>
  <si>
    <t>charlotte001/charlotte001_body_attack06</t>
  </si>
  <si>
    <t>charlotte001/charlotte001_body_attack06_hit</t>
  </si>
  <si>
    <t>charlotte001/charlotte001_body_attack07</t>
  </si>
  <si>
    <t>charlotte001/charlotte001_body_attack07_Bone167</t>
  </si>
  <si>
    <t>charlotte001/charlotte001_body_attack07_fire_hair</t>
  </si>
  <si>
    <t>charlotte001/charlotte001_body_attack07_hit01</t>
  </si>
  <si>
    <t>charlotte001/charlotte001_body_attack07_hit02</t>
  </si>
  <si>
    <t>charlotte001/charlotte001_body_attack08</t>
  </si>
  <si>
    <t>charlotte001/charlotte001_body_attack08_Bone164</t>
  </si>
  <si>
    <t>charlotte001/charlotte001_body_attack08_daohit</t>
  </si>
  <si>
    <t>charlotte001/charlotte001_body_attack08_huohit</t>
  </si>
  <si>
    <t>charlotte001/charlotte001_body_attack08_leidihit</t>
  </si>
  <si>
    <t>charlotte001/charlotte001_body_attack08_leihit</t>
  </si>
  <si>
    <t>charlotte001/charlotte001_body_attack08_weapon003</t>
  </si>
  <si>
    <t>charlotte001/charlotte001_body_attack09</t>
  </si>
  <si>
    <t>charlotte001/charlotte001_body_attack09_Bone167</t>
  </si>
  <si>
    <t>charlotte001/charlotte001_body_attack09_fire_hair</t>
  </si>
  <si>
    <t>charlotte001/charlotte001_body_attack09_weapon</t>
  </si>
  <si>
    <t>charlotte001/charlotte001_body_mood06</t>
  </si>
  <si>
    <t>charlotte001/charlotte001_body_stand</t>
  </si>
  <si>
    <t>charlotte001/charlotte001_body_stand_taiyang</t>
  </si>
  <si>
    <t>charlotte001/charlotte001_body_stand_yun</t>
  </si>
  <si>
    <t>caesar001_body/caesar001_body_attack07_feng</t>
  </si>
  <si>
    <t>凯撒07地面</t>
  </si>
  <si>
    <t>charlotte001/charlotte001_body_attack03_Hit_01</t>
  </si>
  <si>
    <t>大妈03火焰受击</t>
  </si>
  <si>
    <t>charlotte001/charlotte001_body_D_Bip001</t>
  </si>
  <si>
    <t>大妈变身持续</t>
  </si>
  <si>
    <t>charlotte001/charlotte001_body_D_Bone167</t>
  </si>
  <si>
    <t>charlotte001/charlotte001_body_D_fire_hair</t>
  </si>
  <si>
    <t>03火hit</t>
  </si>
  <si>
    <t>charlotte001/charlotte001_body_attack02_hit01</t>
  </si>
  <si>
    <t>02的地面？前半段</t>
  </si>
  <si>
    <t>charlotte001/charlotte001_body_attack02_hit02</t>
  </si>
  <si>
    <t>02的地面？后半段</t>
  </si>
  <si>
    <t>charlotte001/charlotte001_body_attack08_daohit02</t>
  </si>
  <si>
    <t>08做好的地面</t>
  </si>
  <si>
    <t>charlotte001/charlotte001_body_attack08_huohit02</t>
  </si>
  <si>
    <t>charlotte001/charlotte001_body_attack08_leihit02</t>
  </si>
  <si>
    <t>caesar001_body/caesar001_body_attack05_gro</t>
  </si>
  <si>
    <t>凯撒地面</t>
  </si>
  <si>
    <t>caesar001_body/caesar001_body_attack04_canliu</t>
  </si>
  <si>
    <t>charlotte001/charlotte005_body_attack05</t>
  </si>
  <si>
    <t>大妈睡衣05</t>
  </si>
  <si>
    <t>charlotte001/charlotte005_body_attack08</t>
  </si>
  <si>
    <t>大妈睡衣08</t>
  </si>
  <si>
    <t>charlotte001/charlotte005_body_attack09</t>
  </si>
  <si>
    <t>大妈睡衣09</t>
  </si>
  <si>
    <t>charlotte001/charlotte001_body_buff</t>
  </si>
  <si>
    <t>大妈buff</t>
  </si>
  <si>
    <t>charlotte001/charlotte001_body_qiehuan</t>
  </si>
  <si>
    <t>大妈解除变身特效</t>
  </si>
  <si>
    <t>caesar001_body/caesar001_body_stand</t>
  </si>
  <si>
    <t>凯撒站街</t>
  </si>
  <si>
    <t>cracker001/cracker001_attack03</t>
  </si>
  <si>
    <t>饼干人双重椒盐卷饼</t>
  </si>
  <si>
    <t>cracker001/cracker001_attack03_hit</t>
  </si>
  <si>
    <t>饼干人双重椒盐卷饼受击</t>
  </si>
  <si>
    <t>cracker001/cracker001_attack03_Point003_jian</t>
  </si>
  <si>
    <t>饼干人双重椒盐卷饼挂点</t>
  </si>
  <si>
    <t>cracker001/cracker001_attack03_Point004_jian</t>
  </si>
  <si>
    <t>cracker001/cracker001_attack03_Point005_jian</t>
  </si>
  <si>
    <t>cracker001/cracker001_attack03_Point006_jian</t>
  </si>
  <si>
    <t>cracker001/cracker001_body_attack01</t>
  </si>
  <si>
    <t>饼干人普攻</t>
  </si>
  <si>
    <t>cracker001/cracker001_body_attack01_hit</t>
  </si>
  <si>
    <t>饼干人普攻受击</t>
  </si>
  <si>
    <t>cracker001/cracker001_body_attack02</t>
  </si>
  <si>
    <t>卷·椒盐卷饼</t>
  </si>
  <si>
    <t>cracker001/cracker001_body_attack02_hit</t>
  </si>
  <si>
    <t>卷·椒盐卷饼受击</t>
  </si>
  <si>
    <t>cracker001/cracker001_body_attack02_Point001</t>
  </si>
  <si>
    <t>卷·椒盐卷饼挂点</t>
  </si>
  <si>
    <t>cracker001/cracker001_body_attack05</t>
  </si>
  <si>
    <t>克力架人形普攻</t>
  </si>
  <si>
    <t>cracker001/cracker001_body_attack06</t>
  </si>
  <si>
    <t>克力架人形波动·椒盐卷饼</t>
  </si>
  <si>
    <t>cracker001/cracker001_body_attack07</t>
  </si>
  <si>
    <t>克力架人形劈斩</t>
  </si>
  <si>
    <t>cracker001/cracker001_body_attack07_hit</t>
  </si>
  <si>
    <t>克力架人形劈斩受击</t>
  </si>
  <si>
    <t>cracker001/cracker001_body_attack08</t>
  </si>
  <si>
    <t>克力架人形突爆·椒盐卷</t>
  </si>
  <si>
    <t>cracker001/cracker001_body_attack08_Bone007</t>
  </si>
  <si>
    <t>克力架人形突爆·椒盐卷绑点</t>
  </si>
  <si>
    <t>cracker001/cracker001_body_attack08_Bone0011</t>
  </si>
  <si>
    <t>cracker001/cracker001_body_attack08_wuqi</t>
  </si>
  <si>
    <t>克力架人形突爆·椒盐卷武器绑点</t>
  </si>
  <si>
    <t>cracker001/cracker001_body_attack09</t>
  </si>
  <si>
    <t>克力架人形饼干人大军</t>
  </si>
  <si>
    <t>cracker001/cracker001_mood05</t>
  </si>
  <si>
    <t>cracker001/cracker001_mood05_Bone007</t>
  </si>
  <si>
    <t>cracker001/cracker001_mood05_Bone012</t>
  </si>
  <si>
    <t>cracker001/cracker001_stand</t>
  </si>
  <si>
    <t>cracker001/cracker001_stand_Bone007</t>
  </si>
  <si>
    <t>cracker001/cracker001_stand_Bone012</t>
  </si>
  <si>
    <t>cracker001/cracker002_attack04</t>
  </si>
  <si>
    <t>饼干人镜头技奥义：横断</t>
  </si>
  <si>
    <t>cracker001/cracker002_attack04_hit</t>
  </si>
  <si>
    <t>饼干人镜头技奥义：横断被击</t>
  </si>
  <si>
    <t>dellinger001_body/dellinger001_body_attack01</t>
  </si>
  <si>
    <t>德林杰普攻特效</t>
  </si>
  <si>
    <t>dellinger001_body/dellinger001_body_attack01_hit01</t>
  </si>
  <si>
    <t>德林杰普攻受击1</t>
  </si>
  <si>
    <t>dellinger001_body/dellinger001_body_attack01_hit02</t>
  </si>
  <si>
    <t>德林杰普攻受击2</t>
  </si>
  <si>
    <t>dellinger001_body/dellinger001_body_attack02</t>
  </si>
  <si>
    <t>德林杰技能2</t>
  </si>
  <si>
    <t>dellinger001_body/dellinger001_body_attack02_hit01</t>
  </si>
  <si>
    <t>德林杰技能2手机特效</t>
  </si>
  <si>
    <t>dellinger001_body/dellinger001_body_attack03</t>
  </si>
  <si>
    <t>德林杰技能3</t>
  </si>
  <si>
    <t>dellinger001_body/dellinger001_body_attack04</t>
  </si>
  <si>
    <t>德林杰镜头技特效</t>
  </si>
  <si>
    <t>sabo002/sabo004_body_attack07</t>
  </si>
  <si>
    <t>萨博时装attack07</t>
  </si>
  <si>
    <t>Kaido/kaido001_body_attack01</t>
  </si>
  <si>
    <t>凯多普攻特效</t>
  </si>
  <si>
    <t>Kaido/kaido001_body_attack04</t>
  </si>
  <si>
    <t>凯多轮回·天冲技能特效</t>
  </si>
  <si>
    <t>Kaido/kaido001_body_attack04_Hit</t>
  </si>
  <si>
    <t>凯多轮回·天冲技能打击特效</t>
  </si>
  <si>
    <t>Kaido/kaido001_body_attack04_weapon</t>
  </si>
  <si>
    <t>凯多轮回·天冲武器特效</t>
  </si>
  <si>
    <t>Kaido/kaido001_body_attack05</t>
  </si>
  <si>
    <t>凯多罗刹·践踏技能特效</t>
  </si>
  <si>
    <t>Kaido/kaido001_body_attack05_hit</t>
  </si>
  <si>
    <t>凯多罗刹·践踏技能打击特效</t>
  </si>
  <si>
    <t>Kaido/kaido001_body_attack06</t>
  </si>
  <si>
    <t>凯多雷鸣八卦技能特效</t>
  </si>
  <si>
    <t>Kaido/kaido002_body_attack02</t>
  </si>
  <si>
    <t>凯多天火 · 燎原技能特效</t>
  </si>
  <si>
    <t>Kaido/kaido002_body_attack02_hit</t>
  </si>
  <si>
    <t>凯多天火 · 燎原技能打击特效</t>
  </si>
  <si>
    <t>Kaido/kaido002_body_attack02_weapon</t>
  </si>
  <si>
    <t>凯多天火 · 燎原技能武器特效</t>
  </si>
  <si>
    <t>Kaido/kaido002_body_attack03</t>
  </si>
  <si>
    <t>凯多罡气 · 撼天技能特效</t>
  </si>
  <si>
    <t>Kaido/kaido002_body_attack03_hit</t>
  </si>
  <si>
    <t>凯多罡气 · 撼天技能打击特效</t>
  </si>
  <si>
    <t>Kaido/kaido002_body_attack07</t>
  </si>
  <si>
    <t>凯多热吐息技能特效</t>
  </si>
  <si>
    <t>Kaido/kaido002_body_attack08</t>
  </si>
  <si>
    <t>凯多龙威技能特效</t>
  </si>
  <si>
    <t>Kaido/kaido002_body_attack08_hit</t>
  </si>
  <si>
    <t>凯多龙威技能武器特效</t>
  </si>
  <si>
    <t>Kaido/kaido002_body_attack08_weapon</t>
  </si>
  <si>
    <t>Kaido/kaido002_body_mood06</t>
  </si>
  <si>
    <t>Kaido/kaido002_body_stand</t>
  </si>
  <si>
    <t>cracker001/cracker001_buff_1</t>
  </si>
  <si>
    <t>克力架饼干人buff</t>
  </si>
  <si>
    <t>cracker001/cracker001_buff_2</t>
  </si>
  <si>
    <t>Kaido/kaido002_body_mood06_Bip001LUpperArm</t>
  </si>
  <si>
    <t>凯多8星专属手臂</t>
  </si>
  <si>
    <t>Kaido/kaido002_body_mood06_Bip001RUpperArm</t>
  </si>
  <si>
    <t>凯多9星专属手臂</t>
  </si>
  <si>
    <t>trafalgarlaw002_body/trafalgarlaw004_body_attack06</t>
  </si>
  <si>
    <t>新世界罗万圣节时装attack06</t>
  </si>
  <si>
    <t>robin004/robin007_body_attack08</t>
  </si>
  <si>
    <t>新世界罗宾万圣节时装attack08</t>
  </si>
  <si>
    <t>nami012/nami012_body_attack06</t>
  </si>
  <si>
    <t>万圣节奈美突风剑</t>
  </si>
  <si>
    <t>nami012/nami012_body_attack06_1</t>
  </si>
  <si>
    <t>sanji003/sanji005_body_attack08_cut-in</t>
  </si>
  <si>
    <t>山治万圣节cutin</t>
  </si>
  <si>
    <t>Kaido/kaido002_body_buff01</t>
  </si>
  <si>
    <t>凯多愤怒</t>
  </si>
  <si>
    <t>qingjiao/qingjiao001_body_attack01</t>
  </si>
  <si>
    <t>青椒普攻特效</t>
  </si>
  <si>
    <t>qingjiao/qingjiao001_body_attack02</t>
  </si>
  <si>
    <t>青椒attack02特效</t>
  </si>
  <si>
    <t>qingjiao/qingjiao001_body_attack03</t>
  </si>
  <si>
    <t>青椒attack03特效</t>
  </si>
  <si>
    <t>qingjiao/qingjiao001_body_attack03_hit</t>
  </si>
  <si>
    <t>青椒受击通用特效</t>
  </si>
  <si>
    <t>qingjiao/qingjiao001_body_attack04</t>
  </si>
  <si>
    <t>青椒attack04特效</t>
  </si>
  <si>
    <t>qingjiao/qingjiao001_body_attack05</t>
  </si>
  <si>
    <t>青椒attack05特效</t>
  </si>
  <si>
    <t>sileiman/sileiman001_body_attack01</t>
  </si>
  <si>
    <t>斯雷曼普攻特效</t>
  </si>
  <si>
    <t>sileiman/sileiman001_body_attack01_hit</t>
  </si>
  <si>
    <t>斯雷曼通用受击特效</t>
  </si>
  <si>
    <t>sileiman/sileiman001_body_attack02</t>
  </si>
  <si>
    <t>斯雷曼attack02特效</t>
  </si>
  <si>
    <t>sileiman/sileiman001_body_attack03</t>
  </si>
  <si>
    <t>斯雷曼attack03特效</t>
  </si>
  <si>
    <t>jiaenange/jiaenange001_body_attack01</t>
  </si>
  <si>
    <t>贾恩·安格普攻特效</t>
  </si>
  <si>
    <t>jiaenange/jiaenange001_body_attack01_hit</t>
  </si>
  <si>
    <t>贾恩·安格通用受击特效</t>
  </si>
  <si>
    <t>jiaenange/jiaenange001_body_attack02</t>
  </si>
  <si>
    <t>贾恩·安格attack02特效</t>
  </si>
  <si>
    <t>jiaenange/jiaenange001_body_attack03</t>
  </si>
  <si>
    <t>贾恩·安格attack03特效</t>
  </si>
  <si>
    <t>douniu001_body/douniu001_body_attack01</t>
  </si>
  <si>
    <t>斗牛attack01特效</t>
  </si>
  <si>
    <t>douyu003_body/douyu003_body_attack01</t>
  </si>
  <si>
    <t>斗鱼03attack01特效</t>
  </si>
  <si>
    <t>douyu004_body/douyu004_body_attack01</t>
  </si>
  <si>
    <t>斗鱼04attack01特效</t>
  </si>
  <si>
    <t>jingguan001_body/jingguan001_body_attack01</t>
  </si>
  <si>
    <t>警官attack01特效</t>
  </si>
  <si>
    <t>mengeshouxia001_body/mengeshouxia001_body</t>
  </si>
  <si>
    <t>门戈手下01attack01特效</t>
  </si>
  <si>
    <t>mengeshouxia001_body/mengeshouxia001_body_hit</t>
  </si>
  <si>
    <t>门戈手下01attack01被击特效</t>
  </si>
  <si>
    <t>mengeshouxia002_body/mengeshouxia002_body</t>
  </si>
  <si>
    <t>门戈手下02attack01特效</t>
  </si>
  <si>
    <t>mengeshouxia002_body/mengeshouxia002_body_hit</t>
  </si>
  <si>
    <t>门戈手下02attack01被击特效</t>
  </si>
  <si>
    <t>ptcsz001_body/ptcsz001_body</t>
  </si>
  <si>
    <t>普通参赛者01attack01特效</t>
  </si>
  <si>
    <t>ptcsz001_body/ptcsz001_body_hit</t>
  </si>
  <si>
    <t>普通参赛者01attack01被击特效</t>
  </si>
  <si>
    <t>ptcsz002_body/ptcsz002_body</t>
  </si>
  <si>
    <t>普通参赛者02attack01特效</t>
  </si>
  <si>
    <t>ptcsz002_body/ptcsz002_body_hit</t>
  </si>
  <si>
    <t>普通参赛者02attack01被击特效</t>
  </si>
  <si>
    <t>ptcsz003_body/ptcsz003_body_dao</t>
  </si>
  <si>
    <t>普通参赛者03attack01特效</t>
  </si>
  <si>
    <t>ptcsz003_body/ptcsz003_body_hit</t>
  </si>
  <si>
    <t>普通参赛者03attack01被击特效</t>
  </si>
  <si>
    <t>luogan/luogan001_body_attack01</t>
  </si>
  <si>
    <t>洛林格·罗甘attack01特效</t>
  </si>
  <si>
    <t>luogan/luogan001_body_attack02</t>
  </si>
  <si>
    <t>洛林格·罗甘attack02特效</t>
  </si>
  <si>
    <t>luogan/luogan001_body_attack03</t>
  </si>
  <si>
    <t>洛林格·罗甘attack03特效</t>
  </si>
  <si>
    <t>JQ_BOSS_leibeika/leibeika001_body_attack01</t>
  </si>
  <si>
    <t>JQ_BOSS_leibeika/leibeika001_body_attack01_hit</t>
  </si>
  <si>
    <t>JQ_BOSS_leibeika/leibeika001_body_attack02</t>
  </si>
  <si>
    <t>JQ_BOSS_leibeika/leibeika001_body_attack03</t>
  </si>
  <si>
    <t>JQ_BOSS_leibeika/leibeika001_body_attack04</t>
  </si>
  <si>
    <t>JQ_BOSS_leibeika/leibeika001_body_attack05</t>
  </si>
  <si>
    <t>JQ_BOSS_ziluolan/ziluolan001_body_attack01</t>
  </si>
  <si>
    <t>JQ_BOSS_ziluolan/ziluolan001_body_attack01_hit</t>
  </si>
  <si>
    <t>JQ_BOSS_ziluolan/ziluolan001_body_attack02</t>
  </si>
  <si>
    <t>JQ_BOSS_ziluolan/ziluolan001_body_attack03</t>
  </si>
  <si>
    <t>JQ_BOSS_ziluolan/ziluolan001_body_attack03_hit</t>
  </si>
  <si>
    <t>JQ_BOSS_ziluolan/ziluolan001_body_attack04</t>
  </si>
  <si>
    <t>JQ_BOSS_ziluolan/ziluolan001_body_attack04_hit</t>
  </si>
  <si>
    <t>JQ_BOSS_ziluolan/ziluolan001_body_attack05</t>
  </si>
  <si>
    <t>JQ_BOSS_ziluolan/ziluolan001_body_attack08</t>
  </si>
  <si>
    <t>03_ani/JQ_ziluolan_meigui</t>
  </si>
  <si>
    <t>紫罗兰玫瑰</t>
  </si>
  <si>
    <t>03_ani/JQ_shanzhitui</t>
  </si>
  <si>
    <t>剧情山智腿火焰特效</t>
  </si>
  <si>
    <t>03_ani/JQ_luo_zhonglixian</t>
  </si>
  <si>
    <t>剧情罗被压住重力线</t>
  </si>
  <si>
    <t>Sibadaen/Sibadaen_attack01</t>
  </si>
  <si>
    <t>Sibadaen/Sibadaen_attack01_hit</t>
  </si>
  <si>
    <t>Sibadaen/Sibadaen_attack02</t>
  </si>
  <si>
    <t>Sibadaen/Sibadaen_attack02_hit01</t>
  </si>
  <si>
    <t>Sibadaen/Sibadaen_attack02_hit02</t>
  </si>
  <si>
    <t>cavendish/Cavendish002_body_attack01</t>
  </si>
  <si>
    <t>cavendish/Cavendish002_body_attack01_hit01</t>
  </si>
  <si>
    <t>cavendish/Cavendish002_body_attack01_hit02</t>
  </si>
  <si>
    <t>cavendish/Cavendish002_body_attack05</t>
  </si>
  <si>
    <t>cavendish/Cavendish002_body_attack06</t>
  </si>
  <si>
    <t>cavendish/Cavendish002_body_attack06_hit</t>
  </si>
  <si>
    <t>cavendish/Cavendish002_body_attack07</t>
  </si>
  <si>
    <t>cavendish/Cavendish002_body_attack07_hit</t>
  </si>
  <si>
    <t>cavendish/Cavendish002_body_attack09</t>
  </si>
  <si>
    <t>cavendish/cavendish_attack02</t>
  </si>
  <si>
    <t>cavendish/cavendish_attack02_hit</t>
  </si>
  <si>
    <t>cavendish/cavendish_attack02_hit1</t>
  </si>
  <si>
    <t>shanks/shanks002_body_attack09</t>
  </si>
  <si>
    <t>香克斯超奥义</t>
  </si>
  <si>
    <t>blackbeard003_body/blackbeard003_attack09</t>
  </si>
  <si>
    <t>黑胡子超奥义</t>
  </si>
  <si>
    <t>charlotte001/charlotte001_body_attack10</t>
  </si>
  <si>
    <t>大妈超奥义</t>
  </si>
  <si>
    <t>charlotte001/charlotte001_body_attack10_Bip001Head</t>
  </si>
  <si>
    <t>大妈超奥义挂点</t>
  </si>
  <si>
    <t>charlotte001/charlotte001_body_attack10_fire_hair</t>
  </si>
  <si>
    <t>blackbeard003_body/blackbeard003_attack09_Bip001LHand</t>
  </si>
  <si>
    <t>黑胡子超奥义挂点</t>
  </si>
  <si>
    <t>blackbeard003_body/blackbeard003_attack09_Bip001RHand</t>
  </si>
  <si>
    <t>charlotte001/charlotte005_body_attack10</t>
  </si>
  <si>
    <t>大妈睡衣超奥义</t>
  </si>
  <si>
    <t>smoothie001/smoothie001_body_attack01</t>
  </si>
  <si>
    <t>斯慕吉普攻</t>
  </si>
  <si>
    <t>smoothie001/smoothie001_body_attack01_hit</t>
  </si>
  <si>
    <t>斯慕吉普攻受击</t>
  </si>
  <si>
    <t>smoothie001/smoothie001_body_attack01_Point002</t>
  </si>
  <si>
    <t>斯慕吉普攻绑点</t>
  </si>
  <si>
    <t>smoothie001/smoothie001_body_attack02</t>
  </si>
  <si>
    <t>斯慕吉attack02特效</t>
  </si>
  <si>
    <t>smoothie001/smoothie001_body_attack03</t>
  </si>
  <si>
    <t>斯慕吉attack03特效</t>
  </si>
  <si>
    <t>smoothie001/smoothie001_body_attack03_hit</t>
  </si>
  <si>
    <t>斯慕吉attack03受击特效</t>
  </si>
  <si>
    <t>smoothie001/smoothie001_body_attack04</t>
  </si>
  <si>
    <t>斯慕吉attack04特效</t>
  </si>
  <si>
    <t>smoothie001/smoothie001_body_attack04_Hit</t>
  </si>
  <si>
    <t>斯慕吉attack04受击特效</t>
  </si>
  <si>
    <t>smoothie001/smoothie001_body_attack05</t>
  </si>
  <si>
    <t>斯慕吉attack05特效</t>
  </si>
  <si>
    <t>smoothie001/smoothie001_body_attack05_hit</t>
  </si>
  <si>
    <t>斯慕吉attack05受击特效</t>
  </si>
  <si>
    <t>smoothie001/smoothie001_body_attack06</t>
  </si>
  <si>
    <t>斯慕吉attack06特效</t>
  </si>
  <si>
    <t>smoothie001/smoothie001_body_attack06_Point002</t>
  </si>
  <si>
    <t>斯慕吉attack06特效绑点</t>
  </si>
  <si>
    <t>smoothie001/smoothie001_body_attack07</t>
  </si>
  <si>
    <t>斯慕吉attack07特效</t>
  </si>
  <si>
    <t>smoothie001/smoothie001_body_attack07_Point002</t>
  </si>
  <si>
    <t>斯慕吉attack07特效绑点</t>
  </si>
  <si>
    <t>smoothie001/smoothie001_body_mood06</t>
  </si>
  <si>
    <t>斯慕吉八星专属特效</t>
  </si>
  <si>
    <t>smoothie001/smoothie001_body_stand</t>
  </si>
  <si>
    <t>斯慕吉八星特效</t>
  </si>
  <si>
    <t>smoothie001/smoothie001_body_attack08</t>
  </si>
  <si>
    <t>斯慕吉attack08特效</t>
  </si>
  <si>
    <t>smoothie001/smoothie001_body_attack08_Point002</t>
  </si>
  <si>
    <t>斯慕吉attack08特效绑点</t>
  </si>
  <si>
    <t>smoothie001/smoothie004_body_attack08</t>
  </si>
  <si>
    <t>斯慕吉泳装attack08特效</t>
  </si>
  <si>
    <t>smoothie001/smoothie001_body_attack03_gro</t>
  </si>
  <si>
    <t>斯慕吉attack03爆炸水柱</t>
  </si>
  <si>
    <t>smoothie001/smoothie001_body_attack03_hit02</t>
  </si>
  <si>
    <t>斯慕吉水花爆点</t>
  </si>
  <si>
    <t>smoothie001/smoothie001_body_buff01</t>
  </si>
  <si>
    <t>斯慕吉循环buff</t>
  </si>
  <si>
    <t>smoothie001/smoothie001_body_buff02</t>
  </si>
  <si>
    <t>斯慕吉直播播放一次buff</t>
  </si>
  <si>
    <t>kuzan003/kuzan003_body_attack01</t>
  </si>
  <si>
    <t>新世界青雉普攻特效</t>
  </si>
  <si>
    <t>kuzan003/kuzan003_body_attack01_hit</t>
  </si>
  <si>
    <t>新世界青雉普攻受击点</t>
  </si>
  <si>
    <t>kuzan003/kuzan003_body_attack02</t>
  </si>
  <si>
    <t>新世界青雉attack02特效</t>
  </si>
  <si>
    <t>kuzan003/kuzan003_body_attack03</t>
  </si>
  <si>
    <t>新世界青雉attack03特效</t>
  </si>
  <si>
    <t>kuzan003/kuzan003_body_attack04</t>
  </si>
  <si>
    <t>新世界青雉attack04特效</t>
  </si>
  <si>
    <t>kuzan003/kuzan003_body_attack04_hit</t>
  </si>
  <si>
    <t>新世界青雉新世界青雉attack04受击点</t>
  </si>
  <si>
    <t>kuzan003/kuzan003_body_attack04_Point001</t>
  </si>
  <si>
    <t>新世界青雉新世界青雉attack04绑点</t>
  </si>
  <si>
    <t>kuzan003/kuzan003_body_attack05</t>
  </si>
  <si>
    <t>新世界青雉新世界青雉attack05特效</t>
  </si>
  <si>
    <t>kuzan003/kuzan003_body_attack05_hit</t>
  </si>
  <si>
    <t>新世界青雉新世界青雉attack05受击点</t>
  </si>
  <si>
    <t>kuzan003/kuzan003_body_attack06</t>
  </si>
  <si>
    <t>新世界青雉新世界青雉attack06特效</t>
  </si>
  <si>
    <t>kuzan003/kuzan003_body_attack06_Bip001_R_Hand</t>
  </si>
  <si>
    <t>新世界青雉新世界青雉attack06绑点</t>
  </si>
  <si>
    <t>kuzan003/kuzan003_body_attack07</t>
  </si>
  <si>
    <t>新世界青雉新世界青雉attack07特效</t>
  </si>
  <si>
    <t>kuzan003/kuzan003_body_mood06</t>
  </si>
  <si>
    <t>新世界青雉八星专属</t>
  </si>
  <si>
    <t>kuzan003/kuzan003_body_stand</t>
  </si>
  <si>
    <t>新世界青雉八星特效</t>
  </si>
  <si>
    <t>kuzan003/kuzan003_body_attack08</t>
  </si>
  <si>
    <t>新世界青雉attack08特效</t>
  </si>
  <si>
    <t>kuzan003/kuzan003_body_stand_Bip001_R_Clavicle</t>
  </si>
  <si>
    <t>新世界青雉八星特效挂点</t>
  </si>
  <si>
    <t>kuzan003/kuzan003_body_stand_Bip001_R_Forearm</t>
  </si>
  <si>
    <t>kuzan003/kuzan003_body_stand_Bip001_R_UpperArm</t>
  </si>
  <si>
    <t>kuzan003/kuzan003_body_attack02_hit</t>
  </si>
  <si>
    <t>新世界青雉attack02受击特效</t>
  </si>
  <si>
    <t>kuzan003/kuzan003_body_attack03_hit</t>
  </si>
  <si>
    <t>新世界青雉attack03受击特效</t>
  </si>
  <si>
    <t>kuzan003/kuzan003_body_attack04_hit02</t>
  </si>
  <si>
    <t>青雉04爆点（延长爆）</t>
  </si>
  <si>
    <t>kuzan003/kuzan003_body_attack04_hit03</t>
  </si>
  <si>
    <t>青雉04爆点2（延长爆）</t>
  </si>
  <si>
    <t>kuzan003/kuzan003_body_attack08_hit</t>
  </si>
  <si>
    <t>青雉奥义单个冰冻柱子</t>
  </si>
  <si>
    <t>sakazuki002/sakazuki002_body_attack01</t>
  </si>
  <si>
    <t>两年后赤犬普攻特效</t>
  </si>
  <si>
    <t>sakazuki002/sakazuki002_body_attack01_hit01</t>
  </si>
  <si>
    <t>两年后赤犬普攻受击点1</t>
  </si>
  <si>
    <t>sakazuki002/sakazuki002_body_attack01_hit02</t>
  </si>
  <si>
    <t>两年后赤犬普攻受击点2</t>
  </si>
  <si>
    <t>sakazuki002/sakazuki002_body_attack03</t>
  </si>
  <si>
    <t>两年后赤犬赤犬attack02特效</t>
  </si>
  <si>
    <t>sakazuki002/sakazuki002_body_attack03_hit</t>
  </si>
  <si>
    <t>两年后赤犬赤犬attack02受击特效</t>
  </si>
  <si>
    <t>sakazuki002/sakazuki002_body_attack04</t>
  </si>
  <si>
    <t>两年后赤犬赤犬attack03特效</t>
  </si>
  <si>
    <t>sakazuki002/sakazuki002_body_attack04_hit</t>
  </si>
  <si>
    <t>两年后赤犬赤犬attack03受击特效</t>
  </si>
  <si>
    <t>sakazuki002/sakazuki002_body_attack04_Point001</t>
  </si>
  <si>
    <t>两年后赤犬attack03绑点</t>
  </si>
  <si>
    <t>sakazuki002/sakazuki002_body_attack04_Point002</t>
  </si>
  <si>
    <t>sakazuki002/sakazuki002_body_attack06</t>
  </si>
  <si>
    <t>两年后赤犬attack06特效</t>
  </si>
  <si>
    <t>sakazuki002/sakazuki002_body_attack07</t>
  </si>
  <si>
    <t>两年后赤犬attack07特效</t>
  </si>
  <si>
    <t>sakazuki002/sakazuki002_body_attack07_Point001</t>
  </si>
  <si>
    <t>两年后赤犬attack07绑点</t>
  </si>
  <si>
    <t>sakazuki002/sakazuki002_body_attack07_Point002</t>
  </si>
  <si>
    <t>sakazuki002/sakazuki002_body_attack09</t>
  </si>
  <si>
    <t>两年后赤犬attack08特效</t>
  </si>
  <si>
    <t>sakazuki002/sakazuki002_body_attack09_Bone047</t>
  </si>
  <si>
    <t>两年后赤犬attack08绑点</t>
  </si>
  <si>
    <t>sakazuki002/sakazuki002_body_attack09_Point002</t>
  </si>
  <si>
    <t>sakazuki002/sakazuki002_body_attack10</t>
  </si>
  <si>
    <t>两年后赤犬attack05特效</t>
  </si>
  <si>
    <t>sakazuki002/sakazuki002_body_attack10_Bip001_L_Clavicle</t>
  </si>
  <si>
    <t>两年后赤犬attack05绑点</t>
  </si>
  <si>
    <t>sakazuki002/sakazuki002_body_attack10_Bip001_R_Clavicle</t>
  </si>
  <si>
    <t>sakazuki002/sakazuki002_body_mood06</t>
  </si>
  <si>
    <t>两年后赤犬八星专属特效</t>
  </si>
  <si>
    <t>sakazuki002/sakazuki002_body_stand</t>
  </si>
  <si>
    <t>两年后赤犬八星待机特效</t>
  </si>
  <si>
    <t>sakazuki002/sakazuki002_body_stand_Bip001LForeTwist</t>
  </si>
  <si>
    <t>两年后赤犬八星待机特效绑点</t>
  </si>
  <si>
    <t>sakazuki002/sakazuki002_body_stand_Bip001LUpArmTwist1</t>
  </si>
  <si>
    <t>sakazuki002/sakazuki002_body_stand_Point003</t>
  </si>
  <si>
    <t>sakazuki002/sakazuki002_body_attack02</t>
  </si>
  <si>
    <t>两年后赤犬attack02特效</t>
  </si>
  <si>
    <t>sakazuki002/sakazuki002_body_attack02_hit01</t>
  </si>
  <si>
    <t>两年后赤犬attack02被击特效</t>
  </si>
  <si>
    <t>sakazuki002/sakazuki002_body_attack02_hit02</t>
  </si>
  <si>
    <t>sakazuki002/sakazuki002_body_attack02_hit03</t>
  </si>
  <si>
    <t>nami013/nami013_body_attack06</t>
  </si>
  <si>
    <t>新世界娜美圣诞节时装attack06</t>
  </si>
  <si>
    <t>nami013/nami013_body_attack06_1</t>
  </si>
  <si>
    <t>kuzan003/kuzan003_body_buff01</t>
  </si>
  <si>
    <t>两年后青雉buff01</t>
  </si>
  <si>
    <t>kuzan003/kuzan003_body_buff02</t>
  </si>
  <si>
    <t>两年后青雉buff02</t>
  </si>
  <si>
    <t>kuzan003/kuzan003_body_buff03</t>
  </si>
  <si>
    <t>两年后青雉buff03</t>
  </si>
  <si>
    <t>kuzan003/kuzan003_body_buff04_Bip001RHand</t>
  </si>
  <si>
    <t>两年后青雉手寒气</t>
  </si>
  <si>
    <t>sakazuki002/sakazuki002_body_Buff01</t>
  </si>
  <si>
    <t>两年后赤犬buff01</t>
  </si>
  <si>
    <t>sakazuki002/sakazuki002_body_Buff02</t>
  </si>
  <si>
    <t>两年后赤犬buff02</t>
  </si>
  <si>
    <t>robin004/robin008_body_attack08</t>
  </si>
  <si>
    <t>新世界罗宾圣诞节时装attack08</t>
  </si>
  <si>
    <t>sakazuki002/sakazuki002_body_Buff03</t>
  </si>
  <si>
    <t>新世界赤犬buff03</t>
  </si>
  <si>
    <t>sakazuki002/sakazuki002_body_attack10_pro</t>
  </si>
  <si>
    <t>赤犬炮弹</t>
  </si>
  <si>
    <t>赤犬护盾</t>
  </si>
  <si>
    <t>sakazuki002/sakazuki002_body_Buff04</t>
  </si>
  <si>
    <t>赤犬地面（红）</t>
  </si>
  <si>
    <t>sakazuki002/sakazuki002_body_Buff05dimain</t>
  </si>
  <si>
    <t>赤犬地面（弱）</t>
  </si>
  <si>
    <t>sakazuki002/sakazuki002_body_Buff06</t>
  </si>
  <si>
    <t>赤犬场地</t>
  </si>
  <si>
    <t>sakazuki002/sakazuki002_body_Buff07</t>
  </si>
  <si>
    <t>赤犬场地消失</t>
  </si>
  <si>
    <t>sakazuki002/sakazuki002_body_Buff08</t>
  </si>
  <si>
    <t>08、</t>
  </si>
  <si>
    <t>moria/moria_attack12</t>
  </si>
  <si>
    <t>莫利亚超奥义</t>
  </si>
  <si>
    <t xml:space="preserve">                           </t>
  </si>
  <si>
    <t>diamante001/diamante001_body_attack01</t>
  </si>
  <si>
    <t>迪亚曼迪普攻</t>
  </si>
  <si>
    <t>diamante001/diamante001_body_attack01_hit</t>
  </si>
  <si>
    <t>迪亚曼迪普攻受击</t>
  </si>
  <si>
    <t>diamante001/diamante001_body_attack02</t>
  </si>
  <si>
    <t>迪亚曼迪技能1</t>
  </si>
  <si>
    <t>diamante001/diamante001_body_attack02_hit</t>
  </si>
  <si>
    <t>迪亚曼迪技能1受击</t>
  </si>
  <si>
    <t>diamante001/diamante001_body_attack03</t>
  </si>
  <si>
    <t>迪亚曼迪技能2</t>
  </si>
  <si>
    <t>diamante001/diamante001_body_attack04</t>
  </si>
  <si>
    <t>迪亚曼迪技能3</t>
  </si>
  <si>
    <t>diamante001/diamante001_body_attack04_dao</t>
  </si>
  <si>
    <t>迪亚曼迪技能3刀柄绑点</t>
  </si>
  <si>
    <t>diamante001/diamante001_body_attack04_hit</t>
  </si>
  <si>
    <t>迪亚曼迪技能3受击</t>
  </si>
  <si>
    <t>diamante001/diamante001_body_attack05</t>
  </si>
  <si>
    <t>迪亚曼迪技能4</t>
  </si>
  <si>
    <t>senor/senor001_body_attack01</t>
  </si>
  <si>
    <t>赛诺尔·平克普攻</t>
  </si>
  <si>
    <t>senor/senor001_body_attack02</t>
  </si>
  <si>
    <t>赛诺尔·平克技能1</t>
  </si>
  <si>
    <t>senor/senor001_body_attack02_hit</t>
  </si>
  <si>
    <t>赛诺尔·平克技能1受击</t>
  </si>
  <si>
    <t>pica001/pica001_body_attack01</t>
  </si>
  <si>
    <t>皮卡（正常）普攻</t>
  </si>
  <si>
    <t>pica001/pica001_body_attack01_hit01</t>
  </si>
  <si>
    <t>皮卡（正常）普攻受击</t>
  </si>
  <si>
    <t>pica001/pica001_body_attack02</t>
  </si>
  <si>
    <t>皮卡（正常）技能1</t>
  </si>
  <si>
    <t>pica001/pica001_body_attack02_hit01</t>
  </si>
  <si>
    <t>皮卡（正常）技能1受击</t>
  </si>
  <si>
    <t>pica001/pica001_body_attack03</t>
  </si>
  <si>
    <t>皮卡（正常）技能2</t>
  </si>
  <si>
    <t>pica002/pica002_body_attack01</t>
  </si>
  <si>
    <t>皮卡（霸气形态）普攻</t>
  </si>
  <si>
    <t>pica002/pica002_body_attack01_hit</t>
  </si>
  <si>
    <t>皮卡（霸气形态）普攻受击</t>
  </si>
  <si>
    <t>pica002/pica002_body_attack02</t>
  </si>
  <si>
    <t>皮卡（霸气形态）技能1</t>
  </si>
  <si>
    <t>pica002/pica002_body_attack03</t>
  </si>
  <si>
    <t>皮卡（霸气形态）技能2</t>
  </si>
  <si>
    <t>pica003/pica003_body_attack01</t>
  </si>
  <si>
    <t>皮卡（小石头）普攻</t>
  </si>
  <si>
    <t>pica003/pica003_body_attack01_hit</t>
  </si>
  <si>
    <t>皮卡（小石头）普攻受击</t>
  </si>
  <si>
    <t>pica003/pica003_body_attack02</t>
  </si>
  <si>
    <t>皮卡（小石头）技能1</t>
  </si>
  <si>
    <t>pica003/pica003_body_attack03</t>
  </si>
  <si>
    <t>皮卡（小石头）技能2</t>
  </si>
  <si>
    <t>pica004/pica004_body_attack01</t>
  </si>
  <si>
    <t>皮卡（大石头）普攻</t>
  </si>
  <si>
    <t>pica004/pica004_body_attack02</t>
  </si>
  <si>
    <t>皮卡（大石头）技能1</t>
  </si>
  <si>
    <t>pica004/pica004_body_attack02_Bip001RHand</t>
  </si>
  <si>
    <t>皮卡（大石头）技能1绑点</t>
  </si>
  <si>
    <t>pica004/pica004_body_attack03</t>
  </si>
  <si>
    <t>皮卡（大石头）技能2</t>
  </si>
  <si>
    <t>pica004/pica004_body_attack04</t>
  </si>
  <si>
    <t>皮卡（大石头）技能3</t>
  </si>
  <si>
    <t>guladiwusi_body/guladiwusi_body_attack01</t>
  </si>
  <si>
    <t>古拉迪乌斯普攻</t>
  </si>
  <si>
    <t>guladiwusi_body/guladiwusi_body_attack01_hit</t>
  </si>
  <si>
    <t>古拉迪乌斯普攻受击</t>
  </si>
  <si>
    <t>guladiwusi_body/guladiwusi_body_attack02</t>
  </si>
  <si>
    <t>古拉迪乌斯技能1</t>
  </si>
  <si>
    <t>guladiwusi_body/guladiwusi_body_attack02_hit_01</t>
  </si>
  <si>
    <t>古拉迪乌斯技能1受击1</t>
  </si>
  <si>
    <t>guladiwusi_body/guladiwusi_body_attack02_hit_02</t>
  </si>
  <si>
    <t>古拉迪乌斯技能1受击2</t>
  </si>
  <si>
    <t>guladiwusi_body/guladiwusi_body_attack03</t>
  </si>
  <si>
    <t>古拉迪乌斯技能2</t>
  </si>
  <si>
    <t>guladiwusi_body/guladiwusi_body_attack04</t>
  </si>
  <si>
    <t>古拉迪乌斯技能3</t>
  </si>
  <si>
    <t>guladiwusi_body/guladiwusi_body_buff01</t>
  </si>
  <si>
    <t>古拉迪乌斯BUFF01</t>
  </si>
  <si>
    <t>guladiwusi_body/guladiwusi_body_buff02</t>
  </si>
  <si>
    <t>古拉迪乌斯BUFF02</t>
  </si>
  <si>
    <t>trebol002/trebol002_attack01</t>
  </si>
  <si>
    <t>托雷波尔普攻</t>
  </si>
  <si>
    <t>trebol002/trebol002_attack01_hit</t>
  </si>
  <si>
    <t>托雷波尔普攻受击</t>
  </si>
  <si>
    <t>trebol002/trebol002_attack02</t>
  </si>
  <si>
    <t>托雷波尔技能1</t>
  </si>
  <si>
    <t>trebol002/trebol002_attack02_hit</t>
  </si>
  <si>
    <t>托雷波尔技能1受击</t>
  </si>
  <si>
    <t>trebol002/trebol002_attack02_pro</t>
  </si>
  <si>
    <t>托雷波尔技能1特殊挂点</t>
  </si>
  <si>
    <t>trebol002/trebol002_attack03</t>
  </si>
  <si>
    <t>托雷波尔技能2</t>
  </si>
  <si>
    <t>trebol002/trebol002_attack03_gro</t>
  </si>
  <si>
    <t>托雷波尔技能2特殊挂点</t>
  </si>
  <si>
    <t>trebol002/trebol002_attack04</t>
  </si>
  <si>
    <t>托雷波尔技能3</t>
  </si>
  <si>
    <t>trebol002/trebol002_BUFF</t>
  </si>
  <si>
    <t>托雷波尔BUFF</t>
  </si>
  <si>
    <t>moria/moria_BUFF_anyingzhuoshao</t>
  </si>
  <si>
    <t>莫利亚暗影灼烧buff</t>
  </si>
  <si>
    <t>reijiu002/reijiu002_attack01</t>
  </si>
  <si>
    <t>蕾玖普攻特效</t>
  </si>
  <si>
    <t>reijiu002/reijiu002_attack01_hit</t>
  </si>
  <si>
    <t>蕾玖普攻受击特效</t>
  </si>
  <si>
    <t>reijiu002/reijiu002_attack02</t>
  </si>
  <si>
    <t>蕾玖attack02特效</t>
  </si>
  <si>
    <t>reijiu002/reijiu002_attack02_hit</t>
  </si>
  <si>
    <t>蕾玖attack02受击特效</t>
  </si>
  <si>
    <t>reijiu002/reijiu002_attack03</t>
  </si>
  <si>
    <t>蕾玖attack03特效</t>
  </si>
  <si>
    <t>reijiu002/reijiu002_attack03_Hit</t>
  </si>
  <si>
    <t>蕾玖attack03受击特效</t>
  </si>
  <si>
    <t>reijiu002/reijiu002_attack04</t>
  </si>
  <si>
    <t>蕾玖attack04特效</t>
  </si>
  <si>
    <t>reijiu002/reijiu002_attack05</t>
  </si>
  <si>
    <t>蕾玖attack05特效</t>
  </si>
  <si>
    <t>reijiu002/reijiu002_attack06</t>
  </si>
  <si>
    <t>蕾玖attack06特效</t>
  </si>
  <si>
    <t>reijiu002/reijiu002_attack07</t>
  </si>
  <si>
    <t>蕾玖attack07特效</t>
  </si>
  <si>
    <t>reijiu002/reijiu002_attack07hit</t>
  </si>
  <si>
    <t>蕾玖attack07受击特效</t>
  </si>
  <si>
    <t>reijiu002/reijiu002_attack08</t>
  </si>
  <si>
    <t>蕾玖attack08特效</t>
  </si>
  <si>
    <t>reijiu002/reijiu002_mood06</t>
  </si>
  <si>
    <t>蕾玖专属特效</t>
  </si>
  <si>
    <t>reijiu002/reijiu002_stand</t>
  </si>
  <si>
    <t>蕾玖8星特效</t>
  </si>
  <si>
    <t>reijiu002/reijiu002_attack02_bone_000</t>
  </si>
  <si>
    <t>蕾玖attack02挂点</t>
  </si>
  <si>
    <t>sugar001_body/sugar001_body_attack01</t>
  </si>
  <si>
    <t>砂糖普攻</t>
  </si>
  <si>
    <t>sugar001_body/sugar001_body_attack01_Bip001LHand</t>
  </si>
  <si>
    <t>砂糖普攻挂点</t>
  </si>
  <si>
    <t>sugar001_body/sugar001_body_attack01_hit</t>
  </si>
  <si>
    <t>砂糖普攻受击</t>
  </si>
  <si>
    <t>sugar001_body/sugar001_body_attack02</t>
  </si>
  <si>
    <t>砂糖技能1</t>
  </si>
  <si>
    <t>sugar001_body/sugar001_body_attack04</t>
  </si>
  <si>
    <t>砂糖技能3</t>
  </si>
  <si>
    <t>sugar001_body/sugar001_body_attack04_Hit</t>
  </si>
  <si>
    <t>砂糖技能3受击</t>
  </si>
  <si>
    <t>sugar001_body/sugar001_body_attack05</t>
  </si>
  <si>
    <t>砂糖技能4</t>
  </si>
  <si>
    <t>reijiu002/reijiu002_attack08_Bip001_L_Finger1Nub</t>
  </si>
  <si>
    <t>蕾玖attack08挂点</t>
  </si>
  <si>
    <t>diamante001/diamante001_body_attack05_tieqiu</t>
  </si>
  <si>
    <t>迪亚曼迪铁球环境BUFF</t>
  </si>
  <si>
    <t>sugar001_body/sugar001_body_attack02_hit01</t>
  </si>
  <si>
    <t>砂糖技能1受击</t>
  </si>
  <si>
    <t>reijiu002/reijiu002_attack08_hit01</t>
  </si>
  <si>
    <t>蕾玖attack08受击点</t>
  </si>
  <si>
    <t>reijiu002/reijiu002_attack08_01</t>
  </si>
  <si>
    <t>蕾玖时装attack08</t>
  </si>
  <si>
    <t>reijiu002/reijiu002_buff_01</t>
  </si>
  <si>
    <t>蕾玖buff单体</t>
  </si>
  <si>
    <t>reijiu002/reijiu002_buff_02</t>
  </si>
  <si>
    <t>蕾玖buff群体</t>
  </si>
  <si>
    <t>threedoll03/threedoll03_tck01</t>
  </si>
  <si>
    <t>玩偶小熊普攻</t>
  </si>
  <si>
    <t>roblucci006/roblucci006_attack01</t>
  </si>
  <si>
    <t>新世界鲁兹普攻特效</t>
  </si>
  <si>
    <t>roblucci006/roblucci006_attack01_hit</t>
  </si>
  <si>
    <t>新世界鲁兹普攻受击特效</t>
  </si>
  <si>
    <t>roblucci006/roblucci006_attack02</t>
  </si>
  <si>
    <t>新世界鲁兹attack02特效</t>
  </si>
  <si>
    <t>roblucci006/roblucci006_attack02_hit01</t>
  </si>
  <si>
    <t>新世界鲁兹attack02受击特效</t>
  </si>
  <si>
    <t>roblucci006/roblucci006_attack03</t>
  </si>
  <si>
    <t>新世界鲁兹attack03特效</t>
  </si>
  <si>
    <t>roblucci006/roblucci006_attack03_hit</t>
  </si>
  <si>
    <t>新世界鲁兹attack03受击特效</t>
  </si>
  <si>
    <t>roblucci006/roblucci006_attack04</t>
  </si>
  <si>
    <t>新世界鲁兹attack04特效</t>
  </si>
  <si>
    <t>roblucci006/roblucci006_attack04_hit</t>
  </si>
  <si>
    <t>新世界鲁兹attack04受击特效</t>
  </si>
  <si>
    <t>roblucci006/roblucci006_attack05</t>
  </si>
  <si>
    <t>新世界鲁兹attack05特效</t>
  </si>
  <si>
    <t>roblucci006/roblucci006_attack05_hit</t>
  </si>
  <si>
    <t>新世界鲁兹attack05受击特效</t>
  </si>
  <si>
    <t>roblucci006/roblucci006_attack06</t>
  </si>
  <si>
    <t>新世界鲁兹attack06特效</t>
  </si>
  <si>
    <t>roblucci006/roblucci006_attack07</t>
  </si>
  <si>
    <t>新世界鲁兹attack07特效</t>
  </si>
  <si>
    <t>roblucci006/roblucci006_attack07_Bip001RFinger1Nub</t>
  </si>
  <si>
    <t>新世界鲁兹attack07特效绑点</t>
  </si>
  <si>
    <t>roblucci006/roblucci006_attack07_Bip001RForearm</t>
  </si>
  <si>
    <t>新世界鲁兹attack07特效帮点</t>
  </si>
  <si>
    <t>roblucci006/roblucci006_attack08</t>
  </si>
  <si>
    <t>新世界鲁兹attack08特效</t>
  </si>
  <si>
    <t>roblucci006/roblucci006_attack09</t>
  </si>
  <si>
    <t>新世界鲁兹attack09特效</t>
  </si>
  <si>
    <t>roblucci006/roblucci006_mood06</t>
  </si>
  <si>
    <t>新世界鲁兹专属</t>
  </si>
  <si>
    <t>roblucci006/roblucci006_Stand</t>
  </si>
  <si>
    <t>新世界鲁兹八星</t>
  </si>
  <si>
    <t>roblucci006/roblucci006_attack01_hit02</t>
  </si>
  <si>
    <t>新世界鲁兹普攻最后一下受击</t>
  </si>
  <si>
    <t>bartolomeo001/bartolomeo001_body_attack01</t>
  </si>
  <si>
    <t>巴托普攻特效</t>
  </si>
  <si>
    <t>bartolomeo001/bartolomeo001_body_attack01_hit</t>
  </si>
  <si>
    <t>巴托普攻受击特效</t>
  </si>
  <si>
    <t>bartolomeo001/bartolomeo001_body_attack02</t>
  </si>
  <si>
    <t>巴托attack02特效</t>
  </si>
  <si>
    <t>bartolomeo001/bartolomeo001_body_attack03</t>
  </si>
  <si>
    <t>巴托attack03特效</t>
  </si>
  <si>
    <t>bartolomeo001/bartolomeo001_body_attack04</t>
  </si>
  <si>
    <t>巴托attack04特效</t>
  </si>
  <si>
    <t>bartolomeo001/bartolomeo001_body_attack05</t>
  </si>
  <si>
    <t>巴托attack05特效</t>
  </si>
  <si>
    <t>bartolomeo001/bartolomeo001_body_attack05_gro</t>
  </si>
  <si>
    <t>巴托attack05的屏障球</t>
  </si>
  <si>
    <t>bartolomeo001/bartolomeo001_body_attack07</t>
  </si>
  <si>
    <t>巴托attack07特效</t>
  </si>
  <si>
    <t>bartolomeo001/bartolomeo001_body_attack08</t>
  </si>
  <si>
    <t>巴托attack08特效</t>
  </si>
  <si>
    <t>bartolomeo001/bartolomeo001_body_attack08_Bip001_R_Hand</t>
  </si>
  <si>
    <t>巴托attack08绑点</t>
  </si>
  <si>
    <t>bartolomeo001/bartolomeo001_body_bx</t>
  </si>
  <si>
    <t>巴托八星特效</t>
  </si>
  <si>
    <t>bartolomeo001/bartolomeo001_body_mod05</t>
  </si>
  <si>
    <t>巴托八星专属特效</t>
  </si>
  <si>
    <t>bartolomeo001/bartolomeo001_body_win</t>
  </si>
  <si>
    <t>巴托胜利动作特效</t>
  </si>
  <si>
    <t>bartolomeo001/bartolomeo001_body_attack06</t>
  </si>
  <si>
    <t>巴托attack06特效</t>
  </si>
  <si>
    <t>bartolomeo001/bartolomeo001_body_attack06_Bip001_L_Hand</t>
  </si>
  <si>
    <t>巴托attack06绑点特效</t>
  </si>
  <si>
    <t>bartolomeo001/bartolomeo001_body_attack06_zhadan_zhadan001</t>
  </si>
  <si>
    <t>巴托attack06炸弹特效</t>
  </si>
  <si>
    <t>bartolomeo001/bartolomeo001_body_mood02</t>
  </si>
  <si>
    <t>巴托mood02特效</t>
  </si>
  <si>
    <t>bartolomeo001/bartolomeo001_body_mood02_Bip001_R_Hand</t>
  </si>
  <si>
    <t>巴托mood02特效挂点</t>
  </si>
  <si>
    <t>roblucci006/roblucci006_attack02_hit02</t>
  </si>
  <si>
    <t>新世界路奇attack02受击特效2</t>
  </si>
  <si>
    <t>hancock006/hancock006_body_attack01</t>
  </si>
  <si>
    <t>Impel女帝</t>
  </si>
  <si>
    <t>hancock006/hancock006_body_attack01_hit</t>
  </si>
  <si>
    <t>hancock006/hancock006_body_attack02</t>
  </si>
  <si>
    <t>hancock006/hancock006_body_attack02_hit</t>
  </si>
  <si>
    <t>hancock006/hancock006_body_attack03</t>
  </si>
  <si>
    <t>hancock006/hancock006_body_attack03_hit</t>
  </si>
  <si>
    <t>hancock006/hancock006_body_attack04</t>
  </si>
  <si>
    <t>hancock006/hancock006_body_attack05</t>
  </si>
  <si>
    <t>hancock006/hancock006_body_attack05_hit</t>
  </si>
  <si>
    <t>hancock006/hancock006_body_attack06</t>
  </si>
  <si>
    <t>hancock006/hancock006_body_attack07</t>
  </si>
  <si>
    <t>hancock006/hancock006_body_attack07_Bip001Footsteps</t>
  </si>
  <si>
    <t>hancock006/hancock006_body_attack08</t>
  </si>
  <si>
    <t>hancock006/hancock006_body_moo06</t>
  </si>
  <si>
    <t>hancock006/hancock006_body_stand</t>
  </si>
  <si>
    <t>roblucci006/roblucci006_buff01</t>
  </si>
  <si>
    <t>新世界路奇六式buff特效</t>
  </si>
  <si>
    <t>roblucci006/roblucci006_buff02</t>
  </si>
  <si>
    <t>新世界路奇纸绘武身buff特效</t>
  </si>
  <si>
    <t>bartolomeo001/bartolomeo001_body_buff01</t>
  </si>
  <si>
    <t>巴托屏障球</t>
  </si>
  <si>
    <t>hancock006/hancock006_body_Buff_01</t>
  </si>
  <si>
    <t>Impel女帝魅惑buff</t>
  </si>
  <si>
    <t>hancock006/hancock006_body_Mood04</t>
  </si>
  <si>
    <t>Impel女帝mood04特效</t>
  </si>
  <si>
    <t>hancock006/hancock006_body_attack08_07</t>
  </si>
  <si>
    <t>Impel女帝和服换皮特效</t>
  </si>
  <si>
    <t>marco005_body/marco005_body_attack06</t>
  </si>
  <si>
    <t>两年后马尔高attack06特效</t>
  </si>
  <si>
    <t>marco005_body/marco005_body_attack07</t>
  </si>
  <si>
    <t>两年后马尔高attack07特效</t>
  </si>
  <si>
    <t>marco005_body/marco005_body_attack07_Bip001LUpperArm</t>
  </si>
  <si>
    <t>两年后马尔高attack07绑点特效</t>
  </si>
  <si>
    <t>marco005_body/marco005_body_attack07_Bip001RUpperArm</t>
  </si>
  <si>
    <t>marco005_body/marco005_body_attack07_Bone024</t>
  </si>
  <si>
    <t>marco005_body/marco005_body_attack07_Bone025</t>
  </si>
  <si>
    <t>marco005_body/marco005_body_attack07_Bone026</t>
  </si>
  <si>
    <t>marco005_body/marco005_body_attack07_Bone029</t>
  </si>
  <si>
    <t>marco005_body/marco005_body_attack07_Dummy012</t>
  </si>
  <si>
    <t>marco005_body/marco005_body_attack07_Point008</t>
  </si>
  <si>
    <t>两年后马尔高两年后马尔高attack07绑点特效</t>
  </si>
  <si>
    <t>marco005_body/marco005_body_attack08</t>
  </si>
  <si>
    <t>两年后马尔高attack08特效</t>
  </si>
  <si>
    <t>marco005_body/marco005_body_attack08_guadian</t>
  </si>
  <si>
    <t>两年后马尔高attack08绑点特效</t>
  </si>
  <si>
    <t>marco005_body/marco005_body_attack09</t>
  </si>
  <si>
    <t>两年后马尔高attack09特效</t>
  </si>
  <si>
    <t>marco005_body/marco005_body_attack09_hit</t>
  </si>
  <si>
    <t>两年后马尔高attack09受击特效</t>
  </si>
  <si>
    <t>marco005_body/marco005_body_attack10</t>
  </si>
  <si>
    <t>两年后马尔高attack10特效</t>
  </si>
  <si>
    <t>marco005_body/marco005_body_attack10_hit</t>
  </si>
  <si>
    <t>两年后马尔高attack10受击特效</t>
  </si>
  <si>
    <t>marco005_body/marco005_body_stand</t>
  </si>
  <si>
    <t>两年后马尔高八星特效</t>
  </si>
  <si>
    <t>marco005_body/marco005_body_attack01</t>
  </si>
  <si>
    <t>两年后马尔高attack01特效</t>
  </si>
  <si>
    <t>marco005_body/marco005_body_attack01_hit</t>
  </si>
  <si>
    <t>两年后马尔高attack01受击</t>
  </si>
  <si>
    <t>marco005_body/marco005_body_attack02</t>
  </si>
  <si>
    <t>两年后马尔高attack02特效</t>
  </si>
  <si>
    <t>marco005_body/marco005_body_attack03</t>
  </si>
  <si>
    <t>两年后马尔高attack03特效</t>
  </si>
  <si>
    <t>marco005_body/marco005_body_attack04</t>
  </si>
  <si>
    <t>两年后马尔高attack04特效</t>
  </si>
  <si>
    <t>marco005_body/marco005_body_attack05</t>
  </si>
  <si>
    <t>两年后马尔高attack05特效</t>
  </si>
  <si>
    <t>marco005_body/marco005_body_mood05</t>
  </si>
  <si>
    <t>两年后马尔高八星专属</t>
  </si>
  <si>
    <t>marco005_body/marco005_body_mood05_fire</t>
  </si>
  <si>
    <t>两年后马尔高八星专属绑点</t>
  </si>
  <si>
    <t>bartolomeo001/bartolomeo001_body_buff02</t>
  </si>
  <si>
    <t>巴托特效</t>
  </si>
  <si>
    <t>bartolomeo001/bartolomeo001_body_buff03</t>
  </si>
  <si>
    <t>marco005_body/marco005_body_stand1</t>
  </si>
  <si>
    <t>两年后马尔高特效</t>
  </si>
  <si>
    <t>marco005_body/marco006_body_run_Bip001LUpperArm</t>
  </si>
  <si>
    <t>两年后马尔高时装特效</t>
  </si>
  <si>
    <t>marco005_body/marco006_body_run_Bip001RUpperArm</t>
  </si>
  <si>
    <t>marco005_body/marco006_body_run_Bone024</t>
  </si>
  <si>
    <t>两年后马尔高时装run特效</t>
  </si>
  <si>
    <t>marco005_body/marco006_body_run_Bone025</t>
  </si>
  <si>
    <t>marco005_body/marco006_body_run_Bone029</t>
  </si>
  <si>
    <t>marco005_body/marco006_body_run_Dummy012</t>
  </si>
  <si>
    <t>marco005_body/marco005_body_tongyong_chibanghuo</t>
  </si>
  <si>
    <t>两年后马尔高翅膀挂点（火）</t>
  </si>
  <si>
    <t>marco005_body/marco005_body_mood05_DiMian</t>
  </si>
  <si>
    <t>两年后马尔高八星专属（时装）</t>
  </si>
  <si>
    <t>marco005_body/marco005_body_mood05_jianbanghuo</t>
  </si>
  <si>
    <t>marco005_body/marco006_body_mood05</t>
  </si>
  <si>
    <t>marco005_body/marco005_body_attack02_huoxiaoshi</t>
  </si>
  <si>
    <t>马尔高attack02遮挡</t>
  </si>
  <si>
    <t>marco005_body/marco005_body_attack04_huoxiaoshi</t>
  </si>
  <si>
    <t>马尔高attack04遮挡</t>
  </si>
  <si>
    <t>marco005_body/marco005_body_BUFF_bianshen</t>
  </si>
  <si>
    <t>两年后马尔高变身遮挡</t>
  </si>
  <si>
    <t>marco005_body/marco005_body_BUFF02_fuhuo</t>
  </si>
  <si>
    <t>2年后马尔高复活buff特效</t>
  </si>
  <si>
    <t>marco005_body/marco005_body_attack06_chibanghuo</t>
  </si>
  <si>
    <t>两年后马尔高attack06绑点特效</t>
  </si>
  <si>
    <t>marco005_body/marco005_body_mood05_fire02</t>
  </si>
  <si>
    <t>两年后马尔高时装8星特效</t>
  </si>
  <si>
    <t>marco005_body/marco005_body_attack08_chibanghuo</t>
  </si>
  <si>
    <t>两年后马尔高attack08特效挂点</t>
  </si>
  <si>
    <t>bartolomeo001/bartolomeo001_body_attack02_feiji</t>
  </si>
  <si>
    <t>巴托飞机绑点</t>
  </si>
  <si>
    <t>mihawk002_body/mihawk002_body_attack01</t>
  </si>
  <si>
    <t>新世界鹰眼ATK 01特效</t>
  </si>
  <si>
    <t>mihawk002_body/mihawk002_body_attack01_hit01</t>
  </si>
  <si>
    <t>新世界鹰眼ATK01受击1</t>
  </si>
  <si>
    <t>mihawk002_body/mihawk002_body_attack01_hit02</t>
  </si>
  <si>
    <t>新世界鹰眼ATK01受击2</t>
  </si>
  <si>
    <t>mihawk002_body/mihawk002_body_attack02</t>
  </si>
  <si>
    <t>新世界鹰眼ATK 02特效</t>
  </si>
  <si>
    <t>mihawk002_body/mihawk002_body_attack02_hit</t>
  </si>
  <si>
    <t>新世界鹰眼ATK 02受击</t>
  </si>
  <si>
    <t>mihawk002_body/mihawk002_body_attack02_Xuli</t>
  </si>
  <si>
    <t>新世界鹰眼ATK 02蓄力绑点</t>
  </si>
  <si>
    <t>mihawk002_body/mihawk002_body_attack04</t>
  </si>
  <si>
    <t>新世界鹰眼ATK 04特效</t>
  </si>
  <si>
    <t>mihawk002_body/mihawk002_body_attack04_hit</t>
  </si>
  <si>
    <t>新世界鹰眼ATK 04受击</t>
  </si>
  <si>
    <t>mihawk002_body/mihawk002_body_attack05</t>
  </si>
  <si>
    <t>新世界鹰眼ATK 05特效</t>
  </si>
  <si>
    <t>mihawk002_body/mihawk002_body_attack05_hit01</t>
  </si>
  <si>
    <t>新世界鹰眼ATK 05受击特效1</t>
  </si>
  <si>
    <t>mihawk002_body/mihawk002_body_attack05_hit02</t>
  </si>
  <si>
    <t>新世界鹰眼ATK 05受击特效2</t>
  </si>
  <si>
    <t>mihawk002_body/mihawk002_body_attack05_Xuli</t>
  </si>
  <si>
    <t>新世界鹰眼ATK 05 蓄力绑点</t>
  </si>
  <si>
    <t>mihawk002_body/mihawk002_body_attack06</t>
  </si>
  <si>
    <t>新世界鹰眼ATK 06特效</t>
  </si>
  <si>
    <t>mihawk002_body/mihawk002_body_attack07</t>
  </si>
  <si>
    <t>新世界鹰眼ATK 07特效</t>
  </si>
  <si>
    <t>mihawk002_body/mihawk002_body_attack08</t>
  </si>
  <si>
    <t>新世界鹰眼ATK 08特效</t>
  </si>
  <si>
    <t>mihawk002_body/mihawk002_body_attack08_Xuli</t>
  </si>
  <si>
    <t>新世界鹰眼ATK 08 蓄力绑点</t>
  </si>
  <si>
    <t>mihawk002_body/mihawk002_body_attack08_Huo</t>
  </si>
  <si>
    <t>新世界鹰眼ATK 08 huo绑点</t>
  </si>
  <si>
    <t>mihawk002_body/mihawk002_body_attack08_Huo_tou</t>
  </si>
  <si>
    <t>新世界鹰眼ATK 08 huotou绑点</t>
  </si>
  <si>
    <t>ace001_body/ace001_body_attack09</t>
  </si>
  <si>
    <t>艾斯超奥义特效</t>
  </si>
  <si>
    <t>ace001_body/ace001_body_attack09_Bip001_R_Finger1</t>
  </si>
  <si>
    <t>艾斯超奥义绑点特效</t>
  </si>
  <si>
    <t>ace001_body/ace001_body_attack09_Bip001_R_Hand</t>
  </si>
  <si>
    <t>mihawk002_body/mihawk002_body_attack03</t>
  </si>
  <si>
    <t>新世界鹰眼attack03特效</t>
  </si>
  <si>
    <t>mihawk002_body/mihawk002_body_attack06_Dummy001</t>
  </si>
  <si>
    <t>新世界鹰眼ATK 06 绑点</t>
  </si>
  <si>
    <t>mihawk002_body/mihawk002_body_stand</t>
  </si>
  <si>
    <t>新鹰眼8星</t>
  </si>
  <si>
    <t>mihawk002_body/mihawk002_body_stand01</t>
  </si>
  <si>
    <t>新鹰眼8星残影站立</t>
  </si>
  <si>
    <t>mihawk002_body/mihawk002_body_run_canying</t>
  </si>
  <si>
    <t>新鹰眼8星残影跑步</t>
  </si>
  <si>
    <t>mihawk002_body/mihawk002_body_mood06</t>
  </si>
  <si>
    <t>新鹰眼八星专属特效</t>
  </si>
  <si>
    <t>mihawk002_body/mihawk002_body_attack07_01</t>
  </si>
  <si>
    <t>新鹰眼attack07时装</t>
  </si>
  <si>
    <t>mihawk002_body/mihawk002_body_attack08_Hit01</t>
  </si>
  <si>
    <t>新鹰眼attack08受击特效</t>
  </si>
  <si>
    <t>mihawk002_body/mihawk002_body_attack08_Hit02</t>
  </si>
  <si>
    <t>新鹰眼attack09受击特效</t>
  </si>
  <si>
    <t>mihawk002_body/mihawk002_body_attack08_Hit03</t>
  </si>
  <si>
    <t>新鹰眼attack10受击特效</t>
  </si>
  <si>
    <t>mihawk002_body/mihawk002_body_BUFF_01</t>
  </si>
  <si>
    <t>新鹰眼架刀buff特效</t>
  </si>
  <si>
    <t>mihawk002_body/mihawk002_body_BUFF_01_Dummy001</t>
  </si>
  <si>
    <t>mihawk002_body/mihawk002_body_BUFF_02</t>
  </si>
  <si>
    <t>新鹰眼弹刀buff特效</t>
  </si>
  <si>
    <t>mihawk002_body/mihawk002_body_BUFF_03</t>
  </si>
  <si>
    <t>新鹰眼战斗闪现（前跳）</t>
  </si>
  <si>
    <t>mihawk002_body/mihawk002_body_BUFF_04</t>
  </si>
  <si>
    <t>新鹰眼战斗闪现（后跳）</t>
  </si>
  <si>
    <t>mihawk002_body/mihawk002_body_buff_05</t>
  </si>
  <si>
    <t>新鹰眼正常待机下buff特效</t>
  </si>
  <si>
    <t>mihawk002_body/mihawk002_body_mood07</t>
  </si>
  <si>
    <t>新鹰眼mood07特效</t>
  </si>
  <si>
    <t>mihawk002_body/mihawk002_body_mood07_Wuqi</t>
  </si>
  <si>
    <t>mihawk002_body/mihawk002_body_Wuqi</t>
  </si>
  <si>
    <t>mihawk002_body/mihawk002_body_BUFF_032</t>
  </si>
  <si>
    <t>新鹰眼原皮后跳闪现</t>
  </si>
  <si>
    <t>mihawk002_body/mihawk002_body_BUFF_03_hefu01</t>
  </si>
  <si>
    <t>mihawk002_body/mihawk002_body_BUFF_03_hefu02</t>
  </si>
  <si>
    <t>新鹰眼皮肤前跳闪现</t>
  </si>
  <si>
    <t>cavendish_SSR/cavendish_SSR_attack01</t>
  </si>
  <si>
    <t>凯文迪修attack01特效</t>
  </si>
  <si>
    <t>cavendish_SSR/cavendish_SSR_attack02</t>
  </si>
  <si>
    <t>凯文迪修attack02特效</t>
  </si>
  <si>
    <t>cavendish_SSR/cavendish_SSR_attack02_hit1</t>
  </si>
  <si>
    <t>凯文迪修attack02受击特效1</t>
  </si>
  <si>
    <t>cavendish_SSR/cavendish_SSR_attack02_hit2</t>
  </si>
  <si>
    <t>凯文迪修attack02受击特效2</t>
  </si>
  <si>
    <t>cavendish_SSR/cavendish_SSR_attack03</t>
  </si>
  <si>
    <t>凯文迪修attack03特效</t>
  </si>
  <si>
    <t>cavendish_SSR/cavendish_SSR_attack03_hit01</t>
  </si>
  <si>
    <t>凯文迪修attack03受击特效</t>
  </si>
  <si>
    <t>cavendish_SSR/cavendish_SSR_attack04</t>
  </si>
  <si>
    <t>凯文迪修attack04特效</t>
  </si>
  <si>
    <t>cavendish_SSR/cavendish_SSR_attack05</t>
  </si>
  <si>
    <t>凯文迪修attack05特效</t>
  </si>
  <si>
    <t>cavendish_SSR/cavendish_SSR_attack06</t>
  </si>
  <si>
    <t>凯文迪修attack06特效</t>
  </si>
  <si>
    <t>cavendish_SSR/cavendish_SSR_attack07</t>
  </si>
  <si>
    <t>凯文迪修attack07特效</t>
  </si>
  <si>
    <t>cavendish_SSR/cavendish_SSR_attack08</t>
  </si>
  <si>
    <t>凯文迪修attack08特效</t>
  </si>
  <si>
    <t>cavendish_SSR/cavendish_SSR_attack08_hit</t>
  </si>
  <si>
    <t>凯文迪修attack08受击特效</t>
  </si>
  <si>
    <t>cavendish_SSR/cavendish_SSR_attack09</t>
  </si>
  <si>
    <t>凯文迪修attack09特效</t>
  </si>
  <si>
    <t>cavendish_SSR/cavendish_SSR_jump_1</t>
  </si>
  <si>
    <t>凯文迪修变身后战斗闪现特效（前跳）</t>
  </si>
  <si>
    <t>cavendish_SSR/cavendish_SSR_jump_2</t>
  </si>
  <si>
    <t>凯文迪修变身后战斗闪现特效（后跳）</t>
  </si>
  <si>
    <t>cavendish_SSR/cavendish_SSR_mood06</t>
  </si>
  <si>
    <t>凯文迪修8星专属</t>
  </si>
  <si>
    <t>cavendish_SSR/cavendish_SSR_attack01_hit01</t>
  </si>
  <si>
    <t>凯文迪修attack01受击特效1</t>
  </si>
  <si>
    <t>cavendish_SSR/cavendish_SSR_attack01_hit02</t>
  </si>
  <si>
    <t>凯文迪修attack01受击特效2</t>
  </si>
  <si>
    <t>cavendish_SSR/cavendish_SSR_attack01_hit03</t>
  </si>
  <si>
    <t>凯文迪修attack01受击特效3</t>
  </si>
  <si>
    <t>cavendish_SSR/cavendish_SSR_stand</t>
  </si>
  <si>
    <t>凯文迪修8星</t>
  </si>
  <si>
    <t>cavendish_SSR/cavendish_SSR_attack07_chaifen</t>
  </si>
  <si>
    <t>凯文迪修attack07特效2</t>
  </si>
  <si>
    <t>cavendish_SSR/cavendish_SSR_BUFF_01</t>
  </si>
  <si>
    <t>凯文迪修变身后BUFF特效</t>
  </si>
  <si>
    <t>cavendish_SSR/cavendish_SSR_BUFF_02</t>
  </si>
  <si>
    <t>凯文迪修免死BUFF特效</t>
  </si>
  <si>
    <t>cavendish_SSR/cavendish_SSR_BUFF_03daduan</t>
  </si>
  <si>
    <t>凯文迪修打断BUFF特效</t>
  </si>
  <si>
    <t>cavendish_SSR/cavendish_SSR_BUFF_04jiaoxiayan</t>
  </si>
  <si>
    <t>凯文迪修瞬移遮挡BUFF</t>
  </si>
  <si>
    <t>cavendish_SSR/cavendish_SSR_BUFF_05</t>
  </si>
  <si>
    <t>凯文迪修变身结束遮掩特效</t>
  </si>
  <si>
    <t>sugar001_SSR/sugar003_body_attack01</t>
  </si>
  <si>
    <t>砂糖ATK01特效</t>
  </si>
  <si>
    <t>sugar001_SSR/sugar003_body_attack01_hit</t>
  </si>
  <si>
    <t>砂糖ATK01受击特效</t>
  </si>
  <si>
    <t>sugar001_SSR/sugar003_body_attack02</t>
  </si>
  <si>
    <t>砂糖ATK02特效</t>
  </si>
  <si>
    <t>sugar001_SSR/sugar003_body_attack02_hit</t>
  </si>
  <si>
    <t>砂糖ATK02受击特效</t>
  </si>
  <si>
    <t>sugar001_SSR/sugar003_body_attack03</t>
  </si>
  <si>
    <t>砂糖ATK03特效</t>
  </si>
  <si>
    <t>sugar001_SSR/sugar003_body_attack03_hit</t>
  </si>
  <si>
    <t>砂糖ATK03受击特效</t>
  </si>
  <si>
    <t>sugar001_SSR/sugar003_body_attack04</t>
  </si>
  <si>
    <t>砂糖ATK04特效</t>
  </si>
  <si>
    <t>sugar001_SSR/sugar003_body_attack05</t>
  </si>
  <si>
    <t>砂糖ATK05特效</t>
  </si>
  <si>
    <t>sugar001_SSR/sugar003_body_attack06</t>
  </si>
  <si>
    <t>砂糖ATK06特效</t>
  </si>
  <si>
    <t>sugar001_SSR/sugar003_body_attack07</t>
  </si>
  <si>
    <t>砂糖ATK07特效</t>
  </si>
  <si>
    <t>sugar001_SSR/sugar003_body_attack08</t>
  </si>
  <si>
    <t>砂糖ATK08特效</t>
  </si>
  <si>
    <t>sugar001_SSR/sugar003_body_mood06</t>
  </si>
  <si>
    <t>砂糖8星专属</t>
  </si>
  <si>
    <t>sugar001_SSR/sugar003_body_stand</t>
  </si>
  <si>
    <t>砂糖8星</t>
  </si>
  <si>
    <t>bigdoll001_body/bigdoll001_body_attack01</t>
  </si>
  <si>
    <t>脑袋夹子ATK01</t>
  </si>
  <si>
    <t>trebol003_SSR/trebol003_SSR_attack_01</t>
  </si>
  <si>
    <t>托雷波尔attack01</t>
  </si>
  <si>
    <t>trebol003_SSR/trebol003_SSR_attack_02</t>
  </si>
  <si>
    <t>托雷波尔attack02</t>
  </si>
  <si>
    <t>trebol003_SSR/trebol003_SSR_attack_03</t>
  </si>
  <si>
    <t>托雷波尔attack03</t>
  </si>
  <si>
    <t>trebol003_SSR/trebol003_SSR_attack_04</t>
  </si>
  <si>
    <t>托雷波尔attack04</t>
  </si>
  <si>
    <t>trebol003_SSR/trebol003_SSR_attack_01_hit</t>
  </si>
  <si>
    <t>托雷波尔attack01受击</t>
  </si>
  <si>
    <t>trebol003_SSR/trebol003_SSR_attack_02_hit</t>
  </si>
  <si>
    <t>托雷波尔attack02受击</t>
  </si>
  <si>
    <t>trebol003_SSR/trebol003_SSR_attack_03_hit</t>
  </si>
  <si>
    <t>托雷波尔attack03受击</t>
  </si>
  <si>
    <t>trebol003_SSR/trebol003_SSR_attack_03_Weapon</t>
  </si>
  <si>
    <t>托雷波尔attack03武器</t>
  </si>
  <si>
    <t>trebol003_SSR/trebol003_SSR_attack_02_Bip001_L_Foot</t>
  </si>
  <si>
    <t>托雷波尔attack02脚</t>
  </si>
  <si>
    <t>sugar001_SSR/sugar003_body_attack06_canliu</t>
  </si>
  <si>
    <t>砂糖atk06地面残留</t>
  </si>
  <si>
    <t>sugar001_SSR/sugar003_body_attack07_Bone001</t>
  </si>
  <si>
    <t>砂糖ATK07葡萄</t>
  </si>
  <si>
    <t>sugar001_SSR/sugar003_body_buff01</t>
  </si>
  <si>
    <t>托雷波尔粘稠buff特效</t>
  </si>
  <si>
    <t>kozuki/kozuki001_body_attack01</t>
  </si>
  <si>
    <t>御田ATK01特效</t>
  </si>
  <si>
    <t>kozuki/kozuki001_body_attack01_Hit</t>
  </si>
  <si>
    <t>御田ATK01受击特效</t>
  </si>
  <si>
    <t>kozuki/kozuki001_body_attack02</t>
  </si>
  <si>
    <t>御田ATK02特效</t>
  </si>
  <si>
    <t>kozuki/kozuki001_body_attack02_hit01</t>
  </si>
  <si>
    <t>御田ATK02受击特效01</t>
  </si>
  <si>
    <t>kozuki/kozuki001_body_attack02_hit02</t>
  </si>
  <si>
    <t>御田ATK02受击特效02</t>
  </si>
  <si>
    <t>kozuki/kozuki001_body_attack04</t>
  </si>
  <si>
    <t>御田ATK04特效</t>
  </si>
  <si>
    <t>kozuki/kozuki001_body_attack04_hit01</t>
  </si>
  <si>
    <t>御田ATK04受击特效01</t>
  </si>
  <si>
    <t>kozuki/kozuki001_body_attack04_hit02</t>
  </si>
  <si>
    <t>御田ATK04受击特效02</t>
  </si>
  <si>
    <t>kozuki/kozuki001_body_attack05</t>
  </si>
  <si>
    <t>御田ATK05特效</t>
  </si>
  <si>
    <t>kozuki/kozuki001_body_attack06</t>
  </si>
  <si>
    <t>御田ATK06特效</t>
  </si>
  <si>
    <t>kozuki/kozuki001_body_attack07</t>
  </si>
  <si>
    <t>御田ATK07特效</t>
  </si>
  <si>
    <t>kozuki/kozuki001_body_attack07_Point015</t>
  </si>
  <si>
    <t>御田ATK07 绑点</t>
  </si>
  <si>
    <t>kozuki/kozuki001_body_attack07_Point016</t>
  </si>
  <si>
    <t>kozuki/kozuki001_body_attack08</t>
  </si>
  <si>
    <t>御田ATK08特效</t>
  </si>
  <si>
    <t>kozuki/kozuki001_body_mood06</t>
  </si>
  <si>
    <t>御田八星专属</t>
  </si>
  <si>
    <t>kozuki/kozuki001_body_stand</t>
  </si>
  <si>
    <t>御田8星</t>
  </si>
  <si>
    <t>kozuki/kozuki001_body_stand_Bip001Head_tou</t>
  </si>
  <si>
    <t>御田原皮绑点 头</t>
  </si>
  <si>
    <t>kozuki/kozuki001_body_stand_Bip001LCalf_zuitui02</t>
  </si>
  <si>
    <t>御田原皮绑点 zuitui 02</t>
  </si>
  <si>
    <t>kozuki/kozuki001_body_stand_Bip001LForeTwist_zuobi02</t>
  </si>
  <si>
    <t>御田原皮绑点 左臂02</t>
  </si>
  <si>
    <t>kozuki/kozuki001_body_stand_Bip001LThigh_zuitui</t>
  </si>
  <si>
    <t>御田原皮绑点 zuitui 01</t>
  </si>
  <si>
    <t>kozuki/kozuki001_body_stand_Bip001LUpperArm_zuobi</t>
  </si>
  <si>
    <t>御田原皮绑点 左臂01</t>
  </si>
  <si>
    <t>kozuki/kozuki001_body_stand_Bip001RCalfTwist_youtui02</t>
  </si>
  <si>
    <t>御田原皮绑点 右腿02</t>
  </si>
  <si>
    <t>kozuki/kozuki001_body_stand_Bip001RForearm_youbi02</t>
  </si>
  <si>
    <t>御田原皮绑点 右臂02</t>
  </si>
  <si>
    <t>kozuki/kozuki001_body_stand_Bip001RThigh_youtui</t>
  </si>
  <si>
    <t>御田原皮绑点 右腿01</t>
  </si>
  <si>
    <t>kozuki/kozuki001_body_stand_Bip001RUpperArm_youbi</t>
  </si>
  <si>
    <t>御田原皮绑点 右臂01</t>
  </si>
  <si>
    <t>kozuki/kozuki001_body_stand_Bip001Spine_shangshen</t>
  </si>
  <si>
    <t>御田原皮绑点 上身</t>
  </si>
  <si>
    <t>kozuki/kozuki001_body_stand_Bip001Spine_xiashen</t>
  </si>
  <si>
    <t>御田原皮绑点 下身</t>
  </si>
  <si>
    <t>kozuki/kozuki001_body_stand_Bone005_toufa</t>
  </si>
  <si>
    <t>御田原皮绑点 头发</t>
  </si>
  <si>
    <t>kozuki/kozuki001_body_stand_Bone009_daobai</t>
  </si>
  <si>
    <t>御田原皮绑点 刀摆</t>
  </si>
  <si>
    <t>kozuki/kozuki001_body_stand_Bone010_daozi</t>
  </si>
  <si>
    <t>御田原皮绑点 刀子</t>
  </si>
  <si>
    <t>kozuki/kozuki001_body_stand_Bone034(mirrored)_beihouzuo</t>
  </si>
  <si>
    <t>御田原皮绑点 背后左</t>
  </si>
  <si>
    <t>kozuki/kozuki001_body_stand_Bone034_beihouyou</t>
  </si>
  <si>
    <t>御田原皮绑点 背后右</t>
  </si>
  <si>
    <t>kozuki/kozuki001_body_attack03</t>
  </si>
  <si>
    <t>御田ATK03特效</t>
  </si>
  <si>
    <t>kozuki/kozuki001_body_attack03_hit01</t>
  </si>
  <si>
    <t>御田ATK03受击特效</t>
  </si>
  <si>
    <t>kozuki/kozuki002_body_attack04</t>
  </si>
  <si>
    <t>御田时装版ATK04特效</t>
  </si>
  <si>
    <t>bellamy002/bellamy002_attack01</t>
  </si>
  <si>
    <t>两年后贝拉米小怪普攻特效</t>
  </si>
  <si>
    <t>bellamy002/bellamy002_attack01_hit01</t>
  </si>
  <si>
    <t>两年后贝拉米小怪受击特效1</t>
  </si>
  <si>
    <t>bellamy002/bellamy002_attack01_hit02</t>
  </si>
  <si>
    <t>两年后贝拉米小怪受击特效2</t>
  </si>
  <si>
    <t>bellamy002/bellamy002_attack03</t>
  </si>
  <si>
    <t>两年后贝拉米小怪普attack03特效</t>
  </si>
  <si>
    <t>bellamy002/bellamy002_attack08</t>
  </si>
  <si>
    <t>两年后贝拉米小怪attack08特效</t>
  </si>
  <si>
    <t>bellamy002/bellamy002_attack08_Yanjing_Bone61</t>
  </si>
  <si>
    <t>两年后贝拉米小怪attack08绑点特效</t>
  </si>
  <si>
    <t>bellamy002/bellamy002_attack08_Hit</t>
  </si>
  <si>
    <t>两年后贝拉米小怪attack08受击特效</t>
  </si>
  <si>
    <t>kozuki/kozuki002_body_attack07</t>
  </si>
  <si>
    <t>御田时装版ATK07特效</t>
  </si>
  <si>
    <t>kozuki/kozuki002_body_attack08</t>
  </si>
  <si>
    <t>御田时装版ATK08特效</t>
  </si>
  <si>
    <t>kozuki/kozuki002_body_stand_Bip001Head_tou</t>
  </si>
  <si>
    <t>御田时装绑点 头</t>
  </si>
  <si>
    <t>kozuki/kozuki002_body_stand_Bip001LCalf_zuitui02</t>
  </si>
  <si>
    <t>御田时装绑点 左腿02</t>
  </si>
  <si>
    <t>kozuki/kozuki002_body_stand_Bip001LForeTwist_zuobi02</t>
  </si>
  <si>
    <t>御田时装绑点 左臂02</t>
  </si>
  <si>
    <t>kozuki/kozuki002_body_stand_Bip001LThigh_zuitui</t>
  </si>
  <si>
    <t>御田时装绑点 左腿</t>
  </si>
  <si>
    <t>kozuki/kozuki002_body_stand_Bip001LUpperArm_zuobi</t>
  </si>
  <si>
    <t>御田时装绑点  左臂</t>
  </si>
  <si>
    <t>kozuki/kozuki002_body_stand_Bip001RCalfTwist_youtui02</t>
  </si>
  <si>
    <t>御田时装绑点 右腿02</t>
  </si>
  <si>
    <t>kozuki/kozuki002_body_stand_Bip001RForearm_youbi02</t>
  </si>
  <si>
    <t>御田时装绑点 右臂02</t>
  </si>
  <si>
    <t>kozuki/kozuki002_body_stand_Bip001RThigh_youtui</t>
  </si>
  <si>
    <t>御田时装绑点 右腿</t>
  </si>
  <si>
    <t>kozuki/kozuki002_body_stand_Bip001RUpperArm_youbi</t>
  </si>
  <si>
    <t xml:space="preserve">御田时装绑点 右臂 </t>
  </si>
  <si>
    <t>kozuki/kozuki002_body_stand_Bip001Spine_shangshen</t>
  </si>
  <si>
    <t>御田时装绑点 上身</t>
  </si>
  <si>
    <t>kozuki/kozuki002_body_stand_Bip001Spine_xiashen</t>
  </si>
  <si>
    <t>御田时装绑点 下身</t>
  </si>
  <si>
    <t>kozuki/kozuki002_body_stand_Bone009_daobai</t>
  </si>
  <si>
    <t>御田时装绑点 刀背</t>
  </si>
  <si>
    <t>kozuki/kozuki002_body_stand_Bone010_daozi</t>
  </si>
  <si>
    <t>御田时装绑点 刀子</t>
  </si>
  <si>
    <t>kozuki/kozuki002_body_BUFF01</t>
  </si>
  <si>
    <t>御田流樱buff特效</t>
  </si>
  <si>
    <t>kozuki/kozuki002_body_BUFF02</t>
  </si>
  <si>
    <t>御田无敌buff特效</t>
  </si>
  <si>
    <t>kozuki/kozuki001_body_attack06_New</t>
  </si>
  <si>
    <t>御田时装ATK06 纯特效</t>
  </si>
  <si>
    <t>rayleigh003_body/rayleigh003_body_attack01</t>
  </si>
  <si>
    <t>年轻雷利ATK01特效</t>
  </si>
  <si>
    <t>rayleigh003_body/rayleigh003_body_attack01_hit01</t>
  </si>
  <si>
    <t>年轻雷利ATK01受击特效</t>
  </si>
  <si>
    <t>rayleigh003_body/rayleigh003_body_attack02</t>
  </si>
  <si>
    <t>年轻雷利ATK02特效</t>
  </si>
  <si>
    <t>rayleigh003_body/rayleigh003_body_attack02_hit_01</t>
  </si>
  <si>
    <t>年轻雷利ATK02受击特效</t>
  </si>
  <si>
    <t>rayleigh003_body/rayleigh003_body_attack04</t>
  </si>
  <si>
    <t>rayleigh003_body/rayleigh003_body_attack04_hit01</t>
  </si>
  <si>
    <t>年轻雷利ATK04受击特效1</t>
  </si>
  <si>
    <t>rayleigh003_body/rayleigh003_body_attack04_hit02</t>
  </si>
  <si>
    <t>年轻雷利ATK04受击特效2</t>
  </si>
  <si>
    <t>rayleigh003_body/rayleigh003_body_attack05</t>
  </si>
  <si>
    <t>年轻雷利ATK05特效</t>
  </si>
  <si>
    <t>rayleigh003_body/rayleigh003_body_attack05_hit_01</t>
  </si>
  <si>
    <t>年轻雷利ATK05受击特效1</t>
  </si>
  <si>
    <t>rayleigh003_body/rayleigh003_body_attack05_hit_02</t>
  </si>
  <si>
    <t>年轻雷利ATK05受击特效2</t>
  </si>
  <si>
    <t>rayleigh003_body/rayleigh003_body_attack06</t>
  </si>
  <si>
    <t>年轻雷利ATK06特效</t>
  </si>
  <si>
    <t>rayleigh003_body/rayleigh003_body_attack07</t>
  </si>
  <si>
    <t>年轻雷利ATK07特效</t>
  </si>
  <si>
    <t>rayleigh003_body/rayleigh003_body_attack08_Dao</t>
  </si>
  <si>
    <t>年轻雷利ATK08 刀绑点</t>
  </si>
  <si>
    <t>rayleigh003_body/rayleigh003_body_mood05</t>
  </si>
  <si>
    <t>年轻雷利8星专属</t>
  </si>
  <si>
    <t>rayleigh003_body/rayleigh003_body_stand</t>
  </si>
  <si>
    <t>年轻雷利8星特效</t>
  </si>
  <si>
    <t>rayleigh003_body/rayleigh003_body_attack03</t>
  </si>
  <si>
    <t>年轻雷利ATK03特效</t>
  </si>
  <si>
    <t>rayleigh003_body/rayleigh003_body_attack03_hit_01</t>
  </si>
  <si>
    <t>年轻雷利ATK03受击特效</t>
  </si>
  <si>
    <t>rayleigh003_body/rayleigh003_body_attack06_bone_glasses</t>
  </si>
  <si>
    <t>年轻雷利ATK06绑点</t>
  </si>
  <si>
    <t>rayleigh003_body/rayleigh003_body_attack06_Dummy002</t>
  </si>
  <si>
    <t>rayleigh003_body/rayleigh003_body_attack08</t>
  </si>
  <si>
    <t>年轻雷利ATK08特效</t>
  </si>
  <si>
    <t>rayleigh003_body/rayleigh003_body_attack08_hit</t>
  </si>
  <si>
    <t>年轻雷利ATK08 受击特效</t>
  </si>
  <si>
    <t>rayleigh003_body/rayleigh003_body_attack08_bone_glasses</t>
  </si>
  <si>
    <t>年轻雷利ATK08 眼镜绑点</t>
  </si>
  <si>
    <t>rayleigh003_body/rayleigh003_body_attack07_canliu</t>
  </si>
  <si>
    <t>年轻雷利ATK07 地面残留</t>
  </si>
  <si>
    <t>rayleigh003_body/rayleigh003_body_jumpb</t>
  </si>
  <si>
    <t>年轻雷利瞬移</t>
  </si>
  <si>
    <t>rayleigh003_body/rayleigh003_body_jumpf</t>
  </si>
  <si>
    <t>rayleigh003_body/rayleigh003_body_luodi</t>
  </si>
  <si>
    <t>rayleigh003_body/rayleigh003_body_shanbi</t>
  </si>
  <si>
    <t>年轻雷利闪避buff特效</t>
  </si>
  <si>
    <t>03_ani/story_qiyue001_sabohuoiquan</t>
  </si>
  <si>
    <t>剧情萨博火焰</t>
  </si>
  <si>
    <t>jialuote001/jialuote001_body_attack01</t>
  </si>
  <si>
    <t>加洛特ATK01特效</t>
  </si>
  <si>
    <t>jialuote001/jialuote001_body_attack01_hit</t>
  </si>
  <si>
    <t>加洛特ATK01受击特效</t>
  </si>
  <si>
    <t>jialuote001/jialuote001_body_attack02</t>
  </si>
  <si>
    <t>加洛特ATK02特效</t>
  </si>
  <si>
    <t>jialuote001/jialuote001_body_attack02_Bip001_L_Hand</t>
  </si>
  <si>
    <t>加洛特绑点</t>
  </si>
  <si>
    <t>jialuote001/jialuote001_body_attack02_hit_01</t>
  </si>
  <si>
    <t>加洛特ATK02受击特效</t>
  </si>
  <si>
    <t>jialuote001/jialuote001_body_attack03</t>
  </si>
  <si>
    <t>加洛特ATK03特效</t>
  </si>
  <si>
    <t>jialuote001/jialuote001_body_attack03_Bip001_R_Hand</t>
  </si>
  <si>
    <t>jialuote001/jialuote001_body_attack03_hit</t>
  </si>
  <si>
    <t>加洛特ATK03受击特效</t>
  </si>
  <si>
    <t>jialuote001/jialuote001_body_attack04</t>
  </si>
  <si>
    <t>加洛特ATK04特效</t>
  </si>
  <si>
    <t>jialuote001/jialuote001_body_attack04_Bip001</t>
  </si>
  <si>
    <t>jialuote001/jialuote001_body_attack04_hit_01</t>
  </si>
  <si>
    <t>加洛特ATK04受击特效01</t>
  </si>
  <si>
    <t>jialuote001/jialuote001_body_attack04_hit_02</t>
  </si>
  <si>
    <t>加洛特ATK04受击特效02</t>
  </si>
  <si>
    <t>jialuote001/jialuote001_body_attack07</t>
  </si>
  <si>
    <t>加洛特变身后普攻ATK07</t>
  </si>
  <si>
    <t>jialuote001/jialuote001_body_attack07_hit_01</t>
  </si>
  <si>
    <t>加洛特ATK07受击特效01</t>
  </si>
  <si>
    <t>jialuote001/jialuote001_body_attack07_hit_02</t>
  </si>
  <si>
    <t>加洛特ATK07受击特效02</t>
  </si>
  <si>
    <t>jialuote001/jialuote001_body_attack08</t>
  </si>
  <si>
    <t>加洛特ATK08特效</t>
  </si>
  <si>
    <t>jialuote001/jialuote001_body_attack08_Bip001_L_Hand</t>
  </si>
  <si>
    <t>jialuote001/jialuote001_body_attack08_Bip001_R_Hand</t>
  </si>
  <si>
    <t>jialuote001/jialuote001_body_attack08_hit</t>
  </si>
  <si>
    <t>加洛特ATK08受击特效</t>
  </si>
  <si>
    <t>jialuote001/jialuote001_body_stand</t>
  </si>
  <si>
    <t>加洛特8星</t>
  </si>
  <si>
    <t>jialuote001/jialuote001_body_stand_Bip001_L_Hand</t>
  </si>
  <si>
    <t>加洛特8星绑点</t>
  </si>
  <si>
    <t>jialuote001/jialuote002_run</t>
  </si>
  <si>
    <t>加洛特变身跑步</t>
  </si>
  <si>
    <t>jialuote001/jialuote001_body_attack05</t>
  </si>
  <si>
    <t>加洛特attack05特效</t>
  </si>
  <si>
    <t>jialuote001/jialuote001_body_attack05_Bip001RFinger0</t>
  </si>
  <si>
    <t>加洛特attack05挂点特效</t>
  </si>
  <si>
    <t>jialuote001/jialuote001_body_mood05</t>
  </si>
  <si>
    <t>加洛特专属动作特效</t>
  </si>
  <si>
    <t>jialuote001/jialuote001_body_mood05_Bip001LFinger2</t>
  </si>
  <si>
    <t>加洛特专属动作挂点特效</t>
  </si>
  <si>
    <t>jialuote001/jialuote001_body_mood05_Bip001RFinger2</t>
  </si>
  <si>
    <t>jialuote001/jialuote001_body_attack09</t>
  </si>
  <si>
    <t>加洛特ATK09特效</t>
  </si>
  <si>
    <t>jialuote001/jialuote001_body_attack09_Bip001RHand</t>
  </si>
  <si>
    <t>jialuote001/jialuote001_body_attack09_Bip001Spine</t>
  </si>
  <si>
    <t>jialuote001/jialuote001_body_attack09_hit</t>
  </si>
  <si>
    <t>加洛特ATK09受击特效</t>
  </si>
  <si>
    <t>jialuote001/jialuote001_body_attack06</t>
  </si>
  <si>
    <t>加洛特ATK06特效</t>
  </si>
  <si>
    <t>jialuote001/jialuote001_body_attack06_Lei_Bip001_L_Hand</t>
  </si>
  <si>
    <t>jialuote001/jialuote001_body_attack06_Yan_Bip001_Head</t>
  </si>
  <si>
    <t>jialuote001/jialuote001_body_attack06_lian_Bip001_Head</t>
  </si>
  <si>
    <t>jialuote001/jialuote001_body_09_Leiqiu_001</t>
  </si>
  <si>
    <t>加洛特电球蓝</t>
  </si>
  <si>
    <t>jialuote001/jialuote001_body_09_Leiqiu_002</t>
  </si>
  <si>
    <t>加洛特电球红</t>
  </si>
  <si>
    <t>jialuote001/jialuote001_body_09_Dimian_001</t>
  </si>
  <si>
    <t>加洛特ATK09地面残留</t>
  </si>
  <si>
    <t>jialuote001/jialuote001_body_buff</t>
  </si>
  <si>
    <t>加洛特BUFF</t>
  </si>
  <si>
    <t>jialuote001/jialuote001_body_09_Leibao_001</t>
  </si>
  <si>
    <t>加洛特雷球爆炸 蓝色</t>
  </si>
  <si>
    <t>jialuote001/jialuote001_body_09_Leibao_002</t>
  </si>
  <si>
    <t>加洛特雷球爆炸 红色</t>
  </si>
  <si>
    <t>jialuote001/jialuote001_Jump_Qian</t>
  </si>
  <si>
    <t>加洛特瞬移前</t>
  </si>
  <si>
    <t>jialuote001/jialuote001_Jump_Hou</t>
  </si>
  <si>
    <t>加洛特瞬移后</t>
  </si>
  <si>
    <t>jialuote001/jialuote001_Run</t>
  </si>
  <si>
    <t>加洛特變身結束遮掩</t>
  </si>
  <si>
    <t>baby05_SSR/baby05_SSR_attack01</t>
  </si>
  <si>
    <t>baby5 ATK01</t>
  </si>
  <si>
    <t>baby05_SSR/baby05_SSR_attack01_hit01</t>
  </si>
  <si>
    <t>baby5 ATK01受击特效1</t>
  </si>
  <si>
    <t>baby05_SSR/baby05_SSR_attack01_hit02</t>
  </si>
  <si>
    <t>baby5 ATK01受击特效2</t>
  </si>
  <si>
    <t>baby05_SSR/baby05_SSR_attack02</t>
  </si>
  <si>
    <t>baby5 ATK02</t>
  </si>
  <si>
    <t>baby05_SSR/baby05_SSR_attack02_hit01</t>
  </si>
  <si>
    <t>baby5 ATK02受击特效1</t>
  </si>
  <si>
    <t>baby05_SSR/baby05_SSR_attack03</t>
  </si>
  <si>
    <t>baby5 ATK03</t>
  </si>
  <si>
    <t>baby05_SSR/baby05_SSR_attack03_hit01</t>
  </si>
  <si>
    <t>baby5 ATK03受击特效1</t>
  </si>
  <si>
    <t>baby05_SSR/baby05_SSR_attack04</t>
  </si>
  <si>
    <t>baby5 ATK04</t>
  </si>
  <si>
    <t>baby05_SSR/baby05_SSR_attack04_hit01</t>
  </si>
  <si>
    <t>baby5 ATK04受击特效1</t>
  </si>
  <si>
    <t>baby05_SSR/baby05_SSR_attack04_zidn</t>
  </si>
  <si>
    <t>子弹</t>
  </si>
  <si>
    <t>baby05_SSR/baby05_SSR_attack05</t>
  </si>
  <si>
    <t>baby5 ATK05</t>
  </si>
  <si>
    <t>baby05_SSR/baby05_SSR_attack05_hit01</t>
  </si>
  <si>
    <t>baby5 ATK05受击特效1</t>
  </si>
  <si>
    <t>baby05_SSR/baby05_SSR_attack05_Point023</t>
  </si>
  <si>
    <t>baby5 ATK05绑点</t>
  </si>
  <si>
    <t>baby05_SSR/baby05_SSR_attack06</t>
  </si>
  <si>
    <t>baby5 ATK06</t>
  </si>
  <si>
    <t>baby05_SSR/baby05_SSR_attack07</t>
  </si>
  <si>
    <t>baby5 ATK07</t>
  </si>
  <si>
    <t>baby05_SSR/baby05_SSR_attack08</t>
  </si>
  <si>
    <t>baby5 ATK08</t>
  </si>
  <si>
    <t>baby05_SSR/baby05_SSR_attack08_Bip001Spine1</t>
  </si>
  <si>
    <t>baby5 ATK08绑点</t>
  </si>
  <si>
    <t>baby05_SSR/baby05_SSR_attack08_gro</t>
  </si>
  <si>
    <t>baby5 ATK08地面残留</t>
  </si>
  <si>
    <t>kikunojo001/kikunojo001_body_attack01</t>
  </si>
  <si>
    <t>菊之丞ATK01</t>
  </si>
  <si>
    <t>kikunojo001/kikunojo001_body_attack01_hit</t>
  </si>
  <si>
    <t>菊之丞ATK01受击特效</t>
  </si>
  <si>
    <t>kikunojo001/kikunojo001_body_attack02</t>
  </si>
  <si>
    <t>菊之丞ATK02</t>
  </si>
  <si>
    <t>kikunojo001/kikunojo001_body_attack03</t>
  </si>
  <si>
    <t>菊之丞ATK03</t>
  </si>
  <si>
    <t>kikunojo001/kikunojo001_body_attack04</t>
  </si>
  <si>
    <t>菊之丞ATK04</t>
  </si>
  <si>
    <t>kikunojo001/kikunojo001_body_attack04_hit</t>
  </si>
  <si>
    <t>菊之丞ATK04受击特效</t>
  </si>
  <si>
    <t>kikunojo001/kikunojo001_body_attack05</t>
  </si>
  <si>
    <t>菊之丞ATK05</t>
  </si>
  <si>
    <t>kikunojo001/kikunojo001_body_attack05_hit</t>
  </si>
  <si>
    <t>菊之丞ATK05受击特效</t>
  </si>
  <si>
    <t>kikunojo001/kikunojo001_body_attack06</t>
  </si>
  <si>
    <t>菊之丞ATK06</t>
  </si>
  <si>
    <t>kikunojo001/kikunojo001_body_attack08</t>
  </si>
  <si>
    <t>菊之丞ATK08</t>
  </si>
  <si>
    <t>kikunojo001/kikunojo001_body_mood06</t>
  </si>
  <si>
    <t>菊之丞8星专属</t>
  </si>
  <si>
    <t>kikunojo001/kikunojo001_body_stand</t>
  </si>
  <si>
    <t>菊之丞8星</t>
  </si>
  <si>
    <t>kikunojo001/kikunojo001_body_attack03_hit</t>
  </si>
  <si>
    <t>菊之丞ATK03 刀痕爆炸拆解</t>
  </si>
  <si>
    <t>kikunojo001/kikunojo001_body_attack07</t>
  </si>
  <si>
    <t>菊之丞ATK07</t>
  </si>
  <si>
    <t>kikunojo001/kikunojo001_body_attack08_hit01</t>
  </si>
  <si>
    <t>菊之丞ATK08受击特效</t>
  </si>
  <si>
    <t>kikunojo001/kikunojo001_body_attack08_hit02</t>
  </si>
  <si>
    <t>菊之丞ATK08受击特效2</t>
  </si>
  <si>
    <t>kikunojo001/kikunojo002_body_attack06</t>
  </si>
  <si>
    <t>菊之丞ATK06 时装版</t>
  </si>
  <si>
    <t>kikunojo001/kikunojo002_body_attack08</t>
  </si>
  <si>
    <t>菊之丞ATK08时装版</t>
  </si>
  <si>
    <t>kikunojo001/kikunojo001_body_BUFF1</t>
  </si>
  <si>
    <t>菊之丞buff 1</t>
  </si>
  <si>
    <t>kikunojo001/kikunojo001_body_BUFF2</t>
  </si>
  <si>
    <t>菊之丞buff 2</t>
  </si>
  <si>
    <t>kikunojo001/kikunojo001_body_BUFF3</t>
  </si>
  <si>
    <t>菊之丞buff 3</t>
  </si>
  <si>
    <t>edward003/edward003_body_attack01</t>
  </si>
  <si>
    <t>年轻白胡子atk01</t>
  </si>
  <si>
    <t>edward003/edward003_body_attack01_hit</t>
  </si>
  <si>
    <t>年轻白胡子atk01受击</t>
  </si>
  <si>
    <t>edward003/edward003_body_attack02</t>
  </si>
  <si>
    <t>年轻白胡子atk02</t>
  </si>
  <si>
    <t>edward003/edward003_body_attack02_Bip001_L_Hand</t>
  </si>
  <si>
    <t>年轻白胡子atk02挂点</t>
  </si>
  <si>
    <t>edward003/edward003_body_attack03</t>
  </si>
  <si>
    <t>年轻白胡子atk03</t>
  </si>
  <si>
    <t>edward003/edward003_body_attack03_hit</t>
  </si>
  <si>
    <t>年轻白胡子atk03受击</t>
  </si>
  <si>
    <t>edward003/edward003_body_attack04</t>
  </si>
  <si>
    <t>年轻白胡子atk04</t>
  </si>
  <si>
    <t>edward003/edward003_body_attack04_Dummy001</t>
  </si>
  <si>
    <t>年轻白胡子atk04挂点</t>
  </si>
  <si>
    <t>edward003/edward003_body_attack05</t>
  </si>
  <si>
    <t>年轻白胡子atk05</t>
  </si>
  <si>
    <t>edward003/edward003_body_attack05_Bip001_L_Hand</t>
  </si>
  <si>
    <t>年轻白胡子atk05挂点</t>
  </si>
  <si>
    <t>edward003/edward003_body_attack06</t>
  </si>
  <si>
    <t>年轻白胡子atk06</t>
  </si>
  <si>
    <t>edward003/edward003_body_attack06_Bip001_L_Hand</t>
  </si>
  <si>
    <t>年轻白胡子atk06挂点</t>
  </si>
  <si>
    <t>edward003/edward003_body_attack07</t>
  </si>
  <si>
    <t>年轻白胡子atk07</t>
  </si>
  <si>
    <t>edward003/edward003_body_Mod06</t>
  </si>
  <si>
    <t>年轻白胡子八星专属</t>
  </si>
  <si>
    <t>edward003/edward003_body_Stand</t>
  </si>
  <si>
    <t>年轻白胡子八星</t>
  </si>
  <si>
    <t>edward003/edward004_body_attack07</t>
  </si>
  <si>
    <t>年轻白胡子时装atk07</t>
  </si>
  <si>
    <t>edward003/edward004_body_attack08</t>
  </si>
  <si>
    <t>年轻白胡子atk08</t>
  </si>
  <si>
    <t>edward003/edward004_body_attack08_Dummy001</t>
  </si>
  <si>
    <t>年轻白胡子atk08挂点</t>
  </si>
  <si>
    <t>edward003/edward003_body_mood06_Bip001LHand</t>
  </si>
  <si>
    <t>年轻白胡子 8星专属挂点</t>
  </si>
  <si>
    <t>edward003/edward003_body_buff01</t>
  </si>
  <si>
    <t>年轻白胡子BUFF01</t>
  </si>
  <si>
    <t>edward003/edward003_body_buff02</t>
  </si>
  <si>
    <t>年轻白胡子BUFF02</t>
  </si>
  <si>
    <t>edward003/edward003_body_buff03</t>
  </si>
  <si>
    <t>年轻白胡子BUFF03</t>
  </si>
  <si>
    <t>baby05_SSR/baby05_SSR_mood06</t>
  </si>
  <si>
    <t>baby5 8星专属</t>
  </si>
  <si>
    <t>baby05_SSR/baby05_SSR_stand</t>
  </si>
  <si>
    <t>baby5 8星特效</t>
  </si>
  <si>
    <t>baby05_SSR/baby05_SSR_stand_Dummy001</t>
  </si>
  <si>
    <t>baby5 8星特效绑点</t>
  </si>
  <si>
    <t>baby05_SSR/baby05_SSR_buff01</t>
  </si>
  <si>
    <t>baby05回复buff特效</t>
  </si>
  <si>
    <t>perona005/perona005_body_attack01</t>
  </si>
  <si>
    <t>新世界佩罗娜普攻</t>
  </si>
  <si>
    <t>perona005/perona005_body_attack01_hit</t>
  </si>
  <si>
    <t>新世界佩罗娜普攻受击</t>
  </si>
  <si>
    <t>perona005/perona005_body_attack02</t>
  </si>
  <si>
    <t>新世界佩罗娜atk02</t>
  </si>
  <si>
    <t>perona005/perona005_body_attack02_hit</t>
  </si>
  <si>
    <t>新世界佩罗娜atk02受击</t>
  </si>
  <si>
    <t>perona005/perona005_body_attack03</t>
  </si>
  <si>
    <t>新世界佩罗娜atk03</t>
  </si>
  <si>
    <t>perona005/perona005_body_attack03_hit</t>
  </si>
  <si>
    <t>新世界佩罗娜atk03受击</t>
  </si>
  <si>
    <t>perona005/perona005_body_attack04</t>
  </si>
  <si>
    <t>新世界佩罗娜atk04</t>
  </si>
  <si>
    <t>perona005/perona005_body_attack04_gro</t>
  </si>
  <si>
    <t>新世界佩罗娜atk04地面幽灵</t>
  </si>
  <si>
    <t>perona005/perona005_body_attack05</t>
  </si>
  <si>
    <t>新世界佩罗娜atk05</t>
  </si>
  <si>
    <t>perona005/perona005_body_attack06</t>
  </si>
  <si>
    <t>新世界佩罗娜atk06</t>
  </si>
  <si>
    <t>perona005/perona005_body_attack06_hit</t>
  </si>
  <si>
    <t>新世界佩罗娜atk06受击</t>
  </si>
  <si>
    <t>perona005/perona005_body_attack07</t>
  </si>
  <si>
    <t>新世界佩罗娜atk07</t>
  </si>
  <si>
    <t>perona005/perona005_body_attack07_hit01</t>
  </si>
  <si>
    <t>新世界佩罗娜atk07受击1</t>
  </si>
  <si>
    <t>perona005/perona005_body_attack08</t>
  </si>
  <si>
    <t>新世界佩罗娜atk08</t>
  </si>
  <si>
    <t>perona005/perona005_body_attack07_hit02</t>
  </si>
  <si>
    <t>新世界佩罗娜atk07受击2大爆炸</t>
  </si>
  <si>
    <t>perona005/perona005_body_stand</t>
  </si>
  <si>
    <t>新世界佩罗娜八星</t>
  </si>
  <si>
    <t>perona005/perona005_body_mood06</t>
  </si>
  <si>
    <t>新世界佩罗娜八星专属</t>
  </si>
  <si>
    <t>perona005/perona005_body_attack08_pf</t>
  </si>
  <si>
    <t>新世界佩罗娜atk08皮肤版</t>
  </si>
  <si>
    <t>perona005/perona005_body_attack05_hit</t>
  </si>
  <si>
    <t>新世界佩罗娜atk05受击</t>
  </si>
  <si>
    <t>perona005/perona005_body_buff1</t>
  </si>
  <si>
    <t>佩罗娜敌方召唤幽灵</t>
  </si>
  <si>
    <t>perona005/perona005_body_buff2</t>
  </si>
  <si>
    <t>佩罗娜附身buff</t>
  </si>
  <si>
    <t>garp004/garp004_attack01</t>
  </si>
  <si>
    <t>年轻卡普普攻特效</t>
  </si>
  <si>
    <t>garp004/garp004_attack01_Bip001_R_Hand</t>
  </si>
  <si>
    <t>年轻卡普普攻挂点特效</t>
  </si>
  <si>
    <t>garp004/garp004_attack01_hit</t>
  </si>
  <si>
    <t>年轻卡普普攻受击特效</t>
  </si>
  <si>
    <t>garp004/garp004_attack02</t>
  </si>
  <si>
    <t>年轻卡普attack'02特效</t>
  </si>
  <si>
    <t>garp004/garp004_attack02_Bip001LHand</t>
  </si>
  <si>
    <t>年轻卡普attack02挂点特效</t>
  </si>
  <si>
    <t>garp004/garp004_attack02_hit</t>
  </si>
  <si>
    <t>年轻卡普attack02受击特效</t>
  </si>
  <si>
    <t>garp004/garp004_attack03</t>
  </si>
  <si>
    <t>年轻卡普attack03特效</t>
  </si>
  <si>
    <t>garp004/garp004_attack03_hit01</t>
  </si>
  <si>
    <t>年轻卡普attack03受击特效1</t>
  </si>
  <si>
    <t>garp004/garp004_attack03_hit02</t>
  </si>
  <si>
    <t>年轻卡普attack03受击特效2</t>
  </si>
  <si>
    <t>garp004/garp004_attack04</t>
  </si>
  <si>
    <t>年轻卡普attack04特效</t>
  </si>
  <si>
    <t>garp004/garp004_attack04_Bip001RHand</t>
  </si>
  <si>
    <t>年轻卡普attack04挂点特效</t>
  </si>
  <si>
    <t>garp004/garp004_attack04_hit01</t>
  </si>
  <si>
    <t>年轻卡普attack04受击特效1</t>
  </si>
  <si>
    <t>garp004/garp004_attack04_hit02</t>
  </si>
  <si>
    <t>年轻卡普attack04受击特效2</t>
  </si>
  <si>
    <t>garp004/garp004_attack05</t>
  </si>
  <si>
    <t>年轻卡普attack05特效</t>
  </si>
  <si>
    <t>garp004/garp004_attack05_hit01</t>
  </si>
  <si>
    <t>年轻卡普attack05受击特效1</t>
  </si>
  <si>
    <t>garp004/garp004_attack05_hit02</t>
  </si>
  <si>
    <t>年轻卡普attack05受击特效2</t>
  </si>
  <si>
    <t>garp004/garp004_attack06</t>
  </si>
  <si>
    <t>年轻卡普attack06特效</t>
  </si>
  <si>
    <t>garp004/garp004_attack06_Bip001_R_Hand</t>
  </si>
  <si>
    <t>年轻卡普attack06挂点特效</t>
  </si>
  <si>
    <t>garp004/garp004_attack07</t>
  </si>
  <si>
    <t>年轻卡普attack07特效</t>
  </si>
  <si>
    <t>garp004/garp004_attack07_Bip001RHand</t>
  </si>
  <si>
    <t>年轻卡普attack07挂点特效</t>
  </si>
  <si>
    <t>garp004/garp004_mood</t>
  </si>
  <si>
    <t>年轻卡普八星专属</t>
  </si>
  <si>
    <t>garp004/garp004_stand</t>
  </si>
  <si>
    <t>年轻卡普八星特效</t>
  </si>
  <si>
    <t>garp004/garp004_attack08</t>
  </si>
  <si>
    <t>年轻卡普attack08特效</t>
  </si>
  <si>
    <t>garp004/garp004_attack08_groud</t>
  </si>
  <si>
    <t>年轻卡普attack08残留特效</t>
  </si>
  <si>
    <t>garp004/garp004_buff01</t>
  </si>
  <si>
    <t>年轻卡普buff01</t>
  </si>
  <si>
    <t>garp004/garp004_buff02</t>
  </si>
  <si>
    <t>年轻卡普buff02</t>
  </si>
  <si>
    <t>garp004/garp004_buff03</t>
  </si>
  <si>
    <t>年轻卡普buff03</t>
  </si>
  <si>
    <t>wangda001/wangda001_attack01</t>
  </si>
  <si>
    <t>旺达attack01特效</t>
  </si>
  <si>
    <t>wangda001/wangda001_attack01_Bone027</t>
  </si>
  <si>
    <t>旺达attack01挂点特效</t>
  </si>
  <si>
    <t>wangda001/wangda001_attack01_hit</t>
  </si>
  <si>
    <t>旺达attack01受击特效</t>
  </si>
  <si>
    <t>wangda001/wangda001_attack02</t>
  </si>
  <si>
    <t>旺达attack02特效</t>
  </si>
  <si>
    <t>wangda001/wangda001_attack02_Bone027</t>
  </si>
  <si>
    <t>旺达attack02挂点特效</t>
  </si>
  <si>
    <t>wangda001/wangda001_attack02_hit</t>
  </si>
  <si>
    <t>旺达attack02受击特效</t>
  </si>
  <si>
    <t>luodi001/luodi001_attack01</t>
  </si>
  <si>
    <t>罗迪attack01特效</t>
  </si>
  <si>
    <t>luodi001/luodi001_attack01_hit</t>
  </si>
  <si>
    <t>罗迪attack01受击特效</t>
  </si>
  <si>
    <t>luodi001/luodi001_attack02</t>
  </si>
  <si>
    <t>罗迪attack02特效</t>
  </si>
  <si>
    <t>luodi001/luodi001_attack02_Bip001</t>
  </si>
  <si>
    <t>罗迪attack02挂点特效</t>
  </si>
  <si>
    <t>luodi001/luodi001_attack02_hit</t>
  </si>
  <si>
    <t>罗迪attack02受击特效</t>
  </si>
  <si>
    <t>luodi001/luodi001_attack03</t>
  </si>
  <si>
    <t>罗迪attack03特效</t>
  </si>
  <si>
    <t>luodi001/luodi001_attack03_Bip001</t>
  </si>
  <si>
    <t>罗迪attack03挂点特效</t>
  </si>
  <si>
    <t>luodi001/luodi001_attack03_hit</t>
  </si>
  <si>
    <t>罗迪attack03受击特效</t>
  </si>
  <si>
    <t>maopizu/Maopizu001_Attack_01</t>
  </si>
  <si>
    <t>毛皮族attack01特效</t>
  </si>
  <si>
    <t>maopizu/Maopizu001_Attack_01_Hit</t>
  </si>
  <si>
    <t>毛皮族attack01受击特效</t>
  </si>
  <si>
    <t>maopizu/Maopizu003_Attack_01</t>
  </si>
  <si>
    <t>毛皮族03attack01特效</t>
  </si>
  <si>
    <t>beasts001_body/beasts001_body</t>
  </si>
  <si>
    <t>杰克海贼团手下1attack01特效</t>
  </si>
  <si>
    <t>beasts001_body/beasts001_body_hit</t>
  </si>
  <si>
    <t>杰克海贼团手下1受击特效</t>
  </si>
  <si>
    <t>beasts002_body/beasts002_body_attack01</t>
  </si>
  <si>
    <t>杰克海贼团手下2attack01特效</t>
  </si>
  <si>
    <t>beasts002_body/beasts002_body_attack01_hit</t>
  </si>
  <si>
    <t>杰克海贼团手下2受击特效</t>
  </si>
  <si>
    <t>sheeps/sheeps_attack01</t>
  </si>
  <si>
    <t>绵羊头attack01特效</t>
  </si>
  <si>
    <t>sheeps/sheeps_attack01_hit1</t>
  </si>
  <si>
    <t>绵羊头attack01受击特效1</t>
  </si>
  <si>
    <t>sheeps/sheeps_attack01_hit2</t>
  </si>
  <si>
    <t>绵羊头attack01受击特效2</t>
  </si>
  <si>
    <t>sheeps/sheeps_attack02</t>
  </si>
  <si>
    <t>绵羊头attack02特效</t>
  </si>
  <si>
    <t>sheeps/sheeps_attack03</t>
  </si>
  <si>
    <t>绵羊头attack03特效</t>
  </si>
  <si>
    <t>sheeps/sheeps_attack03_hit1</t>
  </si>
  <si>
    <t>绵羊头attack03受击特效1</t>
  </si>
  <si>
    <t>sheeps/sheeps_attack03_hit2</t>
  </si>
  <si>
    <t>绵羊头attack03受击特效2</t>
  </si>
  <si>
    <t>bege/bege_attack01</t>
  </si>
  <si>
    <t>贝基attack01特效</t>
  </si>
  <si>
    <t>bege/bege_attack01_hit</t>
  </si>
  <si>
    <t>贝基attack01受击特效</t>
  </si>
  <si>
    <t>bege/bege_attack02</t>
  </si>
  <si>
    <t>贝基attack02特效</t>
  </si>
  <si>
    <t>bege/bege_attack03</t>
  </si>
  <si>
    <t>贝基attack03特效</t>
  </si>
  <si>
    <t>bege/bege_attack03_dummy001</t>
  </si>
  <si>
    <t>bege/bege_attack03_dummy002</t>
  </si>
  <si>
    <t>bege/bege_attack03_dummy003</t>
  </si>
  <si>
    <t>bege/bege_attack03_dummy004</t>
  </si>
  <si>
    <t>bege/bege_attack03_dummy005</t>
  </si>
  <si>
    <t>bege/bege_attack03_dummy006</t>
  </si>
  <si>
    <t>bege/bege_attack03_dummy007</t>
  </si>
  <si>
    <t>capone001/capone001_attack01</t>
  </si>
  <si>
    <t>卡朋手下001attcak01特效</t>
  </si>
  <si>
    <t>capone001/capone001_attack01_hit</t>
  </si>
  <si>
    <t>卡朋手下001attcak01受击特效</t>
  </si>
  <si>
    <t>capone002/capone002_attack01</t>
  </si>
  <si>
    <t>卡朋手下002attcak01特效</t>
  </si>
  <si>
    <t>capone002/capone002_attack01_hit</t>
  </si>
  <si>
    <t>卡朋手下002attcak01受击特效</t>
  </si>
  <si>
    <t>Jack/Jack_Attack_01_01</t>
  </si>
  <si>
    <t>杰克attack01攻击特效</t>
  </si>
  <si>
    <t>Jack/Jack_Attack_01_01_Hit</t>
  </si>
  <si>
    <t>杰克attack01受击特效</t>
  </si>
  <si>
    <t>Jack/Jack_Attack_01_02</t>
  </si>
  <si>
    <t>杰克attack02攻击特效</t>
  </si>
  <si>
    <t>Jack/Jack_Attack_02_01</t>
  </si>
  <si>
    <t>杰克象attack01攻击特效</t>
  </si>
  <si>
    <t>Jack/Jack_Attack_02_02</t>
  </si>
  <si>
    <t>杰克象attack02攻击特效</t>
  </si>
  <si>
    <t>Jack/Jack_Attack_02_03</t>
  </si>
  <si>
    <t>杰克象attack03攻击特效</t>
  </si>
  <si>
    <t>Jack/Jack_Attack_02_04</t>
  </si>
  <si>
    <t>杰克象attack04攻击特效</t>
  </si>
  <si>
    <t>jialuote004/jialuote004_body_attack01</t>
  </si>
  <si>
    <t>剧情加洛特attack01特效</t>
  </si>
  <si>
    <t>jialuote004/jialuote004_body_attack01_Bip001_R_Hand</t>
  </si>
  <si>
    <t>jialuote004/jialuote004_body_attack01_hit</t>
  </si>
  <si>
    <t>剧情加洛特attack01受击特效</t>
  </si>
  <si>
    <t>jialuote004/jialuote004_body_attack02</t>
  </si>
  <si>
    <t>剧情加洛特attack02特效</t>
  </si>
  <si>
    <t>jialuote004/jialuote004_body_attack02_Bip001_R_Hand</t>
  </si>
  <si>
    <t>jialuote004/jialuote004_body_attack02_hit</t>
  </si>
  <si>
    <t>剧情加洛特attack02受击特效</t>
  </si>
  <si>
    <t>luffy010_body/luffy012_body_attack10</t>
  </si>
  <si>
    <t>路飞觉醒attack10特效</t>
  </si>
  <si>
    <t>luffy010_body/luffy012_body_attack10_gro</t>
  </si>
  <si>
    <t>路飞觉醒attack10特效挂点</t>
  </si>
  <si>
    <t>luffy010_body/luffy012_body_attack10_hit</t>
  </si>
  <si>
    <t>路飞觉醒attack10受击特效</t>
  </si>
  <si>
    <t>luffy010_body/luffy012_body_attack11</t>
  </si>
  <si>
    <t>路飞觉醒attack11特效</t>
  </si>
  <si>
    <t>luffy010_body/luffy012_body_attack11_Bip001_Head</t>
  </si>
  <si>
    <t>路飞觉醒attack11特效挂点</t>
  </si>
  <si>
    <t>luffy010_body/luffy012_body_attack11_Bip001_L_UpperArm</t>
  </si>
  <si>
    <t>luffy010_body/luffy012_body_attack11_Bip001_R_Forearm</t>
  </si>
  <si>
    <t>luffy010_body/luffy012_body_attack11_Bip001_R_Hand</t>
  </si>
  <si>
    <t>luffy010_body/luffy012_body_attack11_Bip001_R_UpperArm</t>
  </si>
  <si>
    <t>luffy010_body/luffy012_body_attack11_Bip001_Spine</t>
  </si>
  <si>
    <t>ohm001_body/ohm001_body_attack01_hit1</t>
  </si>
  <si>
    <t>欧姆小怪后加特效</t>
  </si>
  <si>
    <t>ohm001_body/ohm001_body_attack01_hit2_gro</t>
  </si>
  <si>
    <t>欧姆小怪后加特效（地面反馈）</t>
  </si>
  <si>
    <t>luffy010_body/luffy12_buff_yuanwang</t>
  </si>
  <si>
    <t>路飞超奥义猿王buff特效</t>
  </si>
  <si>
    <t>blackbeard004_body/blackbeard004_attack01</t>
  </si>
  <si>
    <t>四皇黑胡子普攻特效</t>
  </si>
  <si>
    <t>blackbeard004_body/blackbeard004_attack01_Bip001LHand</t>
  </si>
  <si>
    <t>四皇黑胡子普攻挂点特效</t>
  </si>
  <si>
    <t>blackbeard004_body/blackbeard004_attack01_Bip001RHand</t>
  </si>
  <si>
    <t>blackbeard004_body/blackbeard004_attack01_hit1</t>
  </si>
  <si>
    <t>四皇黑胡子普攻受击1</t>
  </si>
  <si>
    <t>blackbeard004_body/blackbeard004_attack01_hit2</t>
  </si>
  <si>
    <t>四皇黑胡子普攻受击2</t>
  </si>
  <si>
    <t>blackbeard004_body/blackbeard004_attack01_hit3</t>
  </si>
  <si>
    <t>四皇黑胡子普攻受击3</t>
  </si>
  <si>
    <t>blackbeard004_body/blackbeard004_attack02</t>
  </si>
  <si>
    <t>四皇黑胡子技能2特效</t>
  </si>
  <si>
    <t>blackbeard004_body/blackbeard004_attack02_hit1</t>
  </si>
  <si>
    <t>四皇黑胡子技能2受击特效</t>
  </si>
  <si>
    <t>blackbeard004_body/blackbeard004_attack02_hit2</t>
  </si>
  <si>
    <t>blackbeard004_body/blackbeard004_attack03</t>
  </si>
  <si>
    <t>四皇黑胡子技能3</t>
  </si>
  <si>
    <t>blackbeard004_body/blackbeard004_attack03_Bip001_R_Hand</t>
  </si>
  <si>
    <t>四皇黑胡子技能3挂点</t>
  </si>
  <si>
    <t>blackbeard004_body/blackbeard004_attack03_gro</t>
  </si>
  <si>
    <t>四皇黑胡子技能3地面</t>
  </si>
  <si>
    <t>blackbeard004_body/blackbeard004_attack04</t>
  </si>
  <si>
    <t>四皇黑胡子技能4</t>
  </si>
  <si>
    <t>blackbeard004_body/blackbeard004_attack04_Bone005</t>
  </si>
  <si>
    <t>四皇黑胡子技能4挂点</t>
  </si>
  <si>
    <t>blackbeard004_body/blackbeard004_attack04_hit01</t>
  </si>
  <si>
    <t>四皇黑胡子技能4受击</t>
  </si>
  <si>
    <t>blackbeard004_body/blackbeard004_attack04_hit02</t>
  </si>
  <si>
    <t>blackbeard004_body/blackbeard004_attack05</t>
  </si>
  <si>
    <t>四皇黑胡子技能5</t>
  </si>
  <si>
    <t>blackbeard004_body/blackbeard004_attack05_hit</t>
  </si>
  <si>
    <t>四皇黑胡子技能5受击</t>
  </si>
  <si>
    <t>blackbeard004_body/blackbeard004_attack06</t>
  </si>
  <si>
    <t>四皇黑胡子技能6</t>
  </si>
  <si>
    <t>blackbeard004_body/blackbeard004_attack06_Bip001_R_Hand</t>
  </si>
  <si>
    <t>四皇黑胡子技能6挂点</t>
  </si>
  <si>
    <t>blackbeard004_body/blackbeard004_attack07</t>
  </si>
  <si>
    <t>四皇黑胡子技能7</t>
  </si>
  <si>
    <t>blackbeard004_body/blackbeard004_attack07_Bip001_L_Hand</t>
  </si>
  <si>
    <t>四皇黑胡子技能7挂点</t>
  </si>
  <si>
    <t>blackbeard004_body/blackbeard004_attack07_Bip001_R_Hand</t>
  </si>
  <si>
    <t>blackbeard004_body/blackbeard004_attack08</t>
  </si>
  <si>
    <t>四皇黑胡子技能8</t>
  </si>
  <si>
    <t>blackbeard004_body/blackbeard004_attack08_Bip001_L_Hand</t>
  </si>
  <si>
    <t>四皇黑胡子技能8挂点</t>
  </si>
  <si>
    <t>blackbeard004_body/blackbeard004_attack08_Bip001_R_Hand</t>
  </si>
  <si>
    <t>blackbeard004_body/blackbeard004_buff_fuhuo</t>
  </si>
  <si>
    <t>四皇黑胡子群体复活buff</t>
  </si>
  <si>
    <t>blackbeard004_body/blackbeard004_buff_heishuichi</t>
  </si>
  <si>
    <t>四皇黑胡子敌方地面特效</t>
  </si>
  <si>
    <t>blackbeard004_body/blackbeard004_buff_hudun</t>
  </si>
  <si>
    <t>四皇黑胡子黑暗护盾</t>
  </si>
  <si>
    <t>blackbeard004_body/blackbeard004_buff_tulushike</t>
  </si>
  <si>
    <t>四皇黑胡子屠杀状态特效</t>
  </si>
  <si>
    <t>blackbeard004_body/blackbeard004_buff_xianji</t>
  </si>
  <si>
    <t>四皇黑胡子献祭队友</t>
  </si>
  <si>
    <t>blackbeard004_body/blackbeard004_Mood06_Bip001_Neck</t>
  </si>
  <si>
    <t>四皇黑胡子八星专属</t>
  </si>
  <si>
    <t>blackbeard004_body/blackbeard004_Mood06_Bip001_R_Hand</t>
  </si>
  <si>
    <t>blackbeard004_body/blackbeard004_Stand</t>
  </si>
  <si>
    <t>四皇黑胡子八星特效</t>
  </si>
  <si>
    <t>blackbeard004_body/blackbeard004_stand_Bip001_L_Hand</t>
  </si>
  <si>
    <t>四皇黑胡子八星特效挂点</t>
  </si>
  <si>
    <t>blackbeard004_body/blackbeard004_stand_Bip001_Neck</t>
  </si>
  <si>
    <t>blackbeard004_body/blackbeard004_stand_Bip001_R_Hand</t>
  </si>
  <si>
    <t>dogduke004/dogduke004_attack01</t>
  </si>
  <si>
    <t>犬岚attack01特效</t>
  </si>
  <si>
    <t>dogduke004/dogduke004_attack01_hit</t>
  </si>
  <si>
    <t>犬岚attack01受击</t>
  </si>
  <si>
    <t>dogduke004/dogduke004_attack02</t>
  </si>
  <si>
    <t>犬岚attack02特效</t>
  </si>
  <si>
    <t>dogduke004/dogduke004_attack02_hit</t>
  </si>
  <si>
    <t>犬岚attack02受击</t>
  </si>
  <si>
    <t>dogduke004/dogduke004_attack03</t>
  </si>
  <si>
    <t>犬岚attack03特效</t>
  </si>
  <si>
    <t>dogduke004/dogduke004_attack03_hit</t>
  </si>
  <si>
    <t>犬岚attack03受击</t>
  </si>
  <si>
    <t>dogduke004/dogduke004_attack03_Bone_weapon02</t>
  </si>
  <si>
    <t>犬岚attack03武器</t>
  </si>
  <si>
    <t>dogduke004/dogduke004_attack04</t>
  </si>
  <si>
    <t>犬岚attack04特效</t>
  </si>
  <si>
    <t>dogduke004/dogduke004_attack04_hit</t>
  </si>
  <si>
    <t>犬岚attack04受击</t>
  </si>
  <si>
    <t>dogduke004/dogduke005_attack05</t>
  </si>
  <si>
    <t>犬岚attack05特效</t>
  </si>
  <si>
    <t>dogduke004/dogduke005_attack05_hit</t>
  </si>
  <si>
    <t>犬岚attack05受击</t>
  </si>
  <si>
    <t>dogduke004/dogduke005_attack06</t>
  </si>
  <si>
    <t>犬岚attack06特效</t>
  </si>
  <si>
    <t>dogduke004/dogduke005_attack06_Bone_Bip001LFinger02</t>
  </si>
  <si>
    <t>犬岚attack06绑点特效</t>
  </si>
  <si>
    <t>dogduke004/dogduke005_attack06_Bone_Bip001RFinger02</t>
  </si>
  <si>
    <t>dogduke004/dogduke005_attack06_hit</t>
  </si>
  <si>
    <t>犬岚attack06受击特效</t>
  </si>
  <si>
    <t>dogduke004/dogduke004_attack07</t>
  </si>
  <si>
    <t>犬岚attack07特效</t>
  </si>
  <si>
    <t>dogduke004/dogduke005_attack08</t>
  </si>
  <si>
    <t>犬岚attack08特效</t>
  </si>
  <si>
    <t>dogduke004/dogduke005_attack08_Bip001_Head</t>
  </si>
  <si>
    <t>犬岚attack08特效挂点</t>
  </si>
  <si>
    <t>dogduke004/dogduke005_attack08_Bip001_Spine</t>
  </si>
  <si>
    <t>dogduke004/dogduke005_attack09</t>
  </si>
  <si>
    <t>犬岚attack09特效挂点</t>
  </si>
  <si>
    <t>dogduke004/dogduke004_BUFF_01</t>
  </si>
  <si>
    <t>犬岚护盾buff</t>
  </si>
  <si>
    <t>dogduke004/dogduke004_BUFF_02</t>
  </si>
  <si>
    <t>犬岚反弹护盾</t>
  </si>
  <si>
    <t>dogduke004/dogduke005_buff03</t>
  </si>
  <si>
    <t>犬岚打断</t>
  </si>
  <si>
    <t>dogduke004/dogduke005_mood06</t>
  </si>
  <si>
    <t>犬岚八星专属</t>
  </si>
  <si>
    <t>dogduke004/dogduke005_stand</t>
  </si>
  <si>
    <t>犬岚八星特效</t>
  </si>
  <si>
    <t>catviper004_body/catviper004_attack01</t>
  </si>
  <si>
    <t>猫蝮蛇普攻</t>
  </si>
  <si>
    <t>catviper004_body/catviper004_attack01_hitboom</t>
  </si>
  <si>
    <t>猫蝮蛇普攻受击</t>
  </si>
  <si>
    <t>catviper004_body/catviper004_attack02</t>
  </si>
  <si>
    <t>猫蝮蛇attack02</t>
  </si>
  <si>
    <t>catviper004_body/catviper004_attack02_hit</t>
  </si>
  <si>
    <t>猫蝮蛇attack02受击</t>
  </si>
  <si>
    <t>catviper004_body/catviper004_attack02_hit1</t>
  </si>
  <si>
    <t>猫蝮蛇attack02受击2</t>
  </si>
  <si>
    <t>catviper004_body/catviper004_attack03</t>
  </si>
  <si>
    <t>猫蝮蛇attack03</t>
  </si>
  <si>
    <t>catviper004_body/catviper004_attack03_hit</t>
  </si>
  <si>
    <t>猫蝮蛇attack03受击</t>
  </si>
  <si>
    <t>catviper004_body/catviper004_attack04</t>
  </si>
  <si>
    <t>猫蝮蛇attack04</t>
  </si>
  <si>
    <t>catviper004_body/catviper004_attack04_hit</t>
  </si>
  <si>
    <t>猫蝮蛇attack04受击</t>
  </si>
  <si>
    <t>catviper004_body/catviper004_Mood06</t>
  </si>
  <si>
    <t>猫蝮蛇八星专属</t>
  </si>
  <si>
    <t>catviper004_body/catviper004_Stand</t>
  </si>
  <si>
    <t>猫蝮蛇八星特效</t>
  </si>
  <si>
    <t>catviper004_body/catviper005_attack05</t>
  </si>
  <si>
    <t>猫蝮蛇attack05</t>
  </si>
  <si>
    <t>catviper004_body/catviper005_attack05_hit</t>
  </si>
  <si>
    <t>猫蝮蛇attack05受击</t>
  </si>
  <si>
    <t>catviper004_body/catviper005_attack06</t>
  </si>
  <si>
    <t>猫蝮蛇attack06</t>
  </si>
  <si>
    <t>catviper004_body/catviper005_attack06_Bip001_R_Finger2</t>
  </si>
  <si>
    <t>猫蝮蛇attack06绑点</t>
  </si>
  <si>
    <t>catviper004_body/catviper005_attack06_hit</t>
  </si>
  <si>
    <t>猫蝮蛇attack06受击</t>
  </si>
  <si>
    <t>catviper004_body/catviper005_attack08</t>
  </si>
  <si>
    <t>猫蝮蛇attack08</t>
  </si>
  <si>
    <t>catviper004_body/catviper005_attack09</t>
  </si>
  <si>
    <t>猫蝮蛇attack09</t>
  </si>
  <si>
    <t>catviper004_body/catviper005_attack09_Bip001_Spine1</t>
  </si>
  <si>
    <t>猫蝮蛇attack09绑点</t>
  </si>
  <si>
    <t>catviper004_body/catviper005_attack09_hit_Bip001_Spine</t>
  </si>
  <si>
    <t>catviper004_body/catviper005_BUFF_01</t>
  </si>
  <si>
    <t>猫蝮蛇buff</t>
  </si>
  <si>
    <t>catviper004_body/catviper004_attack07</t>
  </si>
  <si>
    <t>猫蝮蛇attack07</t>
  </si>
  <si>
    <t>catviper004_body/catviper004_attack07_Bip001_R_Forearm</t>
  </si>
  <si>
    <t>猫蝮蛇attack07挂点</t>
  </si>
  <si>
    <t>catviper004_body/catviper004_attack07_Bip001_Spine1</t>
  </si>
  <si>
    <t>catviper004_body/catviper004_attack07_Bone_weapon</t>
  </si>
  <si>
    <t>catviper004_body/catviper004_attack07_Bone_weapon003</t>
  </si>
  <si>
    <t>catviper004_body/catviper004_attack01_hitlight</t>
  </si>
  <si>
    <t>catviper004_body/catviper005_attack09_hit_01</t>
  </si>
  <si>
    <t>猫蝮蛇attack09受击</t>
  </si>
  <si>
    <t>catviper004_body/catviper005_attack09_hit_02</t>
  </si>
  <si>
    <t>catviper004_body/catviper005_attack09_hit_03</t>
  </si>
  <si>
    <t>catviper004_body/catviper005_attack09_hit_04</t>
  </si>
  <si>
    <t>dogduke004/dogduke005_attack08_Bip001_R_Hand</t>
  </si>
  <si>
    <t>狗attack08挂点</t>
  </si>
  <si>
    <t>ace/ace_attack010</t>
  </si>
  <si>
    <t>艾斯炎上网特效</t>
  </si>
  <si>
    <t>ace/ace_attack010_Bip001_L_Foream</t>
  </si>
  <si>
    <t>艾斯炎上网挂点特效</t>
  </si>
  <si>
    <t>ace/ace_attack010_Bip001_R_Hand</t>
  </si>
  <si>
    <t>ace001_body/ace001_body_attack12</t>
  </si>
  <si>
    <t>艾斯超奥义原皮特效</t>
  </si>
  <si>
    <t>ace001_body/ace001_body_attack12_Bip001_R_Finger1</t>
  </si>
  <si>
    <t>ace001_body/ace001_body_attack12_Bip001_R_Hand</t>
  </si>
  <si>
    <t>ace001_body/ace005_body_attack12_Bip001_L_Hand</t>
  </si>
  <si>
    <t>ace001_body/ace005_body_attack12_Bip001_R_Hand</t>
  </si>
  <si>
    <t>pudding001/pudding001_attack01</t>
  </si>
  <si>
    <t>布林原皮attack01特效</t>
  </si>
  <si>
    <t>pudding001/pudding001_attack01_hit</t>
  </si>
  <si>
    <t>布林原皮attack01手受击特效</t>
  </si>
  <si>
    <t>pudding001/pudding001_attack02</t>
  </si>
  <si>
    <t>布琳attack02特效</t>
  </si>
  <si>
    <t>pudding001/pudding001_attack02_Bone_flower</t>
  </si>
  <si>
    <t>pudding001/pudding001_attack04</t>
  </si>
  <si>
    <t>布琳attack04特效</t>
  </si>
  <si>
    <t>pudding001/pudding001_attack04_Bip001_L_Finger2</t>
  </si>
  <si>
    <t>布琳attack04绑点特效</t>
  </si>
  <si>
    <t>pudding001/pudding001_attack04_hit</t>
  </si>
  <si>
    <t>布琳attack04受击特效</t>
  </si>
  <si>
    <t>pudding001/pudding001_attack05</t>
  </si>
  <si>
    <t>布琳attack05特效</t>
  </si>
  <si>
    <t>pudding001/pudding001_attack06</t>
  </si>
  <si>
    <t>布琳attack06特效</t>
  </si>
  <si>
    <t>pudding001/pudding001_attack06_Bip001_Spine</t>
  </si>
  <si>
    <t>布琳attack06绑点特效</t>
  </si>
  <si>
    <t>pudding001/pudding001_attack06_weapon_feitan_05</t>
  </si>
  <si>
    <t>pudding001/pudding001_attack06_weapon_feitan_H05</t>
  </si>
  <si>
    <t>pudding001/pudding001_BUFF01_Bip001_HeadNub</t>
  </si>
  <si>
    <t>布琳buff</t>
  </si>
  <si>
    <t>pudding001/pudding001_BUFF02_Bip001_HeadNub</t>
  </si>
  <si>
    <t>pudding001/pudding001_mood06</t>
  </si>
  <si>
    <t>布琳八星专属</t>
  </si>
  <si>
    <t>pudding001/pudding001_mood06_Bone_Bip001LFinger2</t>
  </si>
  <si>
    <t>布琳八星专属挂点</t>
  </si>
  <si>
    <t>pudding001/pudding001_mood06_Bone_Bip001RFinger2</t>
  </si>
  <si>
    <t>pudding001/pudding001_stand</t>
  </si>
  <si>
    <t>布琳八星特效</t>
  </si>
  <si>
    <t>pudding001/pudding003_attack02</t>
  </si>
  <si>
    <t>布林时装02换皮</t>
  </si>
  <si>
    <t>pudding001/pudding003_attack02_Bone_flower</t>
  </si>
  <si>
    <t>pudding001/pudding001_attack07</t>
  </si>
  <si>
    <t>布琳attack07特效</t>
  </si>
  <si>
    <t>pudding001/pudding001_attack07_Bip001LHand</t>
  </si>
  <si>
    <t>布琳attack07挂点特效</t>
  </si>
  <si>
    <t>pudding001/pudding001_attack03</t>
  </si>
  <si>
    <t>布琳attack03</t>
  </si>
  <si>
    <t>pudding001/pudding001_attack03_hit1</t>
  </si>
  <si>
    <t>pudding001/pudding001_attack03_hit2</t>
  </si>
  <si>
    <t>pudding001/pudding001_attack03_pro</t>
  </si>
  <si>
    <t>布琳attack03（子弹）</t>
  </si>
  <si>
    <t>enel/enel_attack08</t>
  </si>
  <si>
    <t>艾尼路attack8特效</t>
  </si>
  <si>
    <t>enel/enel_attack08_Bip001_L_Calf</t>
  </si>
  <si>
    <t>艾尼路attack8挂点特效</t>
  </si>
  <si>
    <t>enel/enel_attack08_Bip001_L_Foot</t>
  </si>
  <si>
    <t>enel/enel_attack08_Bip001_L_Forearm</t>
  </si>
  <si>
    <t>enel/enel_attack08_Bip001_L_UpperArm</t>
  </si>
  <si>
    <t>enel/enel_attack08_Bip001_R_Foot</t>
  </si>
  <si>
    <t>enel/enel_attack08_Bip001_R_Forearm</t>
  </si>
  <si>
    <t>enel/enel_attack08_Bip001_R_UpperArm</t>
  </si>
  <si>
    <t>enel/enel_attack08_Bip001_Spine</t>
  </si>
  <si>
    <t>enel/enel_attack08_Bip001_Spine1</t>
  </si>
  <si>
    <t>enel/enel_attack08_Point002</t>
  </si>
  <si>
    <t>艾尼路attack8绑点002</t>
  </si>
  <si>
    <t>pudding001/pudding001_attack07_Bip001RHand</t>
  </si>
  <si>
    <t>布琳attack07特效挂点</t>
  </si>
  <si>
    <t>judge001/judge001_attack01</t>
  </si>
  <si>
    <t>伽智attack01</t>
  </si>
  <si>
    <t>judge001/judge001_attack02</t>
  </si>
  <si>
    <t>伽智attack02</t>
  </si>
  <si>
    <t>chess002/chess002_attack01</t>
  </si>
  <si>
    <t>象棋兵-刀attack01</t>
  </si>
  <si>
    <t>chess002/chess002_attack01_hit</t>
  </si>
  <si>
    <t>象棋兵-刀attack01受击</t>
  </si>
  <si>
    <t>chess002/chess002_attack02</t>
  </si>
  <si>
    <t>象棋兵-刀attack02</t>
  </si>
  <si>
    <t>chess002/chess002_attack02_hit</t>
  </si>
  <si>
    <t>象棋兵-刀attack02受击</t>
  </si>
  <si>
    <t>chess003/chess003_attack01</t>
  </si>
  <si>
    <t>象棋兵-矛attack01</t>
  </si>
  <si>
    <t>chess004/chess004_attack01</t>
  </si>
  <si>
    <t>象棋兵-剑attack01</t>
  </si>
  <si>
    <t>chess005/chess005_attack01</t>
  </si>
  <si>
    <t>象棋兵-弓attack01</t>
  </si>
  <si>
    <t>chess006/chess006_attack01</t>
  </si>
  <si>
    <t>象棋兵-枪attack01</t>
  </si>
  <si>
    <t>chess007/chess007_attack01</t>
  </si>
  <si>
    <t>象棋兵-双刀attack01</t>
  </si>
  <si>
    <t>chess007/chess007_attack01_hit</t>
  </si>
  <si>
    <t>象棋兵-双刀attack01受击</t>
  </si>
  <si>
    <t>chess007/chess007_attack02</t>
  </si>
  <si>
    <t>象棋兵-双刀attack02</t>
  </si>
  <si>
    <t>chess007/chess007_attack02_Bip001Spine1</t>
  </si>
  <si>
    <t>象棋兵-双刀attack02挂点</t>
  </si>
  <si>
    <t>chess007/chess007_attack02_hit</t>
  </si>
  <si>
    <t>象棋兵-双刀attack02受击</t>
  </si>
  <si>
    <t>homies001/homies001_attack01</t>
  </si>
  <si>
    <t>霍姆斯-甜甜圈</t>
  </si>
  <si>
    <t>homies002/homies002_attack01</t>
  </si>
  <si>
    <t>霍姆斯-蛋糕</t>
  </si>
  <si>
    <t>homies003/homies003_attack01</t>
  </si>
  <si>
    <t>霍姆斯-甜筒</t>
  </si>
  <si>
    <t>homies004/homies004_attack01</t>
  </si>
  <si>
    <t>霍姆斯-布丁</t>
  </si>
  <si>
    <t>enel/enel_attack14</t>
  </si>
  <si>
    <t>艾尼路attack14千万伏特·雷兽</t>
  </si>
  <si>
    <t>enel/enel_attack14_hit</t>
  </si>
  <si>
    <t>艾尼路attack14千万伏特·雷兽受击</t>
  </si>
  <si>
    <t>04_buff/buff_096_huahuaguoshi</t>
  </si>
  <si>
    <t>新区乔巴复活</t>
  </si>
  <si>
    <t>enel/enel_buff01</t>
  </si>
  <si>
    <t>艾尼路觉醒死亡时落叉</t>
  </si>
  <si>
    <t>enel/enel_buff02</t>
  </si>
  <si>
    <t>艾尼路觉醒复活</t>
  </si>
  <si>
    <t>garetto001/garetto001_attack01</t>
  </si>
  <si>
    <t>黄油饼干普攻特效</t>
  </si>
  <si>
    <t>garetto001/garetto001_attack01_hit</t>
  </si>
  <si>
    <t>黄油饼干普攻受击</t>
  </si>
  <si>
    <t>garetto001/garetto001_attack02</t>
  </si>
  <si>
    <t>黄油饼干attack02黄油束缚</t>
  </si>
  <si>
    <t>garetto001/garetto001_attack02_Bone_Bip001RHand</t>
  </si>
  <si>
    <t>黄油饼干attack02黄油束缚挂点</t>
  </si>
  <si>
    <t>garetto001/garetto001_attack02_hit</t>
  </si>
  <si>
    <t>黄油饼干attack02受击</t>
  </si>
  <si>
    <t>garetto001/garetto001_attack03</t>
  </si>
  <si>
    <t>黄油饼干attack03超级黄油</t>
  </si>
  <si>
    <t>garetto001/garetto001_attack03_Bone_Bip001RHand</t>
  </si>
  <si>
    <t>黄油饼干attack03挂点</t>
  </si>
  <si>
    <t>yongzhi001/yongzhi001_attack01</t>
  </si>
  <si>
    <t>勇智普攻</t>
  </si>
  <si>
    <t>yongzhi001/yongzhi001_attack01_hit</t>
  </si>
  <si>
    <t>勇智普攻受击</t>
  </si>
  <si>
    <t>yongzhi001/yongzhi001_attack02</t>
  </si>
  <si>
    <t>勇智attack02飞空踢</t>
  </si>
  <si>
    <t>yongzhi001/yongzhi001_attack02_hit</t>
  </si>
  <si>
    <t>勇智attack02飞空踢受击</t>
  </si>
  <si>
    <t>yongzhi001/yongzhi001_attack03</t>
  </si>
  <si>
    <t>勇智attack03卷力断头</t>
  </si>
  <si>
    <t>yongzhi001/yongzhi001_attack03_Bone_Bip001LToe0</t>
  </si>
  <si>
    <t>勇智attack03卷力断头挂点1</t>
  </si>
  <si>
    <t>yongzhi001/yongzhi001_attack03_Bone_Bip001RToe0Nub</t>
  </si>
  <si>
    <t>勇智attack03卷力断头挂点2</t>
  </si>
  <si>
    <t>judge001/judge001_attack03</t>
  </si>
  <si>
    <t>伽智attack03爆射飞踢</t>
  </si>
  <si>
    <t>judge001/judge001_attack03_Bone_Bip001LFoot</t>
  </si>
  <si>
    <t>伽智attack03爆射飞踢挂点</t>
  </si>
  <si>
    <t>hancock006/hancock006_body_attack10</t>
  </si>
  <si>
    <t>觉醒女帝attack10回旋踢特效</t>
  </si>
  <si>
    <t>hawkins002/hawkins002_attack04</t>
  </si>
  <si>
    <t>霍金斯洗牌·攻</t>
  </si>
  <si>
    <t>hawkins002/hawkins002_attack06</t>
  </si>
  <si>
    <t>霍金斯稻草备手刀</t>
  </si>
  <si>
    <t>hawkins002/hawkins002_attack06_hit</t>
  </si>
  <si>
    <t>霍金斯稻草备手刀受击</t>
  </si>
  <si>
    <t>hawkins002/hawkins002_attack08</t>
  </si>
  <si>
    <t>霍金斯巫毒娃娃</t>
  </si>
  <si>
    <t>hawkins002/hawkins002_attack08_Bone_Bip001LFinger11</t>
  </si>
  <si>
    <t>霍金斯巫毒娃娃手部特效</t>
  </si>
  <si>
    <t>hawkins002/hawkins002_attack08_gro</t>
  </si>
  <si>
    <t>霍金斯巫毒娃娃挂点</t>
  </si>
  <si>
    <t>hawkins002/hawkins002_attack08_hit</t>
  </si>
  <si>
    <t>霍金斯巫毒娃娃受击</t>
  </si>
  <si>
    <t>hawkins002/hawkins002_attack07</t>
  </si>
  <si>
    <t>霍金斯愚者逆位</t>
  </si>
  <si>
    <t>hawkins002/hawkins002_attack10</t>
  </si>
  <si>
    <t>霍金斯稻草人牌</t>
  </si>
  <si>
    <t>hawkins002/hawkins002_attack02</t>
  </si>
  <si>
    <t>霍金斯洗牌·速</t>
  </si>
  <si>
    <t>hawkins002/hawkins002_attack03</t>
  </si>
  <si>
    <t>霍金斯洗牌·御</t>
  </si>
  <si>
    <t>hawkins002/hawkins002_attack01</t>
  </si>
  <si>
    <t>霍金斯普攻</t>
  </si>
  <si>
    <t>hawkins002/hawkins002_attack01_hit</t>
  </si>
  <si>
    <t>霍金斯普攻受击</t>
  </si>
  <si>
    <t>hawkins002/hawkins002_attack05</t>
  </si>
  <si>
    <t>霍金斯厄运降临</t>
  </si>
  <si>
    <t>hawkins002/hawkins002_attack05_hit</t>
  </si>
  <si>
    <t>霍金斯厄运降临受击</t>
  </si>
  <si>
    <t>hawkins002/hawkins002_attack09</t>
  </si>
  <si>
    <t>霍金斯奥义命运卡牌</t>
  </si>
  <si>
    <t>hawkins002/hawkins002_stand</t>
  </si>
  <si>
    <t>霍金斯八星特效</t>
  </si>
  <si>
    <t>hawkins002/hawkins002_mood06</t>
  </si>
  <si>
    <t>霍金斯八星专属</t>
  </si>
  <si>
    <t>hawkins002/hawkins002_buff01</t>
  </si>
  <si>
    <t>霍金斯诅咒</t>
  </si>
  <si>
    <t>hawkins002/hawkins002_buff02</t>
  </si>
  <si>
    <t>霍金斯稻草人出现消失</t>
  </si>
  <si>
    <t>hawkins002/hawkins002_buff03</t>
  </si>
  <si>
    <t>霍金斯魔术包装</t>
  </si>
  <si>
    <t>hawkins002/hawkins002_buff04</t>
  </si>
  <si>
    <t>霍金斯稻草人召唤模型</t>
  </si>
  <si>
    <t>hawkins002/hawkins002_attack11</t>
  </si>
  <si>
    <t>霍金斯教皇逆位特效</t>
  </si>
  <si>
    <t>crocodile/crocodile_attack09</t>
  </si>
  <si>
    <t>克洛克达尔超奥义</t>
  </si>
  <si>
    <t>crocodile/crocodile_attack09_Bip001RForearm</t>
  </si>
  <si>
    <t>crocodile/crocodile_attack09_Bip001RHand</t>
  </si>
  <si>
    <t>crocodile/crocodile_attack09_Bip001RToe0Nub</t>
  </si>
  <si>
    <t>hancock006/hancock006_body_attack10_hit</t>
  </si>
  <si>
    <t>觉醒女帝回旋踢受击</t>
  </si>
  <si>
    <t>drake003/drake003_attack01</t>
  </si>
  <si>
    <t>德雷克普攻</t>
  </si>
  <si>
    <t>drake003/drake003_attack01_hit</t>
  </si>
  <si>
    <t>德雷克普攻受击</t>
  </si>
  <si>
    <t>drake003/drake003_attack02</t>
  </si>
  <si>
    <t>德雷克attack02</t>
  </si>
  <si>
    <t>drake003/drake003_attack02_hit</t>
  </si>
  <si>
    <t>德雷克attack02受击</t>
  </si>
  <si>
    <t>drake003/drake003_attack03</t>
  </si>
  <si>
    <t>德雷克attack03</t>
  </si>
  <si>
    <t>drake003/drake003_attack03_hit1</t>
  </si>
  <si>
    <t>德雷克attack03受击</t>
  </si>
  <si>
    <t>drake003/drake003_attack03_hit2</t>
  </si>
  <si>
    <t>drake003/drake003_attack03_hit3</t>
  </si>
  <si>
    <t>drake003/drake003_attack04</t>
  </si>
  <si>
    <t>德雷克attack04</t>
  </si>
  <si>
    <t>drake003/drake003_attack04_hit</t>
  </si>
  <si>
    <t>德雷克attack04受击</t>
  </si>
  <si>
    <t>drake003/drake004_attack07</t>
  </si>
  <si>
    <t>德雷克attack07</t>
  </si>
  <si>
    <t>drake003/drake004_attack07_hit1</t>
  </si>
  <si>
    <t>德雷克attack07受击</t>
  </si>
  <si>
    <t>drake003/drake004_attack07_hit2</t>
  </si>
  <si>
    <t>drake003/drake004_attack08</t>
  </si>
  <si>
    <t>德雷克attack08</t>
  </si>
  <si>
    <t>drake003/drake004_attack08_hit1</t>
  </si>
  <si>
    <t>德雷克attack08受击</t>
  </si>
  <si>
    <t>drake003/drake004_attack08_hit2</t>
  </si>
  <si>
    <t>drake003/drake004_attack08_hit3</t>
  </si>
  <si>
    <t>drake003/drake004_attack09</t>
  </si>
  <si>
    <t>德雷克attack09</t>
  </si>
  <si>
    <t>drake003/drake004_attack09_Bip001_Prop2</t>
  </si>
  <si>
    <t>德雷克attack09绑点</t>
  </si>
  <si>
    <t>drake003/drake004_attack09_Bip001_Prop3</t>
  </si>
  <si>
    <t>drake003/drake004_attack09_Bip001_Spine</t>
  </si>
  <si>
    <t>drake003/drake003_buff_01</t>
  </si>
  <si>
    <t>德雷克buff</t>
  </si>
  <si>
    <t>drake003/drake003_buff_02</t>
  </si>
  <si>
    <t>drake003/drake003_buff_03</t>
  </si>
  <si>
    <t>drake003/drake003_buff_04</t>
  </si>
  <si>
    <t>crocodile/crocodile002_buff_01</t>
  </si>
  <si>
    <t>克洛克达尔buff风沙护盾</t>
  </si>
  <si>
    <t>crocodile/crocodile002_buff_02</t>
  </si>
  <si>
    <t>克洛克达尔buff风沙场</t>
  </si>
  <si>
    <t>landrieu001/landrieu_attack01</t>
  </si>
  <si>
    <t>兰德鲁夫普攻特效</t>
  </si>
  <si>
    <t>landrieu001/landrieu_attack01_hit</t>
  </si>
  <si>
    <t>兰德鲁夫普攻受击</t>
  </si>
  <si>
    <t>landrieu001/landrieu_attack02</t>
  </si>
  <si>
    <t>兰德鲁夫飞突刺</t>
  </si>
  <si>
    <t>landrieu001/landrieu_attack02_hit</t>
  </si>
  <si>
    <t>兰德鲁夫飞突刺受击</t>
  </si>
  <si>
    <t>landrieu001/landrieu_attack03</t>
  </si>
  <si>
    <t>兰德鲁夫投掷长矛</t>
  </si>
  <si>
    <t>landrieu001/landrieu_attack03_hit</t>
  </si>
  <si>
    <t>兰德鲁夫投掷长矛受击</t>
  </si>
  <si>
    <t>drake003/drake003_attack06</t>
  </si>
  <si>
    <t>德雷克attack06</t>
  </si>
  <si>
    <t>drake003/drake003_attack05</t>
  </si>
  <si>
    <t>德雷克attack05</t>
  </si>
  <si>
    <t>crocodile/crocodile001_attack10</t>
  </si>
  <si>
    <t>克洛克达尔沙漠大剑</t>
  </si>
  <si>
    <t>crocodile/crocodile001_attack10_hit</t>
  </si>
  <si>
    <t>克洛克达尔沙漠大剑受击</t>
  </si>
  <si>
    <t>drake003/drake003_stand</t>
  </si>
  <si>
    <t>德雷克八星特效</t>
  </si>
  <si>
    <t>drake003/drake003_mood06</t>
  </si>
  <si>
    <t>德雷克八星专属</t>
  </si>
  <si>
    <t>drake003/drake003_buff_05</t>
  </si>
  <si>
    <t>德雷克爪痕一层</t>
  </si>
  <si>
    <t>drake003/drake003_buff_06</t>
  </si>
  <si>
    <t>德雷克爪痕二层</t>
  </si>
  <si>
    <t>drake003/drake003_buff_07</t>
  </si>
  <si>
    <t>德雷克爪痕三层</t>
  </si>
  <si>
    <t>drake003/drake003_buff_08</t>
  </si>
  <si>
    <t>德雷克爪痕清除</t>
  </si>
  <si>
    <t>shiliew002/shiliew002_attack01</t>
  </si>
  <si>
    <t>希留普攻特效</t>
  </si>
  <si>
    <t>shiliew002/shiliew002_attack01_hit</t>
  </si>
  <si>
    <t>希留普攻受击</t>
  </si>
  <si>
    <t>shiliew002/shiliew002_attack02</t>
  </si>
  <si>
    <t>希留attack02特效</t>
  </si>
  <si>
    <t>shiliew002/shiliew002_attack02_hit01</t>
  </si>
  <si>
    <t>希留attack02特效受击</t>
  </si>
  <si>
    <t>shiliew002/shiliew002_attack02_hit02</t>
  </si>
  <si>
    <t>shiliew002/shiliew002_attack03</t>
  </si>
  <si>
    <t>希留attack03特效</t>
  </si>
  <si>
    <t>shiliew002/shiliew002_attack03_hit01</t>
  </si>
  <si>
    <t>希留attack03特效受击</t>
  </si>
  <si>
    <t>shiliew002/shiliew002_attack03_hit02</t>
  </si>
  <si>
    <t>shiliew002/shiliew002_attack03_hit03</t>
  </si>
  <si>
    <t>shiliew002/shiliew002_attack03_hit04</t>
  </si>
  <si>
    <t>shiliew002/shiliew002_attack04</t>
  </si>
  <si>
    <t>希留attack04特效</t>
  </si>
  <si>
    <t>shiliew002/shiliew002_attack04_hit</t>
  </si>
  <si>
    <t>希留attack04特效受击</t>
  </si>
  <si>
    <t>shiliew002/shiliew002_attack05</t>
  </si>
  <si>
    <t>希留attack05特效</t>
  </si>
  <si>
    <t>shiliew002/shiliew002_attack05_hit01</t>
  </si>
  <si>
    <t>希留attack05特效受击</t>
  </si>
  <si>
    <t>shiliew002/shiliew002_attack05_hit02</t>
  </si>
  <si>
    <t>shiliew002/shiliew002_attack07</t>
  </si>
  <si>
    <t>希留attack07特效</t>
  </si>
  <si>
    <t>shiliew002/shiliew002_attack07_hit</t>
  </si>
  <si>
    <t>希留attack07受击特效</t>
  </si>
  <si>
    <t>shiliew002/shiliew002_buff_01</t>
  </si>
  <si>
    <t>希留buff特效</t>
  </si>
  <si>
    <t>shiliew002/shiliew002_mood06</t>
  </si>
  <si>
    <t>希留八星专属</t>
  </si>
  <si>
    <t>shiliew002/shiliew002_stand</t>
  </si>
  <si>
    <t>希留八星</t>
  </si>
  <si>
    <t>dmshouxia002/dmshouxia002_attack01</t>
  </si>
  <si>
    <t>大妈手下普攻特效</t>
  </si>
  <si>
    <t>dmshouxia002/dmshouxia002_attack01_hit</t>
  </si>
  <si>
    <t>大妈手下普攻受击</t>
  </si>
  <si>
    <t>shiliew002/shiliew002_attack06</t>
  </si>
  <si>
    <t>希留attack06特效</t>
  </si>
  <si>
    <t>shiliew002/shiliew002_attack06_hit</t>
  </si>
  <si>
    <t>希留attack06受击</t>
  </si>
  <si>
    <t>roblucci006/roblucci006_attack09_hit</t>
  </si>
  <si>
    <t>觉醒鲁兹attack09受击</t>
  </si>
  <si>
    <t>crocodile002/crocodile002_attack10</t>
  </si>
  <si>
    <t>觉醒沙鳄鱼时装沙漠大剑</t>
  </si>
  <si>
    <t>crocodile002/crocodile002_attack10_hit</t>
  </si>
  <si>
    <t>觉醒沙鳄鱼时装沙漠大剑受击</t>
  </si>
  <si>
    <t>roblucci006/roblucci006_attack10</t>
  </si>
  <si>
    <t>觉醒鲁兹attack10</t>
  </si>
  <si>
    <t>roblucci006/roblucci006_attack10_hit1</t>
  </si>
  <si>
    <t>觉醒鲁兹attack10受击</t>
  </si>
  <si>
    <t>roblucci006/roblucci006_attack10_hit2</t>
  </si>
  <si>
    <t>shiliew002/shiliew002_attack08</t>
  </si>
  <si>
    <t>希留attack08特效</t>
  </si>
  <si>
    <t>brulee001/brulee001_attack01</t>
  </si>
  <si>
    <t>烤布丁普攻</t>
  </si>
  <si>
    <t>brulee001/brulee001_attack01_hit</t>
  </si>
  <si>
    <t>烤布丁普攻受击</t>
  </si>
  <si>
    <t>brulee001/brulee001_attack02</t>
  </si>
  <si>
    <t>烤布丁镰刀攻击</t>
  </si>
  <si>
    <t>brulee001/brulee001_attack03</t>
  </si>
  <si>
    <t>烤布丁镜世界</t>
  </si>
  <si>
    <t>kaido005/kaido005_stand</t>
  </si>
  <si>
    <t>凯多原皮八星特效</t>
  </si>
  <si>
    <t>kaido005/kaido005_mood06</t>
  </si>
  <si>
    <t>凯多原皮八星专属</t>
  </si>
  <si>
    <t>roblucci006/roblucci006_attack10_Bip001RToe0</t>
  </si>
  <si>
    <t>觉醒鲁兹attack10挂点</t>
  </si>
  <si>
    <t>sengoku003/sengoku003_attack01</t>
  </si>
  <si>
    <t>大将战国普攻特效</t>
  </si>
  <si>
    <t>sengoku003/sengoku003_attack01_Bip001_L_Hand</t>
  </si>
  <si>
    <t>大将战国普攻挂点</t>
  </si>
  <si>
    <t>sengoku003/sengoku003_attack01_Bip001_R_Hand</t>
  </si>
  <si>
    <t>sengoku003/sengoku003_attack01_hit01</t>
  </si>
  <si>
    <t>大将战国普攻受击01</t>
  </si>
  <si>
    <t>sengoku003/sengoku003_attack01_hit02</t>
  </si>
  <si>
    <t>大将战国普攻受击02</t>
  </si>
  <si>
    <t>sengoku003/sengoku003_attack02</t>
  </si>
  <si>
    <t>大将战国attack02特效</t>
  </si>
  <si>
    <t>sengoku003/sengoku003_attack02_Bip001_L_Hand</t>
  </si>
  <si>
    <t>大将战国attack02挂点</t>
  </si>
  <si>
    <t>sengoku003/sengoku003_attack02_hit01</t>
  </si>
  <si>
    <t>大将战国attack02受击01</t>
  </si>
  <si>
    <t>sengoku003/sengoku003_attack02_hit02</t>
  </si>
  <si>
    <t>大将战国attack02受击02</t>
  </si>
  <si>
    <t>sengoku003/sengoku003_attack02_hit03</t>
  </si>
  <si>
    <t>大将战国attack02受击03</t>
  </si>
  <si>
    <t>sengoku003/sengoku003_attack03</t>
  </si>
  <si>
    <t>大将战国attack03特效</t>
  </si>
  <si>
    <t>sengoku003/sengoku003_attack03_hit</t>
  </si>
  <si>
    <t>大将战国attack03受击2</t>
  </si>
  <si>
    <t>sengoku003/sengoku003_attack03_zhiliao</t>
  </si>
  <si>
    <t>大将战国attack03</t>
  </si>
  <si>
    <t>sengoku003/sengoku003_attack04</t>
  </si>
  <si>
    <t>大将战国attack04</t>
  </si>
  <si>
    <t>sengoku003/sengoku003_attack06</t>
  </si>
  <si>
    <t>大将战国attack06</t>
  </si>
  <si>
    <t>sengoku003/sengoku003_attack07</t>
  </si>
  <si>
    <t>大将战国attack07</t>
  </si>
  <si>
    <t>sengoku003/sengoku003_attack07_Bip001_L_Finger2</t>
  </si>
  <si>
    <t>attack07挂点</t>
  </si>
  <si>
    <t>sengoku003/sengoku003_attack07_Bip001_R_Finger2</t>
  </si>
  <si>
    <t>sengoku003/sengoku003_attack07_hit01</t>
  </si>
  <si>
    <t>attack07受击</t>
  </si>
  <si>
    <t>sengoku003/sengoku003_attack07_hit02</t>
  </si>
  <si>
    <t>sengoku003/sengoku003_attack08</t>
  </si>
  <si>
    <t>attack08特效</t>
  </si>
  <si>
    <t>sengoku003/sengoku003_attack08_hit</t>
  </si>
  <si>
    <t>attack08受击</t>
  </si>
  <si>
    <t>sengoku003/sengoku003_attack09</t>
  </si>
  <si>
    <t>attack09特效</t>
  </si>
  <si>
    <t>sengoku003/sengoku003_attack09_Bip001_L_Hand</t>
  </si>
  <si>
    <t>attack09挂点</t>
  </si>
  <si>
    <t>sengoku003/sengoku003_attack09_Bip001_R_Finger2</t>
  </si>
  <si>
    <t>sengoku003/sengouku003_BUFF_04</t>
  </si>
  <si>
    <t>山羊跑过来</t>
  </si>
  <si>
    <t>sengoku003/sengouku003_BUFF_05</t>
  </si>
  <si>
    <t>山羊叫唤</t>
  </si>
  <si>
    <t>sengoku003/sengouku003_BUFF_06</t>
  </si>
  <si>
    <t>持续buff战国</t>
  </si>
  <si>
    <t>sengoku003/sengouku003_jumpb</t>
  </si>
  <si>
    <t>后跳特效</t>
  </si>
  <si>
    <t>sengoku003/sengouku003_jumpf</t>
  </si>
  <si>
    <t>前跳特效</t>
  </si>
  <si>
    <t>sengoku003/sengouku003_mood06</t>
  </si>
  <si>
    <t>八星专属</t>
  </si>
  <si>
    <t>sengoku003/sengouku003_stand</t>
  </si>
  <si>
    <t>八星特效</t>
  </si>
  <si>
    <t>sengoku003/sengoku003_attack05</t>
  </si>
  <si>
    <t>大将战国attack05</t>
  </si>
  <si>
    <t>niji001/niji001_attack01</t>
  </si>
  <si>
    <t>尼智普攻</t>
  </si>
  <si>
    <t>niji001/niji001_attack01_Bip001_L_Toe0</t>
  </si>
  <si>
    <t>尼智普攻挂点1</t>
  </si>
  <si>
    <t>niji001/niji001_attack01_Bip001_R_Toe0</t>
  </si>
  <si>
    <t>尼智普攻挂点2</t>
  </si>
  <si>
    <t>niji001/niji001_attack01_hit</t>
  </si>
  <si>
    <t>尼智普攻受击</t>
  </si>
  <si>
    <t>niji001/niji001_attack02_Bip001_L_Toe0</t>
  </si>
  <si>
    <t>尼智小技能挂点1</t>
  </si>
  <si>
    <t>niji001/niji001_attack02_Bip001_R_Toe0</t>
  </si>
  <si>
    <t>尼智小技能挂点2</t>
  </si>
  <si>
    <t>niji001/niji001_attack03_Bip001_HeadNub</t>
  </si>
  <si>
    <t>尼智镜头技挂点1</t>
  </si>
  <si>
    <t>niji001/niji001_attack03_Bone026</t>
  </si>
  <si>
    <t>尼智镜头技挂点2</t>
  </si>
  <si>
    <t>sengoku003/sengouku003_BUFF_07</t>
  </si>
  <si>
    <t>大将战国buff金盾</t>
  </si>
  <si>
    <t>charlotte001/charlotte006_attack15</t>
  </si>
  <si>
    <t>大妈觉醒小技能</t>
  </si>
  <si>
    <t>charlotte001/charlotte006_attack15_hit</t>
  </si>
  <si>
    <t>大妈觉醒小技能受击</t>
  </si>
  <si>
    <t>charlotte001/charlotte006_attack15_fire_hair</t>
  </si>
  <si>
    <t>大妈觉醒小技能挂点</t>
  </si>
  <si>
    <t>charlotte001/charlotte006_buff_ghost_root</t>
  </si>
  <si>
    <t>大妈觉醒吸魂buff</t>
  </si>
  <si>
    <t>charlotte001/charlotte006_buff_huoqiu_root</t>
  </si>
  <si>
    <t>大妈觉醒火球环绕</t>
  </si>
  <si>
    <t>charlotte001/charlotte006_buff_leihuo_root</t>
  </si>
  <si>
    <t>大妈觉醒雷+灵魂火</t>
  </si>
  <si>
    <t>charlotte001/charlotte006_buff_ghostzhuan_root</t>
  </si>
  <si>
    <t>大妈觉醒小幽灵环绕</t>
  </si>
  <si>
    <t>charlotte001/charlotte006_buff_lei_root</t>
  </si>
  <si>
    <t>大妈觉醒雷环</t>
  </si>
  <si>
    <t>montdor001/montdor001_attack01</t>
  </si>
  <si>
    <t>蒙道尔普攻</t>
  </si>
  <si>
    <t>montdor001/montdor001_attack01_Bone001</t>
  </si>
  <si>
    <t>蒙道尔普攻挂点</t>
  </si>
  <si>
    <t>montdor001/montdor001_attack01_hit</t>
  </si>
  <si>
    <t>蒙道尔普攻受击</t>
  </si>
  <si>
    <t>montdor001/montdor001_attack02</t>
  </si>
  <si>
    <t>蒙道尔书书台阶</t>
  </si>
  <si>
    <t>montdor001/montdor001_attack02_hit</t>
  </si>
  <si>
    <t>蒙道尔书书台阶受击</t>
  </si>
  <si>
    <t>montdor001/montdor001_attack03</t>
  </si>
  <si>
    <t>蒙道尔书世界</t>
  </si>
  <si>
    <t>opera001/opera001_attack01_Bip001_L_Finger2</t>
  </si>
  <si>
    <t>欧培拉普攻挂点</t>
  </si>
  <si>
    <t>opera001/opera001_attack01_Bip001_R_Finger2</t>
  </si>
  <si>
    <t>opera001/opera001_attack01_hit</t>
  </si>
  <si>
    <t>欧培拉普攻受击</t>
  </si>
  <si>
    <t>opera001/opera001_attack01_pro</t>
  </si>
  <si>
    <t>欧培拉普攻子弹特效</t>
  </si>
  <si>
    <t>opera001/opera001_attack02</t>
  </si>
  <si>
    <t>欧培拉奶油喷射</t>
  </si>
  <si>
    <t>opera001/opera001_attack02_Bip001_R_Finger3Nub</t>
  </si>
  <si>
    <t>欧培拉奶油喷射挂点</t>
  </si>
  <si>
    <t>opera001/opera001_attack02_hit</t>
  </si>
  <si>
    <t>欧培拉奶油喷射受击</t>
  </si>
  <si>
    <t>opera001/opera001_attack02_pro</t>
  </si>
  <si>
    <t>欧培拉奶油喷射子弹特效</t>
  </si>
  <si>
    <t>opera001/opera001_attack03</t>
  </si>
  <si>
    <t>欧培拉奶油怪兽</t>
  </si>
  <si>
    <t>opera001/opera001_attack03_hit</t>
  </si>
  <si>
    <t>欧培拉奶油怪兽受击</t>
  </si>
  <si>
    <t>opera001/opera001_buff01</t>
  </si>
  <si>
    <t>欧培拉BUFF</t>
  </si>
  <si>
    <t>yizhi001/yizhi001_attack01</t>
  </si>
  <si>
    <t>一智普攻</t>
  </si>
  <si>
    <t>yizhi001/yizhi001_attack01_Bip001_R_Hand</t>
  </si>
  <si>
    <t>一智普攻挂点</t>
  </si>
  <si>
    <t>yizhi001/yizhi001_attack01_hit</t>
  </si>
  <si>
    <t>一智普攻受击</t>
  </si>
  <si>
    <t>yizhi001/yizhi001_attack02</t>
  </si>
  <si>
    <t>一智火焰拳</t>
  </si>
  <si>
    <t>yizhi001/yizhi001_attack02_Bip001_L_Foot</t>
  </si>
  <si>
    <t>一智火焰拳左脚</t>
  </si>
  <si>
    <t>yizhi001/yizhi001_attack02_Bip001_R_Foot</t>
  </si>
  <si>
    <t>一智火焰拳右脚</t>
  </si>
  <si>
    <t>yizhi001/yizhi001_attack02_Bip001_R_Hand</t>
  </si>
  <si>
    <t>一智火焰拳右手</t>
  </si>
  <si>
    <t>yizhi001/yizhi001_attack02_hit</t>
  </si>
  <si>
    <t>一智火焰拳受击</t>
  </si>
  <si>
    <t>yizhi001/yizhi001_attack03</t>
  </si>
  <si>
    <t>一智火花双重回旋</t>
  </si>
  <si>
    <t>yizhi001/yizhi001_attack03_Bip001_L_Hand</t>
  </si>
  <si>
    <t>一智火花双重回旋挂点左手</t>
  </si>
  <si>
    <t>yizhi001/yizhi001_attack03_Bip001_R_Hand</t>
  </si>
  <si>
    <t>一智火花双重回旋挂点右手</t>
  </si>
  <si>
    <t>yizhi001/yizhi001_attack04</t>
  </si>
  <si>
    <t>一智火花光拳</t>
  </si>
  <si>
    <t>yizhi001/yizhi001_attack04_Bip001_L_Foot</t>
  </si>
  <si>
    <t>一智火花光拳挂点左脚</t>
  </si>
  <si>
    <t>yizhi001/yizhi001_attack04_Bip001_L_Hand</t>
  </si>
  <si>
    <t>一智火花光拳挂点左手</t>
  </si>
  <si>
    <t>yizhi001/yizhi001_attack04_Bip001_R_Foot</t>
  </si>
  <si>
    <t>一智火花光拳挂点右脚</t>
  </si>
  <si>
    <t>yizhi001/yizhi001_attack04_Bip001_R_Hand</t>
  </si>
  <si>
    <t>一智火花光拳挂点右手</t>
  </si>
  <si>
    <t>barontamago002/barontamago002_attack01</t>
  </si>
  <si>
    <t>蛋蛋男爵普攻</t>
  </si>
  <si>
    <t>barontamago002/barontamago002_attack01_hit</t>
  </si>
  <si>
    <t>蛋蛋男爵普攻受击</t>
  </si>
  <si>
    <t>barontamago002/barontamago002_attack02</t>
  </si>
  <si>
    <t>蛋蛋男爵飞腿</t>
  </si>
  <si>
    <t>barontamago002/barontamago002_attack02_Bip001LToe0Nub</t>
  </si>
  <si>
    <t>蛋蛋男爵飞腿挂点</t>
  </si>
  <si>
    <t>barontamago002/barontamago002_attack02_hit</t>
  </si>
  <si>
    <t>蛋蛋男爵飞腿受击</t>
  </si>
  <si>
    <t>barontamago002/barontamago002_attack03</t>
  </si>
  <si>
    <t>蛋蛋男爵螺旋飞腿</t>
  </si>
  <si>
    <t>barontamago002/barontamago002_attack03_hit</t>
  </si>
  <si>
    <t>蛋蛋男爵螺旋飞腿受击</t>
  </si>
  <si>
    <t>barontamago002/barontamago002_attack04_Bip001Spine1</t>
  </si>
  <si>
    <t>蛋蛋男爵高速旋踢挂点</t>
  </si>
  <si>
    <t>barontamago002/barontamago002_attack04_hit</t>
  </si>
  <si>
    <t>蛋蛋男爵高速旋踢受击</t>
  </si>
  <si>
    <t>katakuri001/katakuri001_body_attack09</t>
  </si>
  <si>
    <t>卡二觉醒镜头技</t>
  </si>
  <si>
    <t>katakuri001/katakuri001_body_attack09_hit01</t>
  </si>
  <si>
    <t>卡二底地面年糕爆发</t>
  </si>
  <si>
    <t>katakuri001/katakuri001_body_attack09_hit02</t>
  </si>
  <si>
    <t>受击</t>
  </si>
  <si>
    <t>katakuri001/katakuri001_body_attack10</t>
  </si>
  <si>
    <t>卡二觉醒小技能</t>
  </si>
  <si>
    <t>katakuri001/katakuri001_body_attack10_hit</t>
  </si>
  <si>
    <t>卡二觉醒小技能受击</t>
  </si>
  <si>
    <t>katakuri001/katakuri001_attack09_buff</t>
  </si>
  <si>
    <t>卡二觉醒buff</t>
  </si>
  <si>
    <t>katakuri001/katakuri001_attack09_Bip001_L_Hand</t>
  </si>
  <si>
    <t>卡二觉醒镜头技挂点</t>
  </si>
  <si>
    <t>katakuri001/katakuri001_attack09_Bip001_R_Hand</t>
  </si>
  <si>
    <t>kaido005/kaido005_attack01</t>
  </si>
  <si>
    <t>kaido005/kaido005_attack02</t>
  </si>
  <si>
    <t>kaido005/kaido005_attack02_hit</t>
  </si>
  <si>
    <t>kaido005/kaido005_attack02_weapon</t>
  </si>
  <si>
    <t>kaido005/kaido005_attack03</t>
  </si>
  <si>
    <t>kaido005/kaido005_attack03_hit01</t>
  </si>
  <si>
    <t>kaido005/kaido005_attack03_hit02</t>
  </si>
  <si>
    <t>kaido005/kaido005_attack03_hit03</t>
  </si>
  <si>
    <t>kaido005/kaido005_attack03_weapon</t>
  </si>
  <si>
    <t>kaido005/kaido005_attack04</t>
  </si>
  <si>
    <t>kaido005/kaido006_attack05</t>
  </si>
  <si>
    <t>kaido005/kaido006_attack05_Bone01_langyabang</t>
  </si>
  <si>
    <t>kaido005/kaido006_attack05_hit01</t>
  </si>
  <si>
    <t>kaido005/kaido006_attack05_hit02</t>
  </si>
  <si>
    <t>kaido005/kaido006_attack05_hit03</t>
  </si>
  <si>
    <t>kaido005/kaido006_attack07</t>
  </si>
  <si>
    <t>kaido005/kaido006_attack07_Bone01_langyabang</t>
  </si>
  <si>
    <t>kaido005/kaido006_attack07_hit</t>
  </si>
  <si>
    <t>kaido005/kaido006_attack08</t>
  </si>
  <si>
    <t>kaido005/kaido006_attack08_Point001_huzi</t>
  </si>
  <si>
    <t>kaido005/kaido006_attack09</t>
  </si>
  <si>
    <t>kaido005/kaido006_attack09_Bone01_langyabang</t>
  </si>
  <si>
    <t>kaido005/kaido006_attack09_hit1</t>
  </si>
  <si>
    <t>kaido005/kaido006_attack09_hit2</t>
  </si>
  <si>
    <t>kaido005/kaido006_attack11</t>
  </si>
  <si>
    <t>kaido005/kaido006_attack14</t>
  </si>
  <si>
    <t>kaido005/kaido006_attack14_Bone01_langyabang</t>
  </si>
  <si>
    <t>kaido005/kaido006_attack14_hit01</t>
  </si>
  <si>
    <t>kaido005/kaido006_attack14_hit02</t>
  </si>
  <si>
    <t>kaido005/kaido006_buff_bianshen</t>
  </si>
  <si>
    <t>kaido005/kaido006_buff_eye_Bip001_Head</t>
  </si>
  <si>
    <t>kaido005/kaido006_buff_longlinhudun</t>
  </si>
  <si>
    <t>kaido005/kaido006_buff_longpanxuan</t>
  </si>
  <si>
    <t>kaido005/kaido006_mood06</t>
  </si>
  <si>
    <t>kaido005/kaido006_stand</t>
  </si>
  <si>
    <t>kaido005/kaido007_attack04_Bone026</t>
  </si>
  <si>
    <t>kaido005/kaido007_attack10</t>
  </si>
  <si>
    <t>kaido005/kaido007_attack12</t>
  </si>
  <si>
    <t>kaido005/kaido007_attack12_point008</t>
  </si>
  <si>
    <t>kaido005/kaido007_attack13</t>
  </si>
  <si>
    <t>kaido005/kaido007_attack13_Bone097(mirrored)</t>
  </si>
  <si>
    <t>kaido005/kaido007_attack13_Bone097</t>
  </si>
  <si>
    <t>kaido005/UI_kaido005_long</t>
  </si>
  <si>
    <t>kaido005/UI_kaido005_ren</t>
  </si>
  <si>
    <t>kaido005/UI_kaido005_1_leimingbagua</t>
  </si>
  <si>
    <t>kaido005/UI_kaido005_2_longweijianta</t>
  </si>
  <si>
    <t>kaido005/UI_kaido005_3_nuleidiming</t>
  </si>
  <si>
    <t>sabo002/sabo002_attack09</t>
  </si>
  <si>
    <t>sabo002/sabo002_attack09_hit</t>
  </si>
  <si>
    <t>sabo002/sabo002_attack09_Point001</t>
  </si>
  <si>
    <t>sabo002/sabo002_attack10</t>
  </si>
  <si>
    <t>sabo002/sabo002_attack10_C</t>
  </si>
  <si>
    <t>sabo002/sabo004_attack09</t>
  </si>
  <si>
    <t>sabo002/sabo004_attack09_hit</t>
  </si>
  <si>
    <t>sabo002/sabo004_attack09_Point001</t>
  </si>
  <si>
    <t>sabo002/sabo004_attack10</t>
  </si>
  <si>
    <t>sabo002/sabo004_attack10_C</t>
  </si>
  <si>
    <t>sabo002/sabo002_body_buff2_4</t>
  </si>
  <si>
    <t>sabo002/sabo002_body_buff2_5</t>
  </si>
  <si>
    <t>sabo002/sabo002_buff_huodun</t>
  </si>
  <si>
    <t>jack003/jack003_attack01</t>
  </si>
  <si>
    <t>jack003/jack003_attack01_hit01</t>
  </si>
  <si>
    <t>jack003/jack003_attack01_hit02</t>
  </si>
  <si>
    <t>jack003/jack003_attack02</t>
  </si>
  <si>
    <t>jack003/jack003_attack02_hit01</t>
  </si>
  <si>
    <t>jack003/jack003_attack02_hit02</t>
  </si>
  <si>
    <t>jack003/jack003_attack03</t>
  </si>
  <si>
    <t>jack003/jack003_attack03_hit</t>
  </si>
  <si>
    <t>jack003/jack003_attack04</t>
  </si>
  <si>
    <t>jack003/jack003_attack04_Bip001_L_Finger21</t>
  </si>
  <si>
    <t>jack003/jack003_attack04_Bip001_R_Finger21</t>
  </si>
  <si>
    <t>jack003/jack003_attack04_hit01</t>
  </si>
  <si>
    <t>jack003/jack003_attack05</t>
  </si>
  <si>
    <t>jack003/jack003_attack05_hit</t>
  </si>
  <si>
    <t>jack003/jack003_attack06</t>
  </si>
  <si>
    <t>jack003/jack003_bianshenren</t>
  </si>
  <si>
    <t>杰克时装变身人</t>
  </si>
  <si>
    <t>jack003/jack003_bianshenxiang</t>
  </si>
  <si>
    <t>杰克时装变身象</t>
  </si>
  <si>
    <t>jack003/jack003_mood06</t>
  </si>
  <si>
    <t>杰克八星专属</t>
  </si>
  <si>
    <t>jack003/jack003_stand</t>
  </si>
  <si>
    <t>杰克八星特效</t>
  </si>
  <si>
    <t>jack003/jack004_attack06_Bip001_Head</t>
  </si>
  <si>
    <t>杰克attack06挂点</t>
  </si>
  <si>
    <t>jack003/jack003_attack07</t>
  </si>
  <si>
    <t>borsalino/borsalino001_attack09</t>
  </si>
  <si>
    <t>觉醒黄猿09小技能</t>
  </si>
  <si>
    <t>borsalino/borsalino001_attack09_hit</t>
  </si>
  <si>
    <t>觉醒黄猿小技能受击</t>
  </si>
  <si>
    <t>borsalino/borsalino_attack10</t>
  </si>
  <si>
    <t>觉醒黄猿10镜头技闪光连击</t>
  </si>
  <si>
    <t>borsalino/borsalino_attack10_hit1</t>
  </si>
  <si>
    <t>觉醒黄猿10镜头技闪光连击受击1</t>
  </si>
  <si>
    <t>borsalino/borsalino_attack10_hit2</t>
  </si>
  <si>
    <t>觉醒黄猿10镜头技闪光连击受击2</t>
  </si>
  <si>
    <t>dmshouxia001/dmshouxia001_attack01</t>
  </si>
  <si>
    <t>大妈手下01普攻</t>
  </si>
  <si>
    <t>dmshouxia001/dmshouxia001_attack01_hit</t>
  </si>
  <si>
    <t>大妈手下01普攻受击</t>
  </si>
  <si>
    <t>dmshouxia003/dmshouxia003_attack01</t>
  </si>
  <si>
    <t>大妈手下03普攻</t>
  </si>
  <si>
    <t>dmshouxia003/dmshouxia003_attack01_hit</t>
  </si>
  <si>
    <t>大妈手下03普攻受击</t>
  </si>
  <si>
    <t>dmshouxia004/dmshouxia04_attack01</t>
  </si>
  <si>
    <t>大妈手下04普攻</t>
  </si>
  <si>
    <t>dmshouxia004/dmshouxia04_attack01_hit</t>
  </si>
  <si>
    <t>大妈手下04普攻受击</t>
  </si>
  <si>
    <t>oven001/oven001_attack01</t>
  </si>
  <si>
    <t>烤箱01</t>
  </si>
  <si>
    <t>oven001/oven001_attack01_hit1</t>
  </si>
  <si>
    <t>烤箱01受击01</t>
  </si>
  <si>
    <t>oven001/oven001_attack01_hit2</t>
  </si>
  <si>
    <t>烤箱01受击02</t>
  </si>
  <si>
    <t>oven001/oven001_attack01_hit3</t>
  </si>
  <si>
    <t>烤箱01受击03</t>
  </si>
  <si>
    <t>oven001/oven001_attack01_zhengqi_root</t>
  </si>
  <si>
    <t>烤箱01蒸汽</t>
  </si>
  <si>
    <t>oven001/oven001_attack02_eye_Bip001_Head</t>
  </si>
  <si>
    <t>烤箱02眼睛特效</t>
  </si>
  <si>
    <t>oven001/oven001_attack02_hit</t>
  </si>
  <si>
    <t>烤箱02受击</t>
  </si>
  <si>
    <t>oven001/oven001_attack03</t>
  </si>
  <si>
    <t>烤箱03</t>
  </si>
  <si>
    <t>oven001/oven001_attack03_hit</t>
  </si>
  <si>
    <t>烤箱03受击</t>
  </si>
  <si>
    <t>oven001/oven001_attack04</t>
  </si>
  <si>
    <t>烤箱04</t>
  </si>
  <si>
    <t>jigura/jigura_attack01</t>
  </si>
  <si>
    <t>吉格拉01</t>
  </si>
  <si>
    <t>jigura/jigura_attack01_hit</t>
  </si>
  <si>
    <t>吉格拉01受击</t>
  </si>
  <si>
    <t>jigura/jigura_attack01_pro</t>
  </si>
  <si>
    <t>吉格拉01子弹</t>
  </si>
  <si>
    <t>perospero001/perospero001_attack01</t>
  </si>
  <si>
    <t>佩罗斯佩多01</t>
  </si>
  <si>
    <t>perospero001/perospero001_attack01_hit</t>
  </si>
  <si>
    <t>佩罗斯佩多01受击</t>
  </si>
  <si>
    <t>perospero001/perospero001_attack02</t>
  </si>
  <si>
    <t>佩罗斯佩多02</t>
  </si>
  <si>
    <t>perospero001/perospero001_attack03</t>
  </si>
  <si>
    <t>佩罗斯佩多03</t>
  </si>
  <si>
    <t>perospero001/perospero001_attack04</t>
  </si>
  <si>
    <t>佩罗斯佩多04</t>
  </si>
  <si>
    <t>perospero001/perospero001_attack04_tuoye_weapon</t>
  </si>
  <si>
    <t>佩罗斯佩多04挂点</t>
  </si>
  <si>
    <t>perospero001/perospero001_buff_tangguoqiang</t>
  </si>
  <si>
    <t>佩罗斯佩多buff糖果墙</t>
  </si>
  <si>
    <t>perospero001/perospero001_buff_tangguoren</t>
  </si>
  <si>
    <t>佩罗斯佩多buff糖果人</t>
  </si>
  <si>
    <t>daifuku001/daifuku001_attack01</t>
  </si>
  <si>
    <t>大福01</t>
  </si>
  <si>
    <t>daifuku001/daifuku001_attack01_hit</t>
  </si>
  <si>
    <t>大福01受击</t>
  </si>
  <si>
    <t>daifuku001/daifuku001_attack02</t>
  </si>
  <si>
    <t>大福02</t>
  </si>
  <si>
    <t>daifuku001/daifuku001_attack03</t>
  </si>
  <si>
    <t>大福03</t>
  </si>
  <si>
    <t>daifuku001/daifuku001_attack03_hit</t>
  </si>
  <si>
    <t>大福03受击</t>
  </si>
  <si>
    <t>daifuku001/daifuku001_attack04</t>
  </si>
  <si>
    <t>大福04</t>
  </si>
  <si>
    <t>queen001/queen001_attack02</t>
  </si>
  <si>
    <t>昆因02</t>
  </si>
  <si>
    <t>queen001/queen001_attack03</t>
  </si>
  <si>
    <t>昆因03</t>
  </si>
  <si>
    <t>queen001/queen001_attack03_hit</t>
  </si>
  <si>
    <t>昆因03受击</t>
  </si>
  <si>
    <t>queen001/queen001_attack03_zdan006</t>
  </si>
  <si>
    <t>昆因03子弹</t>
  </si>
  <si>
    <t>queen001/queen001_attack04</t>
  </si>
  <si>
    <t>昆因04</t>
  </si>
  <si>
    <t>queen001/queen001_attack04_hit</t>
  </si>
  <si>
    <t>昆因0受击</t>
  </si>
  <si>
    <t>queen001/queen001_mood06</t>
  </si>
  <si>
    <t>昆因八星专属</t>
  </si>
  <si>
    <t>queen001/queen001_stand</t>
  </si>
  <si>
    <t>昆因八星特效</t>
  </si>
  <si>
    <t>queen001/queen001_attack01</t>
  </si>
  <si>
    <t>昆因01</t>
  </si>
  <si>
    <t>queen001/queen001_attack01_hit</t>
  </si>
  <si>
    <t>昆因01受击</t>
  </si>
  <si>
    <t>queen001/queen001_attack05</t>
  </si>
  <si>
    <t>昆因05</t>
  </si>
  <si>
    <t>queen001/queen001_attack05_hit</t>
  </si>
  <si>
    <t>昆因05受击</t>
  </si>
  <si>
    <t>queen001/queen001_attack07</t>
  </si>
  <si>
    <t>昆因07</t>
  </si>
  <si>
    <t>queen001/queen002_attack07_Bip001_Neck</t>
  </si>
  <si>
    <t>昆因07龙挂点</t>
  </si>
  <si>
    <t>queen001/queen001_attack01_pro</t>
  </si>
  <si>
    <t>昆因01子弹</t>
  </si>
  <si>
    <t>queen001/queen002_ridemood01_Bip001_Head</t>
  </si>
  <si>
    <t>昆因变身休闲挂点</t>
  </si>
  <si>
    <t>queen001/queen001_attack06</t>
  </si>
  <si>
    <t>昆因06</t>
  </si>
  <si>
    <t>queen001/queen001_buff_duyechi_gro</t>
  </si>
  <si>
    <t>昆因buff毒液池</t>
  </si>
  <si>
    <t>queen001/queen001_buff_munaiyi</t>
  </si>
  <si>
    <t>昆因buff木乃伊</t>
  </si>
  <si>
    <t>kuma/kuma001_attack12</t>
  </si>
  <si>
    <t>大熊觉醒镜头技特效</t>
  </si>
  <si>
    <t>yamato001/yamato001_attack01</t>
  </si>
  <si>
    <t>大和01</t>
  </si>
  <si>
    <t>yamato001/yamato001_attack01_hit</t>
  </si>
  <si>
    <t>大和01受击</t>
  </si>
  <si>
    <t>yamato001/yamato001_attack02</t>
  </si>
  <si>
    <t>大和02</t>
  </si>
  <si>
    <t>yamato001/yamato001_attack02_hit</t>
  </si>
  <si>
    <t>大和02受击</t>
  </si>
  <si>
    <t>yamato001/yamato001_attack03</t>
  </si>
  <si>
    <t>大和03</t>
  </si>
  <si>
    <t>yamato001/yamato001_attack03_bone_weapon001</t>
  </si>
  <si>
    <t>大和03挂点</t>
  </si>
  <si>
    <t>yamato001/yamato001_attack03_hit_Bip001Spine1</t>
  </si>
  <si>
    <t>大和03受击挂点</t>
  </si>
  <si>
    <t>yamato001/yamato001_attack04</t>
  </si>
  <si>
    <t>大和04</t>
  </si>
  <si>
    <t>yamato001/yamato001_attack04_bone_weapon001</t>
  </si>
  <si>
    <t>大和04挂点</t>
  </si>
  <si>
    <t>yamato001/yamato001_attack06</t>
  </si>
  <si>
    <t>大和06</t>
  </si>
  <si>
    <t>yamato001/yamato001_attack06_hit</t>
  </si>
  <si>
    <t>大和06受击</t>
  </si>
  <si>
    <t>yamato001/yamato001_attack08</t>
  </si>
  <si>
    <t>大和08</t>
  </si>
  <si>
    <t>yamato001/yamato001_attack08_Bip001_Head</t>
  </si>
  <si>
    <t>大和08挂点头</t>
  </si>
  <si>
    <t>yamato001/yamato001_attack08_bone_weapon001</t>
  </si>
  <si>
    <t>大和08挂点武器</t>
  </si>
  <si>
    <t>yamato001/yamato001_attack07</t>
  </si>
  <si>
    <t>大和07</t>
  </si>
  <si>
    <t>yamato001/yamato001_attack07_bone_weapon004</t>
  </si>
  <si>
    <t>大和07挂点</t>
  </si>
  <si>
    <t>yamato001/yamato001_attack05</t>
  </si>
  <si>
    <t>大和05</t>
  </si>
  <si>
    <t>yamato001/yamato001_mood06</t>
  </si>
  <si>
    <t>大和专属</t>
  </si>
  <si>
    <t>yamato001/yamato001_mood06_stand</t>
  </si>
  <si>
    <t>大和八星常驻</t>
  </si>
  <si>
    <t>yamato001/yamato002_attack03_bone_weapon001</t>
  </si>
  <si>
    <t>大和时装03挂点</t>
  </si>
  <si>
    <t>yamato001/yamato002_attack04_bone_weapon001</t>
  </si>
  <si>
    <t>大和时装04挂点</t>
  </si>
  <si>
    <t>yamato001/yamato002_attack08_Bip001_Head</t>
  </si>
  <si>
    <t>大和时装08挂点头</t>
  </si>
  <si>
    <t>yamato001/yamato002_attack08_bone_weapon001</t>
  </si>
  <si>
    <t>大和时装08挂点武器</t>
  </si>
  <si>
    <t>yamato001/yamato001_buff01_fanghu</t>
  </si>
  <si>
    <t>大和buff特效防护</t>
  </si>
  <si>
    <t>yamato001/yamato001_buff02_kuangxi</t>
  </si>
  <si>
    <t>大和buff特效狂袭</t>
  </si>
  <si>
    <t>yamato001/yamato002_attack06</t>
  </si>
  <si>
    <t>大和06时装</t>
  </si>
  <si>
    <t>uta001/uta001_attack01_Bip001_L_Finger2</t>
  </si>
  <si>
    <t>乌塔01挂点</t>
  </si>
  <si>
    <t>uta001/uta001_attack01_hit_01</t>
  </si>
  <si>
    <t>乌塔01受击01</t>
  </si>
  <si>
    <t>uta001/uta001_attack01_hit_02</t>
  </si>
  <si>
    <t>乌塔01受击02</t>
  </si>
  <si>
    <t>uta001/uta001_attack01_hit_03</t>
  </si>
  <si>
    <t>乌塔01受击03</t>
  </si>
  <si>
    <t>uta001/uta001_attack02</t>
  </si>
  <si>
    <t>乌塔02</t>
  </si>
  <si>
    <t>uta001/uta001_attack02_hit</t>
  </si>
  <si>
    <t>乌塔02受击</t>
  </si>
  <si>
    <t>uta001/uta001_attack03</t>
  </si>
  <si>
    <t>乌塔03</t>
  </si>
  <si>
    <t>uta001/uta001_attack03_hit</t>
  </si>
  <si>
    <t>乌塔03受击</t>
  </si>
  <si>
    <t>uta001/uta001_attack04</t>
  </si>
  <si>
    <t>乌塔04</t>
  </si>
  <si>
    <t>uta001/uta001_attack04_baoguo</t>
  </si>
  <si>
    <t>乌塔04包裹</t>
  </si>
  <si>
    <t>uta001/uta001_attack04_Bip001_L_Finger2</t>
  </si>
  <si>
    <t>乌塔04挂点</t>
  </si>
  <si>
    <t>uta001/uta001_attack05</t>
  </si>
  <si>
    <t>乌塔05</t>
  </si>
  <si>
    <t>uta001/uta001_attack05_Bip001_L_Finger2</t>
  </si>
  <si>
    <t>乌塔05挂点</t>
  </si>
  <si>
    <t>uta001/uta001_attack08</t>
  </si>
  <si>
    <t>乌塔08</t>
  </si>
  <si>
    <t>uta001/uta001_attack08_Bip001_L_Finger2</t>
  </si>
  <si>
    <t>乌塔08挂点左</t>
  </si>
  <si>
    <t>uta001/uta001_attack08_Bip001_R_Finger2</t>
  </si>
  <si>
    <t>乌塔08挂点右</t>
  </si>
  <si>
    <t>uta001/uta001_attack08_hit</t>
  </si>
  <si>
    <t>乌塔08受击</t>
  </si>
  <si>
    <t>uta001/uta001_mood06</t>
  </si>
  <si>
    <t>乌塔专属</t>
  </si>
  <si>
    <t>uta001/uta001_stand</t>
  </si>
  <si>
    <t>乌塔八星特效</t>
  </si>
  <si>
    <t>uta001/uta002_attack08_Bip001_Prop1</t>
  </si>
  <si>
    <t>乌塔盔甲08特效挂点</t>
  </si>
  <si>
    <t>uta001/uta002_attack08_Dummy002</t>
  </si>
  <si>
    <t>uta001/uta002_attack08_Dummy003</t>
  </si>
  <si>
    <t>uta001/uta002_attack08_bone_king</t>
  </si>
  <si>
    <t>uta001/uta002_attack08_bone_weapon07</t>
  </si>
  <si>
    <t>uta001/uta002_attack08_Bip001</t>
  </si>
  <si>
    <t>uta001/uta001_attack01</t>
  </si>
  <si>
    <t>乌塔01</t>
  </si>
  <si>
    <t>uta001/uta001_attack07</t>
  </si>
  <si>
    <t>乌塔07</t>
  </si>
  <si>
    <t>uta001/uta001_attack07_Bip001_L_Finger2</t>
  </si>
  <si>
    <t>乌塔07挂点</t>
  </si>
  <si>
    <t>uta001/uta001_attack07_Bip001_R_Finger2</t>
  </si>
  <si>
    <t>uta001/uta001_attack07_Dummy002</t>
  </si>
  <si>
    <t>uta001/uta001_attack07_Dummy003</t>
  </si>
  <si>
    <t>uta001/uta001_attack06</t>
  </si>
  <si>
    <t>乌塔06</t>
  </si>
  <si>
    <t>uta001/uta001_attack06_Bip001_L_Finger2</t>
  </si>
  <si>
    <t>乌塔06挂点01</t>
  </si>
  <si>
    <t>uta001/uta001_attack06_Bip001_R_Finger2</t>
  </si>
  <si>
    <t>乌塔06挂点02</t>
  </si>
  <si>
    <t>uta001/uta001_attack06_Bip001_R_Finger1Nub</t>
  </si>
  <si>
    <t>乌塔06挂点03</t>
  </si>
  <si>
    <t>uta001/uta001_mood01_bianshen1</t>
  </si>
  <si>
    <t>乌塔变身</t>
  </si>
  <si>
    <t>uta001/uta001_buff_01</t>
  </si>
  <si>
    <t>乌塔五线谱BUFF特效</t>
  </si>
  <si>
    <t>uta001/uta001_buff_02</t>
  </si>
  <si>
    <t>乌塔世界特效</t>
  </si>
  <si>
    <t>uta001/uta001_buff_03</t>
  </si>
  <si>
    <t>乌塔加速特效</t>
  </si>
  <si>
    <t>ulti001/ulti001_attack01</t>
  </si>
  <si>
    <t>润媞01</t>
  </si>
  <si>
    <t>ulti001/ulti001_attack01_hit</t>
  </si>
  <si>
    <t>润媞01受击</t>
  </si>
  <si>
    <t>ulti001/ulti001_attack02</t>
  </si>
  <si>
    <t>润媞02</t>
  </si>
  <si>
    <t>ulti001/ulti001_attack02_hit</t>
  </si>
  <si>
    <t>润媞02受击</t>
  </si>
  <si>
    <t>ulti001/ulti001_attack03</t>
  </si>
  <si>
    <t>润媞03</t>
  </si>
  <si>
    <t>ulti001/ulti001_attack04</t>
  </si>
  <si>
    <t>润媞04</t>
  </si>
  <si>
    <t>ulti001/ulti001_attack04_hit</t>
  </si>
  <si>
    <t>润媞04受击</t>
  </si>
  <si>
    <t>ulti001/ulti001_attack05</t>
  </si>
  <si>
    <t>润媞05</t>
  </si>
  <si>
    <t>ulti001/ulti001_attack05_Bip001_Spine1</t>
  </si>
  <si>
    <t>润媞05挂点</t>
  </si>
  <si>
    <t>ulti001/ulti001_attack06</t>
  </si>
  <si>
    <t>润媞06</t>
  </si>
  <si>
    <t>ulti001/ulti001_attack07</t>
  </si>
  <si>
    <t>润媞07</t>
  </si>
  <si>
    <t>ulti001/ulti001_mood06</t>
  </si>
  <si>
    <t>润媞专属</t>
  </si>
  <si>
    <t>ulti001/ulti001_stand</t>
  </si>
  <si>
    <t>润媞八星</t>
  </si>
  <si>
    <t>king001/king001_attack01</t>
  </si>
  <si>
    <t>king001/king001_attack01_hit01</t>
  </si>
  <si>
    <t>king001/king001_attack01_hit02</t>
  </si>
  <si>
    <t>king001/king001_attack02</t>
  </si>
  <si>
    <t>king001/king001_attack02_hit</t>
  </si>
  <si>
    <t>king001/king001_attack03</t>
  </si>
  <si>
    <t>king001/king001_attack03_Bip001_R_Hand</t>
  </si>
  <si>
    <t>king001/king001_attack04</t>
  </si>
  <si>
    <t>king001/king001_attack04_Bip001_R_Foot</t>
  </si>
  <si>
    <t>king001/king001_attack04_hit</t>
  </si>
  <si>
    <t>king001/king001_attack05</t>
  </si>
  <si>
    <t>king001/king001_attack06</t>
  </si>
  <si>
    <t>king001/king001_attack07</t>
  </si>
  <si>
    <t>king001/king001_model_Dummy001</t>
  </si>
  <si>
    <t>烬背后BUFF火焰</t>
  </si>
  <si>
    <t>king001/king001_mood06</t>
  </si>
  <si>
    <t>king001/king001_mood06_Bip001LHand01</t>
  </si>
  <si>
    <t>king001/king001_stand</t>
  </si>
  <si>
    <t>king001/king002_attack07_Bip001Spine1</t>
  </si>
  <si>
    <t>king001/king002_attack07_hand001</t>
  </si>
  <si>
    <t>king001/king002_attack07_hand011</t>
  </si>
  <si>
    <t>03_ani/juqing_dangaodao/story_dangaodao_064_05</t>
  </si>
  <si>
    <t>主线64章剧情特效</t>
  </si>
  <si>
    <t>03_ani/juqing_dangaodao/story_dangaodao_064_06</t>
  </si>
  <si>
    <t>pageone001/pageone001_attack01</t>
  </si>
  <si>
    <t>佩吉旺01</t>
  </si>
  <si>
    <t>pageone001/pageone001_attack01_hit</t>
  </si>
  <si>
    <t>佩吉旺01受击</t>
  </si>
  <si>
    <t>pageone001/pageone001_attack02</t>
  </si>
  <si>
    <t>佩吉旺02</t>
  </si>
  <si>
    <t>pageone001/pageone001_attack03</t>
  </si>
  <si>
    <t>佩吉旺03</t>
  </si>
  <si>
    <t>pageone001/pageone001_attack04</t>
  </si>
  <si>
    <t>佩吉旺04</t>
  </si>
  <si>
    <t>pageone001/pageone001_attack05</t>
  </si>
  <si>
    <t>佩吉旺05</t>
  </si>
  <si>
    <t>pageone001/pageone001_attack06</t>
  </si>
  <si>
    <t>佩吉旺06</t>
  </si>
  <si>
    <t>pageone001/pageone001_attack07</t>
  </si>
  <si>
    <t>佩吉旺07</t>
  </si>
  <si>
    <t>pageone001/pageone001_attack08</t>
  </si>
  <si>
    <t>佩吉旺08</t>
  </si>
  <si>
    <t>pageone001/pageone001_attack08_Bip001Spine1</t>
  </si>
  <si>
    <t>佩吉旺08挂点</t>
  </si>
  <si>
    <t>pageone001/pageone001_mood06</t>
  </si>
  <si>
    <t>佩吉旺专属</t>
  </si>
  <si>
    <t>pageone001/pageone001_stand</t>
  </si>
  <si>
    <t>佩吉旺八星</t>
  </si>
  <si>
    <t xml:space="preserve">killer002/killer002_attack01 </t>
  </si>
  <si>
    <t>基拉01</t>
  </si>
  <si>
    <t xml:space="preserve">killer002/killer002_attack01_hit </t>
  </si>
  <si>
    <t>基拉01受击</t>
  </si>
  <si>
    <t xml:space="preserve">killer002/killer002_attack02 </t>
  </si>
  <si>
    <t>基拉02</t>
  </si>
  <si>
    <t xml:space="preserve">killer002/killer002_attack02_hit </t>
  </si>
  <si>
    <t>基拉02受击</t>
  </si>
  <si>
    <t xml:space="preserve">killer002/killer002_attack02_hit1 </t>
  </si>
  <si>
    <t xml:space="preserve">killer002/killer002_attack03 </t>
  </si>
  <si>
    <t>基拉03</t>
  </si>
  <si>
    <t xml:space="preserve">killer002/killer002_attack03_bone_weapon015 </t>
  </si>
  <si>
    <t>基拉03挂点</t>
  </si>
  <si>
    <t xml:space="preserve">killer002/killer002_attack03_bone_weapon016 </t>
  </si>
  <si>
    <t xml:space="preserve">killer002/killer002_attack03_hit </t>
  </si>
  <si>
    <t>基拉03受击</t>
  </si>
  <si>
    <t xml:space="preserve">killer002/killer002_attack04 </t>
  </si>
  <si>
    <t>基拉04</t>
  </si>
  <si>
    <t xml:space="preserve">killer002/killer002_attack04_bone_weapon015 </t>
  </si>
  <si>
    <t>基拉04挂点</t>
  </si>
  <si>
    <t xml:space="preserve">killer002/killer002_attack04_bone_weapon016 </t>
  </si>
  <si>
    <t xml:space="preserve">killer002/killer002_attack04_hit </t>
  </si>
  <si>
    <t>基拉04受击</t>
  </si>
  <si>
    <t xml:space="preserve">killer002/killer002_attack05 </t>
  </si>
  <si>
    <t>基拉05</t>
  </si>
  <si>
    <t xml:space="preserve">killer002/killer002_attack05_bone_weapon015 </t>
  </si>
  <si>
    <t>基拉05挂点</t>
  </si>
  <si>
    <t xml:space="preserve">killer002/killer002_attack05_bone_weapon015_01 </t>
  </si>
  <si>
    <t xml:space="preserve">killer002/killer002_attack05_bone_weapon016 </t>
  </si>
  <si>
    <t xml:space="preserve">killer002/killer002_attack05_bone_weapon016_01 </t>
  </si>
  <si>
    <t xml:space="preserve">killer002/killer002_attack05_yan_Bip001Footsteps </t>
  </si>
  <si>
    <t xml:space="preserve">killer002/killer002_attack06 </t>
  </si>
  <si>
    <t>基拉06</t>
  </si>
  <si>
    <t xml:space="preserve">killer002/killer002_attack06_bone_weapon006 </t>
  </si>
  <si>
    <t>基拉06挂点</t>
  </si>
  <si>
    <t xml:space="preserve">killer002/killer002_attack06_bone_weapon015 </t>
  </si>
  <si>
    <t xml:space="preserve">killer002/killer002_attack06_bone_weapon016 </t>
  </si>
  <si>
    <t xml:space="preserve">killer002/killer002_attack06_hit </t>
  </si>
  <si>
    <t>基拉06受击</t>
  </si>
  <si>
    <t xml:space="preserve">killer002/killer002_attack07 </t>
  </si>
  <si>
    <t>基拉07</t>
  </si>
  <si>
    <t xml:space="preserve">killer002/Killer002_mood06 </t>
  </si>
  <si>
    <t>基拉专属</t>
  </si>
  <si>
    <t xml:space="preserve">killer002/Killer002_mood06_bone_weapon011 </t>
  </si>
  <si>
    <t>基拉专属挂点</t>
  </si>
  <si>
    <t xml:space="preserve">killer002/Killer002_mood06_bone_weapon015 </t>
  </si>
  <si>
    <t xml:space="preserve">killer002/Killer002_mood06_bone_weapon016 </t>
  </si>
  <si>
    <t xml:space="preserve">killer002/Killer002_stand </t>
  </si>
  <si>
    <t>基拉八星</t>
  </si>
  <si>
    <t>killer002/killer002_Win_bone_weapon015</t>
  </si>
  <si>
    <t>基拉胜利特效挂点</t>
  </si>
  <si>
    <t>killer002/killer002_Win_bone_weapon016</t>
  </si>
  <si>
    <t>kidpirates003/kidpirates003_attack01</t>
  </si>
  <si>
    <t>基德01</t>
  </si>
  <si>
    <t>kidpirates003/kidpirates003_attack01_hit</t>
  </si>
  <si>
    <t>基德01受击</t>
  </si>
  <si>
    <t>kidpirates003/kidpirates003_attack02</t>
  </si>
  <si>
    <t>基德02</t>
  </si>
  <si>
    <t>kidpirates003/kidpirates003_attack04</t>
  </si>
  <si>
    <t>基德04</t>
  </si>
  <si>
    <t>kidpirates003/kidpirates003_attack04_hit</t>
  </si>
  <si>
    <t>基德04受击</t>
  </si>
  <si>
    <t>kidpirates003/kidpirates003_attack05</t>
  </si>
  <si>
    <t>基德05</t>
  </si>
  <si>
    <t>kidpirates003/kidpirates003_attack05_hit</t>
  </si>
  <si>
    <t>基德05受击</t>
  </si>
  <si>
    <t>kidpirates003/kidpirates003_attack06</t>
  </si>
  <si>
    <t>基德06</t>
  </si>
  <si>
    <t>kidpirates003/kidpirates003_attack07</t>
  </si>
  <si>
    <t>基德07</t>
  </si>
  <si>
    <t>kidpirates003/kidpirates003_attack07_Bip001_R_Finger2</t>
  </si>
  <si>
    <t>基德07挂点</t>
  </si>
  <si>
    <t>kidpirates003/kidpirates003_attack07_Bone046</t>
  </si>
  <si>
    <t>kidpirates003/kidpirates003_attack08</t>
  </si>
  <si>
    <t>基德08</t>
  </si>
  <si>
    <t>kidpirates003/kidpirates003_mood</t>
  </si>
  <si>
    <t>基德专属</t>
  </si>
  <si>
    <t>kidpirates003/kidpirates003_mood_Bip001_R_Finger2</t>
  </si>
  <si>
    <t>基德专属挂点</t>
  </si>
  <si>
    <t>kidpirates003/kidpirates003_stand</t>
  </si>
  <si>
    <t>基德八星</t>
  </si>
  <si>
    <t>kidpirates003/kidpirates003_attack03</t>
  </si>
  <si>
    <t>基德03</t>
  </si>
  <si>
    <t>kidpirates003/kidpirates003_attack03_hit</t>
  </si>
  <si>
    <t>基德03受击</t>
  </si>
  <si>
    <t>kidpirates003/kidpirates003_stand_Bip001_R_Finger2</t>
  </si>
  <si>
    <t>基德八星挂点</t>
  </si>
  <si>
    <t>kidpirates003/kidpirates003_attack06_bone_handL002</t>
  </si>
  <si>
    <t>基德06挂点</t>
  </si>
  <si>
    <t>kidpirates003/kidpirates003_attack06_Bip001_R_Finger2</t>
  </si>
  <si>
    <t>trafalgarlaw005/trafalgarlaw005_attack01</t>
  </si>
  <si>
    <t>和之国罗01</t>
  </si>
  <si>
    <t>trafalgarlaw005/trafalgarlaw005_attack01_hit</t>
  </si>
  <si>
    <t>和之国罗01受击</t>
  </si>
  <si>
    <t>trafalgarlaw005/trafalgarlaw005_attack02</t>
  </si>
  <si>
    <t>和之国罗02</t>
  </si>
  <si>
    <t>trafalgarlaw005/trafalgarlaw005_attack02_Bone_weapon010</t>
  </si>
  <si>
    <t>和之国罗02挂点</t>
  </si>
  <si>
    <t>trafalgarlaw005/trafalgarlaw005_attack02_hit</t>
  </si>
  <si>
    <t>和之国罗02受击</t>
  </si>
  <si>
    <t>trafalgarlaw005/trafalgarlaw005_attack03</t>
  </si>
  <si>
    <t>和之国罗03盾01</t>
  </si>
  <si>
    <t>trafalgarlaw005/trafalgarlaw005_attack04</t>
  </si>
  <si>
    <t>和之国罗04</t>
  </si>
  <si>
    <t>trafalgarlaw005/trafalgarlaw005_attack04_hit</t>
  </si>
  <si>
    <t>和之国罗04受击</t>
  </si>
  <si>
    <t>trafalgarlaw005/trafalgarlaw005_attack05</t>
  </si>
  <si>
    <t>和之国罗05</t>
  </si>
  <si>
    <t>trafalgarlaw005/trafalgarlaw005_attack06</t>
  </si>
  <si>
    <t>和之国罗06</t>
  </si>
  <si>
    <t>trafalgarlaw005/trafalgarlaw005_attack06_Bip001_L_Hand</t>
  </si>
  <si>
    <t>和之国罗06挂点</t>
  </si>
  <si>
    <t>trafalgarlaw005/trafalgarlaw005_attack06_C</t>
  </si>
  <si>
    <t>和之国罗06镜头</t>
  </si>
  <si>
    <t>trafalgarlaw005/trafalgarlaw005_attack07</t>
  </si>
  <si>
    <t>和之国罗07</t>
  </si>
  <si>
    <t>trafalgarlaw005/trafalgarlaw005_attack07_C</t>
  </si>
  <si>
    <t>和之国罗07镜头</t>
  </si>
  <si>
    <t>trafalgarlaw005/trafalgarlaw005_attack08</t>
  </si>
  <si>
    <t>和之国罗08</t>
  </si>
  <si>
    <t>trafalgarlaw005/trafalgarlaw005_attack08_C</t>
  </si>
  <si>
    <t>和之国罗08镜头</t>
  </si>
  <si>
    <t>trafalgarlaw005/trafalgarlaw005_mod06</t>
  </si>
  <si>
    <t>和之国罗专属</t>
  </si>
  <si>
    <t>trafalgarlaw005/trafalgarlaw005_mod06_Bip001_L_Hand</t>
  </si>
  <si>
    <t>和之国罗专属挂点</t>
  </si>
  <si>
    <t>trafalgarlaw005/trafalgarlaw005_stand</t>
  </si>
  <si>
    <t>和之国罗八星特效</t>
  </si>
  <si>
    <t>trafalgarlaw005/trafalgarlaw005_buff</t>
  </si>
  <si>
    <t>和之国罗开场ROOM buff</t>
  </si>
  <si>
    <t>trafalgarlaw007/trafalgarlaw007_attack08</t>
  </si>
  <si>
    <t>和之国罗08鬼岛讨伐时装</t>
  </si>
  <si>
    <t>charlotte008/charlotte008_attack01</t>
  </si>
  <si>
    <t>UR大妈01</t>
  </si>
  <si>
    <t>charlotte008/charlotte008_attack01_yun_huoqiu</t>
  </si>
  <si>
    <t>UR大妈01挂点</t>
  </si>
  <si>
    <t>charlotte008/charlotte008_attack02</t>
  </si>
  <si>
    <t>UR大妈02</t>
  </si>
  <si>
    <t>charlotte008/charlotte008_attack02_Bone015</t>
  </si>
  <si>
    <t>charlotte008/charlotte008_attack02_Bone162</t>
  </si>
  <si>
    <t>charlotte008/charlotte008_attack02_C</t>
  </si>
  <si>
    <t>UR大妈02镜头</t>
  </si>
  <si>
    <t>charlotte008/charlotte008_attack03</t>
  </si>
  <si>
    <t>UR大妈03</t>
  </si>
  <si>
    <t>charlotte008/charlotte008_attack03_Bone015</t>
  </si>
  <si>
    <t>charlotte008/charlotte008_attack03_C</t>
  </si>
  <si>
    <t>UR大妈03镜头</t>
  </si>
  <si>
    <t>charlotte008/charlotte008_attack04</t>
  </si>
  <si>
    <t>UR大妈04</t>
  </si>
  <si>
    <t>charlotte008/charlotte008_attack04_C</t>
  </si>
  <si>
    <t>UR大妈04镜头</t>
  </si>
  <si>
    <t>charlotte008/charlotte008_attack05</t>
  </si>
  <si>
    <t>UR大妈05</t>
  </si>
  <si>
    <t>charlotte008/charlotte008_attack05_Bip001_L_Finger2</t>
  </si>
  <si>
    <t>charlotte008/charlotte008_attack05_hair_fire</t>
  </si>
  <si>
    <t>charlotte008/charlotte008_attack06</t>
  </si>
  <si>
    <t>UR大妈06</t>
  </si>
  <si>
    <t>charlotte008/charlotte008_attack06_C</t>
  </si>
  <si>
    <t>charlotte008/charlotte008_attack07</t>
  </si>
  <si>
    <t>UR大妈07</t>
  </si>
  <si>
    <t>charlotte008/charlotte008_attack07_C</t>
  </si>
  <si>
    <t>charlotte008/charlotte008_attack07_hair_fire</t>
  </si>
  <si>
    <t>UR大妈07挂点</t>
  </si>
  <si>
    <t>charlotte008/charlotte008_attack07_weapon</t>
  </si>
  <si>
    <t>charlotte008/charlotte008_attack08</t>
  </si>
  <si>
    <t>UR大妈08</t>
  </si>
  <si>
    <t>charlotte008/charlotte008_attack08_C</t>
  </si>
  <si>
    <t>charlotte008/charlotte008_attack09</t>
  </si>
  <si>
    <t>UR大妈09</t>
  </si>
  <si>
    <t>charlotte008/charlotte008_attack09_hit</t>
  </si>
  <si>
    <t>UR大妈09受击</t>
  </si>
  <si>
    <t>charlotte008/charlotte008_attack10</t>
  </si>
  <si>
    <t>UR大妈10</t>
  </si>
  <si>
    <t>charlotte008/charlotte008_attack10_C</t>
  </si>
  <si>
    <t>charlotte008/charlotte008_attack10_hair_fire</t>
  </si>
  <si>
    <t>UR大妈10挂点</t>
  </si>
  <si>
    <t>charlotte008/charlotte008_attack10_weapon004</t>
  </si>
  <si>
    <t>charlotte008/charlotte008_attack011</t>
  </si>
  <si>
    <t>UR大妈11</t>
  </si>
  <si>
    <t>charlotte008/charlotte008_attack011_C</t>
  </si>
  <si>
    <t>charlotte008/charlotte008_attack011_hair_fire</t>
  </si>
  <si>
    <t>charlotte008/charlotte008_attack011_yun_huoqiu</t>
  </si>
  <si>
    <t>charlotte008/charlotte008_dao_weapon</t>
  </si>
  <si>
    <t>UR大妈06挂点</t>
  </si>
  <si>
    <t>charlotte008/charlotte008_hair_fire</t>
  </si>
  <si>
    <t>charlotte008/charlotte008_hair_fire001</t>
  </si>
  <si>
    <t>大妈临时4</t>
  </si>
  <si>
    <t>charlotte008/charlotte008_huoqiu_yun</t>
  </si>
  <si>
    <t>大妈临时5</t>
  </si>
  <si>
    <t>charlotte008/charlotte008_stand</t>
  </si>
  <si>
    <t>UR大妈八星</t>
  </si>
  <si>
    <t>charlotte008/charlotte008_mood06</t>
  </si>
  <si>
    <t>UR大妈专属</t>
  </si>
  <si>
    <t>charlotte008/charlotte008_stand_sun_apollo</t>
  </si>
  <si>
    <t>UR大妈专属太阳</t>
  </si>
  <si>
    <t>charlotte008/charlotte008_BUFF01</t>
  </si>
  <si>
    <t>UR大妈BUFF01</t>
  </si>
  <si>
    <t>charlotte008/charlotte008_BUFF02</t>
  </si>
  <si>
    <t>UR大妈BUFF02</t>
  </si>
  <si>
    <t>charlotte008/charlotte008_mood07</t>
  </si>
  <si>
    <t>UR大妈mood07</t>
  </si>
  <si>
    <t>luffy025/luffy025_attack01</t>
  </si>
  <si>
    <t>和之国路飞01</t>
  </si>
  <si>
    <t>luffy025/luffy025_attack01_hit</t>
  </si>
  <si>
    <t>和之国路飞01受击</t>
  </si>
  <si>
    <t>luffy025/luffy025_attack08</t>
  </si>
  <si>
    <t>和之国路飞08</t>
  </si>
  <si>
    <t>luffy025/luffy025_attack09</t>
  </si>
  <si>
    <t>和之国路飞09</t>
  </si>
  <si>
    <t>luffy025/luffy025_attack09_hit</t>
  </si>
  <si>
    <t>和之国路飞09受击</t>
  </si>
  <si>
    <t>luffy025/luffy025_attack011</t>
  </si>
  <si>
    <t>和之国路飞11</t>
  </si>
  <si>
    <t>luffy025/luffy025_attack013</t>
  </si>
  <si>
    <t>和之国路飞13</t>
  </si>
  <si>
    <t>luffy025/luffy025_attack014</t>
  </si>
  <si>
    <t>和之国路飞14</t>
  </si>
  <si>
    <t>luffy025/luffy025_attack015</t>
  </si>
  <si>
    <t>和之国路飞15</t>
  </si>
  <si>
    <t>luffy025/luffy025_Buff</t>
  </si>
  <si>
    <t>和之国路飞BUFF</t>
  </si>
  <si>
    <t>luffy025/luffy025_Mod06</t>
  </si>
  <si>
    <t>和之国路飞专属</t>
  </si>
  <si>
    <t>luffy025/luffy025_Stand</t>
  </si>
  <si>
    <t>和之国路飞八星</t>
  </si>
  <si>
    <t>luffy025/luffy025_attack05</t>
  </si>
  <si>
    <t>和之国路飞05</t>
  </si>
  <si>
    <t>luffy025/luffy025_attack12</t>
  </si>
  <si>
    <t>和之国路飞12</t>
  </si>
  <si>
    <t>和之国路飞开场BUFF</t>
  </si>
  <si>
    <t>luffy025/luffy020_attack05</t>
  </si>
  <si>
    <t>和之国路飞太郎05</t>
  </si>
  <si>
    <t>luffy025/luffy020_attack12</t>
  </si>
  <si>
    <t>和之国路飞太郎12</t>
  </si>
  <si>
    <t>luffy025/luffy020_attack015</t>
  </si>
  <si>
    <t>和之国路飞太郎15</t>
  </si>
  <si>
    <t>robin010/robin010_attack01_gro</t>
  </si>
  <si>
    <t>和之国罗宾attack01</t>
  </si>
  <si>
    <t>robin010/robin010_attack01_hit</t>
  </si>
  <si>
    <t>和之国罗宾attack01_hit</t>
  </si>
  <si>
    <t>robin010/robin010_attack02</t>
  </si>
  <si>
    <t>和之国罗宾attack02</t>
  </si>
  <si>
    <t>robin010/robin010_attack02_hit</t>
  </si>
  <si>
    <t>和之国罗宾attack02_hit</t>
  </si>
  <si>
    <t>robin010/robin010_attack04</t>
  </si>
  <si>
    <t>和之国罗宾08</t>
  </si>
  <si>
    <t>robin010/robin010_attack05</t>
  </si>
  <si>
    <t>和之国罗宾07</t>
  </si>
  <si>
    <t>robin010/robin010_attack06</t>
  </si>
  <si>
    <t>和之国罗宾03</t>
  </si>
  <si>
    <t>robin010/robin010_attack06_hit</t>
  </si>
  <si>
    <t>和之国罗宾03_hit</t>
  </si>
  <si>
    <t>robin010/robin010_attack07</t>
  </si>
  <si>
    <t>和之国罗宾04</t>
  </si>
  <si>
    <t>robin010/robin010_attack08</t>
  </si>
  <si>
    <t>和之国罗宾05受击人动画</t>
  </si>
  <si>
    <t>robin010/robin010_attack08_hit</t>
  </si>
  <si>
    <t>和之国罗宾05_hit</t>
  </si>
  <si>
    <t>robin010/robin010_attack09</t>
  </si>
  <si>
    <t>和之国罗宾06</t>
  </si>
  <si>
    <t>robin010/robin010_mood02</t>
  </si>
  <si>
    <t>和之国罗宾mood02</t>
  </si>
  <si>
    <t>robin010/robin010_mood04</t>
  </si>
  <si>
    <t>和之国罗宾mood04</t>
  </si>
  <si>
    <t>robin010/robin010_mood06</t>
  </si>
  <si>
    <t>和之国罗宾专属</t>
  </si>
  <si>
    <t>robin010/robin010_stand</t>
  </si>
  <si>
    <t>和之国罗宾八星</t>
  </si>
  <si>
    <t>robin010/robin010_win</t>
  </si>
  <si>
    <t>和之国罗宾win</t>
  </si>
  <si>
    <t>robin010/robin010_attack08_01</t>
  </si>
  <si>
    <t>和之国罗宾05本体动画</t>
  </si>
  <si>
    <t>robin010/robin010_buff01</t>
  </si>
  <si>
    <t>和之国罗宾buff01</t>
  </si>
  <si>
    <t>robin010/robin010_buff02</t>
  </si>
  <si>
    <t>和之国罗宾buff02</t>
  </si>
  <si>
    <t>sanji010/sanji010_attack01</t>
  </si>
  <si>
    <t>和之国山智01</t>
  </si>
  <si>
    <t>sanji010/sanji010_attack01_Bip001_L_Toe0</t>
  </si>
  <si>
    <t>和之国山智01挂点特效</t>
  </si>
  <si>
    <t>sanji010/sanji010_attack01_Bip001_R_Toe0</t>
  </si>
  <si>
    <t>sanji010/sanji010_attack01_hit</t>
  </si>
  <si>
    <t>和之国山智01受击</t>
  </si>
  <si>
    <t>sanji010/sanji010_attack02</t>
  </si>
  <si>
    <t>和之国山智02</t>
  </si>
  <si>
    <t>sanji010/sanji010_attack02_Bip001_L_Toe0</t>
  </si>
  <si>
    <t>和之国山智02挂点特效</t>
  </si>
  <si>
    <t>sanji010/sanji010_attack02_Bip001_R_Toe0</t>
  </si>
  <si>
    <t>sanji010/sanji010_attack02_hit</t>
  </si>
  <si>
    <t>和之国山智02受击</t>
  </si>
  <si>
    <t>sanji010/sanji010_attack03</t>
  </si>
  <si>
    <t>和之国山智03</t>
  </si>
  <si>
    <t>sanji010/sanji010_attack03_Bip001_L_Toe0Nub</t>
  </si>
  <si>
    <t>和之国山智03挂点特效</t>
  </si>
  <si>
    <t>sanji010/sanji010_attack03_hit</t>
  </si>
  <si>
    <t>和之国山智03受击1</t>
  </si>
  <si>
    <t>sanji010/sanji010_attack03_hit1</t>
  </si>
  <si>
    <t>和之国山智03受击2</t>
  </si>
  <si>
    <t>sanji010/sanji010_attack04</t>
  </si>
  <si>
    <t>和之国山智04</t>
  </si>
  <si>
    <t>sanji010/sanji010_attack04_Bip001_L_Toe0</t>
  </si>
  <si>
    <t>和之国山智04挂点特效</t>
  </si>
  <si>
    <t>sanji010/sanji010_attack04_hit</t>
  </si>
  <si>
    <t>和之国山智04受击</t>
  </si>
  <si>
    <t>sanji010/sanji010_attack05</t>
  </si>
  <si>
    <t>和之国山智05</t>
  </si>
  <si>
    <t>sanji010/sanji010_attack05_Bip001_L_Toe0</t>
  </si>
  <si>
    <t>和之国山智05挂点特效</t>
  </si>
  <si>
    <t>sanji010/sanji010_attack05_hit</t>
  </si>
  <si>
    <t>和之国山智05受击</t>
  </si>
  <si>
    <t>sanji010/sanji010_attack06</t>
  </si>
  <si>
    <t>和之国山智06</t>
  </si>
  <si>
    <t>sanji010/sanji010_attack07</t>
  </si>
  <si>
    <t>和之国山智07</t>
  </si>
  <si>
    <t>sanji010/sanji010_attack07_Bip001RToe0</t>
  </si>
  <si>
    <t>和之国山智07挂点特效</t>
  </si>
  <si>
    <t>sanji010/sanji010_attack07_Bip001RToe0_huo</t>
  </si>
  <si>
    <t>sanji010/sanji010_attack08</t>
  </si>
  <si>
    <t>和之国山智08</t>
  </si>
  <si>
    <t>sanji010/sanji010_mood04_tx</t>
  </si>
  <si>
    <t>和之国山智休闲04</t>
  </si>
  <si>
    <t>sanji010/sanji010_mood06</t>
  </si>
  <si>
    <t>和之国山智专属</t>
  </si>
  <si>
    <t>sanji010/sanji010_mood06_Bip001_R_Toe0</t>
  </si>
  <si>
    <t>和之国山智专属挂点特效</t>
  </si>
  <si>
    <t>sanji010/sanji010_stand</t>
  </si>
  <si>
    <t>和之国山智八星</t>
  </si>
  <si>
    <t>sanji010/snaji010_stand_Bip001_R_Toe0</t>
  </si>
  <si>
    <t>和之国山智八星挂点特效</t>
  </si>
  <si>
    <t>sanji006/sanji006_attack06</t>
  </si>
  <si>
    <t>和之国山智和服06</t>
  </si>
  <si>
    <t>smoothie001/smoothie001_body_attack09</t>
  </si>
  <si>
    <t>奶昔觉醒穿刺09</t>
  </si>
  <si>
    <t>smoothie001/smoothie001_body_attack09_hit</t>
  </si>
  <si>
    <t>奶昔觉醒穿刺09受击</t>
  </si>
  <si>
    <t>smoothie001/smoothie001_body_attack09_hit1</t>
  </si>
  <si>
    <t>smoothie001/smoothie001_body_attack09_Point002</t>
  </si>
  <si>
    <t>奶昔觉醒穿刺09挂点特效</t>
  </si>
  <si>
    <t>smoothie001/smoothie001_body_attack10</t>
  </si>
  <si>
    <t>奶昔觉醒果汁喷泉10</t>
  </si>
  <si>
    <t>smoothie001/smoothie001_body_attack10_hit</t>
  </si>
  <si>
    <t>奶昔觉醒果汁喷泉10受击</t>
  </si>
  <si>
    <t>smoothie001/smoothie001_body_attack10_Point002</t>
  </si>
  <si>
    <t>奶昔觉醒果汁喷泉10挂点特效</t>
  </si>
  <si>
    <t>smoothie001/smoothie001_body_attack11</t>
  </si>
  <si>
    <t>奶昔觉醒果汁剑技11</t>
  </si>
  <si>
    <t>smoothie001/smoothie001_body_attack11_Point002</t>
  </si>
  <si>
    <t>奶昔觉醒果汁剑技11挂点特效</t>
  </si>
  <si>
    <t>smoothie001/smoothie001_body_mood06_01</t>
  </si>
  <si>
    <t>奶昔觉醒专属</t>
  </si>
  <si>
    <t>smoothie001/smoothie001_body_stand_01</t>
  </si>
  <si>
    <t>奶昔觉醒八星</t>
  </si>
  <si>
    <t>zoro014/zoro014_attack01</t>
  </si>
  <si>
    <t>和之国佐罗01</t>
  </si>
  <si>
    <t>zoro014/zoro014_attack01_hit01</t>
  </si>
  <si>
    <t>和之国佐罗01受击</t>
  </si>
  <si>
    <t>zoro014/zoro014_attack01_hit03</t>
  </si>
  <si>
    <t>zoro014/zoro014_attack02</t>
  </si>
  <si>
    <t>和之国佐罗02</t>
  </si>
  <si>
    <t>zoro014/zoro014_attack03</t>
  </si>
  <si>
    <t>和之国佐罗03</t>
  </si>
  <si>
    <t>zoro014/zoro014_attack03_hit</t>
  </si>
  <si>
    <t>和之国佐罗03受击</t>
  </si>
  <si>
    <t>zoro014/zoro014_attack04</t>
  </si>
  <si>
    <t>和之国佐罗04</t>
  </si>
  <si>
    <t>zoro014/zoro014_attack04_hit</t>
  </si>
  <si>
    <t>和之国佐罗04受击</t>
  </si>
  <si>
    <t>zoro014/zoro014_attack05</t>
  </si>
  <si>
    <t>和之国佐罗05</t>
  </si>
  <si>
    <t>zoro014/zoro014_attack06</t>
  </si>
  <si>
    <t>和之国佐罗06</t>
  </si>
  <si>
    <t>zoro014/zoro014_attack08</t>
  </si>
  <si>
    <t>和之国佐罗08</t>
  </si>
  <si>
    <t>zoro014/zoro014_attack09</t>
  </si>
  <si>
    <t>和之国佐罗09</t>
  </si>
  <si>
    <t>zoro014/zoro014_attack08_dao_yan003</t>
  </si>
  <si>
    <t>zoro014/zoro014_mood3</t>
  </si>
  <si>
    <t>和之国佐罗mood3</t>
  </si>
  <si>
    <t>zoro014/zoro014_stand</t>
  </si>
  <si>
    <t>和之国佐罗八星</t>
  </si>
  <si>
    <t>zoro014/zoro017_attack09</t>
  </si>
  <si>
    <t>和之国佐罗时装佐罗十郎09</t>
  </si>
  <si>
    <t>zoro014/zoro017_attack08</t>
  </si>
  <si>
    <t>和之国佐罗时装佐罗十郎08</t>
  </si>
  <si>
    <t>zoro014/zoro014_mood06</t>
  </si>
  <si>
    <t>和之国佐罗专属</t>
  </si>
  <si>
    <t>zoro014/zoro014_mood06_dao_yan001</t>
  </si>
  <si>
    <t>和之国佐罗专属挂点</t>
  </si>
  <si>
    <t>zoro014/zoro017_attack08_dao_yan003</t>
  </si>
  <si>
    <t>和之国佐罗时装佐罗十郎08挂点</t>
  </si>
  <si>
    <t>chopper011/chopper011_attack01</t>
  </si>
  <si>
    <t>和之国乔巴01</t>
  </si>
  <si>
    <t>chopper011/chopper011_attack01_hit01</t>
  </si>
  <si>
    <t>和之国乔巴01受击</t>
  </si>
  <si>
    <t>chopper011/chopper011_attack01_hit02</t>
  </si>
  <si>
    <t>chopper011/chopper011_attack02</t>
  </si>
  <si>
    <t>和之国乔巴02</t>
  </si>
  <si>
    <t>chopper011/chopper011_attack03</t>
  </si>
  <si>
    <t>和之国乔巴03</t>
  </si>
  <si>
    <t>chopper011/chopper011_attack03_hit01</t>
  </si>
  <si>
    <t>和之国乔巴03受击</t>
  </si>
  <si>
    <t>chopper011/chopper011_attack03_hit02</t>
  </si>
  <si>
    <t>chopper011/chopper011_attack04</t>
  </si>
  <si>
    <t>和之国乔巴04</t>
  </si>
  <si>
    <t>chopper011/chopper011_attack05</t>
  </si>
  <si>
    <t>和之国乔巴05</t>
  </si>
  <si>
    <t>chopper011/chopper011_attack06</t>
  </si>
  <si>
    <t>和之国乔巴06</t>
  </si>
  <si>
    <t>chopper011/chopper011_attack07</t>
  </si>
  <si>
    <t>和之国乔巴07</t>
  </si>
  <si>
    <t>chopper011/chopper011_attack07_hit</t>
  </si>
  <si>
    <t>和之国乔巴07受击</t>
  </si>
  <si>
    <t>chopper011/chopper011_attack08</t>
  </si>
  <si>
    <t>和之国乔巴08</t>
  </si>
  <si>
    <t>chopper011/chopper011_attack08_hit</t>
  </si>
  <si>
    <t>和之国乔巴08受击</t>
  </si>
  <si>
    <t>chopper011/chopper011_attack09</t>
  </si>
  <si>
    <t>和之国乔巴09</t>
  </si>
  <si>
    <t>chopper011/chopper011_mood06</t>
  </si>
  <si>
    <t>和之国乔巴专属</t>
  </si>
  <si>
    <t>chopper011/chopper011_mood06_tx_01</t>
  </si>
  <si>
    <t>和之国乔巴专属挂点</t>
  </si>
  <si>
    <t>chopper011/chopper011_mood06_tx_02</t>
  </si>
  <si>
    <t>chopper011/chopper011_stand</t>
  </si>
  <si>
    <t>和之国乔巴八星</t>
  </si>
  <si>
    <t>chopper011/chopper010_attack04</t>
  </si>
  <si>
    <t>和之国乔巴时装04</t>
  </si>
  <si>
    <t>cracker001/cracker001_body_attack11_Bone012</t>
  </si>
  <si>
    <t>苏打饼觉醒变身11挂点</t>
  </si>
  <si>
    <t>cracker001/cracker001_body_attack11</t>
  </si>
  <si>
    <t>苏打饼觉醒变身11</t>
  </si>
  <si>
    <t>cracker001/cracker001_body_attack11_hit</t>
  </si>
  <si>
    <t>苏打饼觉醒变身11受击</t>
  </si>
  <si>
    <t>cracker001/cracker001_body_attack10_hit</t>
  </si>
  <si>
    <t>苏打饼觉醒本体10受击</t>
  </si>
  <si>
    <t>cracker001/cracker001_body_attack10</t>
  </si>
  <si>
    <t>苏打饼觉醒本体10</t>
  </si>
  <si>
    <t>cracker001/cracker001_stand02</t>
  </si>
  <si>
    <t>苏打饼觉醒八星</t>
  </si>
  <si>
    <t>cracker001/cracker001_mood06</t>
  </si>
  <si>
    <t>苏打饼觉醒专属</t>
  </si>
  <si>
    <t>cracker001/cracker001_body_attack12</t>
  </si>
  <si>
    <t>苏打饼觉醒本体12</t>
  </si>
  <si>
    <t>cracker001/cracker001_body_attack12_Bone007</t>
  </si>
  <si>
    <t>cracker001/cracker001_body_attack12_Bone011</t>
  </si>
  <si>
    <t>usopp010/usopp010_attack01</t>
  </si>
  <si>
    <t>和之国乌索普01</t>
  </si>
  <si>
    <t>usopp010/usopp010_attack01_ground</t>
  </si>
  <si>
    <t>和之国乌索普01地面</t>
  </si>
  <si>
    <t>usopp010/usopp010_attack01_hit</t>
  </si>
  <si>
    <t>和之国乌索普01受击</t>
  </si>
  <si>
    <t>usopp010/usopp010_attack01_pro_01</t>
  </si>
  <si>
    <t>和之国乌索普01子弹</t>
  </si>
  <si>
    <t>usopp010/usopp010_attack01_pro_02</t>
  </si>
  <si>
    <t>usopp010/usopp010_attack02</t>
  </si>
  <si>
    <t>和之国乌索普02</t>
  </si>
  <si>
    <t>usopp010/usopp010_attack02_hit</t>
  </si>
  <si>
    <t>和之国乌索普02受击</t>
  </si>
  <si>
    <t>usopp010/usopp010_attack03</t>
  </si>
  <si>
    <t>和之国乌索普03</t>
  </si>
  <si>
    <t>usopp010/usopp010_attack04</t>
  </si>
  <si>
    <t>和之国乌索普04</t>
  </si>
  <si>
    <t>usopp010/usopp010_attack05</t>
  </si>
  <si>
    <t>和之国乌索普05</t>
  </si>
  <si>
    <t>usopp010/usopp010_attack05_ground</t>
  </si>
  <si>
    <t>和之国乌索普05地面</t>
  </si>
  <si>
    <t>usopp010/usopp010_attack05_pro</t>
  </si>
  <si>
    <t>和之国乌索普05子弹</t>
  </si>
  <si>
    <t>usopp010/usopp010_attack06</t>
  </si>
  <si>
    <t>和之国乌索普06</t>
  </si>
  <si>
    <t>usopp010/usopp010_attack07</t>
  </si>
  <si>
    <t>和之国乌索普07</t>
  </si>
  <si>
    <t>usopp010/usopp010_attack08</t>
  </si>
  <si>
    <t>和之国乌索普08</t>
  </si>
  <si>
    <t>usopp010/usopp010_mood06</t>
  </si>
  <si>
    <t>和之国乌索普专属</t>
  </si>
  <si>
    <t>usopp010/usopp010_stand</t>
  </si>
  <si>
    <t>和之国乌索普八星</t>
  </si>
  <si>
    <t>nami015/nami015_attack01</t>
  </si>
  <si>
    <t>和之国娜美atk01</t>
  </si>
  <si>
    <t>nami015/nami015_attack01_Bip001RHand</t>
  </si>
  <si>
    <t>nami015/nami015_attack01_hit</t>
  </si>
  <si>
    <t>nami015/nami015_attack01_pro</t>
  </si>
  <si>
    <t>和之国娜美atk01发射物</t>
  </si>
  <si>
    <t>nami015/nami015_attack02</t>
  </si>
  <si>
    <t>和之国娜美atk02</t>
  </si>
  <si>
    <t>nami015/nami015_attack02_wuqi_02</t>
  </si>
  <si>
    <t>nami015/nami015_attack03</t>
  </si>
  <si>
    <t>和之国娜美atk03</t>
  </si>
  <si>
    <t>nami015/nami015_attack03_Bip001_R_Hand</t>
  </si>
  <si>
    <t>nami015/nami015_attack03_hit</t>
  </si>
  <si>
    <t>nami015/nami015_attack03_wuqi_02</t>
  </si>
  <si>
    <t>nami015/nami015_attack04</t>
  </si>
  <si>
    <t>和之国娜美atk04</t>
  </si>
  <si>
    <t>nami015/nami015_attack05</t>
  </si>
  <si>
    <t>和之国娜美atk05</t>
  </si>
  <si>
    <t>nami015/nami015_attack05_wuqi_00</t>
  </si>
  <si>
    <t>nami015/nami015_attack06</t>
  </si>
  <si>
    <t>和之国娜美atk06</t>
  </si>
  <si>
    <t>nami015/nami015_attack06_wuqi_00</t>
  </si>
  <si>
    <t>nami015/nami015_attack06_wuqi_01</t>
  </si>
  <si>
    <t>nami015/nami015_attack07</t>
  </si>
  <si>
    <t>和之国娜美atk07</t>
  </si>
  <si>
    <t>nami015/nami015_attack07_shandian_wuqi_02</t>
  </si>
  <si>
    <t>nami015/nami015_attack07_wuqi_00</t>
  </si>
  <si>
    <t>nami015/nami015_attack07_wuqi_02</t>
  </si>
  <si>
    <t>nami015/nami015_attack08</t>
  </si>
  <si>
    <t>和之国娜美atk08</t>
  </si>
  <si>
    <t>nami015/nami015_attack08_wuqi_00</t>
  </si>
  <si>
    <t>nami015/nami015_mood06</t>
  </si>
  <si>
    <t>和之国娜美</t>
  </si>
  <si>
    <t>nami015/nami015_stand</t>
  </si>
  <si>
    <t>nami015/nami015_attack06_hit</t>
  </si>
  <si>
    <t>pudding001/pudding001_attack09</t>
  </si>
  <si>
    <t>布玲09</t>
  </si>
  <si>
    <t>pudding001/pudding001_attack09_hit</t>
  </si>
  <si>
    <t>布玲09受击</t>
  </si>
  <si>
    <t>pudding001/pudding001_attack10</t>
  </si>
  <si>
    <t>布玲10</t>
  </si>
  <si>
    <t>pudding001/pudding001_attack10_hit</t>
  </si>
  <si>
    <t>布玲10受击</t>
  </si>
  <si>
    <t>pudding001/pudding001_mood06_01</t>
  </si>
  <si>
    <t>布玲觉醒专属</t>
  </si>
  <si>
    <t>pudding001/pudding001_stand_01</t>
  </si>
  <si>
    <t>布玲觉醒八星</t>
  </si>
  <si>
    <t>pudding001/pudding001_attack08</t>
  </si>
  <si>
    <t>布玲08</t>
  </si>
  <si>
    <t>pudding001/pudding003_attack08</t>
  </si>
  <si>
    <t>布玲08时装</t>
  </si>
  <si>
    <t>franky006/franky006_attack01</t>
  </si>
  <si>
    <t>和之国弗兰奇01</t>
  </si>
  <si>
    <t>franky006/franky006_attack01_hit</t>
  </si>
  <si>
    <t>和之国弗兰奇01受击</t>
  </si>
  <si>
    <t>franky006/franky006_attack02</t>
  </si>
  <si>
    <t>和之国弗兰奇02</t>
  </si>
  <si>
    <t>franky006/franky006_attack02_hit</t>
  </si>
  <si>
    <t>和之国弗兰奇02受击</t>
  </si>
  <si>
    <t>franky006/franky006_attack03</t>
  </si>
  <si>
    <t>和之国弗兰奇03</t>
  </si>
  <si>
    <t>franky006/franky006_attack04</t>
  </si>
  <si>
    <t>和之国弗兰奇04</t>
  </si>
  <si>
    <t>franky006/franky006_attack04_C</t>
  </si>
  <si>
    <t>franky006/franky006_attack06</t>
  </si>
  <si>
    <t>和之国弗兰奇06</t>
  </si>
  <si>
    <t>franky006/franky006_attack06_hit</t>
  </si>
  <si>
    <t>和之国弗兰奇06受击</t>
  </si>
  <si>
    <t>franky006/franky006_attack07</t>
  </si>
  <si>
    <t>和之国弗兰奇07</t>
  </si>
  <si>
    <t>franky006/franky006_attack07_hit</t>
  </si>
  <si>
    <t>franky006/franky006_attack07_hit1</t>
  </si>
  <si>
    <t>franky006/franky006_attack08</t>
  </si>
  <si>
    <t>和之国弗兰奇08</t>
  </si>
  <si>
    <t>franky006/franky006_attack08_hit</t>
  </si>
  <si>
    <t>和之国弗兰奇08受击</t>
  </si>
  <si>
    <t>franky006/franky006_mood06</t>
  </si>
  <si>
    <t>franky006/franky006_stand</t>
  </si>
  <si>
    <t>franky006/franky006_attack05</t>
  </si>
  <si>
    <t>和之国弗兰奇05</t>
  </si>
  <si>
    <t>franky006/franky006_attack09</t>
  </si>
  <si>
    <t>和之国弗兰奇09</t>
  </si>
  <si>
    <t>franky006/franky006_attack07_paotong</t>
  </si>
  <si>
    <t>franky006/franky007_attack04</t>
  </si>
  <si>
    <t>和之国弗兰奇时装04</t>
  </si>
  <si>
    <t>kdshouxia001/kdshouxia001_attack01</t>
  </si>
  <si>
    <t>和之国</t>
  </si>
  <si>
    <t>凯多手下01普攻</t>
  </si>
  <si>
    <t>kdshouxia001/kdshouxia001_attack01_hit</t>
  </si>
  <si>
    <t>凯多手下01普攻受击</t>
  </si>
  <si>
    <t>kdshouxia002/kdshouxia002_attack01</t>
  </si>
  <si>
    <t>凯多手下02普攻</t>
  </si>
  <si>
    <t>kdshouxia002/kdshouxia002_attack01_hit</t>
  </si>
  <si>
    <t>凯多手下02普攻受击</t>
  </si>
  <si>
    <t>hkshouxia001/hkshouxia001_attack01</t>
  </si>
  <si>
    <t>霍金斯手下普攻</t>
  </si>
  <si>
    <t>hkshouxia001/hkshouxia001_attack01_hit</t>
  </si>
  <si>
    <t>霍金斯手下普攻受击</t>
  </si>
  <si>
    <t>hkshouxia001/hkshouxia001_attack02</t>
  </si>
  <si>
    <t>霍金斯手下技能</t>
  </si>
  <si>
    <t>hkshouxia001/hkshouxia001_attack02_hit</t>
  </si>
  <si>
    <t>霍金斯手下技能受击</t>
  </si>
  <si>
    <t>hihimaru001/hihimaru001_attack01</t>
  </si>
  <si>
    <t>狒狒丸普攻</t>
  </si>
  <si>
    <t>hihimaru001/hihimaru001_attack01_hit</t>
  </si>
  <si>
    <t>狒狒丸普攻受击</t>
  </si>
  <si>
    <t>hihimaru001/hihimaru001_attack02</t>
  </si>
  <si>
    <t>狒狒丸技能1</t>
  </si>
  <si>
    <t>hihimaru001/hihimaru001_attack02_hit</t>
  </si>
  <si>
    <t>狒狒丸技能1受击</t>
  </si>
  <si>
    <t>hihimaru001/hihimaru001_attack03</t>
  </si>
  <si>
    <t>狒狒丸技能2</t>
  </si>
  <si>
    <t>hihimaru001/hihimaru001_attack03_hit</t>
  </si>
  <si>
    <t>狒狒丸技能2受击</t>
  </si>
  <si>
    <t>bianfuren001/bianfuren001_attack01</t>
  </si>
  <si>
    <t>蝙蝠人普攻</t>
  </si>
  <si>
    <t>bianfuren001/bianfuren001_attack01_hit</t>
  </si>
  <si>
    <t>蝙蝠人普攻受击</t>
  </si>
  <si>
    <t>bianfuren001/bianfuren001_attack02</t>
  </si>
  <si>
    <t>蝙蝠人技能1</t>
  </si>
  <si>
    <t>蝙蝠人技能1受击(无受击特效)</t>
  </si>
  <si>
    <t>bianfuren001/bianfuren001_attack03</t>
  </si>
  <si>
    <t>蝙蝠人技能2</t>
  </si>
  <si>
    <t>bianfuren001/bianfuren001_attack03_hit</t>
  </si>
  <si>
    <t>蝙蝠人技能2受击</t>
  </si>
  <si>
    <t>wushi001/wushi001_attack01</t>
  </si>
  <si>
    <t>武士01普攻</t>
  </si>
  <si>
    <t>wushi001/wushi001_attack01_hit</t>
  </si>
  <si>
    <t>武士01普攻受击</t>
  </si>
  <si>
    <t>wushi002/wushi002_attack01</t>
  </si>
  <si>
    <t>武士02普攻</t>
  </si>
  <si>
    <t>wushi002/wushi002_attack01_hit</t>
  </si>
  <si>
    <t>武士02普攻受击</t>
  </si>
  <si>
    <t>wushi003/wushi003_attack01</t>
  </si>
  <si>
    <t>武士03普攻</t>
  </si>
  <si>
    <t>wushi003/wushi003_attack01_hit</t>
  </si>
  <si>
    <t>武士03普攻受击</t>
  </si>
  <si>
    <t>xiangpu001/xiangpu001_attack01</t>
  </si>
  <si>
    <t>相扑普攻</t>
  </si>
  <si>
    <t>相扑普攻受击（缺）</t>
  </si>
  <si>
    <t>holdem001/holdem001_attack01</t>
  </si>
  <si>
    <t>霍尔海姆普攻</t>
  </si>
  <si>
    <t>holdem001/holdem001_attack01_hit</t>
  </si>
  <si>
    <t>霍尔海姆普攻受击</t>
  </si>
  <si>
    <t>holdem001/holdem001_attack02</t>
  </si>
  <si>
    <t>霍尔海姆技能1</t>
  </si>
  <si>
    <t>holdem001/holdem001_attack02_hit</t>
  </si>
  <si>
    <t>霍尔海姆技能1受击</t>
  </si>
  <si>
    <t>holdem001/holdem001_attack03</t>
  </si>
  <si>
    <t>霍尔海姆技能2</t>
  </si>
  <si>
    <t>holdem001/holdem001_attack03_C</t>
  </si>
  <si>
    <t>霍尔海姆技能2镜头</t>
  </si>
  <si>
    <t>pudao001/pudao001_attack01</t>
  </si>
  <si>
    <t>浦岛普攻</t>
  </si>
  <si>
    <t>pudao001/pudao001_attack01_hit</t>
  </si>
  <si>
    <t>浦岛普攻受击</t>
  </si>
  <si>
    <t>pudao001/pudao001_attack02</t>
  </si>
  <si>
    <t>浦岛技能1</t>
  </si>
  <si>
    <t>浦岛技能1受击（缺）</t>
  </si>
  <si>
    <t>pudao001/pudao001_attack03</t>
  </si>
  <si>
    <t>浦岛技能2</t>
  </si>
  <si>
    <t>浦岛技能2受击（缺）</t>
  </si>
  <si>
    <t>pudao001/pudao001_attack04</t>
  </si>
  <si>
    <t>浦岛技能3</t>
  </si>
  <si>
    <t>pudao001/pudao001_attack04_C</t>
  </si>
  <si>
    <t>浦岛技能3镜头</t>
  </si>
  <si>
    <t>brook005/brook005_attack01</t>
  </si>
  <si>
    <t>和之国布鲁克01</t>
  </si>
  <si>
    <t>brook005/brook005_attack01_hit</t>
  </si>
  <si>
    <t>和之国布鲁克01受击</t>
  </si>
  <si>
    <t>brook005/brook005_attack02</t>
  </si>
  <si>
    <t>和之国布鲁克02</t>
  </si>
  <si>
    <t>brook005/brook005_attack02_Bone_weapon02</t>
  </si>
  <si>
    <t>和之国布鲁克02挂点</t>
  </si>
  <si>
    <t>brook005/brook005_attack03</t>
  </si>
  <si>
    <t>和之国布鲁克03</t>
  </si>
  <si>
    <t>brook005/brook005_attack03_hit</t>
  </si>
  <si>
    <t>和之国布鲁克03受击</t>
  </si>
  <si>
    <t>brook005/brook005_attack04</t>
  </si>
  <si>
    <t>和之国布鲁克04</t>
  </si>
  <si>
    <t>brook005/brook005_attack04_hit</t>
  </si>
  <si>
    <t>和之国布鲁克04受击</t>
  </si>
  <si>
    <t>brook005/brook005_attack04_hit01</t>
  </si>
  <si>
    <t>和之国布鲁克04受击2</t>
  </si>
  <si>
    <t>brook005/brook005_attack05</t>
  </si>
  <si>
    <t>和之国布鲁克05</t>
  </si>
  <si>
    <t>brook005/brook005_attack05_hit</t>
  </si>
  <si>
    <t>和之国布鲁克05受击</t>
  </si>
  <si>
    <t>brook005/brook005_attack06</t>
  </si>
  <si>
    <t>和之国布鲁克06</t>
  </si>
  <si>
    <t>brook005/brook005_attack06_01_Bone_weapon03</t>
  </si>
  <si>
    <t>和之国布鲁克06挂点</t>
  </si>
  <si>
    <t>brook005/brook005_attack06_Bone_weapon03</t>
  </si>
  <si>
    <t>和之国布鲁克06挂点2</t>
  </si>
  <si>
    <t>brook005/brook005_attack07</t>
  </si>
  <si>
    <t>和之国布鲁克07</t>
  </si>
  <si>
    <t>brook005/brook005_attack08</t>
  </si>
  <si>
    <t>和之国布鲁克08</t>
  </si>
  <si>
    <t>brook005/brook005_attack08_Bone_weapon02</t>
  </si>
  <si>
    <t>和之国布鲁克08挂点</t>
  </si>
  <si>
    <t>brook005/brook005_mood6</t>
  </si>
  <si>
    <t>专属</t>
  </si>
  <si>
    <t>brook005/brook005_stand</t>
  </si>
  <si>
    <t>八星</t>
  </si>
  <si>
    <t>brook005/brook005_win_qin</t>
  </si>
  <si>
    <t>和之国布鲁克胜利动画挂点</t>
  </si>
  <si>
    <t>brook005/brook005_attack01_hit1</t>
  </si>
  <si>
    <t>franky006/franky007_attack05</t>
  </si>
  <si>
    <t>charlotte008/charlotte008_attack015</t>
  </si>
  <si>
    <t>龙人凯多与UR大妈联携技能霸海</t>
  </si>
  <si>
    <t>jinbe002/jinbe002_attack01</t>
  </si>
  <si>
    <t>和之国甚平01</t>
  </si>
  <si>
    <t>jinbe002/jinbe002_attack01_Bip001_R_Finger2</t>
  </si>
  <si>
    <t>和之国甚平01挂点</t>
  </si>
  <si>
    <t>jinbe002/jinbe002_attack02</t>
  </si>
  <si>
    <t>和之国甚平02</t>
  </si>
  <si>
    <t>jinbe002/jinbe002_attack02_Bip001_R_Hand</t>
  </si>
  <si>
    <t>和之国甚平02挂点</t>
  </si>
  <si>
    <t>jinbe002/jinbe002_attack02_hit</t>
  </si>
  <si>
    <t>和之国甚平02受击</t>
  </si>
  <si>
    <t>jinbe002/jinbe002_attack03</t>
  </si>
  <si>
    <t>和之国甚平03</t>
  </si>
  <si>
    <t>jinbe002/jinbe002_attack03_hit</t>
  </si>
  <si>
    <t>和之国甚平03受击</t>
  </si>
  <si>
    <t>jinbe002/jinbe002_attack04</t>
  </si>
  <si>
    <t>和之国甚平04</t>
  </si>
  <si>
    <t>jinbe002/jinbe002_attack05</t>
  </si>
  <si>
    <t>和之国甚平05</t>
  </si>
  <si>
    <t>jinbe002/jinbe002_attack06</t>
  </si>
  <si>
    <t>和之国甚平06</t>
  </si>
  <si>
    <t>jinbe002/jinbe002_attack07</t>
  </si>
  <si>
    <t>和之国甚平07</t>
  </si>
  <si>
    <t>jinbe002/jinbe002_attack08</t>
  </si>
  <si>
    <t>和之国甚平08</t>
  </si>
  <si>
    <t>jinbe002/jinbe002_mood06</t>
  </si>
  <si>
    <t>和之国甚平专属</t>
  </si>
  <si>
    <t>jinbe002/jinbe002_mood06_Bip001_R_Finger3</t>
  </si>
  <si>
    <t>jinbe002/jinbe002_stand</t>
  </si>
  <si>
    <t>和之国甚平八星</t>
  </si>
  <si>
    <t>jinbe002/jinbe002_attack07_Bip001_R_Hand</t>
  </si>
  <si>
    <t>maria003/maria003_attack01</t>
  </si>
  <si>
    <t>黑色玛利亚01</t>
  </si>
  <si>
    <t>maria003/maria003_attack01_hit_01</t>
  </si>
  <si>
    <t>黑色玛利亚01受击</t>
  </si>
  <si>
    <t>maria003/maria003_attack01_hit_02</t>
  </si>
  <si>
    <t>maria003/maria003_attack02</t>
  </si>
  <si>
    <t>黑色玛利亚02</t>
  </si>
  <si>
    <t>maria003/maria003_attack03</t>
  </si>
  <si>
    <t>黑色玛利亚03</t>
  </si>
  <si>
    <t>maria003/maria003_attack03_hit</t>
  </si>
  <si>
    <t>maria003/maria003_attack03_spider018</t>
  </si>
  <si>
    <t>maria003/maria003_attack03_spider019</t>
  </si>
  <si>
    <t>maria003/maria003_attack04</t>
  </si>
  <si>
    <t>黑色玛利亚04</t>
  </si>
  <si>
    <t>maria003/maria003_attack04_hit</t>
  </si>
  <si>
    <t>maria003/maria003_attack05</t>
  </si>
  <si>
    <t>黑色玛利亚05</t>
  </si>
  <si>
    <t>maria003/maria003_attack05_hit_01</t>
  </si>
  <si>
    <t>maria003/maria003_attack05_hit_02</t>
  </si>
  <si>
    <t>maria003/maria003_attack06</t>
  </si>
  <si>
    <t>黑色玛利亚06</t>
  </si>
  <si>
    <t>maria003/maria003_attack07</t>
  </si>
  <si>
    <t>黑色玛利亚07</t>
  </si>
  <si>
    <t>maria003/maria003_attack07_men</t>
  </si>
  <si>
    <t>maria003/maria003_attack08</t>
  </si>
  <si>
    <t>黑色玛利亚08</t>
  </si>
  <si>
    <t>maria003/maria003_mood06</t>
  </si>
  <si>
    <t>maria003/maria003_stand</t>
  </si>
  <si>
    <t>maria003/maria003_buff</t>
  </si>
  <si>
    <t>循环标记</t>
  </si>
  <si>
    <t>maria003/maria003_show</t>
  </si>
  <si>
    <t>展示特效</t>
  </si>
  <si>
    <t>maria003/maria003_win</t>
  </si>
  <si>
    <t>胜利特效</t>
  </si>
  <si>
    <t>roger002/roger002_attack01</t>
  </si>
  <si>
    <t>罗杰01</t>
  </si>
  <si>
    <t>roger002/roger002_attack01_hit01</t>
  </si>
  <si>
    <t>roger002/roger002_attack01_hit02</t>
  </si>
  <si>
    <t>roger002/roger002_attack01_hit03</t>
  </si>
  <si>
    <t>roger002/roger002_attack02</t>
  </si>
  <si>
    <t>罗杰02</t>
  </si>
  <si>
    <t>roger002/roger002_attack02_weapon04</t>
  </si>
  <si>
    <t>罗杰02挂点</t>
  </si>
  <si>
    <t>roger002/roger002_attack03</t>
  </si>
  <si>
    <t>罗杰03</t>
  </si>
  <si>
    <t>roger002/roger002_attack04</t>
  </si>
  <si>
    <t>罗杰04</t>
  </si>
  <si>
    <t>roger002/roger002_attack05</t>
  </si>
  <si>
    <t>罗杰05</t>
  </si>
  <si>
    <t>roger002/roger002_attack05_weapon03</t>
  </si>
  <si>
    <t>罗杰05挂点</t>
  </si>
  <si>
    <t>roger002/roger002_attack06</t>
  </si>
  <si>
    <t>罗杰06</t>
  </si>
  <si>
    <t>roger002/roger002_attack07</t>
  </si>
  <si>
    <t>罗杰07</t>
  </si>
  <si>
    <t>roger002/roger002_attack08</t>
  </si>
  <si>
    <t>罗杰08</t>
  </si>
  <si>
    <t>roger002/roger002_attack08_weapon01</t>
  </si>
  <si>
    <t>罗杰08挂点</t>
  </si>
  <si>
    <t>roger002/roger002_mood06</t>
  </si>
  <si>
    <t>罗杰</t>
  </si>
  <si>
    <t>roger002/roger002_stand</t>
  </si>
  <si>
    <t>roger003/roger003_attack04</t>
  </si>
  <si>
    <t>罗杰时装ID99特效</t>
  </si>
  <si>
    <t>roger003/roger003_attack07</t>
  </si>
  <si>
    <t>roger002/roger003_attack06</t>
  </si>
  <si>
    <t>roger002/roger002_attack03_weapon01</t>
  </si>
  <si>
    <t>罗杰03挂点</t>
  </si>
  <si>
    <t>roger004/roger004_attack04</t>
  </si>
  <si>
    <t>罗杰时装ID100特效</t>
  </si>
  <si>
    <t>roger004/roger004_attack07</t>
  </si>
  <si>
    <t>roger004/roger004_attack06</t>
  </si>
  <si>
    <t>shiki001/shiki001_stand</t>
  </si>
  <si>
    <t>金狮子八星</t>
  </si>
  <si>
    <t>shiki001/shiki001_attack01</t>
  </si>
  <si>
    <t>金狮子01</t>
  </si>
  <si>
    <t>shiki001/shiki001_attack01_hit01</t>
  </si>
  <si>
    <t>金狮子01受击</t>
  </si>
  <si>
    <t>shiki001/shiki001_attack01_hit02</t>
  </si>
  <si>
    <t>shiki001/shiki001_attack02</t>
  </si>
  <si>
    <t>金狮子02</t>
  </si>
  <si>
    <t>shiki001/shiki001_attack02_hit</t>
  </si>
  <si>
    <t>金狮子02受击</t>
  </si>
  <si>
    <t>shiki001/shiki001_attack03</t>
  </si>
  <si>
    <t>金狮子03</t>
  </si>
  <si>
    <t>shiki001/shiki001_attack03_hit</t>
  </si>
  <si>
    <t>金狮子03受击</t>
  </si>
  <si>
    <t>shiki001/shiki001_attack04</t>
  </si>
  <si>
    <t>金狮子04</t>
  </si>
  <si>
    <t>shiki001/shiki001_attack05</t>
  </si>
  <si>
    <t>金狮子05</t>
  </si>
  <si>
    <t>shiki001/shiki001_attack05_hit01</t>
  </si>
  <si>
    <t>金狮子05受击</t>
  </si>
  <si>
    <t>shiki001/shiki001_attack05_hit02</t>
  </si>
  <si>
    <t>shiki001/shiki001_attack06</t>
  </si>
  <si>
    <t>金狮子06</t>
  </si>
  <si>
    <t>shiki001/shiki001_attack07</t>
  </si>
  <si>
    <t>金狮子07</t>
  </si>
  <si>
    <t>shiki001/shiki001_attack08</t>
  </si>
  <si>
    <t>金狮子08</t>
  </si>
  <si>
    <t>king001/king004_attack08</t>
  </si>
  <si>
    <t>烬08</t>
  </si>
  <si>
    <t>king001/king004_attack08_Bone_touR</t>
  </si>
  <si>
    <t>king001/king001_attack09</t>
  </si>
  <si>
    <t>烬09</t>
  </si>
  <si>
    <t>king001/king001_attack09_Bip001</t>
  </si>
  <si>
    <t>烬09挂点02</t>
  </si>
  <si>
    <t>king001/king001_attack09_hit</t>
  </si>
  <si>
    <t>烬09受击</t>
  </si>
  <si>
    <t>king001/king001_attack010</t>
  </si>
  <si>
    <t>烬10</t>
  </si>
  <si>
    <t>king001/king001_attack010_baofa_Bip001</t>
  </si>
  <si>
    <t>烬10挂点01</t>
  </si>
  <si>
    <t>king001/king001_attack010_Bip001RHand</t>
  </si>
  <si>
    <t>烬10挂点02</t>
  </si>
  <si>
    <t>king001/king001_attack010_huo_Bip001</t>
  </si>
  <si>
    <t>烬10挂点03</t>
  </si>
  <si>
    <t>king001/king004_stand</t>
  </si>
  <si>
    <t>烬觉醒八星</t>
  </si>
  <si>
    <t>king001/king004_mood_Bone_daobing</t>
  </si>
  <si>
    <t>烬觉醒专属</t>
  </si>
  <si>
    <t>king001/king004_mood_Dummy001</t>
  </si>
  <si>
    <t>烬人兽形态背后BUFF火焰</t>
  </si>
  <si>
    <t>sanji009/sanji009_attack01</t>
  </si>
  <si>
    <t>荞麦假面01</t>
  </si>
  <si>
    <t>sanji009/sanji009_attack01_Dummy001</t>
  </si>
  <si>
    <t>sanji009/sanji009_attack01_hit</t>
  </si>
  <si>
    <t>荞麦假面01受击</t>
  </si>
  <si>
    <t>sanji009/sanji009_attack01_hit02</t>
  </si>
  <si>
    <t>sanji009/sanji009_attack02</t>
  </si>
  <si>
    <t>荞麦假面02</t>
  </si>
  <si>
    <t>sanji009/sanji009_attack02_Dummy001</t>
  </si>
  <si>
    <t>sanji009/sanji009_attack02_hit</t>
  </si>
  <si>
    <t>荞麦假面02受击</t>
  </si>
  <si>
    <t>sanji009/sanji009_attack03</t>
  </si>
  <si>
    <t>荞麦假面03</t>
  </si>
  <si>
    <t>sanji009/sanji009_attack03_Dummy001</t>
  </si>
  <si>
    <t>sanji009/sanji009_attack03_hit</t>
  </si>
  <si>
    <t>荞麦假面03受击</t>
  </si>
  <si>
    <t>sanji009/sanji009_attack04</t>
  </si>
  <si>
    <t>荞麦假面04</t>
  </si>
  <si>
    <t>sanji009/sanji009_attack04_Dummy001</t>
  </si>
  <si>
    <t>sanji009/sanji009_attack04_Dummy002</t>
  </si>
  <si>
    <t>sanji009/sanji009_attack04_hit</t>
  </si>
  <si>
    <t>荞麦假面04受击</t>
  </si>
  <si>
    <t>sanji009/sanji009_attack05</t>
  </si>
  <si>
    <t>荞麦假面05</t>
  </si>
  <si>
    <t>sanji009/sanji009_attack06</t>
  </si>
  <si>
    <t>荞麦假面06</t>
  </si>
  <si>
    <t>sanji009/sanji009_attack07</t>
  </si>
  <si>
    <t>荞麦假面07</t>
  </si>
  <si>
    <t>sanji009/sanji009_attack07_Bip001_L_Toe0</t>
  </si>
  <si>
    <t>sanji009/sanji009_attack07_Bip001_R_Foot</t>
  </si>
  <si>
    <t>sanji009/sanji009_attack07_Dummy002</t>
  </si>
  <si>
    <t>sanji009/sanji009_attack08</t>
  </si>
  <si>
    <t>荞麦假面08</t>
  </si>
  <si>
    <t>sanji009/sanji009_mood06</t>
  </si>
  <si>
    <t>荞麦假面专属</t>
  </si>
  <si>
    <t>sanji009/sanji009_stand</t>
  </si>
  <si>
    <t>荞麦假面八星</t>
  </si>
  <si>
    <t>king005/king005_attack010</t>
  </si>
  <si>
    <t>king005/king005_attack010_baofa_Bip001</t>
  </si>
  <si>
    <t>king005/king005_attack010_Bip001RHand</t>
  </si>
  <si>
    <t>king005/king005_attack010_huo_Bip001</t>
  </si>
  <si>
    <t>king001/king001_attack06_hit</t>
  </si>
  <si>
    <t>烬06受击</t>
  </si>
  <si>
    <t>sanji009/sanji009_attack03_hit02</t>
  </si>
  <si>
    <t>荞麦假面03受击02</t>
  </si>
  <si>
    <t>rayleigh003_body/rayleigh003_body_attack09</t>
  </si>
  <si>
    <t>青年雷利09</t>
  </si>
  <si>
    <t>rayleigh003_body/rayleigh003_body_attack09_hit</t>
  </si>
  <si>
    <t>青年雷利09受击</t>
  </si>
  <si>
    <t>rayleigh003_body/rayleigh003_body_attack10</t>
  </si>
  <si>
    <t>青年雷利10</t>
  </si>
  <si>
    <t>rayleigh003_body/rayleigh003_body_attack10_hit</t>
  </si>
  <si>
    <t>青年雷利10受击</t>
  </si>
  <si>
    <t>rayleigh003_body/rayleigh003_body_attack11</t>
  </si>
  <si>
    <t>青年雷利11</t>
  </si>
  <si>
    <t>rayleigh003_body/rayleigh003_body_attack11_Bip001_L_Foot</t>
  </si>
  <si>
    <t>青年雷利11挂点01</t>
  </si>
  <si>
    <t>rayleigh003_body/rayleigh003_body_attack11_Bip001_R_Foot</t>
  </si>
  <si>
    <t>青年雷利11挂点02</t>
  </si>
  <si>
    <t>rayleigh003_body/rayleigh003_body_attack11_Bip001_Spine1</t>
  </si>
  <si>
    <t>青年雷利11挂点03</t>
  </si>
  <si>
    <t>rayleigh003_body/rayleigh003_body_attack11_Dummy002</t>
  </si>
  <si>
    <t>青年雷利11挂点04</t>
  </si>
  <si>
    <t>rayleigh003_body/rayleigh003_body_mood07</t>
  </si>
  <si>
    <t>青年雷利觉醒专属</t>
  </si>
  <si>
    <t>rayleigh003_body/rayleigh003_body_stand02</t>
  </si>
  <si>
    <t>青年雷利觉醒八星</t>
  </si>
  <si>
    <t>luffy024/luffy024_attack05</t>
  </si>
  <si>
    <t>和之国路飞获赋者05</t>
  </si>
  <si>
    <t>luffy024/luffy024_attack012</t>
  </si>
  <si>
    <t>和之国路飞获赋者12</t>
  </si>
  <si>
    <t>luffy024/luffy024_attack015</t>
  </si>
  <si>
    <t>和之国路飞获赋者15</t>
  </si>
  <si>
    <t>luffy024/luffy024_mood06</t>
  </si>
  <si>
    <t>和之国路飞获赋者专属</t>
  </si>
  <si>
    <t>aramaki001/aramaki001_attack01</t>
  </si>
  <si>
    <t>绿牛01</t>
  </si>
  <si>
    <t>aramaki001/aramaki001_attack01_hit</t>
  </si>
  <si>
    <t>绿牛01受击</t>
  </si>
  <si>
    <t>aramaki001/aramaki001_attack02</t>
  </si>
  <si>
    <t>绿牛02</t>
  </si>
  <si>
    <t>aramaki001/aramaki001_attack03</t>
  </si>
  <si>
    <t>绿牛03</t>
  </si>
  <si>
    <t>aramaki001/aramaki001_attack03_hit</t>
  </si>
  <si>
    <t>绿牛03受击</t>
  </si>
  <si>
    <t>aramaki001/aramaki001_attack04</t>
  </si>
  <si>
    <t>绿牛04</t>
  </si>
  <si>
    <t>aramaki001/aramaki001_attack04_hit</t>
  </si>
  <si>
    <t>绿牛04受击</t>
  </si>
  <si>
    <t>aramaki001/aramaki001_attack05</t>
  </si>
  <si>
    <t>绿牛05</t>
  </si>
  <si>
    <t>aramaki001/aramaki001_attack07</t>
  </si>
  <si>
    <t>绿牛07</t>
  </si>
  <si>
    <t>aramaki001/aramaki001_attack08</t>
  </si>
  <si>
    <t>绿牛08</t>
  </si>
  <si>
    <t>aramaki001/aramaki001_attack09</t>
  </si>
  <si>
    <t>绿牛09</t>
  </si>
  <si>
    <t>aramaki001/aramaki001_mood06</t>
  </si>
  <si>
    <t>绿牛专属</t>
  </si>
  <si>
    <t>aramaki001/aramaki001_stand</t>
  </si>
  <si>
    <t>绿牛八星</t>
  </si>
  <si>
    <t>aramaki001/aramaki002_attack08_Bip001_L_UpperArm</t>
  </si>
  <si>
    <t>绿牛08挂点01</t>
  </si>
  <si>
    <t>aramaki001/aramaki002_attack08_Bip001_R_UpperArm</t>
  </si>
  <si>
    <t>绿牛08挂点02</t>
  </si>
  <si>
    <t>yamato003/yamato003_attack01</t>
  </si>
  <si>
    <t>大口真神大和01</t>
  </si>
  <si>
    <t>yamato003/yamato003_attack01_hit</t>
  </si>
  <si>
    <t>大口真神大和01受击</t>
  </si>
  <si>
    <t>yamato003/yamato003_attack02</t>
  </si>
  <si>
    <t>大口真神大和02</t>
  </si>
  <si>
    <t>yamato003/yamato003_attack02_hit</t>
  </si>
  <si>
    <t>大口真神大和02受击</t>
  </si>
  <si>
    <t>yamato003/yamato003_attack03</t>
  </si>
  <si>
    <t>大口真神大和03</t>
  </si>
  <si>
    <t>yamato003/yamato003_attack04</t>
  </si>
  <si>
    <t>大口真神大和04</t>
  </si>
  <si>
    <t>yamato003/yamato003_attack04_hit</t>
  </si>
  <si>
    <t>大口真神大和04受击</t>
  </si>
  <si>
    <t>yamato003/yamato003_attack05</t>
  </si>
  <si>
    <t>大口真神大和05</t>
  </si>
  <si>
    <t>yamato003/yamato003_attack05_Bip001_Prop1</t>
  </si>
  <si>
    <t>大口真神大和05挂点01</t>
  </si>
  <si>
    <t>yamato003/yamato003_attack05_hit</t>
  </si>
  <si>
    <t>大口真神大和05受击</t>
  </si>
  <si>
    <t>yamato003/yamato003_attack06</t>
  </si>
  <si>
    <t>大口真神大和06</t>
  </si>
  <si>
    <t>yamato003/yamato003_attack06_Bip001</t>
  </si>
  <si>
    <t>大口真神大和06挂点01</t>
  </si>
  <si>
    <t>yamato003/yamato003_attack08</t>
  </si>
  <si>
    <t>大口真神大和08</t>
  </si>
  <si>
    <t>yamato003/yamato003_attack08_Bip001_Spine</t>
  </si>
  <si>
    <t>大口真神大和08挂点01</t>
  </si>
  <si>
    <t>yamato003/yamato003_attack08_bone_weapon001</t>
  </si>
  <si>
    <t>大口真神大和08挂点02</t>
  </si>
  <si>
    <t>yamato003/yamato003_attack09</t>
  </si>
  <si>
    <t>大口真神大和09</t>
  </si>
  <si>
    <t>yamato003/yamato003_attack09_bone_weapon001</t>
  </si>
  <si>
    <t>大口真神大和09挂点02</t>
  </si>
  <si>
    <t>yamato003/yamato003_mood06</t>
  </si>
  <si>
    <t>大口真神大和专属</t>
  </si>
  <si>
    <t>yamato003/yamato003_stand</t>
  </si>
  <si>
    <t>大口真神大和八星</t>
  </si>
  <si>
    <t>yamato003/yamato004_attack06_Bip001</t>
  </si>
  <si>
    <t>大口真神大和06兽形态</t>
  </si>
  <si>
    <t>yamato003/yamato003_attack07</t>
  </si>
  <si>
    <t>大口真神大和07</t>
  </si>
  <si>
    <t>jack003/jack003_attack08</t>
  </si>
  <si>
    <t>杰克觉醒08</t>
  </si>
  <si>
    <t>jack003/jack003_attack08_hit</t>
  </si>
  <si>
    <t>杰克觉醒08受击</t>
  </si>
  <si>
    <t>jack003/jack003_attack09</t>
  </si>
  <si>
    <t>杰克觉醒09</t>
  </si>
  <si>
    <t>jack003/jack003_attack09_hit</t>
  </si>
  <si>
    <t>杰克觉醒09受击</t>
  </si>
  <si>
    <t>jack003/jack003_attack10</t>
  </si>
  <si>
    <t>杰克觉醒10</t>
  </si>
  <si>
    <t>jack003/jack003_mood06_02</t>
  </si>
  <si>
    <t>杰克觉醒专属</t>
  </si>
  <si>
    <t>jack003/jack003_stand_02</t>
  </si>
  <si>
    <t>杰克觉醒八星</t>
  </si>
  <si>
    <t>jack003/jack006_attack10_Bip001</t>
  </si>
  <si>
    <t>杰克觉醒10挂点</t>
  </si>
  <si>
    <t>kidpirates005_1/kidpirates005_attack09</t>
  </si>
  <si>
    <t xml:space="preserve">基德&amp;罗 磁气魔人09 </t>
  </si>
  <si>
    <t>kidpirates005_1/kidpirates005_attack09_hit</t>
  </si>
  <si>
    <t>基德&amp;罗 磁气魔人09 受击</t>
  </si>
  <si>
    <t>kidpirates005_1/kidpirates005_attack12</t>
  </si>
  <si>
    <t>基德&amp;罗 磁气魔人12</t>
  </si>
  <si>
    <t>kidpirates005_1/kidpirates005_attack12_hit</t>
  </si>
  <si>
    <t>基德&amp;罗 磁气魔人12 受击</t>
  </si>
  <si>
    <t>kidpirates005_1/kidpirates005_mood06</t>
  </si>
  <si>
    <t>基德&amp;罗 基德专属</t>
  </si>
  <si>
    <t>kidpirates005_1/kidpirates005_mood06_Bip001_L_Hand</t>
  </si>
  <si>
    <t>基德&amp;罗 基德专属 挂点</t>
  </si>
  <si>
    <t>kidpirates005_1/kidpirates005_stand</t>
  </si>
  <si>
    <t>基德&amp;罗 基德八星</t>
  </si>
  <si>
    <t>trafalgarlaw009_1/trafalgarlaw009_attack01</t>
  </si>
  <si>
    <t>基德&amp;罗01</t>
  </si>
  <si>
    <t>trafalgarlaw009_1/trafalgarlaw009_attack01_hit01</t>
  </si>
  <si>
    <t>基德&amp;罗01 受击1</t>
  </si>
  <si>
    <t>trafalgarlaw009_1/trafalgarlaw009_attack01_hit02</t>
  </si>
  <si>
    <t>基德&amp;罗01 受击2</t>
  </si>
  <si>
    <t>trafalgarlaw009_1/trafalgarlaw009_attack02</t>
  </si>
  <si>
    <t>基德&amp;罗02</t>
  </si>
  <si>
    <t>trafalgarlaw009_1/trafalgarlaw009_attack02_hit01</t>
  </si>
  <si>
    <t>基德&amp;罗02 受击1</t>
  </si>
  <si>
    <t>trafalgarlaw009_1/trafalgarlaw009_attack02_hit02</t>
  </si>
  <si>
    <t>基德&amp;罗02 受击2</t>
  </si>
  <si>
    <t>trafalgarlaw009_1/trafalgarlaw009_attack03</t>
  </si>
  <si>
    <t>基德&amp;罗03</t>
  </si>
  <si>
    <t>trafalgarlaw009_1/trafalgarlaw009_attack04</t>
  </si>
  <si>
    <t>基德&amp;罗04</t>
  </si>
  <si>
    <t>trafalgarlaw009_1/trafalgarlaw009_attack05</t>
  </si>
  <si>
    <t xml:space="preserve">基德&amp;罗05 </t>
  </si>
  <si>
    <t>trafalgarlaw009_1/trafalgarlaw009_attack05_hit01</t>
  </si>
  <si>
    <t>基德&amp;罗05 受击1</t>
  </si>
  <si>
    <t>trafalgarlaw009_1/trafalgarlaw009_attack05_hit02</t>
  </si>
  <si>
    <t>基德&amp;罗05 受击2</t>
  </si>
  <si>
    <t>trafalgarlaw009_1/trafalgarlaw009_attack05_hit03</t>
  </si>
  <si>
    <t>基德&amp;罗05 受击3</t>
  </si>
  <si>
    <t>trafalgarlaw009_1/trafalgarlaw009_attack06</t>
  </si>
  <si>
    <t>基德&amp;罗06</t>
  </si>
  <si>
    <t>trafalgarlaw009_1/trafalgarlaw009_attack07</t>
  </si>
  <si>
    <t>基德&amp;罗07</t>
  </si>
  <si>
    <t>trafalgarlaw009_1/trafalgarlaw009_attack07_hit</t>
  </si>
  <si>
    <t>基德&amp;罗07 受击</t>
  </si>
  <si>
    <t>trafalgarlaw009_1/trafalgarlaw009_attack09</t>
  </si>
  <si>
    <t xml:space="preserve">基德&amp;罗09 </t>
  </si>
  <si>
    <t>trafalgarlaw009_1/trafalgarlaw009_attack09_Bip001_L_Hand</t>
  </si>
  <si>
    <t>基德&amp;罗09 挂点</t>
  </si>
  <si>
    <t>trafalgarlaw009_1/trafalgarlaw009_attack10</t>
  </si>
  <si>
    <t>基德&amp;罗10</t>
  </si>
  <si>
    <t>trafalgarlaw009_1/trafalgarlaw009_attack10_Bip001_L_Hand</t>
  </si>
  <si>
    <t>基德&amp;罗10 挂点</t>
  </si>
  <si>
    <t>trafalgarlaw009_1/trafalgarlaw009_attack11</t>
  </si>
  <si>
    <t>基德&amp;罗11</t>
  </si>
  <si>
    <t>trafalgarlaw009_1/trafalgarlaw009_attack12</t>
  </si>
  <si>
    <t>基德&amp;罗12</t>
  </si>
  <si>
    <t>trafalgarlaw009_1/trafalgarlaw009_attack12_Bip001_L_Hand</t>
  </si>
  <si>
    <t>基德&amp;罗12 挂点</t>
  </si>
  <si>
    <t>trafalgarlaw009_1/trafalgarlaw009_attack12_hit</t>
  </si>
  <si>
    <t>基德&amp;罗12 受击</t>
  </si>
  <si>
    <t>trafalgarlaw009_1/trafalgarlaw009_mood06</t>
  </si>
  <si>
    <t>基德&amp;罗 罗专属</t>
  </si>
  <si>
    <t>trafalgarlaw009_1/trafalgarlaw009_stand</t>
  </si>
  <si>
    <t>基德&amp;罗 罗八星</t>
  </si>
  <si>
    <t>trafalgarlaw009_1/trafalgarlaw009_show</t>
  </si>
  <si>
    <t>trafalgarlaw009_1/trafalgarlaw009_win</t>
  </si>
  <si>
    <t>queen004/queen004_attack09</t>
  </si>
  <si>
    <t>昆因觉醒01</t>
  </si>
  <si>
    <t>queen004/queen004_attack09_tou_012</t>
  </si>
  <si>
    <t>queen004/queen004_attack10</t>
  </si>
  <si>
    <t>昆因觉醒02</t>
  </si>
  <si>
    <t>queen004/queen004_attack10_tou_011</t>
  </si>
  <si>
    <t>queen004/queen004_attack11</t>
  </si>
  <si>
    <t>昆因觉醒03</t>
  </si>
  <si>
    <t>queen004/queen004_attack11_bone_handL002</t>
  </si>
  <si>
    <t>queen004/queen004_attack11_bone_tail009</t>
  </si>
  <si>
    <t>queen004/queen004_attack11_tou_017</t>
  </si>
  <si>
    <t>queen001/queen001_mood07</t>
  </si>
  <si>
    <t>昆因觉醒专属</t>
  </si>
  <si>
    <t>queen001/queen001_stand_02</t>
  </si>
  <si>
    <t>昆因觉醒八星</t>
  </si>
  <si>
    <t>bonney001/bonney001_attack01</t>
  </si>
  <si>
    <t>邦妮01</t>
  </si>
  <si>
    <t>bonney001/bonney001_attack01_hit01</t>
  </si>
  <si>
    <t>邦妮01受击1</t>
  </si>
  <si>
    <t>bonney001/bonney001_attack01_hit02</t>
  </si>
  <si>
    <t>邦妮01受击2</t>
  </si>
  <si>
    <t>bonney001/bonney001_attack02</t>
  </si>
  <si>
    <t>邦妮02</t>
  </si>
  <si>
    <t>bonney001/bonney001_attack02_bone_weapon002</t>
  </si>
  <si>
    <t>邦妮02挂点</t>
  </si>
  <si>
    <t>bonney001/bonney001_attack03</t>
  </si>
  <si>
    <t>邦妮03</t>
  </si>
  <si>
    <t>bonney001/bonney001_attack03_Bip001_Spine</t>
  </si>
  <si>
    <t>邦妮03挂点</t>
  </si>
  <si>
    <t>bonney001/bonney001_attack03_hit</t>
  </si>
  <si>
    <t>邦妮03受击</t>
  </si>
  <si>
    <t>bonney001/bonney001_attack04</t>
  </si>
  <si>
    <t>邦妮04</t>
  </si>
  <si>
    <t>bonney001/bonney001_attack04_hit</t>
  </si>
  <si>
    <t>邦妮04受击</t>
  </si>
  <si>
    <t>bonney001/bonney001_attack05</t>
  </si>
  <si>
    <t>邦妮05</t>
  </si>
  <si>
    <t>bonney001/bonney001_attack05_bone_weapon001</t>
  </si>
  <si>
    <t>邦妮05挂点1</t>
  </si>
  <si>
    <t>bonney001/bonney001_attack05_bone_weapon002</t>
  </si>
  <si>
    <t>邦妮05挂点2</t>
  </si>
  <si>
    <t>bonney001/bonney001_attack06</t>
  </si>
  <si>
    <t>邦妮06</t>
  </si>
  <si>
    <t>bonney001/bonney001_attack06_bone_bootsL004</t>
  </si>
  <si>
    <t>邦妮06挂点</t>
  </si>
  <si>
    <t>bonney001/bonney001_attack06_bone_bootsR004</t>
  </si>
  <si>
    <t>bonney001/bonney001_attack06_Dummy001</t>
  </si>
  <si>
    <t>bonney001/bonney001_attack06_hit</t>
  </si>
  <si>
    <t>邦妮06受击</t>
  </si>
  <si>
    <t>bonney001/bonney001_attack07</t>
  </si>
  <si>
    <t>邦妮07</t>
  </si>
  <si>
    <t>bonney001/bonney001_attack07_hit</t>
  </si>
  <si>
    <t>邦妮07受击</t>
  </si>
  <si>
    <t>bonney001/bonney001_attack08</t>
  </si>
  <si>
    <t>邦妮08</t>
  </si>
  <si>
    <t>bonney001/bonney001_mood_bone_weapon001</t>
  </si>
  <si>
    <t>邦妮专属挂点</t>
  </si>
  <si>
    <t>bonney001/bonney001_mood_bone_weapon002</t>
  </si>
  <si>
    <t>bonney001/bonney001_stand</t>
  </si>
  <si>
    <t>邦妮八星</t>
  </si>
  <si>
    <t>bonney001/bonney001_attack04_bone_weapon002</t>
  </si>
  <si>
    <t>邦妮04挂点</t>
  </si>
  <si>
    <t>bonney001/bonney001_attack08_Dummy001</t>
  </si>
  <si>
    <t>邦妮08挂点</t>
  </si>
  <si>
    <t>kuzan003/kuzan003_body_attack011</t>
  </si>
  <si>
    <t>新世界库赞觉醒atk11</t>
  </si>
  <si>
    <t>kuzan003/kuzan003_body_attack011_hit</t>
  </si>
  <si>
    <t>新世界库赞觉醒atk11受击</t>
  </si>
  <si>
    <t>kuzan003/kuzan003_body_attack012</t>
  </si>
  <si>
    <t>新世界库赞觉醒atk12</t>
  </si>
  <si>
    <t>kuzan003/kuzan003_body_attack012_hit</t>
  </si>
  <si>
    <t>新世界库赞觉醒atk12受击</t>
  </si>
  <si>
    <t>kuzan003/kuzan003_body_attack013</t>
  </si>
  <si>
    <t>新世界库赞觉醒atk13</t>
  </si>
  <si>
    <t>kuzan003/kuzan003_body_mood07</t>
  </si>
  <si>
    <t>新世界库赞觉醒专属</t>
  </si>
  <si>
    <t>kuzan003/kuzan003_body_stand02</t>
  </si>
  <si>
    <t>新世界库赞觉醒八星</t>
  </si>
  <si>
    <t>dasheshouxia001/dasheshouxia001_attack01</t>
  </si>
  <si>
    <t>大蛇手下（铳）普攻</t>
  </si>
  <si>
    <t>dasheshouxia001/dasheshouxia001_attack01_hit</t>
  </si>
  <si>
    <t>大蛇手下（铳）普攻受击</t>
  </si>
  <si>
    <t>dasheshouxia002/dasheshouxia002_attack01</t>
  </si>
  <si>
    <t>大蛇手下（刀）普攻</t>
  </si>
  <si>
    <t>dasheshouxia002/dasheshouxia002_attack01_hit</t>
  </si>
  <si>
    <t>大蛇手下（刀）普攻受击</t>
  </si>
  <si>
    <t>niuguiwan001/niuguiwan001_attack01</t>
  </si>
  <si>
    <t>牛鬼丸普攻</t>
  </si>
  <si>
    <t>niuguiwan001/niuguiwan001_attack01_hit</t>
  </si>
  <si>
    <t>牛鬼丸普攻受击</t>
  </si>
  <si>
    <t>niuguiwan001/niuguiwan001_attack02</t>
  </si>
  <si>
    <t>牛鬼丸attack02</t>
  </si>
  <si>
    <t>niuguiwan001/niuguiwan001_attack02_hit</t>
  </si>
  <si>
    <t>牛鬼丸attack02受击</t>
  </si>
  <si>
    <t>niuguiwan001/niuguiwan001_attack03</t>
  </si>
  <si>
    <t>牛鬼丸attack03</t>
  </si>
  <si>
    <t>niuguiwan001/niuguiwan001_attack03_hit</t>
  </si>
  <si>
    <t>牛鬼丸attack03受击</t>
  </si>
  <si>
    <t>killer003/killer003_attack01</t>
  </si>
  <si>
    <t>镰造普攻</t>
  </si>
  <si>
    <t>killer003/killer003_attack01_hit</t>
  </si>
  <si>
    <t>镰造普攻受击</t>
  </si>
  <si>
    <t>killer003/killer003_attack02</t>
  </si>
  <si>
    <t>镰造attack02</t>
  </si>
  <si>
    <t>killer003/killer003_attack02_hit</t>
  </si>
  <si>
    <t>镰造attack02受击</t>
  </si>
  <si>
    <t>killer003/killer003_attack03</t>
  </si>
  <si>
    <t>镰造attack03</t>
  </si>
  <si>
    <t>killer003/killer003_attack03_hit01</t>
  </si>
  <si>
    <t>镰造attack03受击1</t>
  </si>
  <si>
    <t>killer003/killer003_attack03_hit02</t>
  </si>
  <si>
    <t>镰造attack03受击2</t>
  </si>
  <si>
    <t>denjiro001/denjiro001_attack01</t>
  </si>
  <si>
    <t>狂死郎普攻</t>
  </si>
  <si>
    <t>denjiro001/denjiro001_attack01_hit</t>
  </si>
  <si>
    <t>狂死郎普攻受击</t>
  </si>
  <si>
    <t>denjiro001/denjiro001_attack02</t>
  </si>
  <si>
    <t>狂死郎attack02</t>
  </si>
  <si>
    <t>denjiro001/denjiro001_attack02_hit</t>
  </si>
  <si>
    <t>狂死郎attack02受击</t>
  </si>
  <si>
    <t>denjiro001/denjiro001_attack03</t>
  </si>
  <si>
    <t>狂死郎attack03</t>
  </si>
  <si>
    <t>denjiro001/denjiro001_attack03_C</t>
  </si>
  <si>
    <t>狂死郎attack03受击</t>
  </si>
  <si>
    <t>egle001/egle001_attack01</t>
  </si>
  <si>
    <t>S-老鹰atk01</t>
  </si>
  <si>
    <t>egle001/egle001_attack01_Bone_fire001</t>
  </si>
  <si>
    <t>S-老鹰atk01挂点</t>
  </si>
  <si>
    <t>egle001/egle001_attack01_hit01</t>
  </si>
  <si>
    <t>S-老鹰atk01受击1</t>
  </si>
  <si>
    <t>egle001/egle001_attack01_hit02</t>
  </si>
  <si>
    <t>S-老鹰atk01受击2</t>
  </si>
  <si>
    <t>egle001/egle001_attack02_buff</t>
  </si>
  <si>
    <t>S-老鹰atk02受击</t>
  </si>
  <si>
    <t>egle001/egle001_attack03</t>
  </si>
  <si>
    <t>S-老鹰atk03</t>
  </si>
  <si>
    <t>egle001/egle001_attack03_hit</t>
  </si>
  <si>
    <t>S-老鹰atk03受击</t>
  </si>
  <si>
    <t>egle001/egle001_attack04</t>
  </si>
  <si>
    <t>S-老鹰atk04</t>
  </si>
  <si>
    <t>egle001/egle001_attack04_hit</t>
  </si>
  <si>
    <t>S-老鹰atk04受击</t>
  </si>
  <si>
    <t>egle001/egle001_attack05</t>
  </si>
  <si>
    <t>S-老鹰atk05</t>
  </si>
  <si>
    <t>egle001/egle001_attack05_hit</t>
  </si>
  <si>
    <t>S-老鹰atk05受击</t>
  </si>
  <si>
    <t>egle001/egle001_attack06</t>
  </si>
  <si>
    <t>S-老鹰atk06</t>
  </si>
  <si>
    <t>egle001/egle001_attack06_Bip001</t>
  </si>
  <si>
    <t>S-老鹰atk06挂点1</t>
  </si>
  <si>
    <t>egle001/egle001_attack06_bone_armL002</t>
  </si>
  <si>
    <t>S-老鹰atk06挂点2</t>
  </si>
  <si>
    <t>egle001/egle001_attack06_bone_armR002</t>
  </si>
  <si>
    <t>S-老鹰atk06挂点3</t>
  </si>
  <si>
    <t>egle001/egle001_attack06_s_green</t>
  </si>
  <si>
    <t>S-老鹰atk06挂点4</t>
  </si>
  <si>
    <t>egle001/egle001_attack07</t>
  </si>
  <si>
    <t>S-老鹰atk07</t>
  </si>
  <si>
    <t>egle001/egle001_attack07_Bip001_Spine</t>
  </si>
  <si>
    <t>S-老鹰atk07挂点1</t>
  </si>
  <si>
    <t>egle001/egle001_attack07_Dummy001</t>
  </si>
  <si>
    <t>S-老鹰atk07挂点2</t>
  </si>
  <si>
    <t>egle001/egle001_attack07_Dummy002</t>
  </si>
  <si>
    <t>S-老鹰atk07挂点3</t>
  </si>
  <si>
    <t>egle001/egle001_attack08</t>
  </si>
  <si>
    <t>S-老鹰atk08</t>
  </si>
  <si>
    <t>egle001/egle001_attack08_s_green</t>
  </si>
  <si>
    <t>S-老鹰atk08挂点</t>
  </si>
  <si>
    <t>egle001/egle001_mood06</t>
  </si>
  <si>
    <t>S-老鹰专属</t>
  </si>
  <si>
    <t>egle001/egle001_stand</t>
  </si>
  <si>
    <t>S-老鹰八星</t>
  </si>
  <si>
    <t>egle001/egle001_ridestand_Dummy001</t>
  </si>
  <si>
    <t>egle001/egle001_ridestand_Dummy002</t>
  </si>
  <si>
    <t>egle001/egle001_bianshen</t>
  </si>
  <si>
    <t>kozuki/kozuki001_body_attack011</t>
  </si>
  <si>
    <t>光月御殿觉醒11</t>
  </si>
  <si>
    <t>kozuki/kozuki001_body_attack011_hit01</t>
  </si>
  <si>
    <t>光月御殿觉醒11受击1</t>
  </si>
  <si>
    <t>kozuki/kozuki001_body_attack011_hit02</t>
  </si>
  <si>
    <t>光月御殿觉醒11受击2</t>
  </si>
  <si>
    <t>kozuki/kozuki001_body_attack012</t>
  </si>
  <si>
    <t>光月御殿觉醒12</t>
  </si>
  <si>
    <t>kozuki/kozuki001_body_attack012_hit</t>
  </si>
  <si>
    <t>光月御殿觉醒12受击</t>
  </si>
  <si>
    <t>kozuki/kozuki001_body_attack013</t>
  </si>
  <si>
    <t>光月御殿觉醒13</t>
  </si>
  <si>
    <t>kozuki/kozuki001_body_attack013_Bip001_Prop1</t>
  </si>
  <si>
    <t>光月御殿觉醒13挂点1</t>
  </si>
  <si>
    <t>kozuki/kozuki001_body_attack013_Bip001_Prop2</t>
  </si>
  <si>
    <t>光月御殿觉醒13挂点2</t>
  </si>
  <si>
    <t>kozuki/kozuki001_body_mood07</t>
  </si>
  <si>
    <t>光月御殿觉醒专属</t>
  </si>
  <si>
    <t>kozuki/kozuki001_body_stand02</t>
  </si>
  <si>
    <t>光月御殿觉醒八星</t>
  </si>
  <si>
    <t>kozuki/kozuki002_body_attack013</t>
  </si>
  <si>
    <t>光月御殿时装觉醒13</t>
  </si>
  <si>
    <t>egle001/egle001_attack09</t>
  </si>
  <si>
    <t>S-老鹰atk09</t>
  </si>
  <si>
    <t>egle001/egle001_attack09_Bone_fire001</t>
  </si>
  <si>
    <t>S-老鹰atk09火</t>
  </si>
  <si>
    <t>egle001/egle001_attack09_C</t>
  </si>
  <si>
    <t>S-老鹰atk09镜头</t>
  </si>
  <si>
    <t>egle001/egle001_attack10</t>
  </si>
  <si>
    <t>S-老鹰atk10</t>
  </si>
  <si>
    <t>egle001/egle001_attack10_C</t>
  </si>
  <si>
    <t>S-老鹰atk10镜头</t>
  </si>
  <si>
    <t>snake_001/snake001_attack01</t>
  </si>
  <si>
    <t>S-蛇女atk01</t>
  </si>
  <si>
    <t>snake_001/snake001_attack01_hit01</t>
  </si>
  <si>
    <t>S-蛇女atk01受击1</t>
  </si>
  <si>
    <t>snake_001/snake001_attack01_hit02</t>
  </si>
  <si>
    <t>S-蛇女atk01受击2</t>
  </si>
  <si>
    <t>snake_001/snake001_attack02</t>
  </si>
  <si>
    <t>S-蛇女atk02</t>
  </si>
  <si>
    <t>snake_001/snake001_attack02_hit</t>
  </si>
  <si>
    <t>S-蛇女atk02受击</t>
  </si>
  <si>
    <t>snake_001/snake001_attack03</t>
  </si>
  <si>
    <t>S-蛇女atk03</t>
  </si>
  <si>
    <t>snake_001/snake001_attack03_hit</t>
  </si>
  <si>
    <t>S-蛇女atk03受击</t>
  </si>
  <si>
    <t>snake_001/snake001_attack04</t>
  </si>
  <si>
    <t>S-蛇女atk04</t>
  </si>
  <si>
    <t>snake_001/snake001_attack04_Bip001_Spine</t>
  </si>
  <si>
    <t>S-蛇女atk04挂点1</t>
  </si>
  <si>
    <t>snake_001/snake001_attack04_bone_er001</t>
  </si>
  <si>
    <t>S-蛇女atk04挂点2</t>
  </si>
  <si>
    <t>snake_001/snake001_attack04_bone_er002</t>
  </si>
  <si>
    <t>S-蛇女atk04挂点3</t>
  </si>
  <si>
    <t>snake_001/snake001_attack04_C</t>
  </si>
  <si>
    <t>S-蛇女atk04镜头</t>
  </si>
  <si>
    <t>snake_001/snake001_attack05</t>
  </si>
  <si>
    <t>S-蛇女atk05</t>
  </si>
  <si>
    <t>snake_001/snake001_attack05_C</t>
  </si>
  <si>
    <t>S-蛇女atk05镜头</t>
  </si>
  <si>
    <t>snake_001/snake001_attack06</t>
  </si>
  <si>
    <t>S-蛇女atk06</t>
  </si>
  <si>
    <t>snake_001/snake001_attack06_Dummy001</t>
  </si>
  <si>
    <t>S-蛇女atk06挂点1</t>
  </si>
  <si>
    <t>snake_001/snake001_attack06_Dummy002</t>
  </si>
  <si>
    <t>S-蛇女atk06挂点2</t>
  </si>
  <si>
    <t>snake_001/snake001_attack06_hit</t>
  </si>
  <si>
    <t>S-蛇女atk06受击</t>
  </si>
  <si>
    <t>snake_001/snake001_attack07</t>
  </si>
  <si>
    <t>S-蛇女atk07</t>
  </si>
  <si>
    <t>snake_001/snake001_attack07_Dummy001</t>
  </si>
  <si>
    <t>S-蛇女atk07挂点1</t>
  </si>
  <si>
    <t>snake_001/snake001_attack07_Dummy002</t>
  </si>
  <si>
    <t>S-蛇女atk07挂点2</t>
  </si>
  <si>
    <t>snake_001/snake001_attack07_hit</t>
  </si>
  <si>
    <t>S-蛇女atk07受击</t>
  </si>
  <si>
    <t>snake_001/snake001_attack08</t>
  </si>
  <si>
    <t>S-蛇女atk08</t>
  </si>
  <si>
    <t>snake_001/snake001_attack08_Dummy001</t>
  </si>
  <si>
    <t>S-蛇女atk08挂点1</t>
  </si>
  <si>
    <t>snake_001/snake001_attack08_Dummy002</t>
  </si>
  <si>
    <t>S-蛇女atk08挂点2</t>
  </si>
  <si>
    <t>snake_001/snake001_attack08_hit</t>
  </si>
  <si>
    <t>S-蛇女atk08受击</t>
  </si>
  <si>
    <t>snake_001/snake001_attack09</t>
  </si>
  <si>
    <t>S-蛇女atk09</t>
  </si>
  <si>
    <t>snake_001/snake001_attack09_Bip001_R_Hand</t>
  </si>
  <si>
    <t>S-蛇女atk09挂点1</t>
  </si>
  <si>
    <t>snake_001/snake001_attack09_C</t>
  </si>
  <si>
    <t>S-蛇女atk09镜头</t>
  </si>
  <si>
    <t>snake_001/snake001_attack09_s_green</t>
  </si>
  <si>
    <t>S-蛇女atk09挂点2</t>
  </si>
  <si>
    <t>snake_001/snake001_mood06</t>
  </si>
  <si>
    <t>S-蛇女 八星专属</t>
  </si>
  <si>
    <t>snake_001/snake001_stand</t>
  </si>
  <si>
    <t>S-蛇女 八星特效</t>
  </si>
  <si>
    <t>snake_001/snake001_riderun_Bip001</t>
  </si>
  <si>
    <t>S-蛇女 骑乘</t>
  </si>
  <si>
    <t>snake_001/snake001_ridestand_Dummy001</t>
  </si>
  <si>
    <t>S-蛇女 飞行喷气1</t>
  </si>
  <si>
    <t>snake_001/snake001_ridestand_Dummy002</t>
  </si>
  <si>
    <t>S-蛇女 飞行喷气2</t>
  </si>
  <si>
    <t>babanuki001/babanuki001_attack01</t>
  </si>
  <si>
    <t>巴巴努基-atk01</t>
  </si>
  <si>
    <t>babanuki001/babanuki001_attack01_hit</t>
  </si>
  <si>
    <t>巴巴努基-atk01受击</t>
  </si>
  <si>
    <t>babanuki001/babanuki001_attack02</t>
  </si>
  <si>
    <t>巴巴努基-atk02</t>
  </si>
  <si>
    <t>babanuki001/babanuki001_attack02_hit</t>
  </si>
  <si>
    <t>巴巴努基-atk02受击</t>
  </si>
  <si>
    <t>solitaire001/solitaire001_attack01</t>
  </si>
  <si>
    <t>索莉提亚-atk01</t>
  </si>
  <si>
    <t>solitaire001/solitaire001_attack01_hit</t>
  </si>
  <si>
    <t>索莉提亚-atk01-受击</t>
  </si>
  <si>
    <t>solitaire001/solitaire001_attack02</t>
  </si>
  <si>
    <t>索莉提亚-atk02</t>
  </si>
  <si>
    <t>solitaire001/solitaire001_attack02_Bip001</t>
  </si>
  <si>
    <t>索莉提亚-atk02-旋风-Bip001</t>
  </si>
  <si>
    <t>solitaire001/solitaire001_attack02_hit</t>
  </si>
  <si>
    <t>索莉提亚-atk02-受击</t>
  </si>
  <si>
    <t>solitaire001/solitaire001_attack03</t>
  </si>
  <si>
    <t>索莉提亚-atk03</t>
  </si>
  <si>
    <t>solitaire001/solitaire001_attack03_hit</t>
  </si>
  <si>
    <t>索莉提亚-atk03-受击</t>
  </si>
  <si>
    <t>dobon001/dobon001_attack01</t>
  </si>
  <si>
    <t>多朋-atk01</t>
  </si>
  <si>
    <t>dobon001/dobon001_attack01_hit</t>
  </si>
  <si>
    <t>多朋-atk01受击</t>
  </si>
  <si>
    <t>dobon001/dobon001_attack02</t>
  </si>
  <si>
    <t>多朋-atk02</t>
  </si>
  <si>
    <t>dobon001/dobon001_attack02_hit</t>
  </si>
  <si>
    <t>多朋-atk02受击</t>
  </si>
  <si>
    <t>候选者-atk01</t>
  </si>
  <si>
    <t>候选者-atk01-受击</t>
  </si>
  <si>
    <t>snake_001/snake001_attack01_Dummy001</t>
  </si>
  <si>
    <t>S-蛇女-atk01喷气1</t>
  </si>
  <si>
    <t>snake_001/snake001_attack01_Dummy002</t>
  </si>
  <si>
    <t>S-蛇女-atk01喷气2</t>
  </si>
  <si>
    <t>garp/garp_attack10</t>
  </si>
  <si>
    <t>戈普觉醒10</t>
  </si>
  <si>
    <t>garp/garp_attack10_Bip001_L_Hand</t>
  </si>
  <si>
    <t>戈普觉醒10特效绑点</t>
  </si>
  <si>
    <t>garp/garp_attack10_Bip001_R_Hand</t>
  </si>
  <si>
    <t>garp/garp_attack10_hit</t>
  </si>
  <si>
    <t>戈普觉醒10受击</t>
  </si>
  <si>
    <t>garp/garp_attack10_hit01</t>
  </si>
  <si>
    <t>garp/garp_attack011</t>
  </si>
  <si>
    <t>戈普觉醒11</t>
  </si>
  <si>
    <t>garp/garp_attack011_hit</t>
  </si>
  <si>
    <t>戈普觉醒11受击</t>
  </si>
  <si>
    <t>garp/garp_attack012</t>
  </si>
  <si>
    <t>戈普觉醒12</t>
  </si>
  <si>
    <t>garp/garp_attack012_gro</t>
  </si>
  <si>
    <t>戈普觉醒12地面</t>
  </si>
  <si>
    <t>garp/garp_mood06_01</t>
  </si>
  <si>
    <t>戈普觉醒专属</t>
  </si>
  <si>
    <t>戈普觉醒八星</t>
  </si>
  <si>
    <t>garp/garp_stand_01</t>
  </si>
  <si>
    <t>戈普觉醒八星01</t>
  </si>
  <si>
    <t>garp/garp_attack012_shizhuang</t>
  </si>
  <si>
    <t>戈普时装觉醒12</t>
  </si>
  <si>
    <t>kaku001/kaku001_attack01</t>
  </si>
  <si>
    <t>未来岛卡古atk01</t>
  </si>
  <si>
    <t>kaku001/kaku001_attack01_hit01</t>
  </si>
  <si>
    <t>未来岛卡古atk01受击1</t>
  </si>
  <si>
    <t>kaku001/kaku001_attack01_hit02</t>
  </si>
  <si>
    <t>未来岛卡古atk01受击2</t>
  </si>
  <si>
    <t>kaku001/kaku001_attack02</t>
  </si>
  <si>
    <t>未来岛卡古atk02</t>
  </si>
  <si>
    <t>kaku001/kaku001_attack02_hit</t>
  </si>
  <si>
    <t>未来岛卡古atk02受击</t>
  </si>
  <si>
    <t>kaku001/kaku001_attack03</t>
  </si>
  <si>
    <t>未来岛卡古atk03</t>
  </si>
  <si>
    <t>kaku001/kaku001_attack03_Bip001_R_Foot</t>
  </si>
  <si>
    <t>未来岛卡古atk03特效绑点</t>
  </si>
  <si>
    <t>kaku001/kaku001_attack03_hit</t>
  </si>
  <si>
    <t>未来岛卡古atk03受击</t>
  </si>
  <si>
    <t>kaku001/kaku001_attack04</t>
  </si>
  <si>
    <t>未来岛卡古atk04</t>
  </si>
  <si>
    <t>kaku001/kaku001_attack04_hit</t>
  </si>
  <si>
    <t>未来岛卡古atk04受击</t>
  </si>
  <si>
    <t>kaku001/kaku001_attack04_hit01</t>
  </si>
  <si>
    <t>未来岛卡古atk04受击01</t>
  </si>
  <si>
    <t>kaku001/kaku001_attack05</t>
  </si>
  <si>
    <t>未来岛卡古atk05</t>
  </si>
  <si>
    <t>kaku001/kaku001_attack05_Bip001_L_Foot</t>
  </si>
  <si>
    <t>未来岛卡古atk05特效绑点</t>
  </si>
  <si>
    <t>kaku001/kaku001_attack05_hit</t>
  </si>
  <si>
    <t>未来岛卡古atk05受击</t>
  </si>
  <si>
    <t>kaku001/kaku001_attack07</t>
  </si>
  <si>
    <t>未来岛卡古atk07</t>
  </si>
  <si>
    <t>kaku001/kaku001_attack09</t>
  </si>
  <si>
    <t>未来岛卡古atk09(只有长颈鹿有09）</t>
  </si>
  <si>
    <t>kaku001/kaku001_mood06</t>
  </si>
  <si>
    <t>未来岛卡古八星专属</t>
  </si>
  <si>
    <t>kaku001/kaku001_stand</t>
  </si>
  <si>
    <t>未来岛卡古八星特效</t>
  </si>
  <si>
    <t>kaku001/kaku003_attack06</t>
  </si>
  <si>
    <t>未来岛卡古atk06</t>
  </si>
  <si>
    <t>kaku001/kaku003_attack06_hit</t>
  </si>
  <si>
    <t>未来岛卡古（长颈鹿）atk06受击</t>
  </si>
  <si>
    <t>kaku001/kaku003_attack07_bone_nos001</t>
  </si>
  <si>
    <t>未来岛卡古（长颈鹿）atk07特效绑点</t>
  </si>
  <si>
    <t>kaku001/kaku003_attack08</t>
  </si>
  <si>
    <t>未来岛卡古（长颈鹿）atk08</t>
  </si>
  <si>
    <t>kaku001/kaku003_attack08_hit01</t>
  </si>
  <si>
    <t>未来岛卡古（长颈鹿）atk08受击1</t>
  </si>
  <si>
    <t>kaku001/kaku003_attack08_hit02</t>
  </si>
  <si>
    <t>未来岛卡古（长颈鹿）atk08受击2</t>
  </si>
  <si>
    <t>kaido005/kaido006_attack16</t>
  </si>
  <si>
    <t>ur凯多</t>
  </si>
  <si>
    <t>kaido005/kaido007_attack17</t>
  </si>
  <si>
    <t>kaido005/kaido006_attack08_new</t>
  </si>
  <si>
    <t>kaido005/kaido006_attack08_Point001_huzi_new</t>
  </si>
  <si>
    <t>luffy028/luffy028_attack01</t>
  </si>
  <si>
    <t>5档路飞atk01</t>
  </si>
  <si>
    <t>luffy028/luffy028_attack01_hit01</t>
  </si>
  <si>
    <t>5档路飞atk01受击1</t>
  </si>
  <si>
    <t>luffy028/luffy028_attack01_hit02</t>
  </si>
  <si>
    <t>5档路飞atk01受击2</t>
  </si>
  <si>
    <t>luffy028/luffy028_attack02</t>
  </si>
  <si>
    <t>5档路飞atk02</t>
  </si>
  <si>
    <t>luffy028/luffy028_attack02_hit</t>
  </si>
  <si>
    <t>5档路飞atk02受击1</t>
  </si>
  <si>
    <t>luffy028/luffy028_attack03</t>
  </si>
  <si>
    <t>5档路飞atk03</t>
  </si>
  <si>
    <t>luffy028/luffy028_attack03_hit</t>
  </si>
  <si>
    <t>5档路飞atk03受击1</t>
  </si>
  <si>
    <t>luffy028/luffy028_attack04</t>
  </si>
  <si>
    <t>5档路飞atk04</t>
  </si>
  <si>
    <t>luffy028/luffy028_attack04_nika_spine03</t>
  </si>
  <si>
    <t>5档路飞atk04挂点1</t>
  </si>
  <si>
    <t>luffy028/luffy028_attack05</t>
  </si>
  <si>
    <t>5档路飞atk05</t>
  </si>
  <si>
    <t>luffy028/luffy028_attack05_nika_001</t>
  </si>
  <si>
    <t>5档路飞atk05挂点1</t>
  </si>
  <si>
    <t>luffy028/luffy028_attack05_nika_spine03</t>
  </si>
  <si>
    <t>5档路飞atk05挂点2</t>
  </si>
  <si>
    <t>luffy028/luffy028_attack08</t>
  </si>
  <si>
    <t>5档路飞atk08</t>
  </si>
  <si>
    <t>luffy028/luffy028_attack08_hit</t>
  </si>
  <si>
    <t>5档路飞atk08受击</t>
  </si>
  <si>
    <t>luffy028/luffy028_attack08_nika_handL001</t>
  </si>
  <si>
    <t>5档路飞atk08挂点1</t>
  </si>
  <si>
    <t>luffy028/luffy028_attack011</t>
  </si>
  <si>
    <t>5档路飞atk11</t>
  </si>
  <si>
    <t>luffy028/luffy028_bianshen</t>
  </si>
  <si>
    <t>5档路飞变身</t>
  </si>
  <si>
    <t>luffy028/luffy028_mood01_nika_head</t>
  </si>
  <si>
    <t>5档路飞mood01挂点1</t>
  </si>
  <si>
    <t>luffy028/luffy028_mood06</t>
  </si>
  <si>
    <t>5档路飞八星专属</t>
  </si>
  <si>
    <t>luffy028/luffy028_run_nika_001</t>
  </si>
  <si>
    <t>5档路飞跑步</t>
  </si>
  <si>
    <t>luffy028/luffy028_stand</t>
  </si>
  <si>
    <t>5档路飞八星特效</t>
  </si>
  <si>
    <t>luffy028/luffy029_attack06</t>
  </si>
  <si>
    <t>5档路飞atk06</t>
  </si>
  <si>
    <t>luffy028/luffy029_attack06_nika_handR008</t>
  </si>
  <si>
    <t>5档路飞atk06右手挂点1</t>
  </si>
  <si>
    <t>luffy028/luffy029_attack07</t>
  </si>
  <si>
    <t>5档路飞atk07</t>
  </si>
  <si>
    <t>luffy028/luffy029_attack07_hit</t>
  </si>
  <si>
    <t>5档路飞atk07受击</t>
  </si>
  <si>
    <t>luffy028/luffy029_attack09</t>
  </si>
  <si>
    <t>5档路飞atk09</t>
  </si>
  <si>
    <t>luffy028/luffy029_attack010</t>
  </si>
  <si>
    <t>5档路飞atk10</t>
  </si>
  <si>
    <t>luffy028/luffy030_attack012</t>
  </si>
  <si>
    <t>5档路飞atk12_1</t>
  </si>
  <si>
    <t>luffy028/luffy030_attack013</t>
  </si>
  <si>
    <t>5档路飞atk12_2</t>
  </si>
  <si>
    <t>luffy028/luffy030_attack014</t>
  </si>
  <si>
    <t>5档路飞atk12_3</t>
  </si>
  <si>
    <t>luffy028/luffy028_mood01_yan</t>
  </si>
  <si>
    <t>5档路飞mood1眼睛特效</t>
  </si>
  <si>
    <t>luffy028/luffy028_attack01_nika_001</t>
  </si>
  <si>
    <t>5档路飞atk01挂点特效</t>
  </si>
  <si>
    <t>luffy028/luffy028_buff_quantou01</t>
  </si>
  <si>
    <t>5档路飞atk05buff特效1</t>
  </si>
  <si>
    <t>luffy028/luffy028_buff_quantou02</t>
  </si>
  <si>
    <t>5档路飞atk05buff特效2</t>
  </si>
  <si>
    <t>luffy028/luffy028_buff_quantou03</t>
  </si>
  <si>
    <t>5档路飞atk05buff特效3</t>
  </si>
  <si>
    <t>luffy028/luffy028_buff_quantou04</t>
  </si>
  <si>
    <t>5档路飞atk05buff特效4</t>
  </si>
  <si>
    <t>luffy028/luffy028_stand_root001</t>
  </si>
  <si>
    <t>5档路飞八星专属动作特效2</t>
  </si>
  <si>
    <t>luffy028/luffy032_attack09</t>
  </si>
  <si>
    <t>5档路飞上衣atk09</t>
  </si>
  <si>
    <t>luffy028/luffy032_attack010</t>
  </si>
  <si>
    <t>5档路飞上衣atk10</t>
  </si>
  <si>
    <t>luffy028/luffy032_attack011</t>
  </si>
  <si>
    <t>5档路飞上衣atk11</t>
  </si>
  <si>
    <t>luffy028/luffy033_attack012</t>
  </si>
  <si>
    <t>5档路飞上衣atk12</t>
  </si>
  <si>
    <t>luffy028/luffy033_attack013</t>
  </si>
  <si>
    <t>5档路飞上衣atk13</t>
  </si>
  <si>
    <t>luffy028/luffy035_attack09</t>
  </si>
  <si>
    <t>5档路飞眼镜atk09</t>
  </si>
  <si>
    <t>luffy028/luffy035_attack010</t>
  </si>
  <si>
    <t>5档路飞眼镜atk10</t>
  </si>
  <si>
    <t>luffy028/luffy035_attack011</t>
  </si>
  <si>
    <t>5档路飞眼镜atk11</t>
  </si>
  <si>
    <t>luffy028/luffy036_attack012</t>
  </si>
  <si>
    <t>5档路飞眼镜atk12</t>
  </si>
  <si>
    <t>luffy028/luffy036_attack013</t>
  </si>
  <si>
    <t>5档路飞眼镜atk13</t>
  </si>
  <si>
    <t>kaido005/kaido002_riderun_Bone029_new</t>
  </si>
  <si>
    <t>龙人凯多飞行特效</t>
  </si>
  <si>
    <t>kikunojo001/kikunojo001_body_attack011</t>
  </si>
  <si>
    <t>阿菊atk11</t>
  </si>
  <si>
    <t>kikunojo001/kikunojo001_body_attack011_hit</t>
  </si>
  <si>
    <t>阿菊atk11受击特效</t>
  </si>
  <si>
    <t>kikunojo001/kikunojo001_body_attack012</t>
  </si>
  <si>
    <t>阿菊atk12</t>
  </si>
  <si>
    <t>kikunojo001/kikunojo001_body_attack012_hit</t>
  </si>
  <si>
    <t>阿菊atk12受击特效</t>
  </si>
  <si>
    <t>kikunojo001/kikunojo001_body_attack013</t>
  </si>
  <si>
    <t>阿菊atk13</t>
  </si>
  <si>
    <t>kikunojo001/kikunojo001_body_attack013_02</t>
  </si>
  <si>
    <t>阿菊atk13挂点特效</t>
  </si>
  <si>
    <t>kikunojo001/kikunojo001_body_mood07</t>
  </si>
  <si>
    <t>阿菊觉醒动作特效</t>
  </si>
  <si>
    <t>kikunojo001/kikunojo001_body_stand_01</t>
  </si>
  <si>
    <t>阿菊觉醒八星常驻特效</t>
  </si>
  <si>
    <t>kikunojo001/kikunojo002_body_attack013_02</t>
  </si>
  <si>
    <t>阿菊铠甲皮肤atk13挂点特效</t>
  </si>
  <si>
    <t>roblucci009/roblucci009_attack01</t>
  </si>
  <si>
    <t>未来岛鲁兹atk01</t>
  </si>
  <si>
    <t>roblucci009/roblucci009_attack01_hit01</t>
  </si>
  <si>
    <t>未来岛鲁兹atk01受击特效01</t>
  </si>
  <si>
    <t>roblucci009/roblucci009_attack01_hit02</t>
  </si>
  <si>
    <t>未来岛鲁兹atk01受击特效02</t>
  </si>
  <si>
    <t>roblucci009/roblucci009_attack02</t>
  </si>
  <si>
    <t>未来岛鲁兹atk02</t>
  </si>
  <si>
    <t>roblucci009/roblucci009_attack02_hit</t>
  </si>
  <si>
    <t>未来岛鲁兹atk02受击特效</t>
  </si>
  <si>
    <t>roblucci009/roblucci009_attack03</t>
  </si>
  <si>
    <t>未来岛鲁兹atk03</t>
  </si>
  <si>
    <t>roblucci009/roblucci009_attack03_hit</t>
  </si>
  <si>
    <t>未来岛鲁兹atk03受击特效</t>
  </si>
  <si>
    <t>roblucci009/roblucci009_attack04</t>
  </si>
  <si>
    <t>未来岛鲁兹atk04、05通用</t>
  </si>
  <si>
    <t>roblucci009/roblucci009_attack06</t>
  </si>
  <si>
    <t>未来岛鲁兹atk06</t>
  </si>
  <si>
    <t>roblucci009/roblucci009_attack06_hit</t>
  </si>
  <si>
    <t>未来岛鲁兹atk06受击特效</t>
  </si>
  <si>
    <t>roblucci009/roblucci009_attack07</t>
  </si>
  <si>
    <t>未来岛鲁兹atk07</t>
  </si>
  <si>
    <t>roblucci009/roblucci009_attack07_hit</t>
  </si>
  <si>
    <t>未来岛鲁兹atk07受击特效</t>
  </si>
  <si>
    <t>roblucci009/roblucci009_attack08</t>
  </si>
  <si>
    <t>未来岛鲁兹atk08</t>
  </si>
  <si>
    <t>roblucci009/roblucci009_attack09</t>
  </si>
  <si>
    <t>未来岛鲁兹atk09</t>
  </si>
  <si>
    <t>roblucci009/roblucci009_attack09_Bip001</t>
  </si>
  <si>
    <t>未来岛鲁兹atk09挂点特效</t>
  </si>
  <si>
    <t>roblucci009/roblucci009_attack10</t>
  </si>
  <si>
    <t>未来岛鲁兹atk10</t>
  </si>
  <si>
    <t>roblucci009/roblucci009_attack10_hit01</t>
  </si>
  <si>
    <t>未来岛鲁兹atk10受击特效01</t>
  </si>
  <si>
    <t>roblucci009/roblucci009_attack10_hit02</t>
  </si>
  <si>
    <t>未来岛鲁兹atk10受击特效02</t>
  </si>
  <si>
    <t>roblucci009/roblucci009_attack13</t>
  </si>
  <si>
    <t>未来岛鲁兹atk13</t>
  </si>
  <si>
    <t>roblucci009/roblucci009_mood06</t>
  </si>
  <si>
    <t>未来岛鲁兹专属动作</t>
  </si>
  <si>
    <t>roblucci009/roblucci009_mood06_Bip001_Pelvis</t>
  </si>
  <si>
    <t>未来岛鲁兹专属动作挂点特效</t>
  </si>
  <si>
    <t>roblucci009/roblucci009_ridestand</t>
  </si>
  <si>
    <t>未来岛鲁兹变身特效</t>
  </si>
  <si>
    <t>roblucci009/roblucci009_stand</t>
  </si>
  <si>
    <t>未来岛鲁兹8星特效</t>
  </si>
  <si>
    <t>roblucci009/roblucci009_standfight02</t>
  </si>
  <si>
    <t>未来岛鲁兹飞行待机特效</t>
  </si>
  <si>
    <t>roblucci009/roblucci012_attack011</t>
  </si>
  <si>
    <t>未来岛鲁兹atk11</t>
  </si>
  <si>
    <t>roblucci009/roblucci012_attack011_hit</t>
  </si>
  <si>
    <t>未来岛鲁兹atk11受击特效</t>
  </si>
  <si>
    <t>roblucci009/roblucci012_attack012</t>
  </si>
  <si>
    <t>未来岛鲁兹atk12</t>
  </si>
  <si>
    <t>roblucci009/roblucci012_riderun</t>
  </si>
  <si>
    <t>未来岛鲁兹坐骑跑</t>
  </si>
  <si>
    <t>stussy001/stussy001_attack01</t>
  </si>
  <si>
    <t>未来岛斯图西atk01</t>
  </si>
  <si>
    <t>stussy001/stussy001_attack01_hit</t>
  </si>
  <si>
    <t>未来岛斯图西atk01受击特效</t>
  </si>
  <si>
    <t>stussy001/stussy001_attack02</t>
  </si>
  <si>
    <t>未来岛斯图西atk02</t>
  </si>
  <si>
    <t>stussy001/stussy001_attack02_hit01</t>
  </si>
  <si>
    <t>未来岛斯图西atk02受击特效01</t>
  </si>
  <si>
    <t>stussy001/stussy001_attack02_hit02</t>
  </si>
  <si>
    <t>未来岛斯图西atk02受击特效02</t>
  </si>
  <si>
    <t>stussy001/stussy001_attack03</t>
  </si>
  <si>
    <t>未来岛斯图西atk03</t>
  </si>
  <si>
    <t>stussy001/stussy001_attack03_hit</t>
  </si>
  <si>
    <t>未来岛斯图西atk03受击特效</t>
  </si>
  <si>
    <t>stussy001/stussy001_attack04</t>
  </si>
  <si>
    <t>未来岛斯图西atk04</t>
  </si>
  <si>
    <t>stussy001/stussy001_attack04_hit</t>
  </si>
  <si>
    <t>未来岛斯图西atk04受击特效</t>
  </si>
  <si>
    <t>stussy001/stussy001_attack05</t>
  </si>
  <si>
    <t>未来岛斯图西atk05</t>
  </si>
  <si>
    <t>stussy001/stussy001_attack05_hit01</t>
  </si>
  <si>
    <t>未来岛斯图西atk05受击特效01</t>
  </si>
  <si>
    <t>stussy001/stussy001_attack05_hit02</t>
  </si>
  <si>
    <t>未来岛斯图西atk05受击特效02</t>
  </si>
  <si>
    <t>stussy001/stussy001_attack06</t>
  </si>
  <si>
    <t>未来岛斯图西atk06</t>
  </si>
  <si>
    <t>stussy001/stussy003_attack07</t>
  </si>
  <si>
    <t>未来岛斯图西atk07</t>
  </si>
  <si>
    <t>stussy001/stussy003_attack08</t>
  </si>
  <si>
    <t>未来岛斯图西atk08</t>
  </si>
  <si>
    <t>stussy001/stussy001_mood06</t>
  </si>
  <si>
    <t>未来岛斯图西专属</t>
  </si>
  <si>
    <t>stussy001/stussy001_bianshen</t>
  </si>
  <si>
    <t>未来岛斯图西变身特效</t>
  </si>
  <si>
    <t>stussy001/stussy001_stand</t>
  </si>
  <si>
    <t>未来岛斯图西八星</t>
  </si>
  <si>
    <t>enel/enel_ball_death</t>
  </si>
  <si>
    <t>云球死亡</t>
  </si>
  <si>
    <t>enel/enel_run02</t>
  </si>
  <si>
    <t>艾尼路雷电移动</t>
  </si>
  <si>
    <t>enel/enel_ridestand_ball_shadow</t>
  </si>
  <si>
    <t>艾尼路云球移动</t>
  </si>
  <si>
    <t>kinemon001_body/kinemon001_body_attack09</t>
  </si>
  <si>
    <t>锦卫门09</t>
  </si>
  <si>
    <t>kinemon001_body/kinemon001_body_attack09_hit</t>
  </si>
  <si>
    <t>锦卫门09受击特效01</t>
  </si>
  <si>
    <t>kinemon001_body/kinemon001_body_attack010</t>
  </si>
  <si>
    <t>锦卫门10</t>
  </si>
  <si>
    <t>kinemon001_body/kinemon001_body_attack010_Dummy001</t>
  </si>
  <si>
    <t>锦卫门10绑定1</t>
  </si>
  <si>
    <t>kinemon001_body/kinemon001_body_attack010_Dummy002</t>
  </si>
  <si>
    <t>锦卫门10绑定2</t>
  </si>
  <si>
    <t>kinemon001_body/kinemon001_body_attack010_hit01</t>
  </si>
  <si>
    <t>锦卫门10受击特效01</t>
  </si>
  <si>
    <t>kinemon001_body/kinemon001_body_attack010_hit02</t>
  </si>
  <si>
    <t>锦卫门10受击特效02</t>
  </si>
  <si>
    <t>kinemon001_body/kinemon001_body_attack011</t>
  </si>
  <si>
    <t>锦卫门11</t>
  </si>
  <si>
    <t>kinemon001_body/kinemon001_body_attack012</t>
  </si>
  <si>
    <t>锦卫门12</t>
  </si>
  <si>
    <t>kinemon001_body/kinemon001_body_mood06</t>
  </si>
  <si>
    <t xml:space="preserve">锦卫门专属  </t>
  </si>
  <si>
    <t>kinemon001_body/kinemon001_body_stand</t>
  </si>
  <si>
    <t>锦卫门觉醒8星</t>
  </si>
  <si>
    <t>kinemon001_body/kinemon001_body_BUFF_01</t>
  </si>
  <si>
    <t>锦卫门buff特效</t>
  </si>
  <si>
    <t>bear001/bear001_attack01</t>
  </si>
  <si>
    <t>S小熊01</t>
  </si>
  <si>
    <t>bear001/bear001_attack02</t>
  </si>
  <si>
    <t>S小熊02</t>
  </si>
  <si>
    <t>bear001/bear001_attack02_hit01</t>
  </si>
  <si>
    <t>S小熊02受击特效01</t>
  </si>
  <si>
    <t>bear001/bear001_attack02_hit02</t>
  </si>
  <si>
    <t>S小熊02受击特效02</t>
  </si>
  <si>
    <t>bear001/bear001_attack03</t>
  </si>
  <si>
    <t>S小熊03</t>
  </si>
  <si>
    <t>bear001/bear001_attack04</t>
  </si>
  <si>
    <t>S小熊04</t>
  </si>
  <si>
    <t>bear001/bear001_attack04_Bip001_L_Hand</t>
  </si>
  <si>
    <t>S小熊04左手挂点</t>
  </si>
  <si>
    <t>bear001/bear001_attack04_Bip001_R_Hand</t>
  </si>
  <si>
    <t>S小熊04右手挂点</t>
  </si>
  <si>
    <t>bear001/bear001_attack05_Bone_fire001</t>
  </si>
  <si>
    <t>S小熊05火</t>
  </si>
  <si>
    <t>bear001/bear002_attack05</t>
  </si>
  <si>
    <t>S小熊05</t>
  </si>
  <si>
    <t>bear001/bear002_attack05_Bip001_L_Hand</t>
  </si>
  <si>
    <t>S小熊05左手挂点</t>
  </si>
  <si>
    <t>bear001/bear002_attack05_Bip001_R_Hand</t>
  </si>
  <si>
    <t>S小熊05右手挂点</t>
  </si>
  <si>
    <t>bear001/bear002_attack05_Dummy001</t>
  </si>
  <si>
    <t>S小熊脚下火焰</t>
  </si>
  <si>
    <t>bear001/bear002_attack05_Dummy002</t>
  </si>
  <si>
    <t>bear001/bear002_attack05_hit</t>
  </si>
  <si>
    <t>S小熊05受击特效</t>
  </si>
  <si>
    <t>bear001/bear002_attack06</t>
  </si>
  <si>
    <t>S小熊06</t>
  </si>
  <si>
    <t>bear001/bear002_attack06_Bip001_Head</t>
  </si>
  <si>
    <t>S小熊06嘴上挂点</t>
  </si>
  <si>
    <t>bear001/bear002_attack07</t>
  </si>
  <si>
    <t>S小熊07</t>
  </si>
  <si>
    <t>bear001/bear002_attack08</t>
  </si>
  <si>
    <t>S小熊08</t>
  </si>
  <si>
    <t>bear001/bear002_attack08_Bip001</t>
  </si>
  <si>
    <t>S小熊08挂点1</t>
  </si>
  <si>
    <t>bear001/bear002_attack08_Bip001_L_Hand</t>
  </si>
  <si>
    <t>S小熊08左手挂点</t>
  </si>
  <si>
    <t>bear001/bear002_attack08_Bip001_R_Hand</t>
  </si>
  <si>
    <t>S小熊08右手挂点</t>
  </si>
  <si>
    <t>bear001/bear002_attack08_Dummy001</t>
  </si>
  <si>
    <t>S小熊08脚下喷气</t>
  </si>
  <si>
    <t>bear001/bear002_attack08_Dummy002</t>
  </si>
  <si>
    <t>bear001/bear001_stand</t>
  </si>
  <si>
    <t>S小熊08八星特效</t>
  </si>
  <si>
    <t>bear001/bear002_standfight_Bip001_L_Hand</t>
  </si>
  <si>
    <t>S小熊战斗待机</t>
  </si>
  <si>
    <t>bear001/bear001_mood06</t>
  </si>
  <si>
    <t>S小熊专属</t>
  </si>
  <si>
    <t>bear001/bear001_mood06_Bip001_L_Hand</t>
  </si>
  <si>
    <t>S小熊专属左手</t>
  </si>
  <si>
    <t>bear001/bear001_mood06_Bip001_R_Hand</t>
  </si>
  <si>
    <t>S小熊专属右手</t>
  </si>
  <si>
    <t>blackbeard005_body/blackbeard005_attack01</t>
  </si>
  <si>
    <t>未来岛黑胡子01</t>
  </si>
  <si>
    <t>blackbeard005_body/blackbeard005_attack01_Bip001_L_Hand</t>
  </si>
  <si>
    <t>未来岛黑胡子01左手</t>
  </si>
  <si>
    <t>blackbeard005_body/blackbeard005_attack01_Bip001_R_Hand</t>
  </si>
  <si>
    <t>未来岛黑胡子01右手</t>
  </si>
  <si>
    <t>blackbeard005_body/blackbeard005_attack01_hit01</t>
  </si>
  <si>
    <t>未来岛黑胡子01受击01</t>
  </si>
  <si>
    <t>blackbeard005_body/blackbeard005_attack02</t>
  </si>
  <si>
    <t>未来岛黑胡子02</t>
  </si>
  <si>
    <t>blackbeard005_body/blackbeard005_attack02_hit</t>
  </si>
  <si>
    <t>未来岛黑胡子02受击</t>
  </si>
  <si>
    <t>blackbeard005_body/blackbeard005_attack03</t>
  </si>
  <si>
    <t>未来岛黑胡子03</t>
  </si>
  <si>
    <t>blackbeard005_body/blackbeard005_attack04</t>
  </si>
  <si>
    <t>未来岛黑胡子04</t>
  </si>
  <si>
    <t>blackbeard005_body/blackbeard005_attack04_hit</t>
  </si>
  <si>
    <t>未来岛黑胡子04受击</t>
  </si>
  <si>
    <t>blackbeard005_body/blackbeard005_attack05</t>
  </si>
  <si>
    <t>未来岛黑胡子05</t>
  </si>
  <si>
    <t>blackbeard005_body/blackbeard005_attack05_Bip001_L_Hand</t>
  </si>
  <si>
    <t>未来岛黑胡子05左手</t>
  </si>
  <si>
    <t>blackbeard005_body/blackbeard005_attack05_Bip001_R_Hand</t>
  </si>
  <si>
    <t>未来岛黑胡子05右手</t>
  </si>
  <si>
    <t>blackbeard005_body/blackbeard005_attack06</t>
  </si>
  <si>
    <t>未来岛黑胡子06</t>
  </si>
  <si>
    <t>blackbeard005_body/blackbeard005_attack07</t>
  </si>
  <si>
    <t>未来岛黑胡子07</t>
  </si>
  <si>
    <t>blackbeard005_body/blackbeard005_attack07_Bip001_Head</t>
  </si>
  <si>
    <t>未来岛黑胡子07头</t>
  </si>
  <si>
    <t>blackbeard005_body/blackbeard005_attack07_Bip001_R_Hand</t>
  </si>
  <si>
    <t>未来岛黑胡子07右手</t>
  </si>
  <si>
    <t>blackbeard005_body/blackbeard005_attack08</t>
  </si>
  <si>
    <t>未来岛黑胡子08</t>
  </si>
  <si>
    <t>blackbeard005_body/blackbeard005_attack09</t>
  </si>
  <si>
    <t>未来岛黑胡子09</t>
  </si>
  <si>
    <t>blackbeard005_body/blackbeard005_attack10</t>
  </si>
  <si>
    <t>未来岛黑胡子10</t>
  </si>
  <si>
    <t>blackbeard005_body/blackbeard005_attack10_Bip001_R_Hand</t>
  </si>
  <si>
    <t>未来岛黑胡子10右手</t>
  </si>
  <si>
    <t>blackbeard005_body/blackbeard005_mood06</t>
  </si>
  <si>
    <t>未来岛黑胡子专属</t>
  </si>
  <si>
    <t>blackbeard005_body/blackbeard005_mood06_Bip001_L_Hand</t>
  </si>
  <si>
    <t>未来岛黑胡子专属左手</t>
  </si>
  <si>
    <t>blackbeard005_body/blackbeard005_mood06_Bip001_R_Hand</t>
  </si>
  <si>
    <t>未来岛黑胡子专属右手</t>
  </si>
  <si>
    <t>blackbeard005_body/blackbeard005_stand</t>
  </si>
  <si>
    <t>未来岛黑胡子八星</t>
  </si>
  <si>
    <t>blackbeard005_body/blackbeard005_attack01_hit02</t>
  </si>
  <si>
    <t>未来岛黑胡子01受击02</t>
  </si>
  <si>
    <t>blackbeard005_body/blackbeard005_attack04_Bip001_L_Hand</t>
  </si>
  <si>
    <t>未来岛黑胡子04左手</t>
  </si>
  <si>
    <t>ace/ace_attack04_Bip001_R_Clavicle</t>
  </si>
  <si>
    <t>艾斯十字火追加特效</t>
  </si>
  <si>
    <t>ace/ace001_attack13</t>
  </si>
  <si>
    <t>艾斯新技能attack13特效</t>
  </si>
  <si>
    <t>ace/ace001_attack13_C</t>
  </si>
  <si>
    <t>艾斯新技能attack13特效镜头</t>
  </si>
  <si>
    <t>ace/ace002_attack13</t>
  </si>
  <si>
    <t>艾斯新技能attack13特效(阿鲁巴拿)</t>
  </si>
  <si>
    <t>ace/ace002_attack13_C</t>
  </si>
  <si>
    <t>艾斯新技能attack13特效镜头(阿鲁巴拿)</t>
  </si>
  <si>
    <t>ace/ace005_attack13</t>
  </si>
  <si>
    <t>艾斯新技能attack13特效(万圣节)</t>
  </si>
  <si>
    <t>ace/ace005_attack13_C</t>
  </si>
  <si>
    <t>艾斯新技能attack13特效镜头(万圣节)</t>
  </si>
  <si>
    <t>ace/ace006_attack13</t>
  </si>
  <si>
    <t>艾斯新技能attack13特效(顶上)</t>
  </si>
  <si>
    <t>ace/ace006_attack13_C</t>
  </si>
  <si>
    <t>艾斯新技能attack13特效镜头(顶上)</t>
  </si>
  <si>
    <t>04_buff/buff_001_3_zhuoshao</t>
  </si>
  <si>
    <r>
      <rPr>
        <sz val="11"/>
        <color theme="1"/>
        <rFont val="等线"/>
        <charset val="134"/>
      </rPr>
      <t>[BUFF</t>
    </r>
    <r>
      <rPr>
        <sz val="11"/>
        <color theme="1"/>
        <rFont val="等线"/>
        <charset val="134"/>
      </rPr>
      <t>]</t>
    </r>
  </si>
  <si>
    <t>灼烧3</t>
  </si>
  <si>
    <t>04_buff/buff_001_5_zhuoshao</t>
  </si>
  <si>
    <t>灼烧5</t>
  </si>
  <si>
    <t>04_buff/buff_002_3_zhongdu</t>
  </si>
  <si>
    <t>中毒3</t>
  </si>
  <si>
    <t>04_buff/buff_002_5_zhongdu</t>
  </si>
  <si>
    <t>中毒5</t>
  </si>
  <si>
    <t>04_buff/buff_003_liuxue</t>
  </si>
  <si>
    <t>流血3</t>
  </si>
  <si>
    <t>流血5</t>
  </si>
  <si>
    <t>04_buff/buff_004_3_gandian</t>
  </si>
  <si>
    <t>感电3</t>
  </si>
  <si>
    <t>04_buff/buff_004_5_gandian</t>
  </si>
  <si>
    <t>感电5</t>
  </si>
  <si>
    <t>04_buff/buff_005_dianran</t>
  </si>
  <si>
    <t>点燃</t>
  </si>
  <si>
    <t>04_buff/buff_006_dubao</t>
  </si>
  <si>
    <t>毒爆</t>
  </si>
  <si>
    <t>04_buff/buff_007_shixue</t>
  </si>
  <si>
    <t>嗜血</t>
  </si>
  <si>
    <t>04_buff/buff_008_dianhu</t>
  </si>
  <si>
    <t>电弧</t>
  </si>
  <si>
    <t>04_buff/buff_009_heian</t>
  </si>
  <si>
    <t>黑暗</t>
  </si>
  <si>
    <t>04_buff/buff_010_jingu</t>
  </si>
  <si>
    <t>禁锢</t>
  </si>
  <si>
    <t>04_buff/buff_011_pojia</t>
  </si>
  <si>
    <t>破甲</t>
  </si>
  <si>
    <t>04_buff/buff_012_xuruo</t>
  </si>
  <si>
    <t>虚弱</t>
  </si>
  <si>
    <t>04_buff/buff_013_jiansu</t>
  </si>
  <si>
    <t>减速</t>
  </si>
  <si>
    <t>04_buff/buff_014_bingdong</t>
  </si>
  <si>
    <t>冰冻</t>
  </si>
  <si>
    <t>04_buff/buff_015_jingzhun</t>
  </si>
  <si>
    <t>精准</t>
  </si>
  <si>
    <t>04_buff/buff_016_shanduo</t>
  </si>
  <si>
    <t>闪躲</t>
  </si>
  <si>
    <t>04_buff/buff_017_jianyi</t>
  </si>
  <si>
    <t>坚毅</t>
  </si>
  <si>
    <t>04_buff/buff_018_liliang</t>
  </si>
  <si>
    <t>力量</t>
  </si>
  <si>
    <t>04_buff/buff_019_jisu</t>
  </si>
  <si>
    <t>急速</t>
  </si>
  <si>
    <t>04_buff/buff_020_tiebi</t>
  </si>
  <si>
    <t>铁壁</t>
  </si>
  <si>
    <t>04_buff/buff_021_jitui</t>
  </si>
  <si>
    <t>击退</t>
  </si>
  <si>
    <t>04_buff/buff_022_jifei</t>
  </si>
  <si>
    <t>击飞</t>
  </si>
  <si>
    <t>04_buff/buff_023_mabi</t>
  </si>
  <si>
    <t>麻痹</t>
  </si>
  <si>
    <t>04_buff/buff_024_fengji</t>
  </si>
  <si>
    <t>封技</t>
  </si>
  <si>
    <t>04_buff/buff_025_fengyin</t>
  </si>
  <si>
    <t>封印</t>
  </si>
  <si>
    <t>04_buff/buff_026_hunluan</t>
  </si>
  <si>
    <t>混乱</t>
  </si>
  <si>
    <t>04_buff/buff_027_xiaoji</t>
  </si>
  <si>
    <t>消极</t>
  </si>
  <si>
    <t>04_buff/buff_028_baozha</t>
  </si>
  <si>
    <t>包扎</t>
  </si>
  <si>
    <t>04_buff/buff_029_jiedu</t>
  </si>
  <si>
    <t>解毒</t>
  </si>
  <si>
    <t>04_buff/buff_030_miehuo</t>
  </si>
  <si>
    <t>灭火</t>
  </si>
  <si>
    <t>04_buff/buff_031_daodian</t>
  </si>
  <si>
    <t>导电</t>
  </si>
  <si>
    <t>04_buff/buff_032_jinghua</t>
  </si>
  <si>
    <t>净化</t>
  </si>
  <si>
    <t>04_buff/buff_033_mianyi</t>
  </si>
  <si>
    <t>免疫</t>
  </si>
  <si>
    <t>04_buff/buff_034_yunxuan</t>
  </si>
  <si>
    <t>眩晕</t>
  </si>
  <si>
    <t>04_buff/buff_036_meihuo</t>
  </si>
  <si>
    <t>魅惑</t>
  </si>
  <si>
    <t>04_buff/buff_037_yinshen</t>
  </si>
  <si>
    <t>隐身</t>
  </si>
  <si>
    <t>04_buff/buff_038_zhisi</t>
  </si>
  <si>
    <t>致死</t>
  </si>
  <si>
    <t>04_buff/buff_039_xuenu</t>
  </si>
  <si>
    <t>血怒</t>
  </si>
  <si>
    <t>04_buff/buff_040_dushang</t>
  </si>
  <si>
    <t>毒伤</t>
  </si>
  <si>
    <t>04_buff/buff_041_yanbao</t>
  </si>
  <si>
    <t>炎爆</t>
  </si>
  <si>
    <t>04_buff/buff_042_dianya</t>
  </si>
  <si>
    <t>电压</t>
  </si>
  <si>
    <t>04_buff/buff_043_zhansha</t>
  </si>
  <si>
    <t>斩杀</t>
  </si>
  <si>
    <t>04_buff/buff_044_kongju</t>
  </si>
  <si>
    <t>恐惧</t>
  </si>
  <si>
    <t>04_buff/buff_045_jianshang</t>
  </si>
  <si>
    <t>减伤</t>
  </si>
  <si>
    <t>04_buff/buff_046_zengshang</t>
  </si>
  <si>
    <t>增伤</t>
  </si>
  <si>
    <t>04_buff/buff_047_fengli</t>
  </si>
  <si>
    <t>锋利</t>
  </si>
  <si>
    <t>04_buff/buff_048_juezhan</t>
  </si>
  <si>
    <t>决战</t>
  </si>
  <si>
    <t>04_buff/buff_049_fantan</t>
  </si>
  <si>
    <t>反弹</t>
  </si>
  <si>
    <t>04_buff/buff_050_fanshe</t>
  </si>
  <si>
    <t>反射</t>
  </si>
  <si>
    <t>04_buff/buff_051_fanshang</t>
  </si>
  <si>
    <t>反伤</t>
  </si>
  <si>
    <t>04_buff/buff_052_cuimian</t>
  </si>
  <si>
    <t>催眠</t>
  </si>
  <si>
    <t>04_buff/buff_053_baoji</t>
  </si>
  <si>
    <t>暴击</t>
  </si>
  <si>
    <t>04_buff/buff_054_kangbao</t>
  </si>
  <si>
    <t>抗暴</t>
  </si>
  <si>
    <t>04_buff/buff_055_baozou</t>
  </si>
  <si>
    <t>暴走</t>
  </si>
  <si>
    <t>04_buff/buff_056_jiaoxie</t>
  </si>
  <si>
    <t>缴械</t>
  </si>
  <si>
    <t>04_buff/buff_057_xixue01</t>
  </si>
  <si>
    <t>吸血</t>
  </si>
  <si>
    <t>04_buff/buff_058_chaofeng</t>
  </si>
  <si>
    <t>嘲讽</t>
  </si>
  <si>
    <t>04_buff/buff_065_ganlie</t>
  </si>
  <si>
    <t>干裂</t>
  </si>
  <si>
    <t>04_buff/buff_059_qinshi</t>
  </si>
  <si>
    <t>侵蚀</t>
  </si>
  <si>
    <t>04_buff/buff_060_shabao</t>
  </si>
  <si>
    <t>沙爆</t>
  </si>
  <si>
    <t>04_buff/buff_061_shengmingdun</t>
  </si>
  <si>
    <t>生命盾</t>
  </si>
  <si>
    <t>被击特效</t>
  </si>
  <si>
    <t>04_buff/buff_064_xisheng</t>
  </si>
  <si>
    <t>牺牲</t>
  </si>
  <si>
    <t>释放</t>
  </si>
  <si>
    <t>04_buff/buff_062_yiran</t>
  </si>
  <si>
    <t>易燃</t>
  </si>
  <si>
    <t>04_buff/buff_063_zhanduan</t>
  </si>
  <si>
    <t>斩断</t>
  </si>
  <si>
    <t>04_buff/buff_066_wushifangyu</t>
  </si>
  <si>
    <t>无视防御</t>
  </si>
  <si>
    <t>04_buff/buff_069_shengminghudun</t>
  </si>
  <si>
    <t>护盾</t>
  </si>
  <si>
    <t>04_buff/buff_074_xisheng_01</t>
  </si>
  <si>
    <t>04_buff/buff_074_xisheng_02</t>
  </si>
  <si>
    <t>04_buff/buff_075_shilu</t>
  </si>
  <si>
    <t>湿漉</t>
  </si>
  <si>
    <t>04_buff/buff_070_yanlang</t>
  </si>
  <si>
    <t>炎浪</t>
  </si>
  <si>
    <t>04_buff/buff_071_zhengyi</t>
  </si>
  <si>
    <t>正义</t>
  </si>
  <si>
    <t>04_buff/buff_067_fangzhu</t>
  </si>
  <si>
    <t>放逐</t>
  </si>
  <si>
    <t>04_buff/buff_068_funeng_01</t>
  </si>
  <si>
    <t>负能</t>
  </si>
  <si>
    <t>04_buff/buff_068_funeng_02</t>
  </si>
  <si>
    <t>04_buff/buff_072_zhiliaotisheng</t>
  </si>
  <si>
    <t>医疗</t>
  </si>
  <si>
    <t>04_buff/buff_076_suibing</t>
  </si>
  <si>
    <t>碎冰</t>
  </si>
  <si>
    <t>04_buff/buff_073_zhiliao</t>
  </si>
  <si>
    <t>回复</t>
  </si>
  <si>
    <t>点燃上BUFF</t>
  </si>
  <si>
    <t>流血上BUFF</t>
  </si>
  <si>
    <t>04_buff/buff_004_gandian</t>
  </si>
  <si>
    <t>感电上BUFF</t>
  </si>
  <si>
    <t>04_buff/buff_001_zhuoshao</t>
  </si>
  <si>
    <t>灼烧上BUFF</t>
  </si>
  <si>
    <t>04_buff/BUFF_jia_feng</t>
  </si>
  <si>
    <t>Y - 易伤 -风</t>
  </si>
  <si>
    <t>04_buff/BUFF_jia_huo</t>
  </si>
  <si>
    <t>Y - 易伤 -火</t>
  </si>
  <si>
    <t>04_buff/BUFF_jia_lei</t>
  </si>
  <si>
    <t>Y - 易伤 -雷</t>
  </si>
  <si>
    <t>04_buff/BUFF_jia_bing</t>
  </si>
  <si>
    <t>Y - 易伤 -冰</t>
  </si>
  <si>
    <t>04_buff/BUFF_jian_feng</t>
  </si>
  <si>
    <t>Y - 风抗</t>
  </si>
  <si>
    <t>04_buff/BUFF_jian_huo</t>
  </si>
  <si>
    <t>Y - 火抗</t>
  </si>
  <si>
    <t>04_buff/BUFF_jian_lei</t>
  </si>
  <si>
    <t>Y - 雷抗</t>
  </si>
  <si>
    <t>04_buff/BUFF_jian_bing</t>
  </si>
  <si>
    <r>
      <rPr>
        <sz val="11"/>
        <color theme="1"/>
        <rFont val="等线"/>
        <charset val="134"/>
      </rPr>
      <t>Y</t>
    </r>
    <r>
      <rPr>
        <sz val="11"/>
        <color theme="1"/>
        <rFont val="等线"/>
        <charset val="134"/>
      </rPr>
      <t xml:space="preserve"> - 冰抗</t>
    </r>
  </si>
  <si>
    <t>04_buff/buff_087_rongyanhudun</t>
  </si>
  <si>
    <t>[特殊BUFF]</t>
  </si>
  <si>
    <t>岩浆护盾</t>
  </si>
  <si>
    <t>04_buff/buff_086_yanjiang</t>
  </si>
  <si>
    <t>岩浆果实</t>
  </si>
  <si>
    <t>04_buff/buff_084_chiquan</t>
  </si>
  <si>
    <t>三大将-赤犬</t>
  </si>
  <si>
    <t>04_buff/buff_083_huangyuan</t>
  </si>
  <si>
    <t>三大将-黄猿</t>
  </si>
  <si>
    <t>04_buff/buff_082_huangquan</t>
  </si>
  <si>
    <t>布鲁克-黄泉果实</t>
  </si>
  <si>
    <t>04_buff/buff_081_yinyuejia</t>
  </si>
  <si>
    <t>布鲁克音乐家</t>
  </si>
  <si>
    <t>04_buff/buff_080_zhimang</t>
  </si>
  <si>
    <t>致盲</t>
  </si>
  <si>
    <t>04_buff/buff_085_yanjiangzhuoshao</t>
  </si>
  <si>
    <t>岩浆灼烧</t>
  </si>
  <si>
    <t>04_buff/buff_085_yanjiangzhuoshao1</t>
  </si>
  <si>
    <t>04_buff/buff_085_yanjiangzhuoshao2</t>
  </si>
  <si>
    <t>04_buff/BUFF_talk_01</t>
  </si>
  <si>
    <t>[聊天BUFF]</t>
  </si>
  <si>
    <t>打我有瘾是吧</t>
  </si>
  <si>
    <t>04_buff/buff_088_jiaozha</t>
  </si>
  <si>
    <t xml:space="preserve">         循环   挂点Bip001 Head    向上偏移</t>
  </si>
  <si>
    <t>04_buff/buff_089_maomaoguoshi</t>
  </si>
  <si>
    <t xml:space="preserve">    循环   挂点Bip001 HeadNub</t>
  </si>
  <si>
    <t>04_buff/buff_090_zhihuiwushen</t>
  </si>
  <si>
    <t xml:space="preserve">    循环 </t>
  </si>
  <si>
    <t>04_buff/buff_091_shalubingqi1</t>
  </si>
  <si>
    <t xml:space="preserve">    循环    一层</t>
  </si>
  <si>
    <t>04_buff/buff_091_shalubingqi2</t>
  </si>
  <si>
    <t xml:space="preserve">    循环    二层</t>
  </si>
  <si>
    <t>04_buff/buff_091_shalubingqi3</t>
  </si>
  <si>
    <t xml:space="preserve">    循环    三层</t>
  </si>
  <si>
    <t>04_buff/buff_092_zhengyishouhu</t>
  </si>
  <si>
    <t xml:space="preserve">   循环   </t>
  </si>
  <si>
    <t>04_buff/buff_093_xiongzhishouhu</t>
  </si>
  <si>
    <t xml:space="preserve">  循环   </t>
  </si>
  <si>
    <t>04_buff/buff_094_juduwangou</t>
  </si>
  <si>
    <t xml:space="preserve">      循环   挂点Bip001 Head    向上偏移</t>
  </si>
  <si>
    <t>04_buff/buff_095_fangyubenghuai</t>
  </si>
  <si>
    <t xml:space="preserve">   循环   挂点Bip001 Head    向上偏移</t>
  </si>
  <si>
    <t>花花果实</t>
  </si>
  <si>
    <t>04_buff/buff_097_guanjiezhi</t>
  </si>
  <si>
    <t>关节技</t>
  </si>
  <si>
    <t>04_buff/buff_085_yanjiangzhuoshao4</t>
  </si>
  <si>
    <t>04_buff/buff_085_yanjiangzhuoshao5</t>
  </si>
  <si>
    <t>03_ani/sakazuki_juqing_buff_01</t>
  </si>
  <si>
    <t>BOSS赤犬遁地</t>
  </si>
  <si>
    <t>03_ani/sakazuki_juqing_buff_02</t>
  </si>
  <si>
    <t>BOSS赤犬出现</t>
  </si>
  <si>
    <t>blackbeard003_body/blackbeard003_buff_01</t>
  </si>
  <si>
    <t>黑胡子暗属性能力觉醒特效</t>
  </si>
  <si>
    <t>sakazuki/sakazuki_juqing_skin_01</t>
  </si>
  <si>
    <t>赤犬黑烟特效</t>
  </si>
  <si>
    <t>blackbeard003_body/blackbeard003_buff_juqing</t>
  </si>
  <si>
    <t>blackbeard003_body/blackbeard003_buff_juqing_skin</t>
  </si>
  <si>
    <t>karib/karib_niba_buff</t>
  </si>
  <si>
    <t>卡里布泥浆</t>
  </si>
  <si>
    <t>karib/karib_niba_buff_xiaoshi</t>
  </si>
  <si>
    <t>卡里布泥浆消失</t>
  </si>
  <si>
    <t>04_buff/buff_100_shuimu</t>
  </si>
  <si>
    <t>甚平水幕</t>
  </si>
  <si>
    <t>04_buff/buff_101_miaozhunbiaoji</t>
  </si>
  <si>
    <t>和平主义者瞄准buff</t>
  </si>
  <si>
    <t>04_buff/buff_102_langqunzhanshu</t>
  </si>
  <si>
    <t>和平主义者紧急呼叫</t>
  </si>
  <si>
    <t>04_buff/buff_103__zhunxing</t>
  </si>
  <si>
    <t>假草帽路飞集火标记</t>
  </si>
  <si>
    <t>dahanghai/701_dahanghai_chuanmao</t>
  </si>
  <si>
    <t>船锚特效</t>
  </si>
  <si>
    <t>dahanghai/701_dahanghai_chuansong</t>
  </si>
  <si>
    <t>船锚范围特效</t>
  </si>
  <si>
    <t>dahanghai/SCE_dahanghai_chenggong</t>
  </si>
  <si>
    <t>船修理效果</t>
  </si>
  <si>
    <t>04_buff/buff_104_guanghuan1</t>
  </si>
  <si>
    <t>小怪buff光环1</t>
  </si>
  <si>
    <t>04_buff/buff_104_guanghuan2</t>
  </si>
  <si>
    <t>小怪buff光环2</t>
  </si>
  <si>
    <t>04_buff/buff_105_konghuang</t>
  </si>
  <si>
    <t>小怪buff恐慌</t>
  </si>
  <si>
    <t>04_buff/buff_106_zhaohuo</t>
  </si>
  <si>
    <t>场地燃烧buff</t>
  </si>
  <si>
    <t>04_buff/BUFF_jingong</t>
  </si>
  <si>
    <t>三把剑环绕的进攻buff</t>
  </si>
  <si>
    <t>04_buff/BUFF_duqi</t>
  </si>
  <si>
    <t>地面的紫色毒气</t>
  </si>
  <si>
    <t>04_buff/BUFF_kong</t>
  </si>
  <si>
    <t>持续1秒的空buff特效</t>
  </si>
  <si>
    <t>04_buff/buff_107_jianshe</t>
  </si>
  <si>
    <t>装备用的溅射buff</t>
  </si>
  <si>
    <t>aramaki001/aramaki001_buff01</t>
  </si>
  <si>
    <t>绿牛buff特效01</t>
  </si>
  <si>
    <t>aramaki001/aramaki001_buff02</t>
  </si>
  <si>
    <t>绿牛buff特效02</t>
  </si>
  <si>
    <t>aramaki001/aramaki001_buff03</t>
  </si>
  <si>
    <t>绿牛buff特效03</t>
  </si>
  <si>
    <t>aramaki001/aramaki001_buff04</t>
  </si>
  <si>
    <t>绿牛buff特效04</t>
  </si>
  <si>
    <t>aramaki001/aramaki001_buff05</t>
  </si>
  <si>
    <t>绿牛buff特效05</t>
  </si>
  <si>
    <t>aramaki001/aramaki001_buff06</t>
  </si>
  <si>
    <t>绿牛buff特效06</t>
  </si>
  <si>
    <t>yamato003/yamato003_buff_forzen001</t>
  </si>
  <si>
    <t>大口真神大和buff01</t>
  </si>
  <si>
    <t>yamato003/yamato003_buff_forzen002</t>
  </si>
  <si>
    <t>大口真神大和buff02</t>
  </si>
  <si>
    <t>yamato003/yamato003_buff_ice01_1</t>
  </si>
  <si>
    <t>大口真神大和buff03</t>
  </si>
  <si>
    <t>yamato003/yamato003_buff_ice01_2</t>
  </si>
  <si>
    <t>大口真神大和buff04</t>
  </si>
  <si>
    <t>yamato003/yamato003_buff_ice01_3</t>
  </si>
  <si>
    <t>大口真神大和buff05</t>
  </si>
  <si>
    <t>yamato003/yamato003_buff_ice01_4</t>
  </si>
  <si>
    <t>大口真神大和buff06</t>
  </si>
  <si>
    <t>yamato003/yamato003_buff_ice01_5</t>
  </si>
  <si>
    <t>大口真神大和buff07</t>
  </si>
  <si>
    <t>yamato003/yamato003_buff_iceblock01</t>
  </si>
  <si>
    <t>大口真神大和buff08</t>
  </si>
  <si>
    <t>yamato003/yamato003_buff_iceboom01</t>
  </si>
  <si>
    <t>大口真神大和buff09</t>
  </si>
  <si>
    <t>yamato003/yamato003_buff_iceboom01_1</t>
  </si>
  <si>
    <t>大口真神大和buff10</t>
  </si>
  <si>
    <t>yamato003/yamato003_buff_iceboom02</t>
  </si>
  <si>
    <t>大口真神大和buff11</t>
  </si>
  <si>
    <t>yamato003/yamato003_buff_zhaojia_01</t>
  </si>
  <si>
    <t>大口真神大和招架BUFF</t>
  </si>
  <si>
    <t>yamato003/yamato003_buff_zhaojia_02</t>
  </si>
  <si>
    <t>yamato003/yamato003_buff_zhaojia_03</t>
  </si>
  <si>
    <t>yamato003/yamato003_buff_zhaojia_04</t>
  </si>
  <si>
    <t>yamato003/yamato003_buff_zhaojia_05</t>
  </si>
  <si>
    <t>yamato003/yamato003_buff_zhaojia_06</t>
  </si>
  <si>
    <t>yamato003/yamato003_buff_zhaojia_07</t>
  </si>
  <si>
    <t>yamato003/yamato003_buff_zhaojia_08</t>
  </si>
  <si>
    <t>jack003/jack003_buff01</t>
  </si>
  <si>
    <t>杰克觉醒buff特效01</t>
  </si>
  <si>
    <t>jack003/jack003_buff02</t>
  </si>
  <si>
    <t>杰克觉醒buff特效02</t>
  </si>
  <si>
    <t>kuzan003/kuzan003_body_buff05</t>
  </si>
  <si>
    <t>新世界库赞觉醒buff特效01</t>
  </si>
  <si>
    <t>kuzan003/kuzan003_body_buff06</t>
  </si>
  <si>
    <t>新世界库赞觉醒buff特效02</t>
  </si>
  <si>
    <t>egle001/egle001_buff01</t>
  </si>
  <si>
    <t>S-老鹰buff</t>
  </si>
  <si>
    <t>luffy001_body/luffy_buff</t>
  </si>
  <si>
    <t>路飞BUFF</t>
  </si>
  <si>
    <t>zoro001_body/zoro_buff_Bip001HeadNub</t>
  </si>
  <si>
    <t>鬼人模式</t>
  </si>
  <si>
    <t>zoro001_body/zoro_buff_01</t>
  </si>
  <si>
    <t>三刀流</t>
  </si>
  <si>
    <t>sanji001_body/shanzhibuff_1</t>
  </si>
  <si>
    <t>踢技达人</t>
  </si>
  <si>
    <t>sanji001_body/shanzhibuff_2</t>
  </si>
  <si>
    <t>usopp001_body/usopp_buff</t>
  </si>
  <si>
    <t>逃生大师</t>
  </si>
  <si>
    <t>tashigi/tashigi_buff_01</t>
  </si>
  <si>
    <t>剑术达人</t>
  </si>
  <si>
    <t>tashigi/tashigi_buff_02</t>
  </si>
  <si>
    <t>tashigi/tashigi_buff_Bip001Neck_02</t>
  </si>
  <si>
    <t>薄霞时雨</t>
  </si>
  <si>
    <t>tashigi/tashigi_buff_Bip001Neck_01</t>
  </si>
  <si>
    <t>buggy/buggy_buff_01</t>
  </si>
  <si>
    <t>巴基船长</t>
  </si>
  <si>
    <t>buggy/buggy_buff_02</t>
  </si>
  <si>
    <t>nami001_body/namei_buff</t>
  </si>
  <si>
    <t>小贼猫</t>
  </si>
  <si>
    <t>mihawk/mihawk_buff_Bip001Neck</t>
  </si>
  <si>
    <t>黑刀·夜</t>
  </si>
  <si>
    <t>mihawk/mihawk_buff_02</t>
  </si>
  <si>
    <t>crocodile/crocodile_buff</t>
  </si>
  <si>
    <t>沙尘气候</t>
  </si>
  <si>
    <t>kuzan/kuzan_attack07_buff</t>
  </si>
  <si>
    <t>青雉-冰结</t>
  </si>
  <si>
    <t>kuzan/kuzan_attack07_buff_sui</t>
  </si>
  <si>
    <t>青雉-冰结-下BUFF</t>
  </si>
  <si>
    <t>mr3/mr3_buff_sui</t>
  </si>
  <si>
    <t>mr3-蜡烛碎</t>
  </si>
  <si>
    <t>ace/ace_buff_xiongdiqingshen</t>
  </si>
  <si>
    <t>兄弟情深</t>
  </si>
  <si>
    <t>bentham/bentham_attack02_buff</t>
  </si>
  <si>
    <t>人妖之道BUFF</t>
  </si>
  <si>
    <t>kuma/kuma_BUFF_jiaxue</t>
  </si>
  <si>
    <t>大熊-瞬间移动-加血</t>
  </si>
  <si>
    <t>kuzan/kuzan_buff_sandajiang</t>
  </si>
  <si>
    <t>青雉-三大将</t>
  </si>
  <si>
    <t>kuzan/kuzan_buff_chuchang</t>
  </si>
  <si>
    <t>青雉-绝对零度</t>
  </si>
  <si>
    <t>garp/garp_buff_yingxiongdengchang_01</t>
  </si>
  <si>
    <t>卡普-英雄登场</t>
  </si>
  <si>
    <t>mr1/mr1_BUFF_zhiyeshashou</t>
  </si>
  <si>
    <t>Mr.1-职业杀手</t>
  </si>
  <si>
    <t>bentham/bentham_buff_mofangguoshi</t>
  </si>
  <si>
    <t>Mr.2-模仿果实</t>
  </si>
  <si>
    <t>bellamy/bellamy_BUFF_thgs</t>
  </si>
  <si>
    <t>贝拉米-弹簧果实</t>
  </si>
  <si>
    <t>bellamy/bellamy_BUFF_zjts</t>
  </si>
  <si>
    <t>贝拉米-终极弹射</t>
  </si>
  <si>
    <t>franky001_body/franky_BUFF_chilun_chenggong</t>
  </si>
  <si>
    <t>弗兰奇-大发明家-成功</t>
  </si>
  <si>
    <t>franky001_body/franky_BUFF_chilun_shibai</t>
  </si>
  <si>
    <t>弗兰奇-大发明家-失败</t>
  </si>
  <si>
    <t>kalifa/kalifa001_buff_soap</t>
  </si>
  <si>
    <t>佳妮法-泡泡果实</t>
  </si>
  <si>
    <t>kalifa/kalifa001_buff_soap02</t>
  </si>
  <si>
    <t>佳妮法-天然呆</t>
  </si>
  <si>
    <t>04_buff/buff_099_rentishiyan_b</t>
  </si>
  <si>
    <t>豪格巴克-  加速</t>
  </si>
  <si>
    <t>04_buff/buff_099_rentishiyan_r</t>
  </si>
  <si>
    <t>豪格巴克-   加攻</t>
  </si>
  <si>
    <t>04_buff/buff_099_rentishiyan_y</t>
  </si>
  <si>
    <t>豪格巴克-  加防</t>
  </si>
  <si>
    <t>moria/moria_BUFF_zhaohuan_chuxian</t>
  </si>
  <si>
    <t>莫利亚-召唤兽出现</t>
  </si>
  <si>
    <t>moria/moria_BUFF_zhaohuan_xiaoshi</t>
  </si>
  <si>
    <t>莫利亚-召唤兽消失</t>
  </si>
  <si>
    <t>moria/moria_BUFF_zhaohuan_Bip001LHand</t>
  </si>
  <si>
    <t>莫利亚-召唤动作</t>
  </si>
  <si>
    <t>moria/moria_BUFF_lianjie_Bip001LHand</t>
  </si>
  <si>
    <t>莫利亚-生命链接</t>
  </si>
  <si>
    <t>moria/moria_BUFF_guoshi</t>
  </si>
  <si>
    <t>莫利亚-影影果实</t>
  </si>
  <si>
    <t>moria/moria_BUFF_guoshi_chixu</t>
  </si>
  <si>
    <t>moria/moria_BUFF_guoshi_chixu1</t>
  </si>
  <si>
    <t>jinbe001_body/jinbe001_body_buff01</t>
  </si>
  <si>
    <t>甚平-鱼人柔术</t>
  </si>
  <si>
    <t>jinbe001_body/jinbe001_body_buff02</t>
  </si>
  <si>
    <t>甚平-唐草瓦正拳</t>
  </si>
  <si>
    <t>trafalgarlaw/trafalgarlaw_body_Buff</t>
  </si>
  <si>
    <t>屠宰场</t>
  </si>
  <si>
    <t>trafalgarlaw/trafalgarlaw_body_Buff_Start</t>
  </si>
  <si>
    <t>trafalgarlaw/trafalgarlaw_body_Buff_02</t>
  </si>
  <si>
    <t>trafalgarlaw/trafalgarlaw_body_Buff_03</t>
  </si>
  <si>
    <t>trafalgarlaw/trafalgarlaw_body_Buff_04</t>
  </si>
  <si>
    <t>hancock/hancock_body_Buff_01</t>
  </si>
  <si>
    <t>kidpirates/kidpirates_body_Buff1</t>
  </si>
  <si>
    <t>kidpirates/kidpirates_body_Buff2</t>
  </si>
  <si>
    <t>kidpirates/kidpirates_body_Buff3</t>
  </si>
  <si>
    <t>04_buff/buff_gognsheng</t>
  </si>
  <si>
    <t>rayleigh/rayleigh_body_attack06_loop</t>
  </si>
  <si>
    <t>雷利</t>
  </si>
  <si>
    <t>战桃丸激光</t>
  </si>
  <si>
    <t>sengoku/sengoku_BUFF_jianshang_gua</t>
  </si>
  <si>
    <t>战国</t>
  </si>
  <si>
    <t>sentoumaru_SSR/sentoumaru_BUFF_huopao</t>
  </si>
  <si>
    <t>战桃丸火炮</t>
  </si>
  <si>
    <t>sentoumaru_SSR/sentoumaru_BUFF_gedang</t>
  </si>
  <si>
    <t>战桃丸防御准备 预留</t>
  </si>
  <si>
    <t>magellan/magellan001_body_buff_fushi</t>
  </si>
  <si>
    <t>腐蚀</t>
  </si>
  <si>
    <t>magellan/magellan001_body_buff_judu1</t>
  </si>
  <si>
    <t>剧毒1</t>
  </si>
  <si>
    <t>magellan/magellan001_body_buff_judu3</t>
  </si>
  <si>
    <t>剧毒2</t>
  </si>
  <si>
    <t>Bip001 Spine1</t>
  </si>
  <si>
    <t>magellan/magellan001_body_buff_judu5</t>
  </si>
  <si>
    <t>剧毒3</t>
  </si>
  <si>
    <t>lvankov001/lvankov001_body_buff01</t>
  </si>
  <si>
    <t>lvankov001/lvankov001_body_HuanYing</t>
  </si>
  <si>
    <t>人妖幻影</t>
  </si>
  <si>
    <t>04_buff/buff_juese_hanqi</t>
  </si>
  <si>
    <t>[怪物]</t>
  </si>
  <si>
    <t>青雉寒气</t>
  </si>
  <si>
    <t>Jozu001/jozu_100_buff</t>
  </si>
  <si>
    <t>闪亮果实</t>
  </si>
  <si>
    <t>magellan/magellan_100_buff</t>
  </si>
  <si>
    <t>毒气扩散</t>
  </si>
  <si>
    <t>rayleigh/rayleigh_100_buff</t>
  </si>
  <si>
    <t>瞬杀</t>
  </si>
  <si>
    <t>garp/garp_100_buff</t>
  </si>
  <si>
    <t>持久作战</t>
  </si>
  <si>
    <t>mihawk/mihawk_100_buff</t>
  </si>
  <si>
    <t>无敌斩击</t>
  </si>
  <si>
    <t>crocodile/crocodile_100_buff</t>
  </si>
  <si>
    <t>沙漠之王</t>
  </si>
  <si>
    <t>ace/ace_100_buff</t>
  </si>
  <si>
    <t>火焰之盾</t>
  </si>
  <si>
    <t>02_UI/chuanwu/Water_Fukexichuan_901</t>
  </si>
  <si>
    <t>福克西号特效</t>
  </si>
  <si>
    <t>dahanghai/701_dahanghai_duopan1</t>
  </si>
  <si>
    <t>挂机场景船舵</t>
  </si>
  <si>
    <t>dahanghai/701_dahanghai_duopan2</t>
  </si>
  <si>
    <t>挂机场景光圈</t>
  </si>
  <si>
    <t>05_paobu/5_run_tudi</t>
  </si>
  <si>
    <t>跑图烟尘：土地类型</t>
  </si>
  <si>
    <t>贝基剧情用特效</t>
  </si>
  <si>
    <t>04_buff/buff_104_guanghuan3</t>
  </si>
  <si>
    <t>小怪buff光环3</t>
  </si>
  <si>
    <t>04_buff/buff_104_guanghuan4</t>
  </si>
  <si>
    <t>小怪buff光环4</t>
  </si>
  <si>
    <t>01_cutin/01_Cut-in</t>
  </si>
  <si>
    <t>图录系统统一特效</t>
  </si>
  <si>
    <t>04_buff/buff_zhenfa_jianrenfangyu</t>
  </si>
  <si>
    <t>阵法坚韧防御</t>
  </si>
  <si>
    <t>captain002_attack01</t>
  </si>
  <si>
    <t>海贼头目</t>
  </si>
  <si>
    <t>thugs001_body/thugs002_body_attack01</t>
  </si>
  <si>
    <t>艾比达船员2</t>
  </si>
  <si>
    <t>thugs001_body/thugs003_body_attack01</t>
  </si>
  <si>
    <t>艾比达船员3</t>
  </si>
  <si>
    <t>beret002/beret002_attack01</t>
  </si>
  <si>
    <t>贝雷帽远程</t>
  </si>
  <si>
    <t>bali001_body/bali001_body_hit</t>
  </si>
  <si>
    <t>libasi001_body/libasi001_body_attack01_hit</t>
  </si>
  <si>
    <t>libasi001_body/libasi001_body_attack01_pro</t>
  </si>
  <si>
    <r>
      <rPr>
        <sz val="11"/>
        <color theme="1"/>
        <rFont val="等线"/>
        <charset val="134"/>
      </rPr>
      <t>soldier002_body04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soldier002_body04_attack01</t>
    </r>
  </si>
  <si>
    <t>火炮海军B</t>
  </si>
  <si>
    <t>garp/garp_buff_yingxiongdengchang_02</t>
  </si>
  <si>
    <t>不用的</t>
  </si>
  <si>
    <t>wapa/wapa_attack02_pro</t>
  </si>
  <si>
    <t>fishknights001_body/fishknights001_Bip001_L_Finger1_q</t>
  </si>
  <si>
    <t>单枪</t>
  </si>
  <si>
    <t>fishknights001_body/fishknights001_Bip001_R_Finger1_q</t>
  </si>
  <si>
    <t>fishknights002_body/fishknights002_attack01</t>
  </si>
  <si>
    <t>锤子飞鱼2新</t>
  </si>
  <si>
    <t>fishknights002_body/fishknights002_body_attack01</t>
  </si>
  <si>
    <t>yu2</t>
  </si>
  <si>
    <t xml:space="preserve">kidpirates/kidpirates_body_attack02_xialuo </t>
  </si>
  <si>
    <t>usepirate006_body/baozha_01</t>
  </si>
  <si>
    <t>通用爆炸</t>
  </si>
  <si>
    <t>calendula/calendula001_body_attack04</t>
  </si>
  <si>
    <t>不存在的谜之物质</t>
  </si>
  <si>
    <t>kidpirates/kidpirates_body_Buff </t>
  </si>
  <si>
    <t>kaido005/</t>
  </si>
  <si>
    <t>kaido005_attack01</t>
  </si>
  <si>
    <t>kaido005_attack02</t>
  </si>
  <si>
    <t>kaido005_attack02_hit</t>
  </si>
  <si>
    <t>kaido005_attack02_weapon</t>
  </si>
  <si>
    <t>kaido005_attack03</t>
  </si>
  <si>
    <t>kaido005_attack03_hit01</t>
  </si>
  <si>
    <t>kaido005_attack03_hit02</t>
  </si>
  <si>
    <t>kaido005_attack03_hit03</t>
  </si>
  <si>
    <t>kaido005_attack03_weapon</t>
  </si>
  <si>
    <t>kaido005_attack04</t>
  </si>
  <si>
    <t>kaido005_mood06</t>
  </si>
  <si>
    <t>kaido005_stand</t>
  </si>
  <si>
    <t>kaido006_attack05</t>
  </si>
  <si>
    <t>kaido006_attack05_Bone01_langyabang</t>
  </si>
  <si>
    <t>kaido006_attack05_hit01</t>
  </si>
  <si>
    <t>kaido006_attack05_hit02</t>
  </si>
  <si>
    <t>kaido006_attack05_hit03</t>
  </si>
  <si>
    <t>kaido006_attack06</t>
  </si>
  <si>
    <t>kaido006_attack06_Bone01_langyabang</t>
  </si>
  <si>
    <t>kaido006_attack06_hit01</t>
  </si>
  <si>
    <t>kaido006_attack07</t>
  </si>
  <si>
    <t>kaido006_attack07_Bone01_langyabang</t>
  </si>
  <si>
    <t>kaido006_attack07_hit</t>
  </si>
  <si>
    <t>kaido006_attack08</t>
  </si>
  <si>
    <t>kaido006_attack08_Point001_huzi</t>
  </si>
  <si>
    <t>kaido006_attack09</t>
  </si>
  <si>
    <t>kaido006_attack09_Bone01_langyabang</t>
  </si>
  <si>
    <t>kaido006_attack09_hit1</t>
  </si>
  <si>
    <t>kaido006_attack09_hit2</t>
  </si>
  <si>
    <t>kaido006_attack11</t>
  </si>
  <si>
    <t>kaido006_attack14</t>
  </si>
  <si>
    <t>kaido006_attack14_Bone01_langyabang</t>
  </si>
  <si>
    <t>kaido006_attack14_hit01</t>
  </si>
  <si>
    <t>kaido006_attack14_hit02</t>
  </si>
  <si>
    <t>kaido006_buff_bianshen</t>
  </si>
  <si>
    <t>kaido006_buff_eye_Point001_toufa</t>
  </si>
  <si>
    <t>kaido006_buff_longlinhudun</t>
  </si>
  <si>
    <t>kaido006_buff_longpanxuan</t>
  </si>
  <si>
    <t>kaido006_mood06</t>
  </si>
  <si>
    <t>kaido006_stand</t>
  </si>
  <si>
    <t>kaido007_attack04_Bone026</t>
  </si>
  <si>
    <t>kaido007_attack10</t>
  </si>
  <si>
    <t>kaido007_attack12</t>
  </si>
  <si>
    <t>kaido007_attack12_point008</t>
  </si>
  <si>
    <t>kaido007_attack13</t>
  </si>
  <si>
    <t>kaido007_attack13_Bone097(mirrored)</t>
  </si>
  <si>
    <t>kaido007_attack13_Bone097</t>
  </si>
  <si>
    <t>UI_kaido005_long</t>
  </si>
  <si>
    <t>UI_kaido005_ren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</si>
</sst>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微软雅黑"/>
      <charset val="134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9"/>
      <color rgb="FF000000"/>
      <name val="Tahoma"/>
      <charset val="134"/>
    </font>
    <font>
      <sz val="11"/>
      <color rgb="FF111F2C"/>
      <name val="Segoe UI"/>
      <charset val="134"/>
    </font>
    <font>
      <sz val="6"/>
      <color rgb="FF000000"/>
      <name val="Tahoma"/>
      <charset val="134"/>
    </font>
    <font>
      <b/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rgb="FFFF0000"/>
      <name val="微软雅黑"/>
      <charset val="134"/>
    </font>
    <font>
      <sz val="7"/>
      <color rgb="FF111F2C"/>
      <name val="Segoe UI"/>
      <charset val="134"/>
    </font>
    <font>
      <sz val="7"/>
      <color rgb="FF111F2C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FFF9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397717215491195"/>
        <bgColor indexed="64"/>
      </patternFill>
    </fill>
    <fill>
      <patternFill patternType="solid">
        <fgColor theme="4" tint="0.39774773400067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780877101962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083F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2E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41" borderId="5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6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6" fillId="0" borderId="0">
      <alignment vertical="center"/>
    </xf>
    <xf numFmtId="0" fontId="27" fillId="42" borderId="8">
      <alignment vertical="center"/>
    </xf>
    <xf numFmtId="0" fontId="28" fillId="43" borderId="9">
      <alignment vertical="center"/>
    </xf>
    <xf numFmtId="0" fontId="29" fillId="43" borderId="8">
      <alignment vertical="center"/>
    </xf>
    <xf numFmtId="0" fontId="30" fillId="44" borderId="10">
      <alignment vertical="center"/>
    </xf>
    <xf numFmtId="0" fontId="31" fillId="0" borderId="11">
      <alignment vertical="center"/>
    </xf>
    <xf numFmtId="0" fontId="32" fillId="0" borderId="12">
      <alignment vertical="center"/>
    </xf>
    <xf numFmtId="0" fontId="33" fillId="45" borderId="0">
      <alignment vertical="center"/>
    </xf>
    <xf numFmtId="0" fontId="34" fillId="46" borderId="0">
      <alignment vertical="center"/>
    </xf>
    <xf numFmtId="0" fontId="35" fillId="47" borderId="0">
      <alignment vertical="center"/>
    </xf>
    <xf numFmtId="0" fontId="36" fillId="28" borderId="0">
      <alignment vertical="center"/>
    </xf>
    <xf numFmtId="0" fontId="0" fillId="4" borderId="0">
      <alignment vertical="center"/>
    </xf>
    <xf numFmtId="0" fontId="37" fillId="34" borderId="0">
      <alignment vertical="center"/>
    </xf>
    <xf numFmtId="0" fontId="36" fillId="48" borderId="0">
      <alignment vertical="center"/>
    </xf>
    <xf numFmtId="0" fontId="36" fillId="7" borderId="0">
      <alignment vertical="center"/>
    </xf>
    <xf numFmtId="0" fontId="37" fillId="49" borderId="0">
      <alignment vertical="center"/>
    </xf>
    <xf numFmtId="0" fontId="37" fillId="50" borderId="0">
      <alignment vertical="center"/>
    </xf>
    <xf numFmtId="0" fontId="36" fillId="51" borderId="0">
      <alignment vertical="center"/>
    </xf>
    <xf numFmtId="0" fontId="36" fillId="52" borderId="0">
      <alignment vertical="center"/>
    </xf>
    <xf numFmtId="0" fontId="37" fillId="53" borderId="0">
      <alignment vertical="center"/>
    </xf>
    <xf numFmtId="0" fontId="37" fillId="54" borderId="0">
      <alignment vertical="center"/>
    </xf>
    <xf numFmtId="0" fontId="36" fillId="55" borderId="0">
      <alignment vertical="center"/>
    </xf>
    <xf numFmtId="0" fontId="36" fillId="56" borderId="0">
      <alignment vertical="center"/>
    </xf>
    <xf numFmtId="0" fontId="37" fillId="57" borderId="0">
      <alignment vertical="center"/>
    </xf>
    <xf numFmtId="0" fontId="37" fillId="5" borderId="0">
      <alignment vertical="center"/>
    </xf>
    <xf numFmtId="0" fontId="36" fillId="58" borderId="0">
      <alignment vertical="center"/>
    </xf>
    <xf numFmtId="0" fontId="36" fillId="59" borderId="0">
      <alignment vertical="center"/>
    </xf>
    <xf numFmtId="0" fontId="37" fillId="60" borderId="0">
      <alignment vertical="center"/>
    </xf>
    <xf numFmtId="0" fontId="37" fillId="61" borderId="0">
      <alignment vertical="center"/>
    </xf>
    <xf numFmtId="0" fontId="36" fillId="62" borderId="0">
      <alignment vertical="center"/>
    </xf>
    <xf numFmtId="0" fontId="36" fillId="23" borderId="0">
      <alignment vertical="center"/>
    </xf>
    <xf numFmtId="0" fontId="37" fillId="63" borderId="0">
      <alignment vertical="center"/>
    </xf>
    <xf numFmtId="0" fontId="37" fillId="6" borderId="0">
      <alignment vertical="center"/>
    </xf>
    <xf numFmtId="0" fontId="36" fillId="64" borderId="0">
      <alignment vertical="center"/>
    </xf>
  </cellStyleXfs>
  <cellXfs count="292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vertical="center"/>
    </xf>
    <xf numFmtId="0" fontId="3" fillId="11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0" fontId="2" fillId="19" borderId="0" xfId="0" applyNumberFormat="1" applyFont="1" applyFill="1" applyBorder="1" applyAlignment="1" applyProtection="1">
      <alignment vertical="center"/>
    </xf>
    <xf numFmtId="0" fontId="2" fillId="9" borderId="0" xfId="0" applyNumberFormat="1" applyFont="1" applyFill="1" applyBorder="1" applyAlignment="1" applyProtection="1">
      <alignment vertical="center"/>
    </xf>
    <xf numFmtId="0" fontId="3" fillId="2" borderId="0" xfId="0" applyNumberFormat="1" applyFont="1" applyFill="1" applyBorder="1" applyAlignment="1" applyProtection="1">
      <alignment vertical="center"/>
    </xf>
    <xf numFmtId="0" fontId="2" fillId="23" borderId="0" xfId="0" applyNumberFormat="1" applyFont="1" applyFill="1" applyBorder="1" applyAlignment="1" applyProtection="1">
      <alignment vertical="center"/>
    </xf>
    <xf numFmtId="0" fontId="3" fillId="23" borderId="0" xfId="0" applyNumberFormat="1" applyFont="1" applyFill="1" applyBorder="1" applyAlignment="1" applyProtection="1">
      <alignment vertical="center"/>
    </xf>
    <xf numFmtId="0" fontId="2" fillId="24" borderId="0" xfId="0" applyNumberFormat="1" applyFont="1" applyFill="1" applyBorder="1" applyAlignment="1" applyProtection="1">
      <alignment vertical="center"/>
    </xf>
    <xf numFmtId="0" fontId="3" fillId="24" borderId="0" xfId="0" applyNumberFormat="1" applyFont="1" applyFill="1" applyBorder="1" applyAlignment="1" applyProtection="1">
      <alignment vertical="center"/>
    </xf>
    <xf numFmtId="0" fontId="2" fillId="20" borderId="0" xfId="0" applyNumberFormat="1" applyFont="1" applyFill="1" applyBorder="1" applyAlignment="1" applyProtection="1">
      <alignment vertical="center"/>
    </xf>
    <xf numFmtId="0" fontId="3" fillId="20" borderId="0" xfId="0" applyNumberFormat="1" applyFont="1" applyFill="1" applyBorder="1" applyAlignment="1" applyProtection="1">
      <alignment vertical="center"/>
    </xf>
    <xf numFmtId="0" fontId="2" fillId="25" borderId="0" xfId="0" applyNumberFormat="1" applyFont="1" applyFill="1" applyBorder="1" applyAlignment="1" applyProtection="1">
      <alignment vertical="center"/>
    </xf>
    <xf numFmtId="0" fontId="3" fillId="25" borderId="0" xfId="0" applyNumberFormat="1" applyFont="1" applyFill="1" applyBorder="1" applyAlignment="1" applyProtection="1">
      <alignment vertical="center"/>
    </xf>
    <xf numFmtId="0" fontId="2" fillId="26" borderId="0" xfId="0" applyNumberFormat="1" applyFont="1" applyFill="1" applyBorder="1" applyAlignment="1" applyProtection="1">
      <alignment vertical="center"/>
    </xf>
    <xf numFmtId="0" fontId="2" fillId="27" borderId="0" xfId="0" applyNumberFormat="1" applyFont="1" applyFill="1" applyBorder="1" applyAlignment="1" applyProtection="1">
      <alignment vertical="center"/>
    </xf>
    <xf numFmtId="0" fontId="2" fillId="28" borderId="0" xfId="0" applyNumberFormat="1" applyFont="1" applyFill="1" applyBorder="1" applyAlignment="1" applyProtection="1">
      <alignment vertical="center"/>
    </xf>
    <xf numFmtId="0" fontId="3" fillId="28" borderId="0" xfId="0" applyNumberFormat="1" applyFont="1" applyFill="1" applyBorder="1" applyAlignment="1" applyProtection="1">
      <alignment vertical="center"/>
    </xf>
    <xf numFmtId="0" fontId="2" fillId="10" borderId="0" xfId="0" applyNumberFormat="1" applyFont="1" applyFill="1" applyBorder="1" applyAlignment="1" applyProtection="1">
      <alignment vertical="center"/>
    </xf>
    <xf numFmtId="0" fontId="2" fillId="29" borderId="0" xfId="0" applyNumberFormat="1" applyFont="1" applyFill="1" applyBorder="1" applyAlignment="1" applyProtection="1">
      <alignment vertical="center"/>
    </xf>
    <xf numFmtId="0" fontId="2" fillId="30" borderId="0" xfId="0" applyNumberFormat="1" applyFont="1" applyFill="1" applyBorder="1" applyAlignment="1" applyProtection="1">
      <alignment vertical="center"/>
    </xf>
    <xf numFmtId="0" fontId="2" fillId="22" borderId="0" xfId="0" applyNumberFormat="1" applyFont="1" applyFill="1" applyBorder="1" applyAlignment="1" applyProtection="1">
      <alignment vertical="center"/>
    </xf>
    <xf numFmtId="0" fontId="2" fillId="17" borderId="0" xfId="0" applyNumberFormat="1" applyFont="1" applyFill="1" applyBorder="1" applyAlignment="1" applyProtection="1">
      <alignment vertical="center"/>
    </xf>
    <xf numFmtId="0" fontId="2" fillId="31" borderId="0" xfId="0" applyNumberFormat="1" applyFont="1" applyFill="1" applyBorder="1" applyAlignment="1" applyProtection="1">
      <alignment vertical="center"/>
    </xf>
    <xf numFmtId="0" fontId="2" fillId="14" borderId="0" xfId="0" applyNumberFormat="1" applyFont="1" applyFill="1" applyBorder="1" applyAlignment="1" applyProtection="1">
      <alignment vertical="center"/>
    </xf>
    <xf numFmtId="0" fontId="2" fillId="21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2" fillId="0" borderId="0" xfId="23" applyNumberFormat="1" applyFont="1" applyFill="1" applyBorder="1" applyAlignment="1" applyProtection="1">
      <alignment vertical="center"/>
    </xf>
    <xf numFmtId="0" fontId="0" fillId="0" borderId="0" xfId="26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1" fillId="11" borderId="1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vertical="center"/>
    </xf>
    <xf numFmtId="0" fontId="1" fillId="11" borderId="1" xfId="0" applyNumberFormat="1" applyFont="1" applyFill="1" applyBorder="1" applyAlignment="1" applyProtection="1">
      <alignment horizontal="left" vertical="center" wrapText="1"/>
    </xf>
    <xf numFmtId="0" fontId="1" fillId="11" borderId="1" xfId="0" applyNumberFormat="1" applyFont="1" applyFill="1" applyBorder="1" applyAlignment="1" applyProtection="1">
      <alignment vertical="center"/>
    </xf>
    <xf numFmtId="0" fontId="1" fillId="11" borderId="2" xfId="0" applyNumberFormat="1" applyFont="1" applyFill="1" applyBorder="1" applyAlignment="1" applyProtection="1">
      <alignment vertical="center" wrapText="1"/>
    </xf>
    <xf numFmtId="0" fontId="0" fillId="0" borderId="2" xfId="0" applyNumberFormat="1" applyFont="1" applyFill="1" applyBorder="1" applyAlignment="1" applyProtection="1">
      <alignment vertical="center"/>
    </xf>
    <xf numFmtId="0" fontId="0" fillId="0" borderId="3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32" borderId="0" xfId="0" applyNumberFormat="1" applyFont="1" applyFill="1" applyBorder="1" applyAlignment="1" applyProtection="1">
      <alignment vertical="center"/>
    </xf>
    <xf numFmtId="0" fontId="1" fillId="32" borderId="1" xfId="0" applyNumberFormat="1" applyFont="1" applyFill="1" applyBorder="1" applyAlignment="1" applyProtection="1">
      <alignment horizontal="left" vertical="center"/>
    </xf>
    <xf numFmtId="0" fontId="0" fillId="33" borderId="0" xfId="0" applyNumberFormat="1" applyFont="1" applyFill="1" applyBorder="1" applyAlignment="1" applyProtection="1">
      <alignment vertical="center"/>
    </xf>
    <xf numFmtId="0" fontId="0" fillId="32" borderId="0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4" fillId="11" borderId="1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>
      <alignment horizontal="right" vertical="center"/>
    </xf>
    <xf numFmtId="0" fontId="0" fillId="0" borderId="3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3" borderId="0" xfId="0" applyNumberFormat="1" applyFont="1" applyFill="1" applyBorder="1" applyAlignment="1" applyProtection="1">
      <alignment vertical="center"/>
    </xf>
    <xf numFmtId="0" fontId="6" fillId="2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4" fillId="34" borderId="0" xfId="0" applyNumberFormat="1" applyFont="1" applyFill="1" applyBorder="1" applyAlignment="1" applyProtection="1">
      <alignment vertical="center"/>
    </xf>
    <xf numFmtId="0" fontId="4" fillId="35" borderId="0" xfId="0" applyNumberFormat="1" applyFont="1" applyFill="1" applyBorder="1" applyAlignment="1" applyProtection="1">
      <alignment vertical="center"/>
    </xf>
    <xf numFmtId="0" fontId="1" fillId="35" borderId="0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 wrapText="1"/>
    </xf>
    <xf numFmtId="0" fontId="4" fillId="4" borderId="0" xfId="0" applyNumberFormat="1" applyFont="1" applyFill="1" applyBorder="1" applyAlignment="1" applyProtection="1">
      <alignment vertical="center"/>
    </xf>
    <xf numFmtId="0" fontId="1" fillId="4" borderId="0" xfId="0" applyNumberFormat="1" applyFont="1" applyFill="1" applyBorder="1" applyAlignment="1" applyProtection="1">
      <alignment vertical="center"/>
    </xf>
    <xf numFmtId="0" fontId="2" fillId="4" borderId="0" xfId="0" applyNumberFormat="1" applyFont="1" applyFill="1" applyBorder="1" applyAlignment="1" applyProtection="1">
      <alignment vertical="center"/>
    </xf>
    <xf numFmtId="0" fontId="4" fillId="5" borderId="0" xfId="0" applyNumberFormat="1" applyFont="1" applyFill="1" applyBorder="1" applyAlignment="1" applyProtection="1">
      <alignment vertical="center"/>
    </xf>
    <xf numFmtId="0" fontId="1" fillId="5" borderId="0" xfId="0" applyNumberFormat="1" applyFont="1" applyFill="1" applyBorder="1" applyAlignment="1" applyProtection="1">
      <alignment vertical="center"/>
    </xf>
    <xf numFmtId="0" fontId="2" fillId="5" borderId="0" xfId="0" applyNumberFormat="1" applyFont="1" applyFill="1" applyBorder="1" applyAlignment="1" applyProtection="1">
      <alignment vertical="center"/>
    </xf>
    <xf numFmtId="0" fontId="4" fillId="6" borderId="0" xfId="0" applyNumberFormat="1" applyFont="1" applyFill="1" applyBorder="1" applyAlignment="1" applyProtection="1">
      <alignment vertical="center"/>
    </xf>
    <xf numFmtId="0" fontId="1" fillId="6" borderId="0" xfId="0" applyNumberFormat="1" applyFont="1" applyFill="1" applyBorder="1" applyAlignment="1" applyProtection="1">
      <alignment vertical="center"/>
    </xf>
    <xf numFmtId="0" fontId="2" fillId="6" borderId="0" xfId="0" applyNumberFormat="1" applyFont="1" applyFill="1" applyBorder="1" applyAlignment="1" applyProtection="1">
      <alignment vertical="center"/>
    </xf>
    <xf numFmtId="0" fontId="4" fillId="7" borderId="0" xfId="0" applyNumberFormat="1" applyFont="1" applyFill="1" applyBorder="1" applyAlignment="1" applyProtection="1">
      <alignment vertical="center"/>
    </xf>
    <xf numFmtId="0" fontId="1" fillId="7" borderId="0" xfId="0" applyNumberFormat="1" applyFont="1" applyFill="1" applyBorder="1" applyAlignment="1" applyProtection="1">
      <alignment vertical="center"/>
    </xf>
    <xf numFmtId="0" fontId="2" fillId="7" borderId="0" xfId="0" applyNumberFormat="1" applyFont="1" applyFill="1" applyBorder="1" applyAlignment="1" applyProtection="1">
      <alignment vertical="center"/>
    </xf>
    <xf numFmtId="0" fontId="4" fillId="8" borderId="0" xfId="0" applyNumberFormat="1" applyFont="1" applyFill="1" applyBorder="1" applyAlignment="1" applyProtection="1">
      <alignment vertical="center"/>
    </xf>
    <xf numFmtId="0" fontId="1" fillId="8" borderId="0" xfId="0" applyNumberFormat="1" applyFont="1" applyFill="1" applyBorder="1" applyAlignment="1" applyProtection="1">
      <alignment vertical="center"/>
    </xf>
    <xf numFmtId="0" fontId="2" fillId="8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2" fillId="11" borderId="0" xfId="0" applyNumberFormat="1" applyFont="1" applyFill="1" applyBorder="1" applyAlignment="1" applyProtection="1">
      <alignment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vertical="center"/>
    </xf>
    <xf numFmtId="0" fontId="10" fillId="2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0" fillId="36" borderId="0" xfId="0" applyNumberFormat="1" applyFont="1" applyFill="1" applyBorder="1" applyAlignment="1" applyProtection="1">
      <alignment vertical="center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vertical="center"/>
    </xf>
    <xf numFmtId="0" fontId="12" fillId="0" borderId="0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vertical="center"/>
    </xf>
    <xf numFmtId="0" fontId="4" fillId="9" borderId="0" xfId="0" applyNumberFormat="1" applyFont="1" applyFill="1" applyBorder="1" applyAlignment="1" applyProtection="1">
      <alignment vertical="center"/>
    </xf>
    <xf numFmtId="0" fontId="11" fillId="9" borderId="0" xfId="0" applyNumberFormat="1" applyFont="1" applyFill="1" applyBorder="1" applyAlignment="1" applyProtection="1">
      <alignment vertical="center" wrapText="1"/>
    </xf>
    <xf numFmtId="0" fontId="11" fillId="9" borderId="0" xfId="0" applyNumberFormat="1" applyFont="1" applyFill="1" applyBorder="1" applyAlignment="1" applyProtection="1">
      <alignment vertical="center"/>
    </xf>
    <xf numFmtId="0" fontId="12" fillId="9" borderId="0" xfId="0" applyNumberFormat="1" applyFont="1" applyFill="1" applyBorder="1" applyAlignment="1" applyProtection="1">
      <alignment vertical="center"/>
    </xf>
    <xf numFmtId="0" fontId="13" fillId="9" borderId="0" xfId="0" applyNumberFormat="1" applyFont="1" applyFill="1" applyBorder="1" applyAlignment="1" applyProtection="1">
      <alignment vertical="center"/>
    </xf>
    <xf numFmtId="0" fontId="11" fillId="10" borderId="0" xfId="0" applyNumberFormat="1" applyFont="1" applyFill="1" applyBorder="1" applyAlignment="1" applyProtection="1">
      <alignment vertical="center" wrapText="1"/>
    </xf>
    <xf numFmtId="0" fontId="11" fillId="11" borderId="0" xfId="0" applyNumberFormat="1" applyFont="1" applyFill="1" applyBorder="1" applyAlignment="1" applyProtection="1">
      <alignment vertical="center" wrapText="1"/>
    </xf>
    <xf numFmtId="0" fontId="11" fillId="11" borderId="0" xfId="0" applyNumberFormat="1" applyFont="1" applyFill="1" applyBorder="1" applyAlignment="1" applyProtection="1">
      <alignment vertical="center"/>
    </xf>
    <xf numFmtId="0" fontId="12" fillId="11" borderId="0" xfId="0" applyNumberFormat="1" applyFont="1" applyFill="1" applyBorder="1" applyAlignment="1" applyProtection="1">
      <alignment vertical="center"/>
    </xf>
    <xf numFmtId="0" fontId="13" fillId="11" borderId="0" xfId="0" applyNumberFormat="1" applyFont="1" applyFill="1" applyBorder="1" applyAlignment="1" applyProtection="1">
      <alignment vertical="center"/>
    </xf>
    <xf numFmtId="0" fontId="1" fillId="11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horizontal="right" vertical="center" wrapText="1"/>
    </xf>
    <xf numFmtId="0" fontId="11" fillId="2" borderId="0" xfId="0" applyNumberFormat="1" applyFont="1" applyFill="1" applyBorder="1" applyAlignment="1" applyProtection="1">
      <alignment vertical="center"/>
    </xf>
    <xf numFmtId="0" fontId="12" fillId="2" borderId="0" xfId="0" applyNumberFormat="1" applyFont="1" applyFill="1" applyBorder="1" applyAlignment="1" applyProtection="1">
      <alignment vertical="center"/>
    </xf>
    <xf numFmtId="0" fontId="13" fillId="2" borderId="0" xfId="0" applyNumberFormat="1" applyFont="1" applyFill="1" applyBorder="1" applyAlignment="1" applyProtection="1">
      <alignment vertical="center"/>
    </xf>
    <xf numFmtId="0" fontId="14" fillId="11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horizontal="right" vertical="center"/>
    </xf>
    <xf numFmtId="0" fontId="0" fillId="11" borderId="0" xfId="0" applyNumberFormat="1" applyFont="1" applyFill="1" applyBorder="1" applyAlignment="1" applyProtection="1">
      <alignment horizontal="right" vertical="center"/>
    </xf>
    <xf numFmtId="0" fontId="2" fillId="12" borderId="0" xfId="0" applyNumberFormat="1" applyFont="1" applyFill="1" applyBorder="1" applyAlignment="1" applyProtection="1">
      <alignment vertical="center"/>
    </xf>
    <xf numFmtId="0" fontId="1" fillId="13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horizontal="right" vertical="center"/>
    </xf>
    <xf numFmtId="0" fontId="2" fillId="13" borderId="0" xfId="0" applyNumberFormat="1" applyFont="1" applyFill="1" applyBorder="1" applyAlignment="1" applyProtection="1">
      <alignment vertical="center"/>
    </xf>
    <xf numFmtId="0" fontId="15" fillId="11" borderId="0" xfId="0" applyNumberFormat="1" applyFont="1" applyFill="1" applyBorder="1" applyAlignment="1" applyProtection="1">
      <alignment vertical="center"/>
    </xf>
    <xf numFmtId="0" fontId="1" fillId="14" borderId="0" xfId="0" applyNumberFormat="1" applyFont="1" applyFill="1" applyBorder="1" applyAlignment="1" applyProtection="1">
      <alignment vertical="center"/>
    </xf>
    <xf numFmtId="0" fontId="1" fillId="15" borderId="0" xfId="0" applyNumberFormat="1" applyFont="1" applyFill="1" applyBorder="1" applyAlignment="1" applyProtection="1">
      <alignment vertical="center"/>
    </xf>
    <xf numFmtId="0" fontId="2" fillId="15" borderId="0" xfId="0" applyNumberFormat="1" applyFont="1" applyFill="1" applyBorder="1" applyAlignment="1" applyProtection="1">
      <alignment vertical="center"/>
    </xf>
    <xf numFmtId="0" fontId="1" fillId="16" borderId="0" xfId="0" applyNumberFormat="1" applyFont="1" applyFill="1" applyBorder="1" applyAlignment="1" applyProtection="1">
      <alignment vertical="center"/>
    </xf>
    <xf numFmtId="0" fontId="2" fillId="16" borderId="0" xfId="0" applyNumberFormat="1" applyFont="1" applyFill="1" applyBorder="1" applyAlignment="1" applyProtection="1">
      <alignment vertical="center"/>
    </xf>
    <xf numFmtId="0" fontId="1" fillId="17" borderId="0" xfId="0" applyNumberFormat="1" applyFont="1" applyFill="1" applyBorder="1" applyAlignment="1" applyProtection="1">
      <alignment vertical="center"/>
    </xf>
    <xf numFmtId="0" fontId="4" fillId="2" borderId="0" xfId="0" applyNumberFormat="1" applyFont="1" applyFill="1" applyBorder="1" applyAlignment="1" applyProtection="1">
      <alignment vertical="center"/>
    </xf>
    <xf numFmtId="0" fontId="16" fillId="2" borderId="0" xfId="0" applyNumberFormat="1" applyFont="1" applyFill="1" applyBorder="1" applyAlignment="1" applyProtection="1">
      <alignment vertical="center"/>
    </xf>
    <xf numFmtId="0" fontId="1" fillId="18" borderId="0" xfId="0" applyNumberFormat="1" applyFont="1" applyFill="1" applyBorder="1" applyAlignment="1" applyProtection="1">
      <alignment vertical="center"/>
    </xf>
    <xf numFmtId="0" fontId="0" fillId="18" borderId="0" xfId="0" applyFill="1" applyAlignment="1">
      <alignment vertical="center"/>
    </xf>
    <xf numFmtId="0" fontId="2" fillId="37" borderId="0" xfId="0" applyNumberFormat="1" applyFont="1" applyFill="1" applyBorder="1" applyAlignment="1" applyProtection="1">
      <alignment vertical="center"/>
    </xf>
    <xf numFmtId="0" fontId="2" fillId="18" borderId="0" xfId="0" applyNumberFormat="1" applyFont="1" applyFill="1" applyBorder="1" applyAlignment="1" applyProtection="1">
      <alignment vertical="center"/>
    </xf>
    <xf numFmtId="0" fontId="16" fillId="18" borderId="0" xfId="0" applyNumberFormat="1" applyFont="1" applyFill="1" applyBorder="1" applyAlignment="1" applyProtection="1">
      <alignment vertical="center"/>
    </xf>
    <xf numFmtId="0" fontId="16" fillId="0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Alignment="1" applyProtection="1">
      <alignment vertical="center"/>
    </xf>
    <xf numFmtId="0" fontId="17" fillId="12" borderId="0" xfId="0" applyNumberFormat="1" applyFont="1" applyFill="1" applyBorder="1" applyAlignment="1" applyProtection="1">
      <alignment vertical="center"/>
    </xf>
    <xf numFmtId="0" fontId="1" fillId="12" borderId="0" xfId="0" applyNumberFormat="1" applyFont="1" applyFill="1" applyAlignment="1" applyProtection="1">
      <alignment vertical="center"/>
    </xf>
    <xf numFmtId="0" fontId="16" fillId="12" borderId="0" xfId="0" applyNumberFormat="1" applyFont="1" applyFill="1" applyBorder="1" applyAlignment="1" applyProtection="1">
      <alignment vertical="center"/>
    </xf>
    <xf numFmtId="0" fontId="1" fillId="11" borderId="0" xfId="0" applyNumberFormat="1" applyFont="1" applyFill="1" applyAlignment="1" applyProtection="1">
      <alignment vertical="center"/>
    </xf>
    <xf numFmtId="0" fontId="16" fillId="11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Alignment="1" applyProtection="1">
      <alignment vertical="center"/>
    </xf>
    <xf numFmtId="0" fontId="0" fillId="19" borderId="0" xfId="0" applyFill="1" applyBorder="1" applyAlignment="1">
      <alignment vertical="center"/>
    </xf>
    <xf numFmtId="0" fontId="16" fillId="19" borderId="0" xfId="0" applyNumberFormat="1" applyFont="1" applyFill="1" applyBorder="1" applyAlignment="1" applyProtection="1">
      <alignment vertical="center"/>
    </xf>
    <xf numFmtId="0" fontId="1" fillId="19" borderId="0" xfId="0" applyNumberFormat="1" applyFont="1" applyFill="1" applyBorder="1" applyAlignment="1" applyProtection="1">
      <alignment vertical="center"/>
    </xf>
    <xf numFmtId="0" fontId="0" fillId="19" borderId="0" xfId="0" applyFill="1" applyAlignment="1">
      <alignment vertical="center"/>
    </xf>
    <xf numFmtId="0" fontId="1" fillId="20" borderId="0" xfId="0" applyNumberFormat="1" applyFont="1" applyFill="1" applyBorder="1" applyAlignment="1" applyProtection="1">
      <alignment vertical="center"/>
    </xf>
    <xf numFmtId="0" fontId="0" fillId="20" borderId="0" xfId="0" applyFill="1" applyAlignment="1">
      <alignment vertical="center"/>
    </xf>
    <xf numFmtId="0" fontId="16" fillId="20" borderId="0" xfId="0" applyNumberFormat="1" applyFont="1" applyFill="1" applyBorder="1" applyAlignment="1" applyProtection="1">
      <alignment vertical="center"/>
    </xf>
    <xf numFmtId="0" fontId="2" fillId="20" borderId="0" xfId="0" applyNumberFormat="1" applyFont="1" applyFill="1" applyAlignment="1" applyProtection="1">
      <alignment vertical="center"/>
    </xf>
    <xf numFmtId="0" fontId="1" fillId="21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0" fontId="2" fillId="21" borderId="0" xfId="0" applyNumberFormat="1" applyFont="1" applyFill="1" applyAlignment="1" applyProtection="1">
      <alignment vertical="center"/>
    </xf>
    <xf numFmtId="0" fontId="16" fillId="21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Alignment="1" applyProtection="1">
      <alignment vertical="center"/>
    </xf>
    <xf numFmtId="0" fontId="0" fillId="38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0" fontId="0" fillId="39" borderId="0" xfId="0" applyNumberFormat="1" applyFont="1" applyFill="1" applyBorder="1" applyAlignment="1" applyProtection="1">
      <alignment vertical="center"/>
    </xf>
    <xf numFmtId="0" fontId="1" fillId="22" borderId="0" xfId="0" applyNumberFormat="1" applyFont="1" applyFill="1" applyBorder="1" applyAlignment="1" applyProtection="1">
      <alignment vertical="center"/>
    </xf>
    <xf numFmtId="0" fontId="0" fillId="22" borderId="0" xfId="0" applyFill="1" applyAlignment="1">
      <alignment vertical="center"/>
    </xf>
    <xf numFmtId="0" fontId="2" fillId="22" borderId="0" xfId="0" applyNumberFormat="1" applyFont="1" applyFill="1" applyAlignment="1" applyProtection="1">
      <alignment vertical="center"/>
    </xf>
    <xf numFmtId="0" fontId="16" fillId="22" borderId="0" xfId="0" applyNumberFormat="1" applyFont="1" applyFill="1" applyBorder="1" applyAlignment="1" applyProtection="1">
      <alignment vertical="center"/>
    </xf>
    <xf numFmtId="0" fontId="1" fillId="22" borderId="0" xfId="0" applyNumberFormat="1" applyFont="1" applyFill="1" applyAlignment="1" applyProtection="1">
      <alignment vertical="center"/>
    </xf>
    <xf numFmtId="0" fontId="0" fillId="21" borderId="0" xfId="0" applyFill="1" applyAlignment="1">
      <alignment vertical="center"/>
    </xf>
    <xf numFmtId="0" fontId="1" fillId="12" borderId="0" xfId="0" applyNumberFormat="1" applyFont="1" applyFill="1" applyBorder="1" applyAlignment="1" applyProtection="1">
      <alignment vertical="center"/>
    </xf>
    <xf numFmtId="0" fontId="0" fillId="12" borderId="0" xfId="0" applyFill="1" applyAlignment="1">
      <alignment vertical="center"/>
    </xf>
    <xf numFmtId="0" fontId="2" fillId="12" borderId="0" xfId="0" applyNumberFormat="1" applyFont="1" applyFill="1" applyAlignment="1" applyProtection="1">
      <alignment vertical="center"/>
    </xf>
    <xf numFmtId="0" fontId="0" fillId="16" borderId="0" xfId="0" applyFill="1" applyAlignment="1">
      <alignment vertical="center"/>
    </xf>
    <xf numFmtId="0" fontId="2" fillId="16" borderId="0" xfId="0" applyNumberFormat="1" applyFont="1" applyFill="1" applyAlignment="1" applyProtection="1">
      <alignment vertical="center"/>
    </xf>
    <xf numFmtId="0" fontId="16" fillId="16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Alignment="1" applyProtection="1">
      <alignment vertical="center"/>
    </xf>
    <xf numFmtId="0" fontId="1" fillId="9" borderId="0" xfId="0" applyNumberFormat="1" applyFont="1" applyFill="1" applyBorder="1" applyAlignment="1" applyProtection="1">
      <alignment vertical="center"/>
    </xf>
    <xf numFmtId="0" fontId="0" fillId="40" borderId="0" xfId="0" applyNumberFormat="1" applyFont="1" applyFill="1" applyAlignment="1" applyProtection="1">
      <alignment vertical="center"/>
    </xf>
    <xf numFmtId="0" fontId="2" fillId="9" borderId="0" xfId="0" applyNumberFormat="1" applyFont="1" applyFill="1" applyAlignment="1" applyProtection="1">
      <alignment vertical="center"/>
    </xf>
    <xf numFmtId="0" fontId="0" fillId="17" borderId="0" xfId="0" applyNumberFormat="1" applyFont="1" applyFill="1" applyAlignment="1" applyProtection="1">
      <alignment vertical="center"/>
    </xf>
    <xf numFmtId="0" fontId="2" fillId="17" borderId="0" xfId="0" applyNumberFormat="1" applyFont="1" applyFill="1" applyAlignment="1" applyProtection="1">
      <alignment vertical="center"/>
    </xf>
    <xf numFmtId="0" fontId="3" fillId="17" borderId="0" xfId="0" applyNumberFormat="1" applyFont="1" applyFill="1" applyAlignment="1" applyProtection="1">
      <alignment vertical="center"/>
    </xf>
    <xf numFmtId="0" fontId="0" fillId="14" borderId="0" xfId="0" applyFill="1" applyAlignment="1">
      <alignment vertical="center"/>
    </xf>
    <xf numFmtId="0" fontId="2" fillId="14" borderId="0" xfId="0" applyNumberFormat="1" applyFont="1" applyFill="1" applyAlignment="1" applyProtection="1">
      <alignment vertical="center"/>
    </xf>
    <xf numFmtId="0" fontId="16" fillId="14" borderId="0" xfId="0" applyNumberFormat="1" applyFont="1" applyFill="1" applyAlignment="1" applyProtection="1">
      <alignment vertical="center"/>
    </xf>
    <xf numFmtId="0" fontId="16" fillId="16" borderId="0" xfId="0" applyNumberFormat="1" applyFont="1" applyFill="1" applyAlignment="1" applyProtection="1">
      <alignment vertical="center"/>
    </xf>
    <xf numFmtId="0" fontId="16" fillId="0" borderId="0" xfId="0" applyNumberFormat="1" applyFont="1" applyFill="1" applyAlignment="1" applyProtection="1">
      <alignment vertical="center"/>
    </xf>
    <xf numFmtId="0" fontId="0" fillId="15" borderId="0" xfId="0" applyFill="1" applyAlignment="1">
      <alignment vertical="center"/>
    </xf>
    <xf numFmtId="0" fontId="1" fillId="29" borderId="0" xfId="0" applyNumberFormat="1" applyFont="1" applyFill="1" applyBorder="1" applyAlignment="1" applyProtection="1">
      <alignment vertical="center"/>
    </xf>
    <xf numFmtId="0" fontId="0" fillId="29" borderId="0" xfId="0" applyFill="1" applyAlignment="1">
      <alignment vertical="center"/>
    </xf>
    <xf numFmtId="0" fontId="2" fillId="29" borderId="0" xfId="0" applyNumberFormat="1" applyFont="1" applyFill="1" applyAlignment="1" applyProtection="1">
      <alignment vertical="center"/>
    </xf>
    <xf numFmtId="0" fontId="2" fillId="18" borderId="0" xfId="0" applyNumberFormat="1" applyFont="1" applyFill="1" applyAlignment="1" applyProtection="1">
      <alignment vertical="center"/>
    </xf>
    <xf numFmtId="0" fontId="1" fillId="18" borderId="0" xfId="0" applyNumberFormat="1" applyFont="1" applyFill="1" applyAlignment="1" applyProtection="1">
      <alignment vertical="center"/>
    </xf>
    <xf numFmtId="0" fontId="0" fillId="29" borderId="0" xfId="0" applyNumberFormat="1" applyFont="1" applyFill="1" applyBorder="1" applyAlignment="1" applyProtection="1">
      <alignment vertical="center"/>
    </xf>
    <xf numFmtId="0" fontId="2" fillId="19" borderId="0" xfId="0" applyNumberFormat="1" applyFont="1" applyFill="1" applyAlignment="1" applyProtection="1">
      <alignment vertical="center"/>
    </xf>
    <xf numFmtId="0" fontId="4" fillId="19" borderId="0" xfId="0" applyNumberFormat="1" applyFont="1" applyFill="1" applyBorder="1" applyAlignment="1" applyProtection="1">
      <alignment vertical="center"/>
    </xf>
    <xf numFmtId="0" fontId="15" fillId="9" borderId="0" xfId="0" applyNumberFormat="1" applyFont="1" applyFill="1" applyBorder="1" applyAlignment="1" applyProtection="1">
      <alignment vertical="center"/>
    </xf>
    <xf numFmtId="0" fontId="3" fillId="9" borderId="0" xfId="0" applyNumberFormat="1" applyFont="1" applyFill="1" applyBorder="1" applyAlignment="1" applyProtection="1">
      <alignment vertical="center"/>
    </xf>
    <xf numFmtId="0" fontId="15" fillId="2" borderId="0" xfId="0" applyNumberFormat="1" applyFont="1" applyFill="1" applyBorder="1" applyAlignment="1" applyProtection="1">
      <alignment vertical="center"/>
    </xf>
    <xf numFmtId="0" fontId="1" fillId="23" borderId="0" xfId="0" applyNumberFormat="1" applyFont="1" applyFill="1" applyBorder="1" applyAlignment="1" applyProtection="1">
      <alignment vertical="center"/>
    </xf>
    <xf numFmtId="0" fontId="4" fillId="23" borderId="0" xfId="0" applyNumberFormat="1" applyFont="1" applyFill="1" applyBorder="1" applyAlignment="1" applyProtection="1">
      <alignment vertical="center"/>
    </xf>
    <xf numFmtId="0" fontId="15" fillId="23" borderId="0" xfId="0" applyNumberFormat="1" applyFont="1" applyFill="1" applyBorder="1" applyAlignment="1" applyProtection="1">
      <alignment vertical="center"/>
    </xf>
    <xf numFmtId="0" fontId="1" fillId="24" borderId="0" xfId="0" applyNumberFormat="1" applyFont="1" applyFill="1" applyBorder="1" applyAlignment="1" applyProtection="1">
      <alignment vertical="center"/>
    </xf>
    <xf numFmtId="0" fontId="4" fillId="24" borderId="0" xfId="0" applyNumberFormat="1" applyFont="1" applyFill="1" applyBorder="1" applyAlignment="1" applyProtection="1">
      <alignment vertical="center"/>
    </xf>
    <xf numFmtId="0" fontId="15" fillId="24" borderId="0" xfId="0" applyNumberFormat="1" applyFont="1" applyFill="1" applyBorder="1" applyAlignment="1" applyProtection="1">
      <alignment vertical="center"/>
    </xf>
    <xf numFmtId="0" fontId="2" fillId="25" borderId="4" xfId="0" applyNumberFormat="1" applyFont="1" applyFill="1" applyBorder="1" applyAlignment="1" applyProtection="1">
      <alignment vertical="center"/>
    </xf>
    <xf numFmtId="0" fontId="4" fillId="20" borderId="0" xfId="0" applyNumberFormat="1" applyFont="1" applyFill="1" applyBorder="1" applyAlignment="1" applyProtection="1">
      <alignment vertical="center"/>
    </xf>
    <xf numFmtId="0" fontId="15" fillId="20" borderId="0" xfId="0" applyNumberFormat="1" applyFont="1" applyFill="1" applyBorder="1" applyAlignment="1" applyProtection="1">
      <alignment vertical="center"/>
    </xf>
    <xf numFmtId="0" fontId="1" fillId="25" borderId="0" xfId="0" applyNumberFormat="1" applyFont="1" applyFill="1" applyBorder="1" applyAlignment="1" applyProtection="1">
      <alignment vertical="center"/>
    </xf>
    <xf numFmtId="0" fontId="4" fillId="25" borderId="0" xfId="0" applyNumberFormat="1" applyFont="1" applyFill="1" applyBorder="1" applyAlignment="1" applyProtection="1">
      <alignment vertical="center"/>
    </xf>
    <xf numFmtId="0" fontId="0" fillId="25" borderId="0" xfId="0" applyNumberFormat="1" applyFont="1" applyFill="1" applyBorder="1" applyAlignment="1" applyProtection="1">
      <alignment vertical="center"/>
    </xf>
    <xf numFmtId="0" fontId="15" fillId="25" borderId="0" xfId="0" applyNumberFormat="1" applyFont="1" applyFill="1" applyBorder="1" applyAlignment="1" applyProtection="1">
      <alignment vertical="center"/>
    </xf>
    <xf numFmtId="0" fontId="1" fillId="26" borderId="0" xfId="0" applyNumberFormat="1" applyFont="1" applyFill="1" applyBorder="1" applyAlignment="1" applyProtection="1">
      <alignment vertical="center"/>
    </xf>
    <xf numFmtId="0" fontId="4" fillId="26" borderId="0" xfId="0" applyNumberFormat="1" applyFont="1" applyFill="1" applyBorder="1" applyAlignment="1" applyProtection="1">
      <alignment vertical="center"/>
    </xf>
    <xf numFmtId="0" fontId="0" fillId="26" borderId="0" xfId="0" applyNumberFormat="1" applyFont="1" applyFill="1" applyBorder="1" applyAlignment="1" applyProtection="1">
      <alignment vertical="center"/>
    </xf>
    <xf numFmtId="0" fontId="1" fillId="27" borderId="0" xfId="0" applyNumberFormat="1" applyFont="1" applyFill="1" applyBorder="1" applyAlignment="1" applyProtection="1">
      <alignment vertical="center"/>
    </xf>
    <xf numFmtId="0" fontId="4" fillId="27" borderId="0" xfId="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Alignment="1" applyProtection="1">
      <alignment vertical="center"/>
    </xf>
    <xf numFmtId="0" fontId="4" fillId="28" borderId="0" xfId="0" applyNumberFormat="1" applyFont="1" applyFill="1" applyBorder="1" applyAlignment="1" applyProtection="1">
      <alignment vertical="center"/>
    </xf>
    <xf numFmtId="0" fontId="0" fillId="28" borderId="0" xfId="0" applyNumberFormat="1" applyFont="1" applyFill="1" applyBorder="1" applyAlignment="1" applyProtection="1">
      <alignment vertical="center"/>
    </xf>
    <xf numFmtId="0" fontId="15" fillId="26" borderId="0" xfId="0" applyNumberFormat="1" applyFont="1" applyFill="1" applyBorder="1" applyAlignment="1" applyProtection="1">
      <alignment vertical="center"/>
    </xf>
    <xf numFmtId="0" fontId="15" fillId="28" borderId="0" xfId="0" applyNumberFormat="1" applyFont="1" applyFill="1" applyBorder="1" applyAlignment="1" applyProtection="1">
      <alignment vertical="center"/>
    </xf>
    <xf numFmtId="0" fontId="5" fillId="2" borderId="0" xfId="0" applyNumberFormat="1" applyFont="1" applyFill="1" applyBorder="1" applyAlignment="1" applyProtection="1">
      <alignment vertical="center"/>
    </xf>
    <xf numFmtId="0" fontId="18" fillId="2" borderId="0" xfId="0" applyNumberFormat="1" applyFont="1" applyFill="1" applyBorder="1" applyAlignment="1" applyProtection="1">
      <alignment vertical="center"/>
    </xf>
    <xf numFmtId="0" fontId="18" fillId="0" borderId="0" xfId="0" applyNumberFormat="1" applyFont="1" applyFill="1" applyBorder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1" fillId="10" borderId="0" xfId="0" applyNumberFormat="1" applyFont="1" applyFill="1" applyBorder="1" applyAlignment="1" applyProtection="1">
      <alignment vertical="center"/>
    </xf>
    <xf numFmtId="0" fontId="4" fillId="10" borderId="0" xfId="0" applyNumberFormat="1" applyFont="1" applyFill="1" applyBorder="1" applyAlignment="1" applyProtection="1">
      <alignment vertical="center"/>
    </xf>
    <xf numFmtId="0" fontId="0" fillId="10" borderId="0" xfId="0" applyFill="1" applyAlignment="1" applyProtection="1">
      <alignment vertical="center"/>
    </xf>
    <xf numFmtId="0" fontId="18" fillId="10" borderId="0" xfId="0" applyNumberFormat="1" applyFont="1" applyFill="1" applyBorder="1" applyAlignment="1" applyProtection="1">
      <alignment vertical="center"/>
    </xf>
    <xf numFmtId="0" fontId="4" fillId="29" borderId="0" xfId="0" applyNumberFormat="1" applyFont="1" applyFill="1" applyBorder="1" applyAlignment="1" applyProtection="1">
      <alignment vertical="center"/>
    </xf>
    <xf numFmtId="0" fontId="0" fillId="29" borderId="0" xfId="0" applyFill="1" applyAlignment="1" applyProtection="1">
      <alignment vertical="center"/>
    </xf>
    <xf numFmtId="0" fontId="18" fillId="29" borderId="0" xfId="0" applyNumberFormat="1" applyFont="1" applyFill="1" applyBorder="1" applyAlignment="1" applyProtection="1">
      <alignment vertical="center"/>
    </xf>
    <xf numFmtId="0" fontId="1" fillId="30" borderId="0" xfId="0" applyNumberFormat="1" applyFont="1" applyFill="1" applyBorder="1" applyAlignment="1" applyProtection="1">
      <alignment vertical="center"/>
    </xf>
    <xf numFmtId="0" fontId="4" fillId="30" borderId="0" xfId="0" applyNumberFormat="1" applyFont="1" applyFill="1" applyBorder="1" applyAlignment="1" applyProtection="1">
      <alignment vertical="center"/>
    </xf>
    <xf numFmtId="0" fontId="0" fillId="30" borderId="0" xfId="0" applyFill="1" applyAlignment="1" applyProtection="1">
      <alignment vertical="center"/>
    </xf>
    <xf numFmtId="0" fontId="18" fillId="30" borderId="0" xfId="0" applyNumberFormat="1" applyFont="1" applyFill="1" applyBorder="1" applyAlignment="1" applyProtection="1">
      <alignment vertical="center"/>
    </xf>
    <xf numFmtId="0" fontId="0" fillId="19" borderId="0" xfId="0" applyFill="1" applyAlignment="1" applyProtection="1">
      <alignment vertical="center"/>
    </xf>
    <xf numFmtId="0" fontId="18" fillId="19" borderId="0" xfId="0" applyNumberFormat="1" applyFont="1" applyFill="1" applyBorder="1" applyAlignment="1" applyProtection="1">
      <alignment vertical="center"/>
    </xf>
    <xf numFmtId="0" fontId="4" fillId="22" borderId="0" xfId="0" applyNumberFormat="1" applyFont="1" applyFill="1" applyBorder="1" applyAlignment="1" applyProtection="1">
      <alignment vertical="center"/>
    </xf>
    <xf numFmtId="0" fontId="0" fillId="22" borderId="0" xfId="0" applyFill="1" applyAlignment="1" applyProtection="1">
      <alignment vertical="center"/>
    </xf>
    <xf numFmtId="0" fontId="18" fillId="22" borderId="0" xfId="0" applyNumberFormat="1" applyFont="1" applyFill="1" applyBorder="1" applyAlignment="1" applyProtection="1">
      <alignment vertical="center"/>
    </xf>
    <xf numFmtId="0" fontId="0" fillId="9" borderId="0" xfId="0" applyFill="1" applyAlignment="1" applyProtection="1">
      <alignment vertical="center"/>
    </xf>
    <xf numFmtId="0" fontId="18" fillId="9" borderId="0" xfId="0" applyNumberFormat="1" applyFont="1" applyFill="1" applyBorder="1" applyAlignment="1" applyProtection="1">
      <alignment vertical="center"/>
    </xf>
    <xf numFmtId="0" fontId="3" fillId="9" borderId="0" xfId="0" applyFont="1" applyFill="1" applyAlignment="1" applyProtection="1">
      <alignment vertical="center"/>
    </xf>
    <xf numFmtId="0" fontId="6" fillId="9" borderId="0" xfId="0" applyNumberFormat="1" applyFont="1" applyFill="1" applyBorder="1" applyAlignment="1" applyProtection="1">
      <alignment vertical="center"/>
    </xf>
    <xf numFmtId="0" fontId="15" fillId="17" borderId="0" xfId="0" applyNumberFormat="1" applyFont="1" applyFill="1" applyBorder="1" applyAlignment="1" applyProtection="1">
      <alignment vertical="center"/>
    </xf>
    <xf numFmtId="0" fontId="4" fillId="17" borderId="0" xfId="0" applyNumberFormat="1" applyFont="1" applyFill="1" applyBorder="1" applyAlignment="1" applyProtection="1">
      <alignment vertical="center"/>
    </xf>
    <xf numFmtId="0" fontId="0" fillId="17" borderId="0" xfId="0" applyFill="1" applyAlignment="1" applyProtection="1">
      <alignment vertical="center"/>
    </xf>
    <xf numFmtId="0" fontId="18" fillId="17" borderId="0" xfId="0" applyNumberFormat="1" applyFont="1" applyFill="1" applyBorder="1" applyAlignment="1" applyProtection="1">
      <alignment vertical="center"/>
    </xf>
    <xf numFmtId="0" fontId="1" fillId="31" borderId="0" xfId="0" applyNumberFormat="1" applyFont="1" applyFill="1" applyBorder="1" applyAlignment="1" applyProtection="1">
      <alignment vertical="center"/>
    </xf>
    <xf numFmtId="0" fontId="4" fillId="31" borderId="0" xfId="0" applyNumberFormat="1" applyFont="1" applyFill="1" applyBorder="1" applyAlignment="1" applyProtection="1">
      <alignment vertical="center"/>
    </xf>
    <xf numFmtId="0" fontId="0" fillId="31" borderId="0" xfId="0" applyFill="1" applyAlignment="1" applyProtection="1">
      <alignment vertical="center"/>
    </xf>
    <xf numFmtId="0" fontId="18" fillId="31" borderId="0" xfId="0" applyNumberFormat="1" applyFont="1" applyFill="1" applyBorder="1" applyAlignment="1" applyProtection="1">
      <alignment vertical="center"/>
    </xf>
    <xf numFmtId="0" fontId="3" fillId="31" borderId="0" xfId="0" applyFont="1" applyFill="1" applyAlignment="1" applyProtection="1">
      <alignment vertical="center"/>
    </xf>
    <xf numFmtId="0" fontId="3" fillId="31" borderId="0" xfId="0" applyNumberFormat="1" applyFont="1" applyFill="1" applyBorder="1" applyAlignment="1" applyProtection="1">
      <alignment vertical="center"/>
    </xf>
    <xf numFmtId="0" fontId="0" fillId="11" borderId="0" xfId="0" applyFill="1" applyAlignment="1" applyProtection="1">
      <alignment vertical="center"/>
    </xf>
    <xf numFmtId="0" fontId="4" fillId="14" borderId="0" xfId="0" applyNumberFormat="1" applyFont="1" applyFill="1" applyBorder="1" applyAlignment="1" applyProtection="1">
      <alignment vertical="center"/>
    </xf>
    <xf numFmtId="0" fontId="0" fillId="14" borderId="0" xfId="0" applyFill="1" applyAlignment="1" applyProtection="1">
      <alignment vertical="center"/>
    </xf>
    <xf numFmtId="0" fontId="4" fillId="21" borderId="0" xfId="0" applyNumberFormat="1" applyFont="1" applyFill="1" applyBorder="1" applyAlignment="1" applyProtection="1">
      <alignment vertical="center"/>
    </xf>
    <xf numFmtId="0" fontId="0" fillId="21" borderId="0" xfId="0" applyFill="1" applyAlignment="1" applyProtection="1">
      <alignment vertical="center"/>
    </xf>
    <xf numFmtId="0" fontId="16" fillId="17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16" fillId="14" borderId="0" xfId="0" applyNumberFormat="1" applyFont="1" applyFill="1" applyBorder="1" applyAlignment="1" applyProtection="1">
      <alignment vertical="center"/>
    </xf>
    <xf numFmtId="0" fontId="0" fillId="16" borderId="0" xfId="0" applyFill="1" applyAlignment="1" applyProtection="1">
      <alignment vertical="center"/>
    </xf>
    <xf numFmtId="0" fontId="1" fillId="9" borderId="1" xfId="0" applyNumberFormat="1" applyFont="1" applyFill="1" applyBorder="1" applyAlignment="1" applyProtection="1">
      <alignment vertical="center"/>
    </xf>
    <xf numFmtId="0" fontId="0" fillId="9" borderId="1" xfId="0" applyFill="1" applyBorder="1" applyAlignment="1" applyProtection="1">
      <alignment vertical="center"/>
    </xf>
    <xf numFmtId="0" fontId="2" fillId="9" borderId="1" xfId="0" applyNumberFormat="1" applyFont="1" applyFill="1" applyBorder="1" applyAlignment="1" applyProtection="1">
      <alignment vertical="center"/>
    </xf>
    <xf numFmtId="0" fontId="16" fillId="9" borderId="0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2E9CA"/>
      <color rgb="00FF0000"/>
      <color rgb="0033D8E3"/>
      <color rgb="00FFBD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293"/>
  <sheetViews>
    <sheetView tabSelected="1" zoomScale="98" zoomScaleNormal="98" workbookViewId="0">
      <pane ySplit="6" topLeftCell="A5011" activePane="bottomLeft" state="frozen"/>
      <selection/>
      <selection pane="bottomLeft" activeCell="D5019" sqref="D5019"/>
    </sheetView>
  </sheetViews>
  <sheetFormatPr defaultColWidth="9" defaultRowHeight="16.5"/>
  <cols>
    <col min="1" max="1" width="8.75238095238095" style="56" customWidth="1"/>
    <col min="2" max="2" width="58.6666666666667" style="56" customWidth="1"/>
    <col min="3" max="3" width="17.2095238095238" style="2" customWidth="1"/>
    <col min="4" max="4" width="16.9619047619048" style="2" customWidth="1"/>
    <col min="5" max="5" width="9" style="2" customWidth="1"/>
    <col min="6" max="6" width="37.5047619047619" style="2" customWidth="1"/>
    <col min="7" max="7" width="12.6666666666667" style="2" customWidth="1"/>
    <col min="8" max="8" width="9" style="2" customWidth="1"/>
  </cols>
  <sheetData>
    <row r="1" spans="1:4">
      <c r="A1" s="56" t="s">
        <v>0</v>
      </c>
      <c r="B1" s="56">
        <v>1</v>
      </c>
      <c r="C1" s="2">
        <v>9999</v>
      </c>
      <c r="D1" s="2">
        <v>4</v>
      </c>
    </row>
    <row r="2" spans="1:8">
      <c r="A2" s="56" t="s">
        <v>1</v>
      </c>
      <c r="B2" s="56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4">
      <c r="A3" s="56" t="s">
        <v>9</v>
      </c>
      <c r="B3" s="56" t="s">
        <v>10</v>
      </c>
      <c r="C3" s="2" t="s">
        <v>11</v>
      </c>
      <c r="D3" s="2" t="s">
        <v>12</v>
      </c>
    </row>
    <row r="4" spans="1:4">
      <c r="A4" s="56" t="s">
        <v>13</v>
      </c>
      <c r="B4" s="56" t="s">
        <v>14</v>
      </c>
      <c r="C4" s="2" t="s">
        <v>15</v>
      </c>
      <c r="D4" s="2" t="s">
        <v>13</v>
      </c>
    </row>
    <row r="5" spans="1:4">
      <c r="A5" s="56" t="s">
        <v>16</v>
      </c>
      <c r="B5" s="56" t="s">
        <v>17</v>
      </c>
      <c r="C5" s="2" t="s">
        <v>17</v>
      </c>
      <c r="D5" s="2" t="s">
        <v>17</v>
      </c>
    </row>
    <row r="6" spans="1:2">
      <c r="A6" s="56" t="s">
        <v>9</v>
      </c>
      <c r="B6" s="56" t="s">
        <v>18</v>
      </c>
    </row>
    <row r="7" spans="1:4">
      <c r="A7" s="56">
        <v>1</v>
      </c>
      <c r="B7" s="56" t="s">
        <v>19</v>
      </c>
      <c r="C7" s="2">
        <v>2</v>
      </c>
      <c r="D7" s="2">
        <v>0</v>
      </c>
    </row>
    <row r="8" spans="1:4">
      <c r="A8" s="56">
        <v>2</v>
      </c>
      <c r="B8" s="56" t="s">
        <v>20</v>
      </c>
      <c r="C8" s="2">
        <v>3</v>
      </c>
      <c r="D8" s="2">
        <v>0</v>
      </c>
    </row>
    <row r="9" spans="1:4">
      <c r="A9" s="56">
        <v>3</v>
      </c>
      <c r="B9" s="56" t="s">
        <v>21</v>
      </c>
      <c r="C9" s="2">
        <v>4.4</v>
      </c>
      <c r="D9" s="2">
        <v>0</v>
      </c>
    </row>
    <row r="10" spans="1:4">
      <c r="A10" s="56">
        <v>4</v>
      </c>
      <c r="B10" s="56" t="s">
        <v>22</v>
      </c>
      <c r="C10" s="2">
        <v>8</v>
      </c>
      <c r="D10" s="2">
        <v>0</v>
      </c>
    </row>
    <row r="11" spans="1:4">
      <c r="A11" s="56">
        <v>5</v>
      </c>
      <c r="B11" s="56" t="s">
        <v>23</v>
      </c>
      <c r="C11" s="2">
        <v>11</v>
      </c>
      <c r="D11" s="2">
        <v>0</v>
      </c>
    </row>
    <row r="12" spans="1:4">
      <c r="A12" s="56">
        <v>6</v>
      </c>
      <c r="B12" s="56" t="s">
        <v>24</v>
      </c>
      <c r="C12" s="2">
        <v>3</v>
      </c>
      <c r="D12" s="2">
        <v>0</v>
      </c>
    </row>
    <row r="13" spans="1:4">
      <c r="A13" s="56">
        <v>7</v>
      </c>
      <c r="B13" s="56" t="s">
        <v>25</v>
      </c>
      <c r="C13" s="2">
        <v>4.5</v>
      </c>
      <c r="D13" s="2">
        <v>0</v>
      </c>
    </row>
    <row r="14" s="2" customFormat="1" spans="1:4">
      <c r="A14" s="56">
        <v>8</v>
      </c>
      <c r="B14" s="56" t="s">
        <v>26</v>
      </c>
      <c r="C14" s="2">
        <v>2</v>
      </c>
      <c r="D14" s="2">
        <v>0</v>
      </c>
    </row>
    <row r="15" spans="1:4">
      <c r="A15" s="56">
        <v>9</v>
      </c>
      <c r="B15" s="56" t="s">
        <v>27</v>
      </c>
      <c r="C15" s="2">
        <v>3.3</v>
      </c>
      <c r="D15" s="2">
        <v>0</v>
      </c>
    </row>
    <row r="16" spans="1:4">
      <c r="A16" s="56">
        <v>10</v>
      </c>
      <c r="B16" s="56" t="s">
        <v>28</v>
      </c>
      <c r="C16" s="2">
        <v>8</v>
      </c>
      <c r="D16" s="2">
        <v>0</v>
      </c>
    </row>
    <row r="17" spans="1:4">
      <c r="A17" s="56">
        <v>11</v>
      </c>
      <c r="B17" s="56" t="s">
        <v>29</v>
      </c>
      <c r="C17" s="2">
        <v>1.5</v>
      </c>
      <c r="D17" s="2">
        <v>0</v>
      </c>
    </row>
    <row r="18" spans="1:4">
      <c r="A18" s="56">
        <v>12</v>
      </c>
      <c r="B18" s="56" t="s">
        <v>30</v>
      </c>
      <c r="C18" s="2">
        <v>3.8</v>
      </c>
      <c r="D18" s="2">
        <v>0</v>
      </c>
    </row>
    <row r="19" spans="1:4">
      <c r="A19" s="56">
        <v>13</v>
      </c>
      <c r="B19" s="56" t="s">
        <v>31</v>
      </c>
      <c r="C19" s="2">
        <v>6.4</v>
      </c>
      <c r="D19" s="2">
        <v>0</v>
      </c>
    </row>
    <row r="20" spans="1:4">
      <c r="A20" s="56">
        <v>14</v>
      </c>
      <c r="B20" s="56" t="s">
        <v>32</v>
      </c>
      <c r="C20" s="2">
        <v>3.2</v>
      </c>
      <c r="D20" s="2">
        <v>0</v>
      </c>
    </row>
    <row r="21" spans="1:4">
      <c r="A21" s="56">
        <v>15</v>
      </c>
      <c r="B21" s="56" t="s">
        <v>33</v>
      </c>
      <c r="C21" s="2">
        <v>8.6</v>
      </c>
      <c r="D21" s="2">
        <v>0</v>
      </c>
    </row>
    <row r="22" spans="1:4">
      <c r="A22" s="56">
        <v>16</v>
      </c>
      <c r="B22" s="56" t="s">
        <v>34</v>
      </c>
      <c r="C22" s="2">
        <v>1</v>
      </c>
      <c r="D22" s="2">
        <v>0</v>
      </c>
    </row>
    <row r="23" spans="1:5">
      <c r="A23" s="56">
        <v>17</v>
      </c>
      <c r="B23" s="56" t="s">
        <v>35</v>
      </c>
      <c r="C23" s="2">
        <v>2</v>
      </c>
      <c r="D23" s="2">
        <v>0</v>
      </c>
      <c r="E23" s="2" t="s">
        <v>36</v>
      </c>
    </row>
    <row r="24" spans="1:5">
      <c r="A24" s="56">
        <v>18</v>
      </c>
      <c r="B24" s="56" t="s">
        <v>37</v>
      </c>
      <c r="C24" s="2">
        <v>1</v>
      </c>
      <c r="D24" s="2">
        <v>0</v>
      </c>
      <c r="E24" s="2" t="s">
        <v>38</v>
      </c>
    </row>
    <row r="25" spans="1:5">
      <c r="A25" s="56">
        <v>19</v>
      </c>
      <c r="B25" s="56" t="s">
        <v>39</v>
      </c>
      <c r="C25" s="2">
        <v>2</v>
      </c>
      <c r="D25" s="2">
        <v>0</v>
      </c>
      <c r="E25" s="2" t="s">
        <v>40</v>
      </c>
    </row>
    <row r="26" spans="1:4">
      <c r="A26" s="56">
        <v>20</v>
      </c>
      <c r="B26" s="56" t="s">
        <v>41</v>
      </c>
      <c r="C26" s="2">
        <v>1</v>
      </c>
      <c r="D26" s="2">
        <v>0</v>
      </c>
    </row>
    <row r="27" spans="1:5">
      <c r="A27" s="56">
        <v>21</v>
      </c>
      <c r="B27" s="56" t="s">
        <v>42</v>
      </c>
      <c r="C27" s="2">
        <v>4</v>
      </c>
      <c r="D27" s="2">
        <v>0</v>
      </c>
      <c r="E27" s="2" t="s">
        <v>43</v>
      </c>
    </row>
    <row r="28" spans="1:5">
      <c r="A28" s="56">
        <v>22</v>
      </c>
      <c r="B28" s="56" t="s">
        <v>44</v>
      </c>
      <c r="C28" s="2">
        <v>4</v>
      </c>
      <c r="D28" s="2">
        <v>0</v>
      </c>
      <c r="E28" s="2" t="s">
        <v>43</v>
      </c>
    </row>
    <row r="29" spans="1:4">
      <c r="A29" s="56">
        <v>23</v>
      </c>
      <c r="B29" s="56" t="s">
        <v>45</v>
      </c>
      <c r="C29" s="2">
        <v>7.2</v>
      </c>
      <c r="D29" s="2">
        <v>1</v>
      </c>
    </row>
    <row r="30" spans="1:4">
      <c r="A30" s="56">
        <v>24</v>
      </c>
      <c r="B30" s="56" t="s">
        <v>46</v>
      </c>
      <c r="C30" s="2">
        <v>2.5</v>
      </c>
      <c r="D30" s="2">
        <v>0</v>
      </c>
    </row>
    <row r="31" spans="1:4">
      <c r="A31" s="56">
        <v>25</v>
      </c>
      <c r="B31" s="56" t="s">
        <v>47</v>
      </c>
      <c r="C31" s="2">
        <v>3.5</v>
      </c>
      <c r="D31" s="2">
        <v>0</v>
      </c>
    </row>
    <row r="32" spans="1:4">
      <c r="A32" s="56">
        <v>26</v>
      </c>
      <c r="B32" s="56" t="s">
        <v>48</v>
      </c>
      <c r="C32" s="2">
        <v>9.3</v>
      </c>
      <c r="D32" s="2">
        <v>0</v>
      </c>
    </row>
    <row r="33" spans="1:4">
      <c r="A33" s="56">
        <v>27</v>
      </c>
      <c r="B33" s="56" t="s">
        <v>49</v>
      </c>
      <c r="C33" s="2">
        <v>3</v>
      </c>
      <c r="D33" s="2">
        <v>0</v>
      </c>
    </row>
    <row r="34" s="2" customFormat="1" spans="1:4">
      <c r="A34" s="56">
        <v>28</v>
      </c>
      <c r="B34" s="56" t="s">
        <v>50</v>
      </c>
      <c r="C34" s="2">
        <v>2.3</v>
      </c>
      <c r="D34" s="2">
        <v>0</v>
      </c>
    </row>
    <row r="35" spans="1:4">
      <c r="A35" s="56">
        <v>29</v>
      </c>
      <c r="B35" s="56" t="s">
        <v>51</v>
      </c>
      <c r="C35" s="2">
        <v>6.8</v>
      </c>
      <c r="D35" s="2">
        <v>0</v>
      </c>
    </row>
    <row r="36" spans="1:4">
      <c r="A36" s="56">
        <v>30</v>
      </c>
      <c r="B36" s="56" t="s">
        <v>52</v>
      </c>
      <c r="C36" s="2">
        <v>3.7</v>
      </c>
      <c r="D36" s="2">
        <v>0</v>
      </c>
    </row>
    <row r="37" spans="1:4">
      <c r="A37" s="56">
        <v>31</v>
      </c>
      <c r="B37" s="56" t="s">
        <v>53</v>
      </c>
      <c r="C37" s="2">
        <v>3</v>
      </c>
      <c r="D37" s="2">
        <v>0</v>
      </c>
    </row>
    <row r="38" spans="1:4">
      <c r="A38" s="56">
        <v>32</v>
      </c>
      <c r="B38" s="56" t="s">
        <v>54</v>
      </c>
      <c r="C38" s="2">
        <v>4.5</v>
      </c>
      <c r="D38" s="2">
        <v>0</v>
      </c>
    </row>
    <row r="39" spans="1:4">
      <c r="A39" s="56">
        <v>33</v>
      </c>
      <c r="B39" s="56" t="s">
        <v>55</v>
      </c>
      <c r="C39" s="2">
        <v>3</v>
      </c>
      <c r="D39" s="2">
        <v>0</v>
      </c>
    </row>
    <row r="40" spans="1:4">
      <c r="A40" s="56">
        <v>34</v>
      </c>
      <c r="B40" s="56" t="s">
        <v>56</v>
      </c>
      <c r="C40" s="2">
        <v>6</v>
      </c>
      <c r="D40" s="2">
        <v>0</v>
      </c>
    </row>
    <row r="41" spans="1:4">
      <c r="A41" s="56">
        <v>35</v>
      </c>
      <c r="B41" s="56" t="s">
        <v>57</v>
      </c>
      <c r="C41" s="2">
        <v>7.6</v>
      </c>
      <c r="D41" s="2">
        <v>0</v>
      </c>
    </row>
    <row r="42" spans="1:4">
      <c r="A42" s="56">
        <v>36</v>
      </c>
      <c r="B42" s="56" t="s">
        <v>58</v>
      </c>
      <c r="C42" s="2">
        <v>2.3</v>
      </c>
      <c r="D42" s="2">
        <v>0</v>
      </c>
    </row>
    <row r="43" spans="1:4">
      <c r="A43" s="56">
        <v>37</v>
      </c>
      <c r="B43" s="56" t="s">
        <v>59</v>
      </c>
      <c r="C43" s="57">
        <v>5.16666666666667</v>
      </c>
      <c r="D43" s="2">
        <v>0</v>
      </c>
    </row>
    <row r="44" spans="1:4">
      <c r="A44" s="56">
        <v>38</v>
      </c>
      <c r="B44" s="56" t="s">
        <v>60</v>
      </c>
      <c r="C44" s="57">
        <v>8</v>
      </c>
      <c r="D44" s="2">
        <v>1</v>
      </c>
    </row>
    <row r="45" spans="1:4">
      <c r="A45" s="56">
        <v>39</v>
      </c>
      <c r="B45" s="56" t="s">
        <v>61</v>
      </c>
      <c r="C45" s="2">
        <v>1</v>
      </c>
      <c r="D45" s="2">
        <v>0</v>
      </c>
    </row>
    <row r="46" spans="1:4">
      <c r="A46" s="56">
        <v>40</v>
      </c>
      <c r="B46" s="56" t="s">
        <v>62</v>
      </c>
      <c r="C46" s="2">
        <v>1</v>
      </c>
      <c r="D46" s="2">
        <v>0</v>
      </c>
    </row>
    <row r="47" spans="1:4">
      <c r="A47" s="56">
        <v>41</v>
      </c>
      <c r="B47" s="56" t="s">
        <v>63</v>
      </c>
      <c r="C47" s="2">
        <v>1</v>
      </c>
      <c r="D47" s="2">
        <v>0</v>
      </c>
    </row>
    <row r="48" spans="1:4">
      <c r="A48" s="56">
        <v>42</v>
      </c>
      <c r="B48" s="56" t="s">
        <v>64</v>
      </c>
      <c r="C48" s="2">
        <v>1</v>
      </c>
      <c r="D48" s="2">
        <v>0</v>
      </c>
    </row>
    <row r="49" spans="1:4">
      <c r="A49" s="56">
        <v>43</v>
      </c>
      <c r="B49" s="56" t="s">
        <v>65</v>
      </c>
      <c r="C49" s="2">
        <v>1</v>
      </c>
      <c r="D49" s="2">
        <v>0</v>
      </c>
    </row>
    <row r="50" spans="1:4">
      <c r="A50" s="56">
        <v>44</v>
      </c>
      <c r="B50" s="56" t="s">
        <v>66</v>
      </c>
      <c r="C50" s="2">
        <v>0.533333333</v>
      </c>
      <c r="D50" s="2">
        <v>0</v>
      </c>
    </row>
    <row r="51" spans="1:4">
      <c r="A51" s="56">
        <v>45</v>
      </c>
      <c r="B51" s="56" t="s">
        <v>67</v>
      </c>
      <c r="C51" s="2">
        <v>1.5</v>
      </c>
      <c r="D51" s="2">
        <v>0</v>
      </c>
    </row>
    <row r="52" spans="1:4">
      <c r="A52" s="56">
        <v>46</v>
      </c>
      <c r="B52" s="56" t="s">
        <v>68</v>
      </c>
      <c r="C52" s="2">
        <v>4</v>
      </c>
      <c r="D52" s="2">
        <v>0</v>
      </c>
    </row>
    <row r="53" spans="1:4">
      <c r="A53" s="56">
        <v>47</v>
      </c>
      <c r="B53" s="56" t="s">
        <v>69</v>
      </c>
      <c r="C53" s="2">
        <v>3</v>
      </c>
      <c r="D53" s="2">
        <v>0</v>
      </c>
    </row>
    <row r="54" spans="1:4">
      <c r="A54" s="56">
        <v>48</v>
      </c>
      <c r="B54" s="56" t="s">
        <v>70</v>
      </c>
      <c r="C54" s="2">
        <v>2.9</v>
      </c>
      <c r="D54" s="2">
        <v>0</v>
      </c>
    </row>
    <row r="55" spans="1:4">
      <c r="A55" s="56">
        <v>50</v>
      </c>
      <c r="B55" s="56" t="s">
        <v>71</v>
      </c>
      <c r="C55" s="2">
        <v>0</v>
      </c>
      <c r="D55" s="2">
        <v>1</v>
      </c>
    </row>
    <row r="56" spans="1:4">
      <c r="A56" s="56">
        <v>51</v>
      </c>
      <c r="B56" s="56" t="s">
        <v>72</v>
      </c>
      <c r="C56" s="2">
        <v>0</v>
      </c>
      <c r="D56" s="2">
        <v>1</v>
      </c>
    </row>
    <row r="57" spans="1:4">
      <c r="A57" s="56">
        <v>52</v>
      </c>
      <c r="B57" s="56" t="s">
        <v>73</v>
      </c>
      <c r="C57" s="2">
        <v>0</v>
      </c>
      <c r="D57" s="2">
        <v>1</v>
      </c>
    </row>
    <row r="58" spans="1:4">
      <c r="A58" s="56">
        <v>53</v>
      </c>
      <c r="B58" s="56" t="s">
        <v>74</v>
      </c>
      <c r="C58" s="2">
        <v>0</v>
      </c>
      <c r="D58" s="2">
        <v>1</v>
      </c>
    </row>
    <row r="59" spans="1:4">
      <c r="A59" s="56">
        <v>54</v>
      </c>
      <c r="B59" s="56" t="s">
        <v>75</v>
      </c>
      <c r="C59" s="2">
        <v>0</v>
      </c>
      <c r="D59" s="2">
        <v>1</v>
      </c>
    </row>
    <row r="60" spans="1:4">
      <c r="A60" s="56">
        <v>55</v>
      </c>
      <c r="B60" s="56" t="s">
        <v>76</v>
      </c>
      <c r="C60" s="2">
        <v>0</v>
      </c>
      <c r="D60" s="2">
        <v>1</v>
      </c>
    </row>
    <row r="61" spans="1:4">
      <c r="A61" s="56">
        <v>56</v>
      </c>
      <c r="B61" s="56" t="s">
        <v>77</v>
      </c>
      <c r="C61" s="2">
        <v>0</v>
      </c>
      <c r="D61" s="2">
        <v>1</v>
      </c>
    </row>
    <row r="62" spans="1:4">
      <c r="A62" s="56">
        <v>57</v>
      </c>
      <c r="B62" s="56" t="s">
        <v>78</v>
      </c>
      <c r="C62" s="2">
        <v>2.83</v>
      </c>
      <c r="D62" s="2">
        <v>0</v>
      </c>
    </row>
    <row r="63" spans="1:4">
      <c r="A63" s="56">
        <v>58</v>
      </c>
      <c r="B63" s="56" t="s">
        <v>79</v>
      </c>
      <c r="C63" s="2">
        <v>0</v>
      </c>
      <c r="D63" s="2">
        <v>1</v>
      </c>
    </row>
    <row r="64" spans="1:4">
      <c r="A64" s="56">
        <v>60</v>
      </c>
      <c r="B64" s="56" t="s">
        <v>80</v>
      </c>
      <c r="C64" s="2">
        <v>6.5</v>
      </c>
      <c r="D64" s="2">
        <v>0</v>
      </c>
    </row>
    <row r="65" spans="1:4">
      <c r="A65" s="56">
        <v>61</v>
      </c>
      <c r="B65" s="56" t="s">
        <v>81</v>
      </c>
      <c r="C65" s="2">
        <v>1</v>
      </c>
      <c r="D65" s="2">
        <v>0</v>
      </c>
    </row>
    <row r="66" spans="1:4">
      <c r="A66" s="56">
        <v>62</v>
      </c>
      <c r="B66" s="56" t="s">
        <v>82</v>
      </c>
      <c r="C66" s="2">
        <v>4</v>
      </c>
      <c r="D66" s="2">
        <v>0</v>
      </c>
    </row>
    <row r="67" spans="1:4">
      <c r="A67" s="56">
        <v>63</v>
      </c>
      <c r="B67" s="56" t="s">
        <v>83</v>
      </c>
      <c r="C67" s="2">
        <v>4</v>
      </c>
      <c r="D67" s="2">
        <v>0</v>
      </c>
    </row>
    <row r="68" spans="1:4">
      <c r="A68" s="56">
        <v>64</v>
      </c>
      <c r="B68" s="56" t="s">
        <v>84</v>
      </c>
      <c r="C68" s="2">
        <v>4.2</v>
      </c>
      <c r="D68" s="2">
        <v>0</v>
      </c>
    </row>
    <row r="69" spans="1:4">
      <c r="A69" s="56">
        <v>65</v>
      </c>
      <c r="B69" s="56" t="s">
        <v>85</v>
      </c>
      <c r="C69" s="2">
        <v>4.3</v>
      </c>
      <c r="D69" s="2">
        <v>0</v>
      </c>
    </row>
    <row r="70" spans="1:4">
      <c r="A70" s="56">
        <v>66</v>
      </c>
      <c r="B70" s="56" t="s">
        <v>86</v>
      </c>
      <c r="C70" s="2">
        <v>2.9</v>
      </c>
      <c r="D70" s="2">
        <v>0</v>
      </c>
    </row>
    <row r="71" spans="1:4">
      <c r="A71" s="56">
        <v>67</v>
      </c>
      <c r="B71" s="56" t="s">
        <v>87</v>
      </c>
      <c r="C71" s="2">
        <v>1.66666666666667</v>
      </c>
      <c r="D71" s="2">
        <v>0</v>
      </c>
    </row>
    <row r="72" spans="1:4">
      <c r="A72" s="56">
        <v>68</v>
      </c>
      <c r="B72" s="56" t="s">
        <v>88</v>
      </c>
      <c r="C72" s="2">
        <v>5.6</v>
      </c>
      <c r="D72" s="2">
        <v>0</v>
      </c>
    </row>
    <row r="73" spans="1:4">
      <c r="A73" s="56">
        <v>69</v>
      </c>
      <c r="B73" s="56" t="s">
        <v>89</v>
      </c>
      <c r="C73" s="2">
        <v>2</v>
      </c>
      <c r="D73" s="2">
        <v>0</v>
      </c>
    </row>
    <row r="74" spans="1:4">
      <c r="A74" s="56">
        <v>70</v>
      </c>
      <c r="B74" s="56" t="s">
        <v>90</v>
      </c>
      <c r="C74" s="2">
        <v>0</v>
      </c>
      <c r="D74" s="2">
        <v>1</v>
      </c>
    </row>
    <row r="75" spans="1:4">
      <c r="A75" s="56">
        <v>71</v>
      </c>
      <c r="B75" s="56" t="s">
        <v>91</v>
      </c>
      <c r="C75" s="2">
        <v>3</v>
      </c>
      <c r="D75" s="2">
        <v>0</v>
      </c>
    </row>
    <row r="76" spans="1:4">
      <c r="A76" s="56">
        <v>72</v>
      </c>
      <c r="B76" s="56" t="s">
        <v>92</v>
      </c>
      <c r="C76" s="2">
        <v>3</v>
      </c>
      <c r="D76" s="2">
        <v>0</v>
      </c>
    </row>
    <row r="77" spans="1:4">
      <c r="A77" s="56">
        <v>73</v>
      </c>
      <c r="B77" s="56" t="s">
        <v>93</v>
      </c>
      <c r="C77" s="58">
        <v>11</v>
      </c>
      <c r="D77" s="2">
        <v>0</v>
      </c>
    </row>
    <row r="78" spans="1:4">
      <c r="A78" s="56">
        <v>74</v>
      </c>
      <c r="B78" s="56" t="s">
        <v>94</v>
      </c>
      <c r="C78" s="2">
        <v>8.7</v>
      </c>
      <c r="D78" s="2">
        <v>0</v>
      </c>
    </row>
    <row r="79" spans="1:4">
      <c r="A79" s="56">
        <v>75</v>
      </c>
      <c r="B79" s="56" t="s">
        <v>95</v>
      </c>
      <c r="C79" s="2">
        <v>1.5</v>
      </c>
      <c r="D79" s="2">
        <v>0</v>
      </c>
    </row>
    <row r="80" spans="1:4">
      <c r="A80" s="56">
        <v>76</v>
      </c>
      <c r="B80" s="56" t="s">
        <v>96</v>
      </c>
      <c r="C80" s="2">
        <v>2.2</v>
      </c>
      <c r="D80" s="2">
        <v>0</v>
      </c>
    </row>
    <row r="81" spans="1:4">
      <c r="A81" s="56">
        <v>77</v>
      </c>
      <c r="B81" s="56" t="s">
        <v>97</v>
      </c>
      <c r="C81" s="2">
        <v>2.2</v>
      </c>
      <c r="D81" s="2">
        <v>0</v>
      </c>
    </row>
    <row r="82" spans="1:4">
      <c r="A82" s="56">
        <v>78</v>
      </c>
      <c r="B82" s="56" t="s">
        <v>98</v>
      </c>
      <c r="C82" s="2">
        <v>3.5</v>
      </c>
      <c r="D82" s="2">
        <v>0</v>
      </c>
    </row>
    <row r="83" spans="1:4">
      <c r="A83" s="56">
        <v>79</v>
      </c>
      <c r="B83" s="56" t="s">
        <v>99</v>
      </c>
      <c r="C83" s="2">
        <v>3.5</v>
      </c>
      <c r="D83" s="2">
        <v>0</v>
      </c>
    </row>
    <row r="84" spans="1:4">
      <c r="A84" s="56">
        <v>80</v>
      </c>
      <c r="B84" s="56" t="s">
        <v>100</v>
      </c>
      <c r="C84" s="2">
        <v>3.3</v>
      </c>
      <c r="D84" s="2">
        <v>0</v>
      </c>
    </row>
    <row r="85" spans="1:4">
      <c r="A85" s="56">
        <v>81</v>
      </c>
      <c r="B85" s="56" t="s">
        <v>101</v>
      </c>
      <c r="C85" s="2">
        <v>1.85</v>
      </c>
      <c r="D85" s="2">
        <v>0</v>
      </c>
    </row>
    <row r="86" spans="1:4">
      <c r="A86" s="56">
        <v>82</v>
      </c>
      <c r="B86" s="56" t="s">
        <v>102</v>
      </c>
      <c r="C86" s="2">
        <v>4.4</v>
      </c>
      <c r="D86" s="2">
        <v>0</v>
      </c>
    </row>
    <row r="87" spans="1:4">
      <c r="A87" s="56">
        <v>83</v>
      </c>
      <c r="B87" s="56" t="s">
        <v>103</v>
      </c>
      <c r="C87" s="2">
        <v>8</v>
      </c>
      <c r="D87" s="2">
        <v>0</v>
      </c>
    </row>
    <row r="88" spans="1:4">
      <c r="A88" s="56">
        <v>84</v>
      </c>
      <c r="B88" s="56" t="s">
        <v>104</v>
      </c>
      <c r="C88" s="2">
        <v>8</v>
      </c>
      <c r="D88" s="2">
        <v>0</v>
      </c>
    </row>
    <row r="89" spans="1:4">
      <c r="A89" s="56">
        <v>85</v>
      </c>
      <c r="B89" s="56" t="s">
        <v>105</v>
      </c>
      <c r="C89" s="2">
        <v>2.2</v>
      </c>
      <c r="D89" s="2">
        <v>0</v>
      </c>
    </row>
    <row r="90" spans="1:4">
      <c r="A90" s="56">
        <v>86</v>
      </c>
      <c r="B90" s="56" t="s">
        <v>106</v>
      </c>
      <c r="C90" s="2">
        <v>3.1</v>
      </c>
      <c r="D90" s="2">
        <v>0</v>
      </c>
    </row>
    <row r="91" spans="1:4">
      <c r="A91" s="56">
        <v>87</v>
      </c>
      <c r="B91" s="56" t="s">
        <v>107</v>
      </c>
      <c r="C91" s="2">
        <v>3.1</v>
      </c>
      <c r="D91" s="2">
        <v>0</v>
      </c>
    </row>
    <row r="92" spans="1:4">
      <c r="A92" s="56">
        <v>88</v>
      </c>
      <c r="B92" s="56" t="s">
        <v>108</v>
      </c>
      <c r="C92" s="2">
        <v>3.1</v>
      </c>
      <c r="D92" s="2">
        <v>0</v>
      </c>
    </row>
    <row r="93" spans="1:4">
      <c r="A93" s="56">
        <v>89</v>
      </c>
      <c r="B93" s="56" t="s">
        <v>109</v>
      </c>
      <c r="C93" s="2">
        <v>3.65</v>
      </c>
      <c r="D93" s="2">
        <v>0</v>
      </c>
    </row>
    <row r="94" spans="1:4">
      <c r="A94" s="56">
        <v>90</v>
      </c>
      <c r="B94" s="56" t="s">
        <v>110</v>
      </c>
      <c r="C94" s="2">
        <v>2.6</v>
      </c>
      <c r="D94" s="2">
        <v>0</v>
      </c>
    </row>
    <row r="95" spans="1:4">
      <c r="A95" s="56">
        <v>91</v>
      </c>
      <c r="B95" s="56" t="s">
        <v>111</v>
      </c>
      <c r="C95" s="2">
        <v>8</v>
      </c>
      <c r="D95" s="2">
        <v>0</v>
      </c>
    </row>
    <row r="96" spans="1:4">
      <c r="A96" s="56">
        <v>92</v>
      </c>
      <c r="B96" s="56" t="s">
        <v>112</v>
      </c>
      <c r="C96" s="2">
        <v>8</v>
      </c>
      <c r="D96" s="2">
        <v>0</v>
      </c>
    </row>
    <row r="97" spans="1:4">
      <c r="A97" s="56">
        <v>93</v>
      </c>
      <c r="B97" s="56" t="s">
        <v>113</v>
      </c>
      <c r="C97" s="2">
        <v>3</v>
      </c>
      <c r="D97" s="2">
        <v>0</v>
      </c>
    </row>
    <row r="98" spans="1:4">
      <c r="A98" s="56">
        <v>94</v>
      </c>
      <c r="B98" s="56" t="s">
        <v>114</v>
      </c>
      <c r="C98" s="2">
        <v>3.5</v>
      </c>
      <c r="D98" s="2">
        <v>0</v>
      </c>
    </row>
    <row r="99" spans="1:4">
      <c r="A99" s="56">
        <v>95</v>
      </c>
      <c r="B99" s="56" t="s">
        <v>115</v>
      </c>
      <c r="C99" s="2">
        <v>3.5</v>
      </c>
      <c r="D99" s="2">
        <v>0</v>
      </c>
    </row>
    <row r="100" spans="1:4">
      <c r="A100" s="56">
        <v>96</v>
      </c>
      <c r="B100" s="56" t="s">
        <v>116</v>
      </c>
      <c r="C100" s="2">
        <v>2</v>
      </c>
      <c r="D100" s="2">
        <v>0</v>
      </c>
    </row>
    <row r="101" spans="1:4">
      <c r="A101" s="56">
        <v>97</v>
      </c>
      <c r="B101" s="56" t="s">
        <v>117</v>
      </c>
      <c r="C101" s="2">
        <v>2</v>
      </c>
      <c r="D101" s="2">
        <v>0</v>
      </c>
    </row>
    <row r="102" spans="1:4">
      <c r="A102" s="56">
        <v>98</v>
      </c>
      <c r="B102" s="56" t="s">
        <v>118</v>
      </c>
      <c r="C102" s="2">
        <v>7.3</v>
      </c>
      <c r="D102" s="2">
        <v>0</v>
      </c>
    </row>
    <row r="103" spans="1:4">
      <c r="A103" s="56">
        <v>99</v>
      </c>
      <c r="B103" s="56" t="s">
        <v>119</v>
      </c>
      <c r="C103" s="2">
        <v>1</v>
      </c>
      <c r="D103" s="2">
        <v>0</v>
      </c>
    </row>
    <row r="104" spans="1:4">
      <c r="A104" s="56">
        <v>100</v>
      </c>
      <c r="B104" s="56" t="s">
        <v>120</v>
      </c>
      <c r="C104" s="2">
        <v>7.3</v>
      </c>
      <c r="D104" s="2">
        <v>0</v>
      </c>
    </row>
    <row r="105" spans="1:4">
      <c r="A105" s="56">
        <v>101</v>
      </c>
      <c r="B105" s="56" t="s">
        <v>121</v>
      </c>
      <c r="C105" s="2">
        <v>1</v>
      </c>
      <c r="D105" s="2">
        <v>0</v>
      </c>
    </row>
    <row r="106" spans="1:4">
      <c r="A106" s="56">
        <v>102</v>
      </c>
      <c r="B106" s="56" t="s">
        <v>122</v>
      </c>
      <c r="C106" s="2">
        <v>11.3333333333333</v>
      </c>
      <c r="D106" s="2">
        <v>0</v>
      </c>
    </row>
    <row r="107" spans="1:4">
      <c r="A107" s="56">
        <v>103</v>
      </c>
      <c r="B107" s="56" t="s">
        <v>123</v>
      </c>
      <c r="C107" s="2">
        <v>0.833333333333333</v>
      </c>
      <c r="D107" s="2">
        <v>0</v>
      </c>
    </row>
    <row r="108" spans="1:4">
      <c r="A108" s="56">
        <v>104</v>
      </c>
      <c r="B108" s="56" t="s">
        <v>124</v>
      </c>
      <c r="C108" s="2">
        <v>2</v>
      </c>
      <c r="D108" s="2">
        <v>0</v>
      </c>
    </row>
    <row r="109" spans="1:4">
      <c r="A109" s="56">
        <v>105</v>
      </c>
      <c r="B109" s="56" t="s">
        <v>125</v>
      </c>
      <c r="C109" s="2">
        <v>4</v>
      </c>
      <c r="D109" s="2">
        <v>0</v>
      </c>
    </row>
    <row r="110" spans="1:4">
      <c r="A110" s="56">
        <v>106</v>
      </c>
      <c r="B110" s="56" t="s">
        <v>126</v>
      </c>
      <c r="C110" s="2">
        <v>3.5</v>
      </c>
      <c r="D110" s="2">
        <v>0</v>
      </c>
    </row>
    <row r="111" spans="1:4">
      <c r="A111" s="56">
        <v>107</v>
      </c>
      <c r="B111" s="56" t="s">
        <v>127</v>
      </c>
      <c r="C111" s="2">
        <v>3</v>
      </c>
      <c r="D111" s="2">
        <v>0</v>
      </c>
    </row>
    <row r="112" spans="1:4">
      <c r="A112" s="56">
        <v>108</v>
      </c>
      <c r="B112" s="56" t="s">
        <v>128</v>
      </c>
      <c r="C112" s="2">
        <v>0</v>
      </c>
      <c r="D112" s="2">
        <v>1</v>
      </c>
    </row>
    <row r="113" spans="1:4">
      <c r="A113" s="56">
        <v>109</v>
      </c>
      <c r="B113" s="56" t="s">
        <v>129</v>
      </c>
      <c r="C113" s="2">
        <v>3</v>
      </c>
      <c r="D113" s="2">
        <v>0</v>
      </c>
    </row>
    <row r="114" spans="1:4">
      <c r="A114" s="56">
        <v>110</v>
      </c>
      <c r="B114" s="56" t="s">
        <v>130</v>
      </c>
      <c r="C114" s="2">
        <v>4</v>
      </c>
      <c r="D114" s="2">
        <v>0</v>
      </c>
    </row>
    <row r="115" spans="1:4">
      <c r="A115" s="56">
        <v>111</v>
      </c>
      <c r="B115" s="56" t="s">
        <v>131</v>
      </c>
      <c r="C115" s="2">
        <v>1</v>
      </c>
      <c r="D115" s="2">
        <v>1</v>
      </c>
    </row>
    <row r="116" spans="1:4">
      <c r="A116" s="56">
        <v>112</v>
      </c>
      <c r="B116" s="56" t="s">
        <v>132</v>
      </c>
      <c r="C116" s="2">
        <v>1.75</v>
      </c>
      <c r="D116" s="2">
        <v>0</v>
      </c>
    </row>
    <row r="117" spans="1:4">
      <c r="A117" s="56">
        <v>113</v>
      </c>
      <c r="B117" s="56" t="s">
        <v>133</v>
      </c>
      <c r="C117" s="2">
        <v>2.46</v>
      </c>
      <c r="D117" s="2">
        <v>0</v>
      </c>
    </row>
    <row r="118" spans="1:4">
      <c r="A118" s="56">
        <v>114</v>
      </c>
      <c r="B118" s="59" t="s">
        <v>134</v>
      </c>
      <c r="C118" s="2">
        <v>1.4</v>
      </c>
      <c r="D118" s="2">
        <v>0</v>
      </c>
    </row>
    <row r="119" spans="1:4">
      <c r="A119" s="56">
        <v>115</v>
      </c>
      <c r="B119" s="56" t="s">
        <v>135</v>
      </c>
      <c r="C119" s="2">
        <v>1.35</v>
      </c>
      <c r="D119" s="2">
        <v>0</v>
      </c>
    </row>
    <row r="120" spans="1:4">
      <c r="A120" s="56">
        <v>116</v>
      </c>
      <c r="B120" s="59" t="s">
        <v>136</v>
      </c>
      <c r="C120" s="2">
        <v>6</v>
      </c>
      <c r="D120" s="2">
        <v>0</v>
      </c>
    </row>
    <row r="121" spans="1:4">
      <c r="A121" s="56">
        <v>117</v>
      </c>
      <c r="B121" s="56" t="s">
        <v>137</v>
      </c>
      <c r="C121" s="2">
        <v>1.42</v>
      </c>
      <c r="D121" s="2">
        <v>0</v>
      </c>
    </row>
    <row r="122" spans="1:4">
      <c r="A122" s="56">
        <v>118</v>
      </c>
      <c r="B122" s="59" t="s">
        <v>138</v>
      </c>
      <c r="C122" s="2">
        <v>1.8</v>
      </c>
      <c r="D122" s="2">
        <v>0</v>
      </c>
    </row>
    <row r="123" spans="1:4">
      <c r="A123" s="56">
        <v>119</v>
      </c>
      <c r="B123" s="59" t="s">
        <v>139</v>
      </c>
      <c r="C123" s="2">
        <v>8.5</v>
      </c>
      <c r="D123" s="2">
        <v>0</v>
      </c>
    </row>
    <row r="124" spans="1:4">
      <c r="A124" s="56">
        <v>120</v>
      </c>
      <c r="B124" s="56" t="s">
        <v>140</v>
      </c>
      <c r="C124" s="2">
        <v>2</v>
      </c>
      <c r="D124" s="2">
        <v>1</v>
      </c>
    </row>
    <row r="125" spans="1:4">
      <c r="A125" s="56">
        <v>121</v>
      </c>
      <c r="B125" s="56" t="s">
        <v>141</v>
      </c>
      <c r="C125" s="2">
        <v>1.5</v>
      </c>
      <c r="D125" s="2">
        <v>0</v>
      </c>
    </row>
    <row r="126" spans="1:4">
      <c r="A126" s="56">
        <v>122</v>
      </c>
      <c r="B126" s="60" t="s">
        <v>142</v>
      </c>
      <c r="C126" s="2">
        <v>1.67</v>
      </c>
      <c r="D126" s="2">
        <v>0</v>
      </c>
    </row>
    <row r="127" spans="1:4">
      <c r="A127" s="56">
        <v>123</v>
      </c>
      <c r="B127" s="61" t="s">
        <v>143</v>
      </c>
      <c r="C127" s="2">
        <v>2.55</v>
      </c>
      <c r="D127" s="2">
        <v>0</v>
      </c>
    </row>
    <row r="128" spans="1:4">
      <c r="A128" s="56">
        <v>124</v>
      </c>
      <c r="B128" s="61" t="s">
        <v>144</v>
      </c>
      <c r="C128" s="2">
        <v>3.15</v>
      </c>
      <c r="D128" s="2">
        <v>0</v>
      </c>
    </row>
    <row r="129" spans="1:4">
      <c r="A129" s="56">
        <v>125</v>
      </c>
      <c r="B129" s="56" t="s">
        <v>145</v>
      </c>
      <c r="C129" s="2">
        <v>3.15</v>
      </c>
      <c r="D129" s="2">
        <v>0</v>
      </c>
    </row>
    <row r="130" spans="1:4">
      <c r="A130" s="56">
        <v>126</v>
      </c>
      <c r="B130" s="61" t="s">
        <v>146</v>
      </c>
      <c r="C130" s="2">
        <v>4.2</v>
      </c>
      <c r="D130" s="2">
        <v>0</v>
      </c>
    </row>
    <row r="131" spans="1:4">
      <c r="A131" s="56">
        <v>127</v>
      </c>
      <c r="B131" s="60" t="s">
        <v>147</v>
      </c>
      <c r="C131" s="2">
        <v>2.05</v>
      </c>
      <c r="D131" s="2">
        <v>0</v>
      </c>
    </row>
    <row r="132" spans="1:4">
      <c r="A132" s="56">
        <v>128</v>
      </c>
      <c r="B132" s="61" t="s">
        <v>148</v>
      </c>
      <c r="C132" s="2">
        <v>4.6666667</v>
      </c>
      <c r="D132" s="2">
        <v>0</v>
      </c>
    </row>
    <row r="133" spans="1:4">
      <c r="A133" s="56">
        <v>129</v>
      </c>
      <c r="B133" s="56" t="s">
        <v>149</v>
      </c>
      <c r="C133" s="2">
        <v>1</v>
      </c>
      <c r="D133" s="2">
        <v>0</v>
      </c>
    </row>
    <row r="134" spans="1:4">
      <c r="A134" s="56">
        <v>130</v>
      </c>
      <c r="B134" s="56" t="s">
        <v>150</v>
      </c>
      <c r="C134" s="2">
        <v>3</v>
      </c>
      <c r="D134" s="2">
        <v>0</v>
      </c>
    </row>
    <row r="135" spans="1:4">
      <c r="A135" s="56">
        <v>131</v>
      </c>
      <c r="B135" s="56" t="s">
        <v>151</v>
      </c>
      <c r="C135" s="2">
        <v>0</v>
      </c>
      <c r="D135" s="2">
        <v>1</v>
      </c>
    </row>
    <row r="136" spans="1:4">
      <c r="A136" s="56">
        <v>132</v>
      </c>
      <c r="B136" s="56" t="s">
        <v>152</v>
      </c>
      <c r="C136" s="2">
        <v>0</v>
      </c>
      <c r="D136" s="2">
        <v>1</v>
      </c>
    </row>
    <row r="137" spans="1:4">
      <c r="A137" s="56">
        <v>133</v>
      </c>
      <c r="B137" s="62" t="s">
        <v>153</v>
      </c>
      <c r="C137" s="63">
        <v>2.4</v>
      </c>
      <c r="D137" s="2">
        <v>0</v>
      </c>
    </row>
    <row r="138" spans="1:4">
      <c r="A138" s="56">
        <v>134</v>
      </c>
      <c r="B138" s="62" t="s">
        <v>154</v>
      </c>
      <c r="C138" s="63">
        <v>1.9</v>
      </c>
      <c r="D138" s="2">
        <v>0</v>
      </c>
    </row>
    <row r="139" spans="1:4">
      <c r="A139" s="56">
        <v>135</v>
      </c>
      <c r="B139" s="64" t="s">
        <v>155</v>
      </c>
      <c r="C139" s="63">
        <v>3.2</v>
      </c>
      <c r="D139" s="2">
        <v>0</v>
      </c>
    </row>
    <row r="140" spans="1:4">
      <c r="A140" s="56">
        <v>136</v>
      </c>
      <c r="B140" s="64" t="s">
        <v>156</v>
      </c>
      <c r="C140" s="63">
        <v>3.2</v>
      </c>
      <c r="D140" s="2">
        <v>0</v>
      </c>
    </row>
    <row r="141" spans="1:4">
      <c r="A141" s="56">
        <v>137</v>
      </c>
      <c r="B141" s="62" t="s">
        <v>157</v>
      </c>
      <c r="C141" s="63">
        <v>3.4</v>
      </c>
      <c r="D141" s="2">
        <v>0</v>
      </c>
    </row>
    <row r="142" spans="1:4">
      <c r="A142" s="56">
        <v>138</v>
      </c>
      <c r="B142" s="64" t="s">
        <v>158</v>
      </c>
      <c r="C142" s="63">
        <v>1.9</v>
      </c>
      <c r="D142" s="2">
        <v>0</v>
      </c>
    </row>
    <row r="143" spans="1:4">
      <c r="A143" s="56">
        <v>139</v>
      </c>
      <c r="B143" s="64" t="s">
        <v>159</v>
      </c>
      <c r="C143" s="63">
        <v>1.9</v>
      </c>
      <c r="D143" s="2">
        <v>0</v>
      </c>
    </row>
    <row r="144" spans="1:4">
      <c r="A144" s="56">
        <v>140</v>
      </c>
      <c r="B144" s="64" t="s">
        <v>160</v>
      </c>
      <c r="C144" s="63">
        <v>1.9</v>
      </c>
      <c r="D144" s="2">
        <v>0</v>
      </c>
    </row>
    <row r="145" spans="1:4">
      <c r="A145" s="56">
        <v>141</v>
      </c>
      <c r="B145" s="62" t="s">
        <v>161</v>
      </c>
      <c r="C145" s="63">
        <v>5.3</v>
      </c>
      <c r="D145" s="2">
        <v>0</v>
      </c>
    </row>
    <row r="146" spans="1:4">
      <c r="A146" s="56">
        <v>142</v>
      </c>
      <c r="B146" s="64" t="s">
        <v>162</v>
      </c>
      <c r="C146" s="63">
        <v>3.5</v>
      </c>
      <c r="D146" s="2">
        <v>0</v>
      </c>
    </row>
    <row r="147" spans="1:4">
      <c r="A147" s="56">
        <v>143</v>
      </c>
      <c r="B147" s="64" t="s">
        <v>163</v>
      </c>
      <c r="C147" s="63">
        <v>3.5</v>
      </c>
      <c r="D147" s="2">
        <v>0</v>
      </c>
    </row>
    <row r="148" spans="1:4">
      <c r="A148" s="56">
        <v>144</v>
      </c>
      <c r="B148" s="64" t="s">
        <v>164</v>
      </c>
      <c r="C148" s="63">
        <v>12</v>
      </c>
      <c r="D148" s="2">
        <v>0</v>
      </c>
    </row>
    <row r="149" spans="1:4">
      <c r="A149" s="56">
        <v>145</v>
      </c>
      <c r="B149" s="64" t="s">
        <v>165</v>
      </c>
      <c r="C149" s="63">
        <v>12</v>
      </c>
      <c r="D149" s="2">
        <v>0</v>
      </c>
    </row>
    <row r="150" spans="1:4">
      <c r="A150" s="56">
        <v>146</v>
      </c>
      <c r="B150" s="62" t="s">
        <v>166</v>
      </c>
      <c r="C150" s="63">
        <v>2</v>
      </c>
      <c r="D150" s="2">
        <v>0</v>
      </c>
    </row>
    <row r="151" spans="1:4">
      <c r="A151" s="56">
        <v>147</v>
      </c>
      <c r="B151" s="62" t="s">
        <v>167</v>
      </c>
      <c r="C151" s="63">
        <v>3</v>
      </c>
      <c r="D151" s="2">
        <v>0</v>
      </c>
    </row>
    <row r="152" spans="1:4">
      <c r="A152" s="56">
        <v>148</v>
      </c>
      <c r="B152" s="64" t="s">
        <v>168</v>
      </c>
      <c r="C152" s="63">
        <v>3.2</v>
      </c>
      <c r="D152" s="2">
        <v>0</v>
      </c>
    </row>
    <row r="153" spans="1:4">
      <c r="A153" s="56">
        <v>149</v>
      </c>
      <c r="B153" s="62" t="s">
        <v>169</v>
      </c>
      <c r="C153" s="63">
        <v>4.33333333333333</v>
      </c>
      <c r="D153" s="2">
        <v>0</v>
      </c>
    </row>
    <row r="154" spans="1:4">
      <c r="A154" s="56">
        <v>150</v>
      </c>
      <c r="B154" s="64" t="s">
        <v>170</v>
      </c>
      <c r="C154" s="63">
        <v>6.3</v>
      </c>
      <c r="D154" s="2">
        <v>0</v>
      </c>
    </row>
    <row r="155" spans="1:4">
      <c r="A155" s="56">
        <v>151</v>
      </c>
      <c r="B155" s="62" t="s">
        <v>171</v>
      </c>
      <c r="C155" s="63">
        <v>4.7</v>
      </c>
      <c r="D155" s="2">
        <v>0</v>
      </c>
    </row>
    <row r="156" spans="1:4">
      <c r="A156" s="56">
        <v>152</v>
      </c>
      <c r="B156" s="64" t="s">
        <v>172</v>
      </c>
      <c r="C156" s="63">
        <v>7.3</v>
      </c>
      <c r="D156" s="2">
        <v>0</v>
      </c>
    </row>
    <row r="157" spans="1:4">
      <c r="A157" s="56">
        <v>153</v>
      </c>
      <c r="B157" s="65" t="s">
        <v>173</v>
      </c>
      <c r="C157" s="2">
        <v>1</v>
      </c>
      <c r="D157" s="2">
        <v>0</v>
      </c>
    </row>
    <row r="158" spans="1:4">
      <c r="A158" s="56">
        <v>154</v>
      </c>
      <c r="B158" s="65" t="s">
        <v>174</v>
      </c>
      <c r="C158" s="2">
        <v>1</v>
      </c>
      <c r="D158" s="2">
        <v>0</v>
      </c>
    </row>
    <row r="159" spans="1:4">
      <c r="A159" s="56">
        <v>155</v>
      </c>
      <c r="B159" s="65" t="s">
        <v>175</v>
      </c>
      <c r="C159" s="2">
        <v>3</v>
      </c>
      <c r="D159" s="2">
        <v>0</v>
      </c>
    </row>
    <row r="160" spans="1:4">
      <c r="A160" s="56">
        <v>156</v>
      </c>
      <c r="B160" s="62" t="s">
        <v>176</v>
      </c>
      <c r="C160" s="63">
        <v>2.3</v>
      </c>
      <c r="D160" s="2">
        <v>0</v>
      </c>
    </row>
    <row r="161" spans="1:4">
      <c r="A161" s="56">
        <v>157</v>
      </c>
      <c r="B161" s="62" t="s">
        <v>177</v>
      </c>
      <c r="C161" s="63">
        <v>8</v>
      </c>
      <c r="D161" s="2">
        <v>0</v>
      </c>
    </row>
    <row r="162" spans="1:4">
      <c r="A162" s="56">
        <v>158</v>
      </c>
      <c r="B162" s="64" t="s">
        <v>178</v>
      </c>
      <c r="C162" s="63">
        <v>2.6</v>
      </c>
      <c r="D162" s="2">
        <v>0</v>
      </c>
    </row>
    <row r="163" spans="1:4">
      <c r="A163" s="56">
        <v>159</v>
      </c>
      <c r="B163" s="62" t="s">
        <v>179</v>
      </c>
      <c r="C163" s="63">
        <v>2.3</v>
      </c>
      <c r="D163" s="2">
        <v>0</v>
      </c>
    </row>
    <row r="164" spans="1:4">
      <c r="A164" s="56">
        <v>160</v>
      </c>
      <c r="B164" s="64" t="s">
        <v>180</v>
      </c>
      <c r="C164" s="63">
        <v>2.8</v>
      </c>
      <c r="D164" s="2">
        <v>0</v>
      </c>
    </row>
    <row r="165" spans="1:4">
      <c r="A165" s="56">
        <v>161</v>
      </c>
      <c r="B165" s="62" t="s">
        <v>181</v>
      </c>
      <c r="C165" s="63">
        <v>8.5</v>
      </c>
      <c r="D165" s="2">
        <v>0</v>
      </c>
    </row>
    <row r="166" spans="1:4">
      <c r="A166" s="56">
        <v>162</v>
      </c>
      <c r="B166" s="64" t="s">
        <v>182</v>
      </c>
      <c r="C166" s="63">
        <v>1.7</v>
      </c>
      <c r="D166" s="2">
        <v>0</v>
      </c>
    </row>
    <row r="167" spans="1:4">
      <c r="A167" s="56">
        <v>163</v>
      </c>
      <c r="B167" s="64" t="s">
        <v>183</v>
      </c>
      <c r="C167" s="63">
        <v>3.4</v>
      </c>
      <c r="D167" s="2">
        <v>0</v>
      </c>
    </row>
    <row r="168" spans="1:4">
      <c r="A168" s="56">
        <v>164</v>
      </c>
      <c r="B168" s="62" t="s">
        <v>184</v>
      </c>
      <c r="C168" s="63">
        <v>1.3</v>
      </c>
      <c r="D168" s="2">
        <v>0</v>
      </c>
    </row>
    <row r="169" spans="1:4">
      <c r="A169" s="56">
        <v>165</v>
      </c>
      <c r="B169" s="62" t="s">
        <v>185</v>
      </c>
      <c r="C169" s="63">
        <v>2</v>
      </c>
      <c r="D169" s="2">
        <v>0</v>
      </c>
    </row>
    <row r="170" spans="1:4">
      <c r="A170" s="56">
        <v>166</v>
      </c>
      <c r="B170" s="64" t="s">
        <v>186</v>
      </c>
      <c r="C170" s="63">
        <v>2.76</v>
      </c>
      <c r="D170" s="2">
        <v>0</v>
      </c>
    </row>
    <row r="171" spans="1:4">
      <c r="A171" s="56">
        <v>167</v>
      </c>
      <c r="B171" s="62" t="s">
        <v>187</v>
      </c>
      <c r="C171" s="63">
        <v>1.7</v>
      </c>
      <c r="D171" s="2">
        <v>0</v>
      </c>
    </row>
    <row r="172" spans="1:4">
      <c r="A172" s="56">
        <v>168</v>
      </c>
      <c r="B172" s="64" t="s">
        <v>188</v>
      </c>
      <c r="C172" s="63">
        <v>6</v>
      </c>
      <c r="D172" s="2">
        <v>0</v>
      </c>
    </row>
    <row r="173" spans="1:4">
      <c r="A173" s="56">
        <v>169</v>
      </c>
      <c r="B173" s="62" t="s">
        <v>189</v>
      </c>
      <c r="C173" s="63">
        <v>3.4</v>
      </c>
      <c r="D173" s="2">
        <v>0</v>
      </c>
    </row>
    <row r="174" spans="1:4">
      <c r="A174" s="56">
        <v>170</v>
      </c>
      <c r="B174" s="64" t="s">
        <v>190</v>
      </c>
      <c r="C174" s="63">
        <v>3.3</v>
      </c>
      <c r="D174" s="2">
        <v>0</v>
      </c>
    </row>
    <row r="175" spans="1:4">
      <c r="A175" s="56">
        <v>171</v>
      </c>
      <c r="B175" s="64" t="s">
        <v>191</v>
      </c>
      <c r="C175" s="63">
        <v>4.7</v>
      </c>
      <c r="D175" s="2">
        <v>0</v>
      </c>
    </row>
    <row r="176" spans="1:4">
      <c r="A176" s="56">
        <v>172</v>
      </c>
      <c r="B176" s="62" t="s">
        <v>192</v>
      </c>
      <c r="C176" s="63">
        <v>2.3</v>
      </c>
      <c r="D176" s="2">
        <v>0</v>
      </c>
    </row>
    <row r="177" spans="1:4">
      <c r="A177" s="56">
        <v>173</v>
      </c>
      <c r="B177" s="62" t="s">
        <v>193</v>
      </c>
      <c r="C177" s="63">
        <v>2.2</v>
      </c>
      <c r="D177" s="2">
        <v>0</v>
      </c>
    </row>
    <row r="178" spans="1:4">
      <c r="A178" s="56">
        <v>174</v>
      </c>
      <c r="B178" s="66" t="s">
        <v>194</v>
      </c>
      <c r="C178" s="67">
        <v>2.8</v>
      </c>
      <c r="D178" s="2">
        <v>0</v>
      </c>
    </row>
    <row r="179" spans="1:4">
      <c r="A179" s="56">
        <v>175</v>
      </c>
      <c r="B179" s="64" t="s">
        <v>195</v>
      </c>
      <c r="C179" s="63">
        <v>2.1</v>
      </c>
      <c r="D179" s="2">
        <v>0</v>
      </c>
    </row>
    <row r="180" spans="1:4">
      <c r="A180" s="56">
        <v>176</v>
      </c>
      <c r="B180" s="62" t="s">
        <v>196</v>
      </c>
      <c r="C180" s="63">
        <v>2.2</v>
      </c>
      <c r="D180" s="2">
        <v>0</v>
      </c>
    </row>
    <row r="181" spans="1:4">
      <c r="A181" s="56">
        <v>177</v>
      </c>
      <c r="B181" s="64" t="s">
        <v>197</v>
      </c>
      <c r="C181" s="67">
        <v>7.7</v>
      </c>
      <c r="D181" s="2">
        <v>0</v>
      </c>
    </row>
    <row r="182" spans="1:4">
      <c r="A182" s="56">
        <v>178</v>
      </c>
      <c r="B182" s="64" t="s">
        <v>198</v>
      </c>
      <c r="C182" s="67">
        <v>7.7</v>
      </c>
      <c r="D182" s="2">
        <v>0</v>
      </c>
    </row>
    <row r="183" spans="1:4">
      <c r="A183" s="56">
        <v>179</v>
      </c>
      <c r="B183" s="64" t="s">
        <v>199</v>
      </c>
      <c r="C183" s="67">
        <v>7.7</v>
      </c>
      <c r="D183" s="2">
        <v>0</v>
      </c>
    </row>
    <row r="184" spans="1:4">
      <c r="A184" s="56">
        <v>180</v>
      </c>
      <c r="B184" s="64" t="s">
        <v>200</v>
      </c>
      <c r="C184" s="67">
        <v>5.6</v>
      </c>
      <c r="D184" s="2">
        <v>0</v>
      </c>
    </row>
    <row r="185" spans="1:4">
      <c r="A185" s="56">
        <v>181</v>
      </c>
      <c r="B185" s="64" t="s">
        <v>201</v>
      </c>
      <c r="C185" s="67">
        <v>5.6</v>
      </c>
      <c r="D185" s="2">
        <v>0</v>
      </c>
    </row>
    <row r="186" spans="1:4">
      <c r="A186" s="56">
        <v>182</v>
      </c>
      <c r="B186" s="64" t="s">
        <v>202</v>
      </c>
      <c r="C186" s="67">
        <v>5.6</v>
      </c>
      <c r="D186" s="2">
        <v>0</v>
      </c>
    </row>
    <row r="187" spans="1:4">
      <c r="A187" s="56">
        <v>183</v>
      </c>
      <c r="B187" s="62" t="s">
        <v>203</v>
      </c>
      <c r="C187" s="63">
        <v>2.3</v>
      </c>
      <c r="D187" s="2">
        <v>0</v>
      </c>
    </row>
    <row r="188" spans="1:4">
      <c r="A188" s="56">
        <v>184</v>
      </c>
      <c r="B188" s="62" t="s">
        <v>204</v>
      </c>
      <c r="C188" s="63">
        <v>2.3</v>
      </c>
      <c r="D188" s="2">
        <v>0</v>
      </c>
    </row>
    <row r="189" spans="1:4">
      <c r="A189" s="56">
        <v>185</v>
      </c>
      <c r="B189" s="64" t="s">
        <v>205</v>
      </c>
      <c r="C189" s="63">
        <v>2</v>
      </c>
      <c r="D189" s="2">
        <v>0</v>
      </c>
    </row>
    <row r="190" spans="1:4">
      <c r="A190" s="56">
        <v>186</v>
      </c>
      <c r="B190" s="62" t="s">
        <v>206</v>
      </c>
      <c r="C190" s="63">
        <v>3.2</v>
      </c>
      <c r="D190" s="2">
        <v>0</v>
      </c>
    </row>
    <row r="191" spans="1:4">
      <c r="A191" s="56">
        <v>187</v>
      </c>
      <c r="B191" s="64" t="s">
        <v>207</v>
      </c>
      <c r="C191" s="63">
        <v>2.5</v>
      </c>
      <c r="D191" s="2">
        <v>0</v>
      </c>
    </row>
    <row r="192" spans="1:4">
      <c r="A192" s="56">
        <v>188</v>
      </c>
      <c r="B192" s="62" t="s">
        <v>208</v>
      </c>
      <c r="C192" s="63">
        <v>9.33333333333333</v>
      </c>
      <c r="D192" s="2">
        <v>0</v>
      </c>
    </row>
    <row r="193" spans="1:4">
      <c r="A193" s="56">
        <v>189</v>
      </c>
      <c r="B193" s="64" t="s">
        <v>209</v>
      </c>
      <c r="C193" s="63">
        <v>2</v>
      </c>
      <c r="D193" s="2">
        <v>0</v>
      </c>
    </row>
    <row r="194" spans="1:4">
      <c r="A194" s="56">
        <v>190</v>
      </c>
      <c r="B194" s="64" t="s">
        <v>210</v>
      </c>
      <c r="C194" s="63">
        <v>7.5</v>
      </c>
      <c r="D194" s="2">
        <v>0</v>
      </c>
    </row>
    <row r="195" spans="1:4">
      <c r="A195" s="56">
        <v>191</v>
      </c>
      <c r="B195" s="62" t="s">
        <v>211</v>
      </c>
      <c r="C195" s="63">
        <v>2.3</v>
      </c>
      <c r="D195" s="2">
        <v>0</v>
      </c>
    </row>
    <row r="196" spans="1:4">
      <c r="A196" s="56">
        <v>192</v>
      </c>
      <c r="B196" s="62" t="s">
        <v>212</v>
      </c>
      <c r="C196" s="63">
        <v>6</v>
      </c>
      <c r="D196" s="2">
        <v>0</v>
      </c>
    </row>
    <row r="197" spans="1:4">
      <c r="A197" s="56">
        <v>193</v>
      </c>
      <c r="B197" s="64" t="s">
        <v>213</v>
      </c>
      <c r="C197" s="63">
        <v>2.7</v>
      </c>
      <c r="D197" s="2">
        <v>0</v>
      </c>
    </row>
    <row r="198" spans="1:4">
      <c r="A198" s="56">
        <v>194</v>
      </c>
      <c r="B198" s="62" t="s">
        <v>214</v>
      </c>
      <c r="C198" s="63">
        <v>2.5</v>
      </c>
      <c r="D198" s="2">
        <v>0</v>
      </c>
    </row>
    <row r="199" spans="1:4">
      <c r="A199" s="56">
        <v>195</v>
      </c>
      <c r="B199" s="64" t="s">
        <v>215</v>
      </c>
      <c r="C199" s="63">
        <v>2.8</v>
      </c>
      <c r="D199" s="2">
        <v>0</v>
      </c>
    </row>
    <row r="200" spans="1:4">
      <c r="A200" s="56">
        <v>196</v>
      </c>
      <c r="B200" s="62" t="s">
        <v>216</v>
      </c>
      <c r="C200" s="63">
        <v>7.4</v>
      </c>
      <c r="D200" s="2">
        <v>0</v>
      </c>
    </row>
    <row r="201" spans="1:4">
      <c r="A201" s="56">
        <v>197</v>
      </c>
      <c r="B201" s="64" t="s">
        <v>217</v>
      </c>
      <c r="C201" s="63">
        <v>2.8</v>
      </c>
      <c r="D201" s="2">
        <v>0</v>
      </c>
    </row>
    <row r="202" spans="1:4">
      <c r="A202" s="56">
        <v>198</v>
      </c>
      <c r="B202" s="64" t="s">
        <v>218</v>
      </c>
      <c r="C202" s="63">
        <v>9</v>
      </c>
      <c r="D202" s="2">
        <v>0</v>
      </c>
    </row>
    <row r="203" spans="1:4">
      <c r="A203" s="56">
        <v>199</v>
      </c>
      <c r="B203" s="65" t="s">
        <v>219</v>
      </c>
      <c r="C203" s="2">
        <v>0.5</v>
      </c>
      <c r="D203" s="2">
        <v>0</v>
      </c>
    </row>
    <row r="204" spans="1:4">
      <c r="A204" s="56">
        <v>200</v>
      </c>
      <c r="B204" s="65" t="s">
        <v>220</v>
      </c>
      <c r="C204" s="2">
        <v>1</v>
      </c>
      <c r="D204" s="2">
        <v>0</v>
      </c>
    </row>
    <row r="205" spans="1:4">
      <c r="A205" s="56">
        <v>201</v>
      </c>
      <c r="B205" s="65" t="s">
        <v>221</v>
      </c>
      <c r="C205" s="2">
        <v>2.5</v>
      </c>
      <c r="D205" s="2">
        <v>0</v>
      </c>
    </row>
    <row r="206" spans="1:4">
      <c r="A206" s="56">
        <v>202</v>
      </c>
      <c r="B206" s="65" t="s">
        <v>222</v>
      </c>
      <c r="C206" s="2">
        <v>2.15</v>
      </c>
      <c r="D206" s="2">
        <v>0</v>
      </c>
    </row>
    <row r="207" spans="1:4">
      <c r="A207" s="56">
        <v>203</v>
      </c>
      <c r="B207" s="65" t="s">
        <v>223</v>
      </c>
      <c r="C207" s="2">
        <v>1.5</v>
      </c>
      <c r="D207" s="2">
        <v>0</v>
      </c>
    </row>
    <row r="208" spans="1:4">
      <c r="A208" s="56">
        <v>204</v>
      </c>
      <c r="B208" s="65" t="s">
        <v>224</v>
      </c>
      <c r="C208" s="2">
        <v>0.8</v>
      </c>
      <c r="D208" s="2">
        <v>0</v>
      </c>
    </row>
    <row r="209" spans="1:4">
      <c r="A209" s="56">
        <v>205</v>
      </c>
      <c r="B209" s="65" t="s">
        <v>225</v>
      </c>
      <c r="C209" s="2">
        <v>3.5</v>
      </c>
      <c r="D209" s="2">
        <v>0</v>
      </c>
    </row>
    <row r="210" spans="1:4">
      <c r="A210" s="56">
        <v>206</v>
      </c>
      <c r="B210" s="65" t="s">
        <v>226</v>
      </c>
      <c r="C210" s="2">
        <v>0</v>
      </c>
      <c r="D210" s="2">
        <v>1</v>
      </c>
    </row>
    <row r="211" spans="1:4">
      <c r="A211" s="56">
        <v>207</v>
      </c>
      <c r="B211" s="65" t="s">
        <v>227</v>
      </c>
      <c r="C211" s="2">
        <v>0</v>
      </c>
      <c r="D211" s="2">
        <v>1</v>
      </c>
    </row>
    <row r="212" spans="1:4">
      <c r="A212" s="56">
        <v>208</v>
      </c>
      <c r="B212" s="65" t="s">
        <v>228</v>
      </c>
      <c r="C212" s="2">
        <v>0</v>
      </c>
      <c r="D212" s="2">
        <v>1</v>
      </c>
    </row>
    <row r="213" spans="1:4">
      <c r="A213" s="56">
        <v>209</v>
      </c>
      <c r="B213" s="65" t="s">
        <v>229</v>
      </c>
      <c r="C213" s="63">
        <v>2.3</v>
      </c>
      <c r="D213" s="2">
        <v>0</v>
      </c>
    </row>
    <row r="214" spans="1:4">
      <c r="A214" s="56">
        <v>210</v>
      </c>
      <c r="B214" s="65" t="s">
        <v>230</v>
      </c>
      <c r="C214" s="63">
        <v>6</v>
      </c>
      <c r="D214" s="2">
        <v>0</v>
      </c>
    </row>
    <row r="215" spans="1:4">
      <c r="A215" s="56">
        <v>211</v>
      </c>
      <c r="B215" s="65" t="s">
        <v>231</v>
      </c>
      <c r="C215" s="63">
        <v>3.1</v>
      </c>
      <c r="D215" s="2">
        <v>0</v>
      </c>
    </row>
    <row r="216" spans="1:4">
      <c r="A216" s="56">
        <v>212</v>
      </c>
      <c r="B216" s="65" t="s">
        <v>232</v>
      </c>
      <c r="C216" s="63">
        <v>5.58</v>
      </c>
      <c r="D216" s="2">
        <v>0</v>
      </c>
    </row>
    <row r="217" spans="1:4">
      <c r="A217" s="56">
        <v>213</v>
      </c>
      <c r="B217" s="65" t="s">
        <v>233</v>
      </c>
      <c r="C217" s="63">
        <v>2.3</v>
      </c>
      <c r="D217" s="2">
        <v>0</v>
      </c>
    </row>
    <row r="218" spans="1:4">
      <c r="A218" s="56">
        <v>214</v>
      </c>
      <c r="B218" s="65" t="s">
        <v>234</v>
      </c>
      <c r="C218" s="63">
        <v>3</v>
      </c>
      <c r="D218" s="2">
        <v>0</v>
      </c>
    </row>
    <row r="219" spans="1:4">
      <c r="A219" s="56">
        <v>215</v>
      </c>
      <c r="B219" s="65" t="s">
        <v>235</v>
      </c>
      <c r="C219" s="63">
        <v>2.5</v>
      </c>
      <c r="D219" s="2">
        <v>0</v>
      </c>
    </row>
    <row r="220" spans="1:4">
      <c r="A220" s="56">
        <v>216</v>
      </c>
      <c r="B220" s="65" t="s">
        <v>236</v>
      </c>
      <c r="C220" s="63">
        <v>1.5</v>
      </c>
      <c r="D220" s="2">
        <v>0</v>
      </c>
    </row>
    <row r="221" spans="1:4">
      <c r="A221" s="56">
        <v>217</v>
      </c>
      <c r="B221" s="65" t="s">
        <v>237</v>
      </c>
      <c r="C221" s="63">
        <v>1.6</v>
      </c>
      <c r="D221" s="2">
        <v>0</v>
      </c>
    </row>
    <row r="222" spans="1:4">
      <c r="A222" s="56">
        <v>218</v>
      </c>
      <c r="B222" s="65" t="s">
        <v>238</v>
      </c>
      <c r="C222" s="63">
        <v>4.83333333333333</v>
      </c>
      <c r="D222" s="2">
        <v>0</v>
      </c>
    </row>
    <row r="223" spans="1:4">
      <c r="A223" s="56">
        <v>219</v>
      </c>
      <c r="B223" s="65" t="s">
        <v>239</v>
      </c>
      <c r="C223" s="63">
        <v>7.39</v>
      </c>
      <c r="D223" s="2">
        <v>0</v>
      </c>
    </row>
    <row r="224" spans="1:4">
      <c r="A224" s="56">
        <v>220</v>
      </c>
      <c r="B224" s="65" t="s">
        <v>240</v>
      </c>
      <c r="C224" s="63">
        <v>3.4</v>
      </c>
      <c r="D224" s="2">
        <v>0</v>
      </c>
    </row>
    <row r="225" spans="1:4">
      <c r="A225" s="56">
        <v>221</v>
      </c>
      <c r="B225" s="65" t="s">
        <v>241</v>
      </c>
      <c r="C225" s="63">
        <v>1.4</v>
      </c>
      <c r="D225" s="2">
        <v>0</v>
      </c>
    </row>
    <row r="226" spans="1:4">
      <c r="A226" s="56">
        <v>222</v>
      </c>
      <c r="B226" s="65" t="s">
        <v>242</v>
      </c>
      <c r="C226" s="63">
        <v>3.3</v>
      </c>
      <c r="D226" s="2">
        <v>0</v>
      </c>
    </row>
    <row r="227" spans="1:4">
      <c r="A227" s="56">
        <v>223</v>
      </c>
      <c r="B227" s="65" t="s">
        <v>243</v>
      </c>
      <c r="C227" s="67">
        <v>2.8</v>
      </c>
      <c r="D227" s="2">
        <v>0</v>
      </c>
    </row>
    <row r="228" spans="1:4">
      <c r="A228" s="56">
        <v>224</v>
      </c>
      <c r="B228" s="65" t="s">
        <v>244</v>
      </c>
      <c r="C228" s="68">
        <v>2.8</v>
      </c>
      <c r="D228" s="2">
        <v>0</v>
      </c>
    </row>
    <row r="229" spans="1:4">
      <c r="A229" s="56">
        <v>225</v>
      </c>
      <c r="B229" s="65" t="s">
        <v>245</v>
      </c>
      <c r="C229" s="63">
        <v>1.5</v>
      </c>
      <c r="D229" s="2">
        <v>0</v>
      </c>
    </row>
    <row r="230" spans="1:4">
      <c r="A230" s="56">
        <v>226</v>
      </c>
      <c r="B230" s="65" t="s">
        <v>246</v>
      </c>
      <c r="C230" s="63">
        <v>1.6</v>
      </c>
      <c r="D230" s="2">
        <v>0</v>
      </c>
    </row>
    <row r="231" spans="1:4">
      <c r="A231" s="56">
        <v>227</v>
      </c>
      <c r="B231" s="65" t="s">
        <v>247</v>
      </c>
      <c r="C231" s="63">
        <v>2.5</v>
      </c>
      <c r="D231" s="2">
        <v>0</v>
      </c>
    </row>
    <row r="232" spans="1:4">
      <c r="A232" s="56">
        <v>228</v>
      </c>
      <c r="B232" s="65" t="s">
        <v>248</v>
      </c>
      <c r="C232" s="63">
        <v>3</v>
      </c>
      <c r="D232" s="2">
        <v>0</v>
      </c>
    </row>
    <row r="233" spans="1:4">
      <c r="A233" s="56">
        <v>229</v>
      </c>
      <c r="B233" s="56" t="s">
        <v>249</v>
      </c>
      <c r="C233" s="2">
        <v>1.5</v>
      </c>
      <c r="D233" s="2">
        <v>0</v>
      </c>
    </row>
    <row r="234" spans="1:4">
      <c r="A234" s="56">
        <v>230</v>
      </c>
      <c r="B234" s="56" t="s">
        <v>250</v>
      </c>
      <c r="C234" s="2">
        <v>1</v>
      </c>
      <c r="D234" s="2">
        <v>0</v>
      </c>
    </row>
    <row r="235" spans="1:4">
      <c r="A235" s="56">
        <v>231</v>
      </c>
      <c r="B235" s="56" t="s">
        <v>251</v>
      </c>
      <c r="C235" s="2">
        <v>0.7</v>
      </c>
      <c r="D235" s="2">
        <v>0</v>
      </c>
    </row>
    <row r="236" spans="1:4">
      <c r="A236" s="56">
        <v>232</v>
      </c>
      <c r="B236" s="56" t="s">
        <v>252</v>
      </c>
      <c r="C236" s="2">
        <v>0.55</v>
      </c>
      <c r="D236" s="2">
        <v>0</v>
      </c>
    </row>
    <row r="237" spans="1:4">
      <c r="A237" s="56">
        <v>233</v>
      </c>
      <c r="B237" s="65" t="s">
        <v>253</v>
      </c>
      <c r="C237" s="2">
        <v>2</v>
      </c>
      <c r="D237" s="2">
        <v>0</v>
      </c>
    </row>
    <row r="238" spans="1:4">
      <c r="A238" s="56">
        <v>234</v>
      </c>
      <c r="B238" s="65" t="s">
        <v>254</v>
      </c>
      <c r="C238" s="2">
        <v>1</v>
      </c>
      <c r="D238" s="2">
        <v>0</v>
      </c>
    </row>
    <row r="239" spans="1:4">
      <c r="A239" s="56">
        <v>235</v>
      </c>
      <c r="B239" s="65" t="s">
        <v>255</v>
      </c>
      <c r="C239" s="2">
        <v>1</v>
      </c>
      <c r="D239" s="2">
        <v>0</v>
      </c>
    </row>
    <row r="240" spans="1:4">
      <c r="A240" s="56">
        <v>236</v>
      </c>
      <c r="B240" s="65" t="s">
        <v>256</v>
      </c>
      <c r="C240" s="2">
        <v>1</v>
      </c>
      <c r="D240" s="2">
        <v>0</v>
      </c>
    </row>
    <row r="241" spans="1:4">
      <c r="A241" s="56">
        <v>237</v>
      </c>
      <c r="B241" s="65" t="s">
        <v>257</v>
      </c>
      <c r="C241" s="2">
        <v>1</v>
      </c>
      <c r="D241" s="2">
        <v>0</v>
      </c>
    </row>
    <row r="242" spans="1:4">
      <c r="A242" s="56">
        <v>238</v>
      </c>
      <c r="B242" s="65" t="s">
        <v>258</v>
      </c>
      <c r="C242" s="2">
        <v>0</v>
      </c>
      <c r="D242" s="2">
        <v>1</v>
      </c>
    </row>
    <row r="243" spans="1:4">
      <c r="A243" s="56">
        <v>241</v>
      </c>
      <c r="B243" s="56" t="s">
        <v>259</v>
      </c>
      <c r="C243" s="2">
        <v>3</v>
      </c>
      <c r="D243" s="2">
        <v>0</v>
      </c>
    </row>
    <row r="244" spans="1:4">
      <c r="A244" s="56">
        <v>242</v>
      </c>
      <c r="B244" s="56" t="s">
        <v>260</v>
      </c>
      <c r="C244" s="2">
        <v>2</v>
      </c>
      <c r="D244" s="2">
        <v>0</v>
      </c>
    </row>
    <row r="245" spans="1:4">
      <c r="A245" s="56">
        <v>243</v>
      </c>
      <c r="B245" s="65" t="s">
        <v>261</v>
      </c>
      <c r="C245" s="63">
        <v>2</v>
      </c>
      <c r="D245" s="2">
        <v>0</v>
      </c>
    </row>
    <row r="246" spans="1:4">
      <c r="A246" s="56">
        <v>244</v>
      </c>
      <c r="B246" s="65" t="s">
        <v>262</v>
      </c>
      <c r="C246" s="63">
        <v>3.2</v>
      </c>
      <c r="D246" s="2">
        <v>0</v>
      </c>
    </row>
    <row r="247" spans="1:4">
      <c r="A247" s="56">
        <v>245</v>
      </c>
      <c r="B247" s="65" t="s">
        <v>263</v>
      </c>
      <c r="C247" s="63">
        <v>2.2</v>
      </c>
      <c r="D247" s="2">
        <v>0</v>
      </c>
    </row>
    <row r="248" spans="1:4">
      <c r="A248" s="56">
        <v>246</v>
      </c>
      <c r="B248" s="56" t="s">
        <v>264</v>
      </c>
      <c r="C248" s="63">
        <v>1</v>
      </c>
      <c r="D248" s="2">
        <v>0</v>
      </c>
    </row>
    <row r="249" spans="1:4">
      <c r="A249" s="56">
        <v>247</v>
      </c>
      <c r="B249" s="65" t="s">
        <v>265</v>
      </c>
      <c r="C249" s="2">
        <v>2</v>
      </c>
      <c r="D249" s="2">
        <v>0</v>
      </c>
    </row>
    <row r="250" spans="1:4">
      <c r="A250" s="56">
        <v>248</v>
      </c>
      <c r="B250" s="65" t="s">
        <v>266</v>
      </c>
      <c r="C250" s="2">
        <v>2.5</v>
      </c>
      <c r="D250" s="2">
        <v>0</v>
      </c>
    </row>
    <row r="251" spans="1:4">
      <c r="A251" s="56">
        <v>249</v>
      </c>
      <c r="B251" s="65" t="s">
        <v>267</v>
      </c>
      <c r="C251" s="2">
        <v>3</v>
      </c>
      <c r="D251" s="2">
        <v>0</v>
      </c>
    </row>
    <row r="252" spans="1:4">
      <c r="A252" s="56">
        <v>250</v>
      </c>
      <c r="B252" s="69" t="s">
        <v>268</v>
      </c>
      <c r="C252" s="2">
        <v>1.7</v>
      </c>
      <c r="D252" s="2">
        <v>0</v>
      </c>
    </row>
    <row r="253" spans="1:4">
      <c r="A253" s="56">
        <v>251</v>
      </c>
      <c r="B253" s="64" t="s">
        <v>269</v>
      </c>
      <c r="C253" s="70">
        <v>12</v>
      </c>
      <c r="D253" s="2">
        <v>0</v>
      </c>
    </row>
    <row r="254" spans="1:4">
      <c r="A254" s="56">
        <v>252</v>
      </c>
      <c r="B254" s="71" t="s">
        <v>270</v>
      </c>
      <c r="C254" s="72">
        <v>4.4</v>
      </c>
      <c r="D254" s="2">
        <v>0</v>
      </c>
    </row>
    <row r="255" spans="1:4">
      <c r="A255" s="56">
        <v>253</v>
      </c>
      <c r="B255" s="73" t="s">
        <v>271</v>
      </c>
      <c r="C255" s="72">
        <v>4.5</v>
      </c>
      <c r="D255" s="2">
        <v>0</v>
      </c>
    </row>
    <row r="256" spans="1:4">
      <c r="A256" s="56">
        <v>254</v>
      </c>
      <c r="B256" s="73" t="s">
        <v>272</v>
      </c>
      <c r="C256" s="72">
        <v>4.5</v>
      </c>
      <c r="D256" s="2">
        <v>0</v>
      </c>
    </row>
    <row r="257" spans="1:4">
      <c r="A257" s="56">
        <v>255</v>
      </c>
      <c r="B257" s="73" t="s">
        <v>273</v>
      </c>
      <c r="C257" s="72">
        <v>4.7</v>
      </c>
      <c r="D257" s="2">
        <v>0</v>
      </c>
    </row>
    <row r="258" spans="1:4">
      <c r="A258" s="56">
        <v>256</v>
      </c>
      <c r="B258" s="73" t="s">
        <v>274</v>
      </c>
      <c r="C258" s="72">
        <v>14.5</v>
      </c>
      <c r="D258" s="2">
        <v>0</v>
      </c>
    </row>
    <row r="259" spans="1:4">
      <c r="A259" s="56">
        <v>257</v>
      </c>
      <c r="B259" s="1" t="s">
        <v>275</v>
      </c>
      <c r="C259" s="72">
        <v>1.5</v>
      </c>
      <c r="D259" s="2">
        <v>0</v>
      </c>
    </row>
    <row r="260" spans="1:4">
      <c r="A260" s="56">
        <v>258</v>
      </c>
      <c r="B260" s="69" t="s">
        <v>276</v>
      </c>
      <c r="C260" s="2">
        <v>0</v>
      </c>
      <c r="D260" s="2">
        <v>1</v>
      </c>
    </row>
    <row r="261" spans="1:4">
      <c r="A261" s="56">
        <v>259</v>
      </c>
      <c r="B261" s="69" t="s">
        <v>277</v>
      </c>
      <c r="C261" s="2">
        <v>4</v>
      </c>
      <c r="D261" s="2">
        <v>0</v>
      </c>
    </row>
    <row r="262" spans="1:4">
      <c r="A262" s="56">
        <v>260</v>
      </c>
      <c r="B262" s="69" t="s">
        <v>278</v>
      </c>
      <c r="C262" s="2">
        <v>0</v>
      </c>
      <c r="D262" s="2">
        <v>1</v>
      </c>
    </row>
    <row r="263" spans="1:4">
      <c r="A263" s="56">
        <v>261</v>
      </c>
      <c r="B263" s="73" t="s">
        <v>279</v>
      </c>
      <c r="C263" s="72">
        <v>1.52</v>
      </c>
      <c r="D263" s="2">
        <v>0</v>
      </c>
    </row>
    <row r="264" spans="1:4">
      <c r="A264" s="56">
        <v>262</v>
      </c>
      <c r="B264" s="73" t="s">
        <v>280</v>
      </c>
      <c r="C264" s="72">
        <v>1.75</v>
      </c>
      <c r="D264" s="2">
        <v>0</v>
      </c>
    </row>
    <row r="265" spans="1:4">
      <c r="A265" s="56">
        <v>263</v>
      </c>
      <c r="B265" s="71" t="s">
        <v>281</v>
      </c>
      <c r="C265" s="72">
        <v>7.5</v>
      </c>
      <c r="D265" s="2">
        <v>0</v>
      </c>
    </row>
    <row r="266" spans="1:4">
      <c r="A266" s="56">
        <v>264</v>
      </c>
      <c r="B266" s="73" t="s">
        <v>282</v>
      </c>
      <c r="C266" s="72">
        <v>2.4</v>
      </c>
      <c r="D266" s="2">
        <v>0</v>
      </c>
    </row>
    <row r="267" spans="1:4">
      <c r="A267" s="56">
        <v>265</v>
      </c>
      <c r="B267" s="71" t="s">
        <v>283</v>
      </c>
      <c r="C267" s="72">
        <v>1.3</v>
      </c>
      <c r="D267" s="2">
        <v>0</v>
      </c>
    </row>
    <row r="268" spans="1:4">
      <c r="A268" s="56">
        <v>266</v>
      </c>
      <c r="B268" s="73" t="s">
        <v>284</v>
      </c>
      <c r="C268" s="72">
        <v>3</v>
      </c>
      <c r="D268" s="2">
        <v>0</v>
      </c>
    </row>
    <row r="269" spans="1:4">
      <c r="A269" s="56">
        <v>267</v>
      </c>
      <c r="B269" s="73" t="s">
        <v>285</v>
      </c>
      <c r="C269" s="72">
        <v>3</v>
      </c>
      <c r="D269" s="2">
        <v>0</v>
      </c>
    </row>
    <row r="270" spans="1:4">
      <c r="A270" s="56">
        <v>268</v>
      </c>
      <c r="B270" s="71" t="s">
        <v>286</v>
      </c>
      <c r="C270" s="72">
        <v>3.8</v>
      </c>
      <c r="D270" s="2">
        <v>0</v>
      </c>
    </row>
    <row r="271" spans="1:4">
      <c r="A271" s="56">
        <v>269</v>
      </c>
      <c r="B271" s="71" t="s">
        <v>287</v>
      </c>
      <c r="C271" s="72">
        <v>3.8</v>
      </c>
      <c r="D271" s="2">
        <v>0</v>
      </c>
    </row>
    <row r="272" spans="1:4">
      <c r="A272" s="56">
        <v>270</v>
      </c>
      <c r="B272" s="71" t="s">
        <v>288</v>
      </c>
      <c r="C272" s="72">
        <v>7.5</v>
      </c>
      <c r="D272" s="2">
        <v>0</v>
      </c>
    </row>
    <row r="273" spans="1:4">
      <c r="A273" s="56">
        <v>271</v>
      </c>
      <c r="B273" s="74" t="s">
        <v>289</v>
      </c>
      <c r="C273" s="75">
        <v>2</v>
      </c>
      <c r="D273" s="2">
        <v>0</v>
      </c>
    </row>
    <row r="274" spans="1:4">
      <c r="A274" s="56">
        <v>272</v>
      </c>
      <c r="B274" s="73" t="s">
        <v>290</v>
      </c>
      <c r="C274" s="2">
        <v>2.16666666666667</v>
      </c>
      <c r="D274" s="2">
        <v>0</v>
      </c>
    </row>
    <row r="275" spans="1:4">
      <c r="A275" s="56">
        <v>273</v>
      </c>
      <c r="B275" s="73" t="s">
        <v>291</v>
      </c>
      <c r="C275" s="2">
        <v>2</v>
      </c>
      <c r="D275" s="2">
        <v>0</v>
      </c>
    </row>
    <row r="276" spans="1:4">
      <c r="A276" s="56">
        <v>274</v>
      </c>
      <c r="B276" s="71" t="s">
        <v>292</v>
      </c>
      <c r="C276" s="2">
        <v>2.16666666666667</v>
      </c>
      <c r="D276" s="2">
        <v>0</v>
      </c>
    </row>
    <row r="277" spans="1:4">
      <c r="A277" s="56">
        <v>275</v>
      </c>
      <c r="B277" s="73" t="s">
        <v>293</v>
      </c>
      <c r="C277" s="2">
        <v>2.16666666666667</v>
      </c>
      <c r="D277" s="2">
        <v>0</v>
      </c>
    </row>
    <row r="278" spans="1:4">
      <c r="A278" s="56">
        <v>276</v>
      </c>
      <c r="B278" s="71" t="s">
        <v>294</v>
      </c>
      <c r="C278" s="2">
        <v>5.33333333333333</v>
      </c>
      <c r="D278" s="2">
        <v>0</v>
      </c>
    </row>
    <row r="279" spans="1:4">
      <c r="A279" s="76">
        <v>277</v>
      </c>
      <c r="B279" s="77" t="s">
        <v>295</v>
      </c>
      <c r="C279" s="78">
        <v>3.8666667</v>
      </c>
      <c r="D279" s="2">
        <v>0</v>
      </c>
    </row>
    <row r="280" spans="1:4">
      <c r="A280" s="76">
        <v>278</v>
      </c>
      <c r="B280" s="77" t="s">
        <v>296</v>
      </c>
      <c r="C280" s="78">
        <v>3.8666667</v>
      </c>
      <c r="D280" s="2">
        <v>0</v>
      </c>
    </row>
    <row r="281" spans="1:4">
      <c r="A281" s="56">
        <v>279</v>
      </c>
      <c r="B281" s="73" t="s">
        <v>297</v>
      </c>
      <c r="C281" s="72">
        <v>3</v>
      </c>
      <c r="D281" s="2">
        <v>1</v>
      </c>
    </row>
    <row r="282" spans="1:4">
      <c r="A282" s="76">
        <v>280</v>
      </c>
      <c r="B282" s="77" t="s">
        <v>298</v>
      </c>
      <c r="C282" s="79">
        <v>6.3</v>
      </c>
      <c r="D282" s="2">
        <v>0</v>
      </c>
    </row>
    <row r="283" spans="1:4">
      <c r="A283" s="56">
        <v>281</v>
      </c>
      <c r="B283" s="69" t="s">
        <v>299</v>
      </c>
      <c r="C283" s="80">
        <v>1.5</v>
      </c>
      <c r="D283" s="2">
        <v>0</v>
      </c>
    </row>
    <row r="284" spans="1:4">
      <c r="A284" s="56">
        <v>282</v>
      </c>
      <c r="B284" s="73" t="s">
        <v>300</v>
      </c>
      <c r="C284" s="72">
        <v>1.6</v>
      </c>
      <c r="D284" s="2">
        <v>0</v>
      </c>
    </row>
    <row r="285" spans="1:4">
      <c r="A285" s="56">
        <v>283</v>
      </c>
      <c r="B285" s="73" t="s">
        <v>301</v>
      </c>
      <c r="C285" s="72">
        <v>1.7</v>
      </c>
      <c r="D285" s="2">
        <v>0</v>
      </c>
    </row>
    <row r="286" spans="1:4">
      <c r="A286" s="56">
        <v>284</v>
      </c>
      <c r="B286" s="71" t="s">
        <v>302</v>
      </c>
      <c r="C286" s="72">
        <v>1.6</v>
      </c>
      <c r="D286" s="2">
        <v>0</v>
      </c>
    </row>
    <row r="287" spans="1:4">
      <c r="A287" s="56">
        <v>285</v>
      </c>
      <c r="B287" s="73" t="s">
        <v>303</v>
      </c>
      <c r="C287" s="72">
        <v>2.15</v>
      </c>
      <c r="D287" s="2">
        <v>0</v>
      </c>
    </row>
    <row r="288" spans="1:4">
      <c r="A288" s="56">
        <v>286</v>
      </c>
      <c r="B288" s="71" t="s">
        <v>304</v>
      </c>
      <c r="C288" s="72">
        <v>4.5</v>
      </c>
      <c r="D288" s="2">
        <v>0</v>
      </c>
    </row>
    <row r="289" spans="1:4">
      <c r="A289" s="56">
        <v>287</v>
      </c>
      <c r="B289" s="73" t="s">
        <v>305</v>
      </c>
      <c r="C289" s="72">
        <v>4.5</v>
      </c>
      <c r="D289" s="2">
        <v>0</v>
      </c>
    </row>
    <row r="290" spans="1:4">
      <c r="A290" s="56">
        <v>288</v>
      </c>
      <c r="B290" s="71" t="s">
        <v>306</v>
      </c>
      <c r="C290" s="72">
        <v>2.3</v>
      </c>
      <c r="D290" s="2">
        <v>0</v>
      </c>
    </row>
    <row r="291" spans="1:4">
      <c r="A291" s="56">
        <v>289</v>
      </c>
      <c r="B291" s="71" t="s">
        <v>307</v>
      </c>
      <c r="C291" s="72">
        <v>4.5</v>
      </c>
      <c r="D291" s="2">
        <v>0</v>
      </c>
    </row>
    <row r="292" spans="1:4">
      <c r="A292" s="56">
        <v>290</v>
      </c>
      <c r="B292" s="71" t="s">
        <v>308</v>
      </c>
      <c r="C292" s="72">
        <v>4.5</v>
      </c>
      <c r="D292" s="2">
        <v>0</v>
      </c>
    </row>
    <row r="293" spans="1:4">
      <c r="A293" s="56">
        <v>291</v>
      </c>
      <c r="B293" s="69" t="s">
        <v>309</v>
      </c>
      <c r="C293" s="75">
        <v>1.5</v>
      </c>
      <c r="D293" s="2">
        <v>0</v>
      </c>
    </row>
    <row r="294" spans="1:4">
      <c r="A294" s="56">
        <v>292</v>
      </c>
      <c r="B294" s="69" t="s">
        <v>310</v>
      </c>
      <c r="C294" s="72">
        <v>3</v>
      </c>
      <c r="D294" s="2">
        <v>0</v>
      </c>
    </row>
    <row r="295" spans="1:4">
      <c r="A295" s="56">
        <v>293</v>
      </c>
      <c r="B295" s="69" t="s">
        <v>311</v>
      </c>
      <c r="C295" s="72">
        <v>1</v>
      </c>
      <c r="D295" s="2">
        <v>0</v>
      </c>
    </row>
    <row r="296" spans="1:4">
      <c r="A296" s="56">
        <v>294</v>
      </c>
      <c r="B296" s="69" t="s">
        <v>312</v>
      </c>
      <c r="C296" s="72">
        <v>6</v>
      </c>
      <c r="D296" s="2">
        <v>0</v>
      </c>
    </row>
    <row r="297" spans="1:4">
      <c r="A297" s="56">
        <v>295</v>
      </c>
      <c r="B297" s="69" t="s">
        <v>313</v>
      </c>
      <c r="C297" s="72">
        <v>1.45</v>
      </c>
      <c r="D297" s="2">
        <v>0</v>
      </c>
    </row>
    <row r="298" spans="1:4">
      <c r="A298" s="56">
        <v>297</v>
      </c>
      <c r="B298" s="69" t="s">
        <v>314</v>
      </c>
      <c r="C298" s="72">
        <v>1.66666666666667</v>
      </c>
      <c r="D298" s="2">
        <v>0</v>
      </c>
    </row>
    <row r="299" spans="1:4">
      <c r="A299" s="56">
        <v>298</v>
      </c>
      <c r="B299" s="69" t="s">
        <v>315</v>
      </c>
      <c r="C299" s="72">
        <v>4.33333333333333</v>
      </c>
      <c r="D299" s="2">
        <v>0</v>
      </c>
    </row>
    <row r="300" spans="1:4">
      <c r="A300" s="56">
        <v>299</v>
      </c>
      <c r="B300" s="69" t="s">
        <v>316</v>
      </c>
      <c r="C300" s="72">
        <v>2.33333333333333</v>
      </c>
      <c r="D300" s="2">
        <v>0</v>
      </c>
    </row>
    <row r="301" spans="1:4">
      <c r="A301" s="56">
        <v>300</v>
      </c>
      <c r="B301" s="69" t="s">
        <v>317</v>
      </c>
      <c r="C301" s="72">
        <v>1.5</v>
      </c>
      <c r="D301" s="2">
        <v>0</v>
      </c>
    </row>
    <row r="302" spans="1:4">
      <c r="A302" s="56">
        <v>301</v>
      </c>
      <c r="B302" s="69" t="s">
        <v>318</v>
      </c>
      <c r="C302" s="72">
        <v>1.5</v>
      </c>
      <c r="D302" s="2">
        <v>0</v>
      </c>
    </row>
    <row r="303" spans="1:4">
      <c r="A303" s="56">
        <v>302</v>
      </c>
      <c r="B303" s="69" t="s">
        <v>319</v>
      </c>
      <c r="C303" s="72">
        <v>1.5</v>
      </c>
      <c r="D303" s="2">
        <v>0</v>
      </c>
    </row>
    <row r="304" spans="1:4">
      <c r="A304" s="56">
        <v>303</v>
      </c>
      <c r="B304" s="69" t="s">
        <v>320</v>
      </c>
      <c r="C304" s="72">
        <v>2</v>
      </c>
      <c r="D304" s="2">
        <v>0</v>
      </c>
    </row>
    <row r="305" spans="1:4">
      <c r="A305" s="56">
        <v>304</v>
      </c>
      <c r="B305" s="69" t="s">
        <v>321</v>
      </c>
      <c r="C305" s="72">
        <v>7</v>
      </c>
      <c r="D305" s="2">
        <v>0</v>
      </c>
    </row>
    <row r="306" spans="1:4">
      <c r="A306" s="56">
        <v>305</v>
      </c>
      <c r="B306" s="69" t="s">
        <v>322</v>
      </c>
      <c r="C306" s="72">
        <v>2</v>
      </c>
      <c r="D306" s="2">
        <v>0</v>
      </c>
    </row>
    <row r="307" spans="1:4">
      <c r="A307" s="56">
        <v>306</v>
      </c>
      <c r="B307" s="69" t="s">
        <v>323</v>
      </c>
      <c r="C307" s="72">
        <v>2.5</v>
      </c>
      <c r="D307" s="2">
        <v>0</v>
      </c>
    </row>
    <row r="308" spans="1:5">
      <c r="A308" s="56">
        <v>307</v>
      </c>
      <c r="B308" s="1" t="s">
        <v>324</v>
      </c>
      <c r="C308" s="81">
        <v>1.8</v>
      </c>
      <c r="D308" s="2">
        <v>0</v>
      </c>
      <c r="E308" s="2" t="s">
        <v>325</v>
      </c>
    </row>
    <row r="309" spans="1:5">
      <c r="A309" s="56">
        <v>308</v>
      </c>
      <c r="B309" s="1" t="s">
        <v>326</v>
      </c>
      <c r="C309" s="81">
        <v>4.3</v>
      </c>
      <c r="D309" s="2">
        <v>0</v>
      </c>
      <c r="E309" s="2" t="s">
        <v>325</v>
      </c>
    </row>
    <row r="310" spans="1:5">
      <c r="A310" s="56">
        <v>309</v>
      </c>
      <c r="B310" s="1" t="s">
        <v>327</v>
      </c>
      <c r="C310" s="81">
        <v>1.6</v>
      </c>
      <c r="D310" s="2">
        <v>0</v>
      </c>
      <c r="E310" s="2" t="s">
        <v>325</v>
      </c>
    </row>
    <row r="311" spans="1:5">
      <c r="A311" s="56">
        <v>310</v>
      </c>
      <c r="B311" s="1" t="s">
        <v>328</v>
      </c>
      <c r="C311" s="81">
        <v>3.5</v>
      </c>
      <c r="D311" s="2">
        <v>0</v>
      </c>
      <c r="E311" s="2" t="s">
        <v>325</v>
      </c>
    </row>
    <row r="312" spans="1:5">
      <c r="A312" s="56">
        <v>311</v>
      </c>
      <c r="B312" s="1" t="s">
        <v>329</v>
      </c>
      <c r="C312" s="81">
        <v>3.7</v>
      </c>
      <c r="D312" s="2">
        <v>0</v>
      </c>
      <c r="E312" s="2" t="s">
        <v>325</v>
      </c>
    </row>
    <row r="313" spans="1:5">
      <c r="A313" s="56">
        <v>312</v>
      </c>
      <c r="B313" s="1" t="s">
        <v>330</v>
      </c>
      <c r="C313" s="81">
        <v>1</v>
      </c>
      <c r="D313" s="2">
        <v>0</v>
      </c>
      <c r="E313" s="2" t="s">
        <v>325</v>
      </c>
    </row>
    <row r="314" spans="1:5">
      <c r="A314" s="56">
        <v>313</v>
      </c>
      <c r="B314" s="1" t="s">
        <v>331</v>
      </c>
      <c r="C314" s="81">
        <v>1</v>
      </c>
      <c r="D314" s="2">
        <v>0</v>
      </c>
      <c r="E314" s="2" t="s">
        <v>325</v>
      </c>
    </row>
    <row r="315" spans="1:4">
      <c r="A315" s="56">
        <v>314</v>
      </c>
      <c r="B315" s="69" t="s">
        <v>332</v>
      </c>
      <c r="C315" s="75">
        <v>2</v>
      </c>
      <c r="D315" s="2">
        <v>0</v>
      </c>
    </row>
    <row r="316" spans="1:4">
      <c r="A316" s="56">
        <v>315</v>
      </c>
      <c r="B316" s="69" t="s">
        <v>333</v>
      </c>
      <c r="C316" s="72">
        <v>2</v>
      </c>
      <c r="D316" s="2">
        <v>0</v>
      </c>
    </row>
    <row r="317" spans="1:4">
      <c r="A317" s="56">
        <v>316</v>
      </c>
      <c r="B317" s="69" t="s">
        <v>334</v>
      </c>
      <c r="C317" s="72">
        <v>3</v>
      </c>
      <c r="D317" s="2">
        <v>0</v>
      </c>
    </row>
    <row r="318" spans="1:4">
      <c r="A318" s="56">
        <v>317</v>
      </c>
      <c r="B318" s="65" t="s">
        <v>335</v>
      </c>
      <c r="C318" s="75">
        <v>2</v>
      </c>
      <c r="D318" s="2">
        <v>0</v>
      </c>
    </row>
    <row r="319" spans="1:4">
      <c r="A319" s="56">
        <v>318</v>
      </c>
      <c r="B319" s="65" t="s">
        <v>336</v>
      </c>
      <c r="C319" s="75">
        <v>0</v>
      </c>
      <c r="D319" s="2">
        <v>1</v>
      </c>
    </row>
    <row r="320" spans="1:4">
      <c r="A320" s="56">
        <v>319</v>
      </c>
      <c r="B320" s="65" t="s">
        <v>337</v>
      </c>
      <c r="C320" s="75">
        <v>0</v>
      </c>
      <c r="D320" s="2">
        <v>1</v>
      </c>
    </row>
    <row r="321" spans="1:4">
      <c r="A321" s="56">
        <v>320</v>
      </c>
      <c r="B321" s="65" t="s">
        <v>338</v>
      </c>
      <c r="C321" s="75">
        <v>0</v>
      </c>
      <c r="D321" s="2">
        <v>1</v>
      </c>
    </row>
    <row r="322" spans="1:4">
      <c r="A322" s="56">
        <v>321</v>
      </c>
      <c r="B322" s="65" t="s">
        <v>339</v>
      </c>
      <c r="C322" s="75">
        <v>0</v>
      </c>
      <c r="D322" s="2">
        <v>1</v>
      </c>
    </row>
    <row r="323" spans="1:4">
      <c r="A323" s="56">
        <v>322</v>
      </c>
      <c r="B323" s="65" t="s">
        <v>340</v>
      </c>
      <c r="C323" s="75">
        <v>0</v>
      </c>
      <c r="D323" s="2">
        <v>1</v>
      </c>
    </row>
    <row r="324" spans="1:4">
      <c r="A324" s="56">
        <v>323</v>
      </c>
      <c r="B324" s="65" t="s">
        <v>341</v>
      </c>
      <c r="C324" s="72">
        <v>3.3</v>
      </c>
      <c r="D324" s="2">
        <v>0</v>
      </c>
    </row>
    <row r="325" spans="1:4">
      <c r="A325" s="56">
        <v>324</v>
      </c>
      <c r="B325" s="65" t="s">
        <v>342</v>
      </c>
      <c r="C325" s="72">
        <v>3.13</v>
      </c>
      <c r="D325" s="2">
        <v>0</v>
      </c>
    </row>
    <row r="326" spans="1:4">
      <c r="A326" s="56">
        <v>325</v>
      </c>
      <c r="B326" s="65" t="s">
        <v>343</v>
      </c>
      <c r="C326" s="72">
        <v>5.2</v>
      </c>
      <c r="D326" s="2">
        <v>0</v>
      </c>
    </row>
    <row r="327" spans="1:4">
      <c r="A327" s="56">
        <v>326</v>
      </c>
      <c r="B327" s="65" t="s">
        <v>344</v>
      </c>
      <c r="C327" s="72">
        <v>1</v>
      </c>
      <c r="D327" s="2">
        <v>0</v>
      </c>
    </row>
    <row r="328" spans="1:4">
      <c r="A328" s="56">
        <v>327</v>
      </c>
      <c r="B328" s="65" t="s">
        <v>345</v>
      </c>
      <c r="C328" s="2">
        <v>3</v>
      </c>
      <c r="D328" s="2">
        <v>0</v>
      </c>
    </row>
    <row r="329" spans="1:4">
      <c r="A329" s="56">
        <v>328</v>
      </c>
      <c r="B329" s="65" t="s">
        <v>346</v>
      </c>
      <c r="C329" s="2">
        <v>0</v>
      </c>
      <c r="D329" s="2">
        <v>1</v>
      </c>
    </row>
    <row r="330" spans="1:4">
      <c r="A330" s="56">
        <v>329</v>
      </c>
      <c r="B330" s="56" t="s">
        <v>347</v>
      </c>
      <c r="C330" s="2">
        <v>1.5</v>
      </c>
      <c r="D330" s="2">
        <v>0</v>
      </c>
    </row>
    <row r="331" spans="1:4">
      <c r="A331" s="56">
        <v>330</v>
      </c>
      <c r="B331" s="1" t="s">
        <v>348</v>
      </c>
      <c r="C331" s="2">
        <v>2.666666667</v>
      </c>
      <c r="D331" s="2">
        <v>0</v>
      </c>
    </row>
    <row r="332" spans="1:4">
      <c r="A332" s="56">
        <v>331</v>
      </c>
      <c r="B332" s="1" t="s">
        <v>349</v>
      </c>
      <c r="C332" s="2">
        <v>6.4</v>
      </c>
      <c r="D332" s="2">
        <v>0</v>
      </c>
    </row>
    <row r="333" spans="1:4">
      <c r="A333" s="56">
        <v>332</v>
      </c>
      <c r="B333" s="56" t="s">
        <v>350</v>
      </c>
      <c r="C333" s="2">
        <v>4</v>
      </c>
      <c r="D333" s="2">
        <v>0</v>
      </c>
    </row>
    <row r="334" spans="1:4">
      <c r="A334" s="56">
        <v>333</v>
      </c>
      <c r="B334" s="62" t="s">
        <v>351</v>
      </c>
      <c r="C334" s="81">
        <v>2.7</v>
      </c>
      <c r="D334" s="2">
        <v>0</v>
      </c>
    </row>
    <row r="335" spans="1:4">
      <c r="A335" s="56">
        <v>334</v>
      </c>
      <c r="B335" s="62" t="s">
        <v>352</v>
      </c>
      <c r="C335" s="72">
        <v>2.5</v>
      </c>
      <c r="D335" s="2">
        <v>0</v>
      </c>
    </row>
    <row r="336" spans="1:4">
      <c r="A336" s="56">
        <v>335</v>
      </c>
      <c r="B336" s="64" t="s">
        <v>353</v>
      </c>
      <c r="C336" s="72">
        <v>1.9</v>
      </c>
      <c r="D336" s="2">
        <v>0</v>
      </c>
    </row>
    <row r="337" spans="1:4">
      <c r="A337" s="56">
        <v>336</v>
      </c>
      <c r="B337" s="62" t="s">
        <v>354</v>
      </c>
      <c r="C337" s="72">
        <v>3.5</v>
      </c>
      <c r="D337" s="2">
        <v>0</v>
      </c>
    </row>
    <row r="338" spans="1:4">
      <c r="A338" s="56">
        <v>337</v>
      </c>
      <c r="B338" s="62" t="s">
        <v>355</v>
      </c>
      <c r="C338" s="72">
        <v>3.5</v>
      </c>
      <c r="D338" s="2">
        <v>0</v>
      </c>
    </row>
    <row r="339" spans="1:4">
      <c r="A339" s="56">
        <v>338</v>
      </c>
      <c r="B339" s="62" t="s">
        <v>356</v>
      </c>
      <c r="C339" s="72">
        <v>10.6666666666667</v>
      </c>
      <c r="D339" s="2">
        <v>0</v>
      </c>
    </row>
    <row r="340" spans="1:4">
      <c r="A340" s="56">
        <v>339</v>
      </c>
      <c r="B340" s="62" t="s">
        <v>357</v>
      </c>
      <c r="C340" s="58">
        <v>3.66666666666667</v>
      </c>
      <c r="D340" s="2">
        <v>0</v>
      </c>
    </row>
    <row r="341" spans="1:4">
      <c r="A341" s="56">
        <v>340</v>
      </c>
      <c r="B341" s="62" t="s">
        <v>358</v>
      </c>
      <c r="C341" s="72">
        <v>2.7</v>
      </c>
      <c r="D341" s="2">
        <v>0</v>
      </c>
    </row>
    <row r="342" spans="1:4">
      <c r="A342" s="56">
        <v>341</v>
      </c>
      <c r="B342" s="65" t="s">
        <v>359</v>
      </c>
      <c r="C342" s="72">
        <v>1.7</v>
      </c>
      <c r="D342" s="2">
        <v>0</v>
      </c>
    </row>
    <row r="343" spans="1:4">
      <c r="A343" s="56">
        <v>342</v>
      </c>
      <c r="B343" s="65" t="s">
        <v>360</v>
      </c>
      <c r="C343" s="72">
        <v>1.7</v>
      </c>
      <c r="D343" s="2">
        <v>0</v>
      </c>
    </row>
    <row r="344" spans="1:4">
      <c r="A344" s="56">
        <v>343</v>
      </c>
      <c r="B344" s="65" t="s">
        <v>361</v>
      </c>
      <c r="C344" s="72">
        <v>2.6</v>
      </c>
      <c r="D344" s="2">
        <v>0</v>
      </c>
    </row>
    <row r="345" spans="1:4">
      <c r="A345" s="56">
        <v>344</v>
      </c>
      <c r="B345" s="65" t="s">
        <v>362</v>
      </c>
      <c r="C345" s="72">
        <v>2.6</v>
      </c>
      <c r="D345" s="2">
        <v>0</v>
      </c>
    </row>
    <row r="346" spans="1:4">
      <c r="A346" s="56">
        <v>345</v>
      </c>
      <c r="B346" s="65" t="s">
        <v>363</v>
      </c>
      <c r="C346" s="72">
        <v>2</v>
      </c>
      <c r="D346" s="2">
        <v>0</v>
      </c>
    </row>
    <row r="347" spans="1:4">
      <c r="A347" s="56">
        <v>346</v>
      </c>
      <c r="B347" s="56" t="s">
        <v>364</v>
      </c>
      <c r="C347" s="2">
        <v>2.2</v>
      </c>
      <c r="D347" s="2">
        <v>0</v>
      </c>
    </row>
    <row r="348" spans="1:4">
      <c r="A348" s="56">
        <v>347</v>
      </c>
      <c r="B348" s="82" t="s">
        <v>365</v>
      </c>
      <c r="C348" s="2">
        <v>5.2</v>
      </c>
      <c r="D348" s="2">
        <v>0</v>
      </c>
    </row>
    <row r="349" spans="1:4">
      <c r="A349" s="56">
        <v>348</v>
      </c>
      <c r="B349" s="65" t="s">
        <v>366</v>
      </c>
      <c r="C349" s="2">
        <v>1.1</v>
      </c>
      <c r="D349" s="2">
        <v>0</v>
      </c>
    </row>
    <row r="350" spans="1:4">
      <c r="A350" s="56">
        <v>349</v>
      </c>
      <c r="B350" s="56" t="s">
        <v>367</v>
      </c>
      <c r="C350" s="2">
        <v>4.7</v>
      </c>
      <c r="D350" s="2">
        <v>0</v>
      </c>
    </row>
    <row r="351" spans="1:4">
      <c r="A351" s="56">
        <v>350</v>
      </c>
      <c r="B351" s="56" t="s">
        <v>368</v>
      </c>
      <c r="C351" s="2">
        <v>1.8</v>
      </c>
      <c r="D351" s="2">
        <v>0</v>
      </c>
    </row>
    <row r="352" spans="1:4">
      <c r="A352" s="56">
        <v>351</v>
      </c>
      <c r="B352" s="56" t="s">
        <v>369</v>
      </c>
      <c r="C352" s="2">
        <v>2.4</v>
      </c>
      <c r="D352" s="2">
        <v>0</v>
      </c>
    </row>
    <row r="353" spans="1:4">
      <c r="A353" s="56">
        <v>352</v>
      </c>
      <c r="B353" s="56" t="s">
        <v>370</v>
      </c>
      <c r="C353" s="2">
        <v>4.5</v>
      </c>
      <c r="D353" s="2">
        <v>0</v>
      </c>
    </row>
    <row r="354" spans="1:4">
      <c r="A354" s="56">
        <v>353</v>
      </c>
      <c r="B354" s="56" t="s">
        <v>371</v>
      </c>
      <c r="C354" s="2">
        <v>3.83333333333333</v>
      </c>
      <c r="D354" s="2">
        <v>0</v>
      </c>
    </row>
    <row r="355" spans="1:4">
      <c r="A355" s="56">
        <v>354</v>
      </c>
      <c r="B355" s="56" t="s">
        <v>372</v>
      </c>
      <c r="C355" s="2">
        <v>4.6</v>
      </c>
      <c r="D355" s="2">
        <v>0</v>
      </c>
    </row>
    <row r="356" spans="1:4">
      <c r="A356" s="56">
        <v>355</v>
      </c>
      <c r="B356" s="56" t="s">
        <v>373</v>
      </c>
      <c r="C356" s="2">
        <v>3.5</v>
      </c>
      <c r="D356" s="2">
        <v>0</v>
      </c>
    </row>
    <row r="357" spans="1:4">
      <c r="A357" s="56">
        <v>356</v>
      </c>
      <c r="B357" s="56" t="s">
        <v>374</v>
      </c>
      <c r="C357" s="2">
        <v>6.2</v>
      </c>
      <c r="D357" s="2">
        <v>0</v>
      </c>
    </row>
    <row r="358" spans="1:4">
      <c r="A358" s="56">
        <v>357</v>
      </c>
      <c r="B358" s="56" t="s">
        <v>375</v>
      </c>
      <c r="C358" s="2">
        <v>1.2</v>
      </c>
      <c r="D358" s="2">
        <v>0</v>
      </c>
    </row>
    <row r="359" spans="1:4">
      <c r="A359" s="56">
        <v>358</v>
      </c>
      <c r="B359" s="56" t="s">
        <v>376</v>
      </c>
      <c r="C359" s="2">
        <v>3.1</v>
      </c>
      <c r="D359" s="2">
        <v>0</v>
      </c>
    </row>
    <row r="360" spans="1:4">
      <c r="A360" s="56">
        <v>360</v>
      </c>
      <c r="B360" s="56" t="s">
        <v>377</v>
      </c>
      <c r="C360" s="2">
        <v>2.6</v>
      </c>
      <c r="D360" s="2">
        <v>0</v>
      </c>
    </row>
    <row r="361" spans="1:4">
      <c r="A361" s="56">
        <v>361</v>
      </c>
      <c r="B361" s="56" t="s">
        <v>378</v>
      </c>
      <c r="C361" s="2">
        <v>3.4</v>
      </c>
      <c r="D361" s="2">
        <v>0</v>
      </c>
    </row>
    <row r="362" spans="1:4">
      <c r="A362" s="56">
        <v>362</v>
      </c>
      <c r="B362" s="56" t="s">
        <v>379</v>
      </c>
      <c r="C362" s="2">
        <v>3.4</v>
      </c>
      <c r="D362" s="2">
        <v>0</v>
      </c>
    </row>
    <row r="363" spans="1:4">
      <c r="A363" s="56">
        <v>363</v>
      </c>
      <c r="B363" s="56" t="s">
        <v>380</v>
      </c>
      <c r="C363" s="83">
        <v>3</v>
      </c>
      <c r="D363" s="2">
        <v>0</v>
      </c>
    </row>
    <row r="364" spans="1:4">
      <c r="A364" s="56">
        <v>364</v>
      </c>
      <c r="B364" s="56" t="s">
        <v>381</v>
      </c>
      <c r="C364" s="84">
        <v>3</v>
      </c>
      <c r="D364" s="2">
        <v>0</v>
      </c>
    </row>
    <row r="365" spans="1:4">
      <c r="A365" s="56">
        <v>365</v>
      </c>
      <c r="B365" s="56" t="s">
        <v>382</v>
      </c>
      <c r="C365" s="2">
        <v>6.5</v>
      </c>
      <c r="D365" s="2">
        <v>0</v>
      </c>
    </row>
    <row r="366" spans="1:4">
      <c r="A366" s="56">
        <v>366</v>
      </c>
      <c r="B366" s="56" t="s">
        <v>383</v>
      </c>
      <c r="C366" s="2">
        <v>6.5</v>
      </c>
      <c r="D366" s="2">
        <v>0</v>
      </c>
    </row>
    <row r="367" spans="1:5">
      <c r="A367" s="56">
        <v>367</v>
      </c>
      <c r="B367" s="56" t="s">
        <v>384</v>
      </c>
      <c r="C367" s="2">
        <v>2.3</v>
      </c>
      <c r="D367" s="2">
        <v>0</v>
      </c>
      <c r="E367" s="2" t="s">
        <v>385</v>
      </c>
    </row>
    <row r="368" spans="1:4">
      <c r="A368" s="56">
        <v>368</v>
      </c>
      <c r="B368" s="56" t="s">
        <v>386</v>
      </c>
      <c r="C368" s="2">
        <v>9</v>
      </c>
      <c r="D368" s="2">
        <v>0</v>
      </c>
    </row>
    <row r="369" spans="1:4">
      <c r="A369" s="56">
        <v>369</v>
      </c>
      <c r="B369" s="56" t="s">
        <v>387</v>
      </c>
      <c r="C369" s="2">
        <v>6.9</v>
      </c>
      <c r="D369" s="2">
        <v>0</v>
      </c>
    </row>
    <row r="370" spans="1:4">
      <c r="A370" s="56">
        <v>370</v>
      </c>
      <c r="B370" s="56" t="s">
        <v>388</v>
      </c>
      <c r="C370" s="2">
        <v>6.9</v>
      </c>
      <c r="D370" s="2">
        <v>0</v>
      </c>
    </row>
    <row r="371" spans="1:4">
      <c r="A371" s="56">
        <v>371</v>
      </c>
      <c r="B371" s="56" t="s">
        <v>389</v>
      </c>
      <c r="C371" s="2">
        <v>6.9</v>
      </c>
      <c r="D371" s="2">
        <v>0</v>
      </c>
    </row>
    <row r="372" spans="1:4">
      <c r="A372" s="56">
        <v>372</v>
      </c>
      <c r="B372" s="56" t="s">
        <v>390</v>
      </c>
      <c r="C372" s="2">
        <v>2.9</v>
      </c>
      <c r="D372" s="2">
        <v>0</v>
      </c>
    </row>
    <row r="373" spans="1:4">
      <c r="A373" s="56">
        <v>373</v>
      </c>
      <c r="B373" s="56" t="s">
        <v>391</v>
      </c>
      <c r="C373" s="2">
        <v>2.5</v>
      </c>
      <c r="D373" s="2">
        <v>0</v>
      </c>
    </row>
    <row r="374" spans="1:4">
      <c r="A374" s="56">
        <v>374</v>
      </c>
      <c r="B374" s="56" t="s">
        <v>392</v>
      </c>
      <c r="C374" s="2">
        <v>2.5</v>
      </c>
      <c r="D374" s="2">
        <v>0</v>
      </c>
    </row>
    <row r="375" spans="1:4">
      <c r="A375" s="56">
        <v>375</v>
      </c>
      <c r="B375" s="56" t="s">
        <v>393</v>
      </c>
      <c r="C375" s="2">
        <v>2.3</v>
      </c>
      <c r="D375" s="2">
        <v>0</v>
      </c>
    </row>
    <row r="376" spans="1:4">
      <c r="A376" s="56">
        <v>376</v>
      </c>
      <c r="B376" s="56" t="s">
        <v>394</v>
      </c>
      <c r="C376" s="2">
        <v>1.2</v>
      </c>
      <c r="D376" s="2">
        <v>0</v>
      </c>
    </row>
    <row r="377" spans="1:4">
      <c r="A377" s="56">
        <v>377</v>
      </c>
      <c r="B377" s="56" t="s">
        <v>395</v>
      </c>
      <c r="C377" s="2">
        <v>2</v>
      </c>
      <c r="D377" s="2">
        <v>0</v>
      </c>
    </row>
    <row r="378" spans="1:4">
      <c r="A378" s="56">
        <v>378</v>
      </c>
      <c r="B378" s="56" t="s">
        <v>396</v>
      </c>
      <c r="C378" s="2">
        <v>2</v>
      </c>
      <c r="D378" s="2">
        <v>0</v>
      </c>
    </row>
    <row r="379" spans="1:4">
      <c r="A379" s="56">
        <v>379</v>
      </c>
      <c r="B379" s="56" t="s">
        <v>397</v>
      </c>
      <c r="C379" s="2">
        <v>2</v>
      </c>
      <c r="D379" s="2">
        <v>0</v>
      </c>
    </row>
    <row r="380" spans="1:4">
      <c r="A380" s="56">
        <v>380</v>
      </c>
      <c r="B380" s="56" t="s">
        <v>398</v>
      </c>
      <c r="C380" s="2">
        <v>2.7</v>
      </c>
      <c r="D380" s="2">
        <v>0</v>
      </c>
    </row>
    <row r="381" spans="1:4">
      <c r="A381" s="56">
        <v>381</v>
      </c>
      <c r="B381" s="56" t="s">
        <v>399</v>
      </c>
      <c r="C381" s="2">
        <v>1</v>
      </c>
      <c r="D381" s="2">
        <v>0</v>
      </c>
    </row>
    <row r="382" spans="1:4">
      <c r="A382" s="1">
        <v>382</v>
      </c>
      <c r="B382" s="1" t="s">
        <v>400</v>
      </c>
      <c r="C382" s="2">
        <v>2</v>
      </c>
      <c r="D382" s="2">
        <v>0</v>
      </c>
    </row>
    <row r="383" spans="1:4">
      <c r="A383" s="56">
        <v>383</v>
      </c>
      <c r="B383" s="56" t="s">
        <v>401</v>
      </c>
      <c r="C383" s="2">
        <v>1.34</v>
      </c>
      <c r="D383" s="2">
        <v>0</v>
      </c>
    </row>
    <row r="384" spans="1:4">
      <c r="A384" s="1">
        <v>384</v>
      </c>
      <c r="B384" s="56" t="s">
        <v>402</v>
      </c>
      <c r="C384" s="2">
        <v>1.1</v>
      </c>
      <c r="D384" s="2">
        <v>0</v>
      </c>
    </row>
    <row r="385" spans="1:4">
      <c r="A385" s="56">
        <v>385</v>
      </c>
      <c r="B385" s="56" t="s">
        <v>403</v>
      </c>
      <c r="C385" s="2">
        <v>5</v>
      </c>
      <c r="D385" s="2">
        <v>0</v>
      </c>
    </row>
    <row r="386" spans="1:4">
      <c r="A386" s="1">
        <v>386</v>
      </c>
      <c r="B386" s="56" t="s">
        <v>404</v>
      </c>
      <c r="C386" s="2">
        <v>2.6</v>
      </c>
      <c r="D386" s="2">
        <v>0</v>
      </c>
    </row>
    <row r="387" spans="1:4">
      <c r="A387" s="56">
        <v>387</v>
      </c>
      <c r="B387" s="56" t="s">
        <v>405</v>
      </c>
      <c r="C387" s="2">
        <v>2.5</v>
      </c>
      <c r="D387" s="2">
        <v>0</v>
      </c>
    </row>
    <row r="388" spans="1:4">
      <c r="A388" s="1">
        <v>388</v>
      </c>
      <c r="B388" s="56" t="s">
        <v>406</v>
      </c>
      <c r="C388" s="2">
        <v>1.8</v>
      </c>
      <c r="D388" s="2">
        <v>0</v>
      </c>
    </row>
    <row r="389" spans="1:4">
      <c r="A389" s="56">
        <v>389</v>
      </c>
      <c r="B389" s="56" t="s">
        <v>407</v>
      </c>
      <c r="C389" s="2">
        <v>10</v>
      </c>
      <c r="D389" s="2">
        <v>0</v>
      </c>
    </row>
    <row r="390" spans="1:4">
      <c r="A390" s="1">
        <v>390</v>
      </c>
      <c r="B390" s="56" t="s">
        <v>408</v>
      </c>
      <c r="C390" s="2">
        <v>1</v>
      </c>
      <c r="D390" s="2">
        <v>0</v>
      </c>
    </row>
    <row r="391" spans="1:4">
      <c r="A391" s="56">
        <v>391</v>
      </c>
      <c r="B391" s="56" t="s">
        <v>409</v>
      </c>
      <c r="C391" s="2">
        <v>1</v>
      </c>
      <c r="D391" s="2">
        <v>0</v>
      </c>
    </row>
    <row r="392" spans="1:4">
      <c r="A392" s="1">
        <v>392</v>
      </c>
      <c r="B392" s="56" t="s">
        <v>410</v>
      </c>
      <c r="C392" s="2">
        <v>2.1</v>
      </c>
      <c r="D392" s="2">
        <v>0</v>
      </c>
    </row>
    <row r="393" spans="1:4">
      <c r="A393" s="56">
        <v>393</v>
      </c>
      <c r="B393" s="56" t="s">
        <v>411</v>
      </c>
      <c r="C393" s="2">
        <v>2.1</v>
      </c>
      <c r="D393" s="2">
        <v>0</v>
      </c>
    </row>
    <row r="394" spans="1:4">
      <c r="A394" s="1">
        <v>394</v>
      </c>
      <c r="B394" s="56" t="s">
        <v>412</v>
      </c>
      <c r="C394" s="2">
        <v>2.1</v>
      </c>
      <c r="D394" s="2">
        <v>0</v>
      </c>
    </row>
    <row r="395" spans="1:4">
      <c r="A395" s="56">
        <v>395</v>
      </c>
      <c r="B395" s="56" t="s">
        <v>413</v>
      </c>
      <c r="C395" s="2">
        <v>2.5</v>
      </c>
      <c r="D395" s="2">
        <v>0</v>
      </c>
    </row>
    <row r="396" spans="1:4">
      <c r="A396" s="1">
        <v>396</v>
      </c>
      <c r="B396" s="56" t="s">
        <v>414</v>
      </c>
      <c r="C396" s="2">
        <v>2.5</v>
      </c>
      <c r="D396" s="2">
        <v>0</v>
      </c>
    </row>
    <row r="397" spans="1:4">
      <c r="A397" s="56">
        <v>397</v>
      </c>
      <c r="B397" s="56" t="s">
        <v>415</v>
      </c>
      <c r="C397" s="2">
        <v>1.45</v>
      </c>
      <c r="D397" s="2">
        <v>0</v>
      </c>
    </row>
    <row r="398" spans="1:4">
      <c r="A398" s="1">
        <v>398</v>
      </c>
      <c r="B398" s="56" t="s">
        <v>416</v>
      </c>
      <c r="C398" s="2">
        <v>5.2</v>
      </c>
      <c r="D398" s="2">
        <v>0</v>
      </c>
    </row>
    <row r="399" spans="1:4">
      <c r="A399" s="56">
        <v>399</v>
      </c>
      <c r="B399" s="56" t="s">
        <v>417</v>
      </c>
      <c r="C399" s="2">
        <v>2.2</v>
      </c>
      <c r="D399" s="2">
        <v>0</v>
      </c>
    </row>
    <row r="400" spans="1:4">
      <c r="A400" s="1">
        <v>400</v>
      </c>
      <c r="B400" s="56" t="s">
        <v>418</v>
      </c>
      <c r="C400" s="2">
        <v>5.5</v>
      </c>
      <c r="D400" s="2">
        <v>0</v>
      </c>
    </row>
    <row r="401" spans="1:4">
      <c r="A401" s="56">
        <v>401</v>
      </c>
      <c r="B401" s="56" t="s">
        <v>419</v>
      </c>
      <c r="C401" s="2">
        <v>9.6</v>
      </c>
      <c r="D401" s="2">
        <v>0</v>
      </c>
    </row>
    <row r="402" spans="1:4">
      <c r="A402" s="1">
        <v>402</v>
      </c>
      <c r="B402" s="56" t="s">
        <v>420</v>
      </c>
      <c r="C402" s="2">
        <v>3</v>
      </c>
      <c r="D402" s="2">
        <v>0</v>
      </c>
    </row>
    <row r="403" spans="1:4">
      <c r="A403" s="56">
        <v>403</v>
      </c>
      <c r="B403" s="56" t="s">
        <v>421</v>
      </c>
      <c r="C403" s="2">
        <v>1.5</v>
      </c>
      <c r="D403" s="2">
        <v>0</v>
      </c>
    </row>
    <row r="404" spans="1:4">
      <c r="A404" s="1">
        <v>404</v>
      </c>
      <c r="B404" s="56" t="s">
        <v>422</v>
      </c>
      <c r="C404" s="2">
        <v>3</v>
      </c>
      <c r="D404" s="2">
        <v>0</v>
      </c>
    </row>
    <row r="405" spans="1:4">
      <c r="A405" s="1">
        <v>406</v>
      </c>
      <c r="B405" s="56" t="s">
        <v>423</v>
      </c>
      <c r="C405" s="2">
        <v>1</v>
      </c>
      <c r="D405" s="2">
        <v>0</v>
      </c>
    </row>
    <row r="406" spans="1:4">
      <c r="A406" s="56">
        <v>407</v>
      </c>
      <c r="B406" s="56" t="s">
        <v>424</v>
      </c>
      <c r="C406" s="2">
        <v>1</v>
      </c>
      <c r="D406" s="2">
        <v>0</v>
      </c>
    </row>
    <row r="407" spans="1:4">
      <c r="A407" s="1">
        <v>408</v>
      </c>
      <c r="B407" s="56" t="s">
        <v>425</v>
      </c>
      <c r="C407" s="85">
        <v>3.3</v>
      </c>
      <c r="D407" s="2">
        <v>0</v>
      </c>
    </row>
    <row r="408" spans="1:4">
      <c r="A408" s="56">
        <v>409</v>
      </c>
      <c r="B408" s="60" t="s">
        <v>426</v>
      </c>
      <c r="C408" s="86">
        <v>2.5</v>
      </c>
      <c r="D408" s="2">
        <v>0</v>
      </c>
    </row>
    <row r="409" spans="1:4">
      <c r="A409" s="1">
        <v>410</v>
      </c>
      <c r="B409" s="60" t="s">
        <v>427</v>
      </c>
      <c r="C409" s="86">
        <v>10</v>
      </c>
      <c r="D409" s="2">
        <v>0</v>
      </c>
    </row>
    <row r="410" spans="1:4">
      <c r="A410" s="56">
        <v>411</v>
      </c>
      <c r="B410" s="60" t="s">
        <v>428</v>
      </c>
      <c r="C410" s="86">
        <v>3.5</v>
      </c>
      <c r="D410" s="2">
        <v>0</v>
      </c>
    </row>
    <row r="411" spans="1:4">
      <c r="A411" s="1">
        <v>412</v>
      </c>
      <c r="B411" s="60" t="s">
        <v>429</v>
      </c>
      <c r="C411" s="86">
        <v>3</v>
      </c>
      <c r="D411" s="2">
        <v>0</v>
      </c>
    </row>
    <row r="412" spans="1:4">
      <c r="A412" s="56">
        <v>413</v>
      </c>
      <c r="B412" s="60" t="s">
        <v>430</v>
      </c>
      <c r="C412" s="86">
        <v>6.5</v>
      </c>
      <c r="D412" s="2">
        <v>0</v>
      </c>
    </row>
    <row r="413" spans="1:4">
      <c r="A413" s="1">
        <v>414</v>
      </c>
      <c r="B413" s="60" t="s">
        <v>431</v>
      </c>
      <c r="C413" s="86">
        <v>6.7</v>
      </c>
      <c r="D413" s="2">
        <v>0</v>
      </c>
    </row>
    <row r="414" spans="1:4">
      <c r="A414" s="56">
        <v>415</v>
      </c>
      <c r="B414" s="60" t="s">
        <v>432</v>
      </c>
      <c r="C414" s="86">
        <v>6.7</v>
      </c>
      <c r="D414" s="2">
        <v>0</v>
      </c>
    </row>
    <row r="415" spans="1:4">
      <c r="A415" s="1">
        <v>416</v>
      </c>
      <c r="B415" s="60" t="s">
        <v>433</v>
      </c>
      <c r="C415" s="86">
        <v>11</v>
      </c>
      <c r="D415" s="2">
        <v>0</v>
      </c>
    </row>
    <row r="416" spans="1:4">
      <c r="A416" s="56">
        <v>417</v>
      </c>
      <c r="B416" s="60" t="s">
        <v>434</v>
      </c>
      <c r="C416" s="86">
        <v>11</v>
      </c>
      <c r="D416" s="2">
        <v>0</v>
      </c>
    </row>
    <row r="417" spans="1:4">
      <c r="A417" s="1">
        <v>418</v>
      </c>
      <c r="B417" s="56" t="s">
        <v>435</v>
      </c>
      <c r="C417" s="86">
        <v>1.2</v>
      </c>
      <c r="D417" s="2">
        <v>0</v>
      </c>
    </row>
    <row r="418" spans="1:4">
      <c r="A418" s="56">
        <v>419</v>
      </c>
      <c r="B418" s="87" t="s">
        <v>436</v>
      </c>
      <c r="C418" s="85">
        <v>5</v>
      </c>
      <c r="D418" s="2">
        <v>0</v>
      </c>
    </row>
    <row r="419" spans="1:4">
      <c r="A419" s="1">
        <v>420</v>
      </c>
      <c r="B419" s="88" t="s">
        <v>437</v>
      </c>
      <c r="C419" s="85">
        <v>1.8</v>
      </c>
      <c r="D419" s="2">
        <v>0</v>
      </c>
    </row>
    <row r="420" spans="1:4">
      <c r="A420" s="56">
        <v>421</v>
      </c>
      <c r="B420" s="87" t="s">
        <v>438</v>
      </c>
      <c r="C420" s="85">
        <v>6.7</v>
      </c>
      <c r="D420" s="2">
        <v>0</v>
      </c>
    </row>
    <row r="421" spans="1:4">
      <c r="A421" s="1">
        <v>422</v>
      </c>
      <c r="B421" s="87" t="s">
        <v>439</v>
      </c>
      <c r="C421" s="85">
        <v>3.1</v>
      </c>
      <c r="D421" s="2">
        <v>0</v>
      </c>
    </row>
    <row r="422" spans="1:4">
      <c r="A422" s="56">
        <v>423</v>
      </c>
      <c r="B422" s="87" t="s">
        <v>440</v>
      </c>
      <c r="C422" s="85">
        <v>3.4</v>
      </c>
      <c r="D422" s="2">
        <v>0</v>
      </c>
    </row>
    <row r="423" spans="1:4">
      <c r="A423" s="1">
        <v>424</v>
      </c>
      <c r="B423" s="87" t="s">
        <v>441</v>
      </c>
      <c r="C423" s="85">
        <v>1.7</v>
      </c>
      <c r="D423" s="2">
        <v>0</v>
      </c>
    </row>
    <row r="424" spans="1:4">
      <c r="A424" s="56">
        <v>425</v>
      </c>
      <c r="B424" s="87" t="s">
        <v>442</v>
      </c>
      <c r="C424" s="85">
        <v>9.5</v>
      </c>
      <c r="D424" s="2">
        <v>0</v>
      </c>
    </row>
    <row r="425" spans="1:4">
      <c r="A425" s="1">
        <v>426</v>
      </c>
      <c r="B425" s="87" t="s">
        <v>443</v>
      </c>
      <c r="C425" s="85">
        <v>9.5</v>
      </c>
      <c r="D425" s="2">
        <v>0</v>
      </c>
    </row>
    <row r="426" spans="1:4">
      <c r="A426" s="56">
        <v>427</v>
      </c>
      <c r="B426" s="56" t="s">
        <v>444</v>
      </c>
      <c r="C426" s="2">
        <v>1</v>
      </c>
      <c r="D426" s="2">
        <v>0</v>
      </c>
    </row>
    <row r="427" spans="1:4">
      <c r="A427" s="1">
        <v>428</v>
      </c>
      <c r="B427" s="56" t="s">
        <v>445</v>
      </c>
      <c r="C427" s="2">
        <v>3.1</v>
      </c>
      <c r="D427" s="2">
        <v>0</v>
      </c>
    </row>
    <row r="428" spans="1:4">
      <c r="A428" s="56">
        <v>429</v>
      </c>
      <c r="B428" s="56" t="s">
        <v>446</v>
      </c>
      <c r="C428" s="2">
        <v>1</v>
      </c>
      <c r="D428" s="2">
        <v>1</v>
      </c>
    </row>
    <row r="429" spans="1:4">
      <c r="A429" s="1">
        <v>430</v>
      </c>
      <c r="B429" s="56" t="s">
        <v>447</v>
      </c>
      <c r="C429" s="2">
        <v>1</v>
      </c>
      <c r="D429" s="2">
        <v>1</v>
      </c>
    </row>
    <row r="430" spans="1:4">
      <c r="A430" s="56">
        <v>431</v>
      </c>
      <c r="B430" s="56" t="s">
        <v>448</v>
      </c>
      <c r="C430" s="2">
        <v>1</v>
      </c>
      <c r="D430" s="2">
        <v>1</v>
      </c>
    </row>
    <row r="431" spans="1:4">
      <c r="A431" s="56">
        <v>432</v>
      </c>
      <c r="B431" s="56" t="s">
        <v>449</v>
      </c>
      <c r="C431" s="2">
        <v>1</v>
      </c>
      <c r="D431" s="2">
        <v>1</v>
      </c>
    </row>
    <row r="432" spans="1:4">
      <c r="A432" s="56">
        <v>433</v>
      </c>
      <c r="B432" s="56" t="s">
        <v>450</v>
      </c>
      <c r="C432" s="2">
        <v>2.8</v>
      </c>
      <c r="D432" s="2">
        <v>0</v>
      </c>
    </row>
    <row r="433" spans="1:4">
      <c r="A433" s="56">
        <v>434</v>
      </c>
      <c r="B433" s="56" t="s">
        <v>451</v>
      </c>
      <c r="C433" s="2">
        <v>1</v>
      </c>
      <c r="D433" s="2">
        <v>0</v>
      </c>
    </row>
    <row r="434" spans="1:4">
      <c r="A434" s="56">
        <v>435</v>
      </c>
      <c r="B434" s="56" t="s">
        <v>452</v>
      </c>
      <c r="C434" s="2">
        <v>3.4</v>
      </c>
      <c r="D434" s="2">
        <v>0</v>
      </c>
    </row>
    <row r="435" spans="1:4">
      <c r="A435" s="56">
        <v>436</v>
      </c>
      <c r="B435" s="56" t="s">
        <v>453</v>
      </c>
      <c r="C435" s="2">
        <v>3.4</v>
      </c>
      <c r="D435" s="2">
        <v>0</v>
      </c>
    </row>
    <row r="436" spans="1:4">
      <c r="A436" s="56">
        <v>437</v>
      </c>
      <c r="B436" s="56" t="s">
        <v>454</v>
      </c>
      <c r="C436" s="2">
        <v>5</v>
      </c>
      <c r="D436" s="2">
        <v>0</v>
      </c>
    </row>
    <row r="437" spans="1:4">
      <c r="A437" s="56">
        <v>438</v>
      </c>
      <c r="B437" s="56" t="s">
        <v>455</v>
      </c>
      <c r="C437" s="2">
        <v>1</v>
      </c>
      <c r="D437" s="2">
        <v>0</v>
      </c>
    </row>
    <row r="438" spans="1:4">
      <c r="A438" s="56">
        <v>439</v>
      </c>
      <c r="B438" s="56" t="s">
        <v>456</v>
      </c>
      <c r="C438" s="2">
        <v>1</v>
      </c>
      <c r="D438" s="2">
        <v>0</v>
      </c>
    </row>
    <row r="439" spans="1:4">
      <c r="A439" s="56">
        <v>440</v>
      </c>
      <c r="B439" s="56" t="s">
        <v>457</v>
      </c>
      <c r="C439" s="2">
        <v>1.2</v>
      </c>
      <c r="D439" s="2">
        <v>0</v>
      </c>
    </row>
    <row r="440" spans="1:4">
      <c r="A440" s="56">
        <v>441</v>
      </c>
      <c r="B440" s="56" t="s">
        <v>458</v>
      </c>
      <c r="C440" s="2">
        <v>3.2</v>
      </c>
      <c r="D440" s="2">
        <v>0</v>
      </c>
    </row>
    <row r="441" spans="1:4">
      <c r="A441" s="56">
        <v>442</v>
      </c>
      <c r="B441" s="56" t="s">
        <v>459</v>
      </c>
      <c r="C441" s="2">
        <v>3.2</v>
      </c>
      <c r="D441" s="2">
        <v>0</v>
      </c>
    </row>
    <row r="442" spans="1:4">
      <c r="A442" s="56">
        <v>443</v>
      </c>
      <c r="B442" s="56" t="s">
        <v>460</v>
      </c>
      <c r="C442" s="2">
        <v>1.69</v>
      </c>
      <c r="D442" s="2">
        <v>0</v>
      </c>
    </row>
    <row r="443" spans="1:4">
      <c r="A443" s="56">
        <v>444</v>
      </c>
      <c r="B443" s="56" t="s">
        <v>461</v>
      </c>
      <c r="C443" s="2">
        <v>4.1</v>
      </c>
      <c r="D443" s="2">
        <v>0</v>
      </c>
    </row>
    <row r="444" spans="1:4">
      <c r="A444" s="56">
        <v>445</v>
      </c>
      <c r="B444" s="56" t="s">
        <v>462</v>
      </c>
      <c r="C444" s="2">
        <v>9</v>
      </c>
      <c r="D444" s="2">
        <v>0</v>
      </c>
    </row>
    <row r="445" spans="1:4">
      <c r="A445" s="56">
        <v>446</v>
      </c>
      <c r="B445" s="56" t="s">
        <v>463</v>
      </c>
      <c r="C445" s="2">
        <v>5.73333333333333</v>
      </c>
      <c r="D445" s="2">
        <v>0</v>
      </c>
    </row>
    <row r="446" spans="1:4">
      <c r="A446" s="56">
        <v>447</v>
      </c>
      <c r="B446" s="56" t="s">
        <v>464</v>
      </c>
      <c r="C446" s="2">
        <v>3.5</v>
      </c>
      <c r="D446" s="2">
        <v>0</v>
      </c>
    </row>
    <row r="447" spans="1:4">
      <c r="A447" s="56">
        <v>448</v>
      </c>
      <c r="B447" s="56" t="s">
        <v>465</v>
      </c>
      <c r="C447" s="2">
        <v>2.4</v>
      </c>
      <c r="D447" s="2">
        <v>0</v>
      </c>
    </row>
    <row r="448" spans="1:4">
      <c r="A448" s="56">
        <v>449</v>
      </c>
      <c r="B448" s="56" t="s">
        <v>466</v>
      </c>
      <c r="C448" s="2">
        <v>6.3</v>
      </c>
      <c r="D448" s="2">
        <v>0</v>
      </c>
    </row>
    <row r="449" spans="1:4">
      <c r="A449" s="56">
        <v>450</v>
      </c>
      <c r="B449" s="56" t="s">
        <v>467</v>
      </c>
      <c r="C449" s="2">
        <v>1</v>
      </c>
      <c r="D449" s="2">
        <v>0</v>
      </c>
    </row>
    <row r="450" spans="1:4">
      <c r="A450" s="56">
        <v>451</v>
      </c>
      <c r="B450" s="56" t="s">
        <v>468</v>
      </c>
      <c r="C450" s="2">
        <v>2</v>
      </c>
      <c r="D450" s="2">
        <v>0</v>
      </c>
    </row>
    <row r="451" spans="1:4">
      <c r="A451" s="56">
        <v>452</v>
      </c>
      <c r="B451" s="56" t="s">
        <v>469</v>
      </c>
      <c r="C451" s="2">
        <v>2</v>
      </c>
      <c r="D451" s="2">
        <v>0</v>
      </c>
    </row>
    <row r="452" spans="1:4">
      <c r="A452" s="56">
        <v>453</v>
      </c>
      <c r="B452" s="56" t="s">
        <v>470</v>
      </c>
      <c r="C452" s="2">
        <v>3.46666666666667</v>
      </c>
      <c r="D452" s="2">
        <v>0</v>
      </c>
    </row>
    <row r="453" spans="1:4">
      <c r="A453" s="56">
        <v>454</v>
      </c>
      <c r="B453" s="56" t="s">
        <v>471</v>
      </c>
      <c r="C453" s="2">
        <v>3.46666666666667</v>
      </c>
      <c r="D453" s="2">
        <v>0</v>
      </c>
    </row>
    <row r="454" spans="1:4">
      <c r="A454" s="56">
        <v>455</v>
      </c>
      <c r="B454" s="56" t="s">
        <v>472</v>
      </c>
      <c r="C454" s="2">
        <v>8</v>
      </c>
      <c r="D454" s="2">
        <v>0</v>
      </c>
    </row>
    <row r="455" spans="1:4">
      <c r="A455" s="56">
        <v>456</v>
      </c>
      <c r="B455" s="56" t="s">
        <v>473</v>
      </c>
      <c r="C455" s="2">
        <v>1</v>
      </c>
      <c r="D455" s="2">
        <v>1</v>
      </c>
    </row>
    <row r="456" spans="1:4">
      <c r="A456" s="56">
        <v>457</v>
      </c>
      <c r="B456" s="56" t="s">
        <v>474</v>
      </c>
      <c r="C456" s="2">
        <v>2</v>
      </c>
      <c r="D456" s="2">
        <v>0</v>
      </c>
    </row>
    <row r="457" spans="1:4">
      <c r="A457" s="56">
        <v>458</v>
      </c>
      <c r="B457" s="56" t="s">
        <v>475</v>
      </c>
      <c r="C457" s="2">
        <v>2</v>
      </c>
      <c r="D457" s="2">
        <v>0</v>
      </c>
    </row>
    <row r="458" spans="1:4">
      <c r="A458" s="56">
        <v>459</v>
      </c>
      <c r="B458" s="56" t="s">
        <v>476</v>
      </c>
      <c r="C458" s="2">
        <v>1.2</v>
      </c>
      <c r="D458" s="2">
        <v>0</v>
      </c>
    </row>
    <row r="459" spans="1:4">
      <c r="A459" s="56">
        <v>460</v>
      </c>
      <c r="B459" s="56" t="s">
        <v>477</v>
      </c>
      <c r="C459" s="2">
        <v>1.4</v>
      </c>
      <c r="D459" s="2">
        <v>0</v>
      </c>
    </row>
    <row r="460" spans="1:4">
      <c r="A460" s="56">
        <v>461</v>
      </c>
      <c r="B460" s="56" t="s">
        <v>478</v>
      </c>
      <c r="C460" s="2">
        <v>2.8</v>
      </c>
      <c r="D460" s="2">
        <v>0</v>
      </c>
    </row>
    <row r="461" spans="1:4">
      <c r="A461" s="56">
        <v>462</v>
      </c>
      <c r="B461" s="56" t="s">
        <v>479</v>
      </c>
      <c r="C461" s="2">
        <v>3</v>
      </c>
      <c r="D461" s="2">
        <v>0</v>
      </c>
    </row>
    <row r="462" spans="1:4">
      <c r="A462" s="56">
        <v>463</v>
      </c>
      <c r="B462" s="56" t="s">
        <v>480</v>
      </c>
      <c r="C462" s="2">
        <v>2</v>
      </c>
      <c r="D462" s="2">
        <v>0</v>
      </c>
    </row>
    <row r="463" spans="1:4">
      <c r="A463" s="56">
        <v>464</v>
      </c>
      <c r="B463" s="56" t="s">
        <v>481</v>
      </c>
      <c r="C463" s="2">
        <v>6.4</v>
      </c>
      <c r="D463" s="2">
        <v>0</v>
      </c>
    </row>
    <row r="464" spans="1:4">
      <c r="A464" s="56">
        <v>465</v>
      </c>
      <c r="B464" s="56" t="s">
        <v>482</v>
      </c>
      <c r="C464" s="2">
        <v>2.2</v>
      </c>
      <c r="D464" s="2">
        <v>0</v>
      </c>
    </row>
    <row r="465" spans="1:4">
      <c r="A465" s="56">
        <v>466</v>
      </c>
      <c r="B465" s="56" t="s">
        <v>483</v>
      </c>
      <c r="C465" s="2">
        <v>1</v>
      </c>
      <c r="D465" s="2">
        <v>0</v>
      </c>
    </row>
    <row r="466" spans="1:4">
      <c r="A466" s="56">
        <v>467</v>
      </c>
      <c r="B466" s="56" t="s">
        <v>484</v>
      </c>
      <c r="C466" s="2">
        <v>2</v>
      </c>
      <c r="D466" s="2">
        <v>0</v>
      </c>
    </row>
    <row r="467" spans="1:4">
      <c r="A467" s="56">
        <v>468</v>
      </c>
      <c r="B467" s="56" t="s">
        <v>485</v>
      </c>
      <c r="C467" s="2">
        <v>2.5</v>
      </c>
      <c r="D467" s="2">
        <v>0</v>
      </c>
    </row>
    <row r="468" spans="1:4">
      <c r="A468" s="56">
        <v>469</v>
      </c>
      <c r="B468" s="56" t="s">
        <v>486</v>
      </c>
      <c r="C468" s="2">
        <v>3.3</v>
      </c>
      <c r="D468" s="2">
        <v>0</v>
      </c>
    </row>
    <row r="469" spans="1:4">
      <c r="A469" s="56">
        <v>470</v>
      </c>
      <c r="B469" s="56" t="s">
        <v>487</v>
      </c>
      <c r="C469" s="2">
        <v>7.4</v>
      </c>
      <c r="D469" s="2">
        <v>0</v>
      </c>
    </row>
    <row r="470" spans="1:4">
      <c r="A470" s="56">
        <v>471</v>
      </c>
      <c r="B470" s="56" t="s">
        <v>488</v>
      </c>
      <c r="C470" s="2">
        <v>7.4</v>
      </c>
      <c r="D470" s="2">
        <v>0</v>
      </c>
    </row>
    <row r="471" spans="1:4">
      <c r="A471" s="56">
        <v>472</v>
      </c>
      <c r="B471" s="56" t="s">
        <v>489</v>
      </c>
      <c r="C471" s="2">
        <v>7.4</v>
      </c>
      <c r="D471" s="2">
        <v>0</v>
      </c>
    </row>
    <row r="472" spans="1:4">
      <c r="A472" s="56">
        <v>473</v>
      </c>
      <c r="B472" s="56" t="s">
        <v>490</v>
      </c>
      <c r="C472" s="2">
        <v>4.3</v>
      </c>
      <c r="D472" s="2">
        <v>0</v>
      </c>
    </row>
    <row r="473" spans="1:4">
      <c r="A473" s="56">
        <v>474</v>
      </c>
      <c r="B473" s="56" t="s">
        <v>491</v>
      </c>
      <c r="C473" s="2">
        <v>4.3</v>
      </c>
      <c r="D473" s="2">
        <v>0</v>
      </c>
    </row>
    <row r="474" spans="1:4">
      <c r="A474" s="56">
        <v>475</v>
      </c>
      <c r="B474" s="56" t="s">
        <v>492</v>
      </c>
      <c r="C474" s="2">
        <v>9.4</v>
      </c>
      <c r="D474" s="2">
        <v>0</v>
      </c>
    </row>
    <row r="475" spans="1:4">
      <c r="A475" s="56">
        <v>476</v>
      </c>
      <c r="B475" s="56" t="s">
        <v>493</v>
      </c>
      <c r="C475" s="2">
        <v>9.4</v>
      </c>
      <c r="D475" s="2">
        <v>0</v>
      </c>
    </row>
    <row r="476" spans="1:4">
      <c r="A476" s="56">
        <v>477</v>
      </c>
      <c r="B476" s="56" t="s">
        <v>494</v>
      </c>
      <c r="C476" s="2">
        <v>9.4</v>
      </c>
      <c r="D476" s="2">
        <v>0</v>
      </c>
    </row>
    <row r="477" spans="1:4">
      <c r="A477" s="56">
        <v>478</v>
      </c>
      <c r="B477" s="56" t="s">
        <v>495</v>
      </c>
      <c r="C477" s="2">
        <v>1.5</v>
      </c>
      <c r="D477" s="2">
        <v>0</v>
      </c>
    </row>
    <row r="478" spans="1:4">
      <c r="A478" s="56">
        <v>479</v>
      </c>
      <c r="B478" s="56" t="s">
        <v>496</v>
      </c>
      <c r="C478" s="2">
        <v>1.5</v>
      </c>
      <c r="D478" s="2">
        <v>0</v>
      </c>
    </row>
    <row r="479" spans="1:4">
      <c r="A479" s="56">
        <v>480</v>
      </c>
      <c r="B479" s="56" t="s">
        <v>497</v>
      </c>
      <c r="C479" s="2">
        <v>2</v>
      </c>
      <c r="D479" s="2">
        <v>0</v>
      </c>
    </row>
    <row r="480" spans="1:4">
      <c r="A480" s="56">
        <v>481</v>
      </c>
      <c r="B480" s="56" t="s">
        <v>498</v>
      </c>
      <c r="C480" s="2">
        <v>3.3</v>
      </c>
      <c r="D480" s="2">
        <v>0</v>
      </c>
    </row>
    <row r="481" spans="1:4">
      <c r="A481" s="56">
        <v>482</v>
      </c>
      <c r="B481" s="56" t="s">
        <v>499</v>
      </c>
      <c r="C481" s="2">
        <v>9.33333333333333</v>
      </c>
      <c r="D481" s="2">
        <v>0</v>
      </c>
    </row>
    <row r="482" spans="1:4">
      <c r="A482" s="56">
        <v>483</v>
      </c>
      <c r="B482" s="56" t="s">
        <v>500</v>
      </c>
      <c r="C482" s="2">
        <v>6</v>
      </c>
      <c r="D482" s="2">
        <v>0</v>
      </c>
    </row>
    <row r="483" spans="1:4">
      <c r="A483" s="56">
        <v>484</v>
      </c>
      <c r="B483" s="89" t="s">
        <v>501</v>
      </c>
      <c r="C483" s="2">
        <v>0.35</v>
      </c>
      <c r="D483" s="2">
        <v>0</v>
      </c>
    </row>
    <row r="484" spans="1:4">
      <c r="A484" s="56">
        <v>485</v>
      </c>
      <c r="B484" s="56" t="s">
        <v>502</v>
      </c>
      <c r="C484" s="2">
        <v>6.2</v>
      </c>
      <c r="D484" s="2">
        <v>0</v>
      </c>
    </row>
    <row r="485" spans="1:4">
      <c r="A485" s="56">
        <v>486</v>
      </c>
      <c r="B485" s="89" t="s">
        <v>503</v>
      </c>
      <c r="C485" s="2">
        <v>5</v>
      </c>
      <c r="D485" s="2">
        <v>0</v>
      </c>
    </row>
    <row r="486" spans="1:4">
      <c r="A486" s="56">
        <v>487</v>
      </c>
      <c r="B486" s="1" t="s">
        <v>504</v>
      </c>
      <c r="C486" s="2">
        <v>1.5</v>
      </c>
      <c r="D486" s="2">
        <v>0</v>
      </c>
    </row>
    <row r="487" spans="1:4">
      <c r="A487" s="56">
        <v>488</v>
      </c>
      <c r="B487" s="1" t="s">
        <v>505</v>
      </c>
      <c r="C487" s="2">
        <v>1</v>
      </c>
      <c r="D487" s="2">
        <v>1</v>
      </c>
    </row>
    <row r="488" spans="1:4">
      <c r="A488" s="56">
        <v>489</v>
      </c>
      <c r="B488" s="56" t="s">
        <v>506</v>
      </c>
      <c r="C488" s="2">
        <v>2.5</v>
      </c>
      <c r="D488" s="2">
        <v>0</v>
      </c>
    </row>
    <row r="489" spans="1:4">
      <c r="A489" s="56">
        <v>490</v>
      </c>
      <c r="B489" s="56" t="s">
        <v>507</v>
      </c>
      <c r="C489" s="2">
        <v>2.5</v>
      </c>
      <c r="D489" s="2">
        <v>0</v>
      </c>
    </row>
    <row r="490" spans="1:4">
      <c r="A490" s="56">
        <v>491</v>
      </c>
      <c r="B490" s="56" t="s">
        <v>508</v>
      </c>
      <c r="C490" s="2">
        <v>4.2</v>
      </c>
      <c r="D490" s="2">
        <v>0</v>
      </c>
    </row>
    <row r="491" spans="1:4">
      <c r="A491" s="56">
        <v>492</v>
      </c>
      <c r="B491" s="56" t="s">
        <v>509</v>
      </c>
      <c r="C491" s="2">
        <v>4.2</v>
      </c>
      <c r="D491" s="2">
        <v>0</v>
      </c>
    </row>
    <row r="492" spans="1:4">
      <c r="A492" s="56">
        <v>493</v>
      </c>
      <c r="B492" s="56" t="s">
        <v>510</v>
      </c>
      <c r="C492" s="2">
        <v>4.2</v>
      </c>
      <c r="D492" s="2">
        <v>0</v>
      </c>
    </row>
    <row r="493" spans="1:4">
      <c r="A493" s="56">
        <v>494</v>
      </c>
      <c r="B493" s="56" t="s">
        <v>511</v>
      </c>
      <c r="C493" s="2">
        <v>4.2</v>
      </c>
      <c r="D493" s="2">
        <v>0</v>
      </c>
    </row>
    <row r="494" spans="1:4">
      <c r="A494" s="56">
        <v>495</v>
      </c>
      <c r="B494" s="56" t="s">
        <v>512</v>
      </c>
      <c r="C494" s="2">
        <v>4.2</v>
      </c>
      <c r="D494" s="2">
        <v>0</v>
      </c>
    </row>
    <row r="495" spans="1:4">
      <c r="A495" s="56">
        <v>496</v>
      </c>
      <c r="B495" s="56" t="s">
        <v>513</v>
      </c>
      <c r="C495" s="2">
        <v>1</v>
      </c>
      <c r="D495" s="2">
        <v>0</v>
      </c>
    </row>
    <row r="496" spans="1:4">
      <c r="A496" s="56">
        <v>497</v>
      </c>
      <c r="B496" s="56" t="s">
        <v>514</v>
      </c>
      <c r="C496" s="85">
        <v>2.83333333333333</v>
      </c>
      <c r="D496" s="2">
        <v>0</v>
      </c>
    </row>
    <row r="497" spans="1:4">
      <c r="A497" s="56">
        <v>498</v>
      </c>
      <c r="B497" s="56" t="s">
        <v>515</v>
      </c>
      <c r="C497" s="2">
        <v>5</v>
      </c>
      <c r="D497" s="2">
        <v>0</v>
      </c>
    </row>
    <row r="498" spans="1:4">
      <c r="A498" s="56">
        <v>499</v>
      </c>
      <c r="B498" s="56" t="s">
        <v>516</v>
      </c>
      <c r="C498" s="2">
        <v>5</v>
      </c>
      <c r="D498" s="2">
        <v>0</v>
      </c>
    </row>
    <row r="499" spans="1:4">
      <c r="A499" s="56">
        <v>500</v>
      </c>
      <c r="B499" s="56" t="s">
        <v>517</v>
      </c>
      <c r="C499" s="2">
        <v>5</v>
      </c>
      <c r="D499" s="2">
        <v>0</v>
      </c>
    </row>
    <row r="500" spans="1:4">
      <c r="A500" s="56">
        <v>501</v>
      </c>
      <c r="B500" s="56" t="s">
        <v>518</v>
      </c>
      <c r="C500" s="2">
        <v>6</v>
      </c>
      <c r="D500" s="2">
        <v>0</v>
      </c>
    </row>
    <row r="501" spans="1:4">
      <c r="A501" s="56">
        <v>502</v>
      </c>
      <c r="B501" s="56" t="s">
        <v>519</v>
      </c>
      <c r="C501" s="2">
        <v>11.5</v>
      </c>
      <c r="D501" s="2">
        <v>0</v>
      </c>
    </row>
    <row r="502" spans="1:4">
      <c r="A502" s="56">
        <v>503</v>
      </c>
      <c r="B502" s="56" t="s">
        <v>520</v>
      </c>
      <c r="C502" s="2">
        <v>11.5</v>
      </c>
      <c r="D502" s="2">
        <v>0</v>
      </c>
    </row>
    <row r="503" spans="1:4">
      <c r="A503" s="56">
        <v>504</v>
      </c>
      <c r="B503" s="56" t="s">
        <v>521</v>
      </c>
      <c r="C503" s="2">
        <v>3</v>
      </c>
      <c r="D503" s="2">
        <v>0</v>
      </c>
    </row>
    <row r="504" spans="1:4">
      <c r="A504" s="56">
        <v>505</v>
      </c>
      <c r="B504" s="56" t="s">
        <v>522</v>
      </c>
      <c r="C504" s="2">
        <v>2</v>
      </c>
      <c r="D504" s="2">
        <v>0</v>
      </c>
    </row>
    <row r="505" spans="1:4">
      <c r="A505" s="56">
        <v>506</v>
      </c>
      <c r="B505" s="56" t="s">
        <v>523</v>
      </c>
      <c r="C505" s="2">
        <v>1.9</v>
      </c>
      <c r="D505" s="2">
        <v>0</v>
      </c>
    </row>
    <row r="506" spans="1:4">
      <c r="A506" s="56">
        <v>507</v>
      </c>
      <c r="B506" s="56" t="s">
        <v>524</v>
      </c>
      <c r="C506" s="2">
        <v>3</v>
      </c>
      <c r="D506" s="2">
        <v>0</v>
      </c>
    </row>
    <row r="507" spans="1:4">
      <c r="A507" s="56">
        <v>508</v>
      </c>
      <c r="B507" s="56" t="s">
        <v>525</v>
      </c>
      <c r="C507" s="2">
        <v>1.7</v>
      </c>
      <c r="D507" s="2">
        <v>0</v>
      </c>
    </row>
    <row r="508" spans="1:4">
      <c r="A508" s="56">
        <v>509</v>
      </c>
      <c r="B508" s="56" t="s">
        <v>526</v>
      </c>
      <c r="C508" s="2">
        <v>1</v>
      </c>
      <c r="D508" s="2">
        <v>0</v>
      </c>
    </row>
    <row r="509" spans="1:4">
      <c r="A509" s="56">
        <v>510</v>
      </c>
      <c r="B509" s="56" t="s">
        <v>527</v>
      </c>
      <c r="C509" s="2">
        <v>1.82</v>
      </c>
      <c r="D509" s="2">
        <v>0</v>
      </c>
    </row>
    <row r="510" spans="1:4">
      <c r="A510" s="56">
        <v>511</v>
      </c>
      <c r="B510" s="56" t="s">
        <v>528</v>
      </c>
      <c r="C510" s="2">
        <v>1.27</v>
      </c>
      <c r="D510" s="2">
        <v>0</v>
      </c>
    </row>
    <row r="511" spans="1:4">
      <c r="A511" s="56">
        <v>512</v>
      </c>
      <c r="B511" s="56" t="s">
        <v>529</v>
      </c>
      <c r="C511" s="2">
        <v>1</v>
      </c>
      <c r="D511" s="2">
        <v>0</v>
      </c>
    </row>
    <row r="512" spans="1:4">
      <c r="A512" s="56">
        <v>513</v>
      </c>
      <c r="B512" s="56" t="s">
        <v>530</v>
      </c>
      <c r="C512" s="2">
        <v>1</v>
      </c>
      <c r="D512" s="2">
        <v>0</v>
      </c>
    </row>
    <row r="513" spans="1:4">
      <c r="A513" s="56">
        <v>514</v>
      </c>
      <c r="B513" s="56" t="s">
        <v>531</v>
      </c>
      <c r="C513" s="2">
        <v>1.3</v>
      </c>
      <c r="D513" s="2">
        <v>0</v>
      </c>
    </row>
    <row r="514" spans="1:4">
      <c r="A514" s="56">
        <v>515</v>
      </c>
      <c r="B514" s="56" t="s">
        <v>532</v>
      </c>
      <c r="C514" s="2">
        <v>1.3</v>
      </c>
      <c r="D514" s="2">
        <v>0</v>
      </c>
    </row>
    <row r="515" spans="1:4">
      <c r="A515" s="56">
        <v>516</v>
      </c>
      <c r="B515" s="56" t="s">
        <v>533</v>
      </c>
      <c r="C515" s="2">
        <v>3</v>
      </c>
      <c r="D515" s="2">
        <v>0</v>
      </c>
    </row>
    <row r="516" spans="1:4">
      <c r="A516" s="56">
        <v>517</v>
      </c>
      <c r="B516" s="56" t="s">
        <v>534</v>
      </c>
      <c r="C516" s="2">
        <v>1</v>
      </c>
      <c r="D516" s="2">
        <v>0</v>
      </c>
    </row>
    <row r="517" spans="1:4">
      <c r="A517" s="56">
        <v>518</v>
      </c>
      <c r="B517" s="56" t="s">
        <v>535</v>
      </c>
      <c r="C517" s="2">
        <v>1</v>
      </c>
      <c r="D517" s="2">
        <v>0</v>
      </c>
    </row>
    <row r="518" spans="1:4">
      <c r="A518" s="56">
        <v>519</v>
      </c>
      <c r="B518" s="56" t="s">
        <v>536</v>
      </c>
      <c r="C518" s="2">
        <v>2.4</v>
      </c>
      <c r="D518" s="2">
        <v>0</v>
      </c>
    </row>
    <row r="519" spans="1:4">
      <c r="A519" s="56">
        <v>520</v>
      </c>
      <c r="B519" s="56" t="s">
        <v>537</v>
      </c>
      <c r="C519" s="2">
        <v>1.7</v>
      </c>
      <c r="D519" s="2">
        <v>0</v>
      </c>
    </row>
    <row r="520" spans="1:4">
      <c r="A520" s="56">
        <v>521</v>
      </c>
      <c r="B520" s="56" t="s">
        <v>538</v>
      </c>
      <c r="C520" s="2">
        <v>1.4</v>
      </c>
      <c r="D520" s="2">
        <v>0</v>
      </c>
    </row>
    <row r="521" spans="1:4">
      <c r="A521" s="56">
        <v>522</v>
      </c>
      <c r="B521" s="56" t="s">
        <v>539</v>
      </c>
      <c r="C521" s="2">
        <v>2.6</v>
      </c>
      <c r="D521" s="2">
        <v>0</v>
      </c>
    </row>
    <row r="522" spans="1:4">
      <c r="A522" s="56">
        <v>523</v>
      </c>
      <c r="B522" s="56" t="s">
        <v>540</v>
      </c>
      <c r="C522" s="2">
        <v>2</v>
      </c>
      <c r="D522" s="2">
        <v>0</v>
      </c>
    </row>
    <row r="523" spans="1:4">
      <c r="A523" s="56">
        <v>524</v>
      </c>
      <c r="B523" s="56" t="s">
        <v>541</v>
      </c>
      <c r="C523" s="2">
        <v>1</v>
      </c>
      <c r="D523" s="2">
        <v>0</v>
      </c>
    </row>
    <row r="524" spans="1:4">
      <c r="A524" s="56">
        <v>525</v>
      </c>
      <c r="B524" s="56" t="s">
        <v>542</v>
      </c>
      <c r="C524" s="2">
        <v>1</v>
      </c>
      <c r="D524" s="2">
        <v>0</v>
      </c>
    </row>
    <row r="525" spans="1:4">
      <c r="A525" s="56">
        <v>526</v>
      </c>
      <c r="B525" s="56" t="s">
        <v>543</v>
      </c>
      <c r="C525" s="2">
        <v>1.85</v>
      </c>
      <c r="D525" s="2">
        <v>0</v>
      </c>
    </row>
    <row r="526" spans="1:4">
      <c r="A526" s="56">
        <v>527</v>
      </c>
      <c r="B526" s="56" t="s">
        <v>544</v>
      </c>
      <c r="C526" s="2">
        <v>2.3</v>
      </c>
      <c r="D526" s="2">
        <v>0</v>
      </c>
    </row>
    <row r="527" spans="1:4">
      <c r="A527" s="56">
        <v>528</v>
      </c>
      <c r="B527" s="56" t="s">
        <v>545</v>
      </c>
      <c r="C527" s="2">
        <v>1</v>
      </c>
      <c r="D527" s="2">
        <v>0</v>
      </c>
    </row>
    <row r="528" spans="1:5">
      <c r="A528" s="56">
        <v>529</v>
      </c>
      <c r="B528" s="56" t="s">
        <v>546</v>
      </c>
      <c r="C528" s="2">
        <v>2</v>
      </c>
      <c r="D528" s="2">
        <v>0</v>
      </c>
      <c r="E528" s="2" t="s">
        <v>547</v>
      </c>
    </row>
    <row r="529" spans="1:5">
      <c r="A529" s="56">
        <v>530</v>
      </c>
      <c r="B529" s="56" t="s">
        <v>548</v>
      </c>
      <c r="C529" s="2">
        <v>1.5</v>
      </c>
      <c r="D529" s="2">
        <v>0</v>
      </c>
      <c r="E529" s="2" t="s">
        <v>549</v>
      </c>
    </row>
    <row r="530" spans="1:5">
      <c r="A530" s="56">
        <v>531</v>
      </c>
      <c r="B530" s="56" t="s">
        <v>550</v>
      </c>
      <c r="C530" s="2">
        <v>1</v>
      </c>
      <c r="D530" s="2">
        <v>0</v>
      </c>
      <c r="E530" s="2" t="s">
        <v>551</v>
      </c>
    </row>
    <row r="531" spans="1:5">
      <c r="A531" s="56">
        <v>532</v>
      </c>
      <c r="B531" s="56" t="s">
        <v>552</v>
      </c>
      <c r="C531" s="2">
        <v>1</v>
      </c>
      <c r="D531" s="2">
        <v>0</v>
      </c>
      <c r="E531" s="2" t="s">
        <v>553</v>
      </c>
    </row>
    <row r="532" spans="1:5">
      <c r="A532" s="56">
        <v>533</v>
      </c>
      <c r="B532" s="56" t="s">
        <v>554</v>
      </c>
      <c r="C532" s="2">
        <v>1.63</v>
      </c>
      <c r="D532" s="2">
        <v>0</v>
      </c>
      <c r="E532" s="2" t="s">
        <v>555</v>
      </c>
    </row>
    <row r="533" spans="1:5">
      <c r="A533" s="56">
        <v>534</v>
      </c>
      <c r="B533" s="56" t="s">
        <v>556</v>
      </c>
      <c r="C533" s="2">
        <v>1.7</v>
      </c>
      <c r="D533" s="2">
        <v>0</v>
      </c>
      <c r="E533" s="2" t="s">
        <v>557</v>
      </c>
    </row>
    <row r="534" spans="1:5">
      <c r="A534" s="56">
        <v>535</v>
      </c>
      <c r="B534" s="56" t="s">
        <v>558</v>
      </c>
      <c r="C534" s="2">
        <v>1.6</v>
      </c>
      <c r="D534" s="2">
        <v>0</v>
      </c>
      <c r="E534" s="2" t="s">
        <v>559</v>
      </c>
    </row>
    <row r="535" spans="1:5">
      <c r="A535" s="56">
        <v>536</v>
      </c>
      <c r="B535" s="56" t="s">
        <v>560</v>
      </c>
      <c r="C535" s="2">
        <v>3.4</v>
      </c>
      <c r="D535" s="2">
        <v>0</v>
      </c>
      <c r="E535" s="2" t="s">
        <v>561</v>
      </c>
    </row>
    <row r="536" spans="1:5">
      <c r="A536" s="56">
        <v>537</v>
      </c>
      <c r="B536" s="56" t="s">
        <v>562</v>
      </c>
      <c r="C536" s="2">
        <v>10</v>
      </c>
      <c r="D536" s="2">
        <v>0</v>
      </c>
      <c r="E536" s="2" t="s">
        <v>563</v>
      </c>
    </row>
    <row r="537" spans="1:5">
      <c r="A537" s="56">
        <v>538</v>
      </c>
      <c r="B537" s="56" t="s">
        <v>564</v>
      </c>
      <c r="C537" s="2">
        <v>10</v>
      </c>
      <c r="D537" s="2">
        <v>0</v>
      </c>
      <c r="E537" s="2" t="s">
        <v>563</v>
      </c>
    </row>
    <row r="538" spans="1:4">
      <c r="A538" s="56">
        <v>539</v>
      </c>
      <c r="B538" s="56" t="s">
        <v>565</v>
      </c>
      <c r="C538" s="2">
        <v>1</v>
      </c>
      <c r="D538" s="2">
        <v>0</v>
      </c>
    </row>
    <row r="539" spans="1:5">
      <c r="A539" s="56">
        <v>540</v>
      </c>
      <c r="B539" s="89" t="s">
        <v>566</v>
      </c>
      <c r="C539" s="2">
        <v>3</v>
      </c>
      <c r="D539" s="2">
        <v>0</v>
      </c>
      <c r="E539" s="2" t="s">
        <v>567</v>
      </c>
    </row>
    <row r="540" spans="1:4">
      <c r="A540" s="56">
        <v>541</v>
      </c>
      <c r="B540" s="56" t="s">
        <v>568</v>
      </c>
      <c r="C540" s="2">
        <v>1</v>
      </c>
      <c r="D540" s="2">
        <v>0</v>
      </c>
    </row>
    <row r="541" spans="1:4">
      <c r="A541" s="56">
        <v>542</v>
      </c>
      <c r="B541" s="56" t="s">
        <v>569</v>
      </c>
      <c r="C541" s="2">
        <v>0.5</v>
      </c>
      <c r="D541" s="2">
        <v>0</v>
      </c>
    </row>
    <row r="542" spans="1:4">
      <c r="A542" s="56">
        <v>543</v>
      </c>
      <c r="B542" s="56" t="s">
        <v>570</v>
      </c>
      <c r="C542" s="2">
        <v>1</v>
      </c>
      <c r="D542" s="2">
        <v>0</v>
      </c>
    </row>
    <row r="543" spans="1:4">
      <c r="A543" s="56">
        <v>544</v>
      </c>
      <c r="B543" s="56" t="s">
        <v>571</v>
      </c>
      <c r="C543" s="2">
        <v>6.5</v>
      </c>
      <c r="D543" s="2">
        <v>0</v>
      </c>
    </row>
    <row r="544" spans="1:5">
      <c r="A544" s="56">
        <v>545</v>
      </c>
      <c r="B544" s="56" t="s">
        <v>572</v>
      </c>
      <c r="C544" s="2">
        <v>2</v>
      </c>
      <c r="D544" s="2">
        <v>0</v>
      </c>
      <c r="E544" s="2" t="s">
        <v>573</v>
      </c>
    </row>
    <row r="545" spans="1:4">
      <c r="A545" s="56">
        <v>546</v>
      </c>
      <c r="B545" s="56" t="s">
        <v>574</v>
      </c>
      <c r="C545" s="2">
        <v>2</v>
      </c>
      <c r="D545" s="2">
        <v>0</v>
      </c>
    </row>
    <row r="546" spans="1:4">
      <c r="A546" s="56">
        <v>547</v>
      </c>
      <c r="B546" s="56" t="s">
        <v>575</v>
      </c>
      <c r="C546" s="2">
        <v>2</v>
      </c>
      <c r="D546" s="2">
        <v>0</v>
      </c>
    </row>
    <row r="547" spans="1:4">
      <c r="A547" s="56">
        <v>548</v>
      </c>
      <c r="B547" s="56" t="s">
        <v>576</v>
      </c>
      <c r="C547" s="2">
        <v>2.15</v>
      </c>
      <c r="D547" s="2">
        <v>0</v>
      </c>
    </row>
    <row r="548" spans="1:4">
      <c r="A548" s="56">
        <v>549</v>
      </c>
      <c r="B548" s="56" t="s">
        <v>577</v>
      </c>
      <c r="C548" s="2">
        <v>1.82</v>
      </c>
      <c r="D548" s="2">
        <v>0</v>
      </c>
    </row>
    <row r="549" spans="1:4">
      <c r="A549" s="56">
        <v>550</v>
      </c>
      <c r="B549" s="56" t="s">
        <v>578</v>
      </c>
      <c r="C549" s="2">
        <v>1</v>
      </c>
      <c r="D549" s="2">
        <v>0</v>
      </c>
    </row>
    <row r="550" spans="1:5">
      <c r="A550" s="56">
        <v>551</v>
      </c>
      <c r="B550" s="1" t="s">
        <v>579</v>
      </c>
      <c r="C550" s="2">
        <v>1</v>
      </c>
      <c r="D550" s="2">
        <v>1</v>
      </c>
      <c r="E550" s="2" t="s">
        <v>580</v>
      </c>
    </row>
    <row r="551" spans="1:5">
      <c r="A551" s="56">
        <v>552</v>
      </c>
      <c r="B551" s="1" t="s">
        <v>211</v>
      </c>
      <c r="C551" s="2">
        <v>2.3</v>
      </c>
      <c r="D551" s="2">
        <v>0</v>
      </c>
      <c r="E551" s="2" t="s">
        <v>581</v>
      </c>
    </row>
    <row r="552" spans="1:5">
      <c r="A552" s="56">
        <v>553</v>
      </c>
      <c r="B552" s="1" t="s">
        <v>212</v>
      </c>
      <c r="C552" s="2">
        <v>6</v>
      </c>
      <c r="D552" s="2">
        <v>0</v>
      </c>
      <c r="E552" s="2" t="s">
        <v>581</v>
      </c>
    </row>
    <row r="553" spans="1:5">
      <c r="A553" s="56">
        <v>554</v>
      </c>
      <c r="B553" s="1" t="s">
        <v>213</v>
      </c>
      <c r="C553" s="2">
        <v>2.7</v>
      </c>
      <c r="D553" s="2">
        <v>0</v>
      </c>
      <c r="E553" s="2" t="s">
        <v>581</v>
      </c>
    </row>
    <row r="554" spans="1:5">
      <c r="A554" s="56">
        <v>555</v>
      </c>
      <c r="B554" s="1" t="s">
        <v>214</v>
      </c>
      <c r="C554" s="2">
        <v>2.5</v>
      </c>
      <c r="D554" s="2">
        <v>0</v>
      </c>
      <c r="E554" s="2" t="s">
        <v>581</v>
      </c>
    </row>
    <row r="555" spans="1:5">
      <c r="A555" s="56">
        <v>556</v>
      </c>
      <c r="B555" s="1" t="s">
        <v>582</v>
      </c>
      <c r="C555" s="2">
        <v>2.5</v>
      </c>
      <c r="D555" s="2">
        <v>0</v>
      </c>
      <c r="E555" s="2" t="s">
        <v>581</v>
      </c>
    </row>
    <row r="556" spans="1:5">
      <c r="A556" s="56">
        <v>557</v>
      </c>
      <c r="B556" s="1" t="s">
        <v>215</v>
      </c>
      <c r="C556" s="2">
        <v>2.8</v>
      </c>
      <c r="D556" s="2">
        <v>0</v>
      </c>
      <c r="E556" s="2" t="s">
        <v>581</v>
      </c>
    </row>
    <row r="557" spans="1:5">
      <c r="A557" s="56">
        <v>558</v>
      </c>
      <c r="B557" s="1" t="s">
        <v>216</v>
      </c>
      <c r="C557" s="2">
        <v>7.4</v>
      </c>
      <c r="D557" s="2">
        <v>0</v>
      </c>
      <c r="E557" s="2" t="s">
        <v>581</v>
      </c>
    </row>
    <row r="558" spans="1:5">
      <c r="A558" s="56">
        <v>559</v>
      </c>
      <c r="B558" s="1" t="s">
        <v>217</v>
      </c>
      <c r="C558" s="2">
        <v>4</v>
      </c>
      <c r="D558" s="2">
        <v>0</v>
      </c>
      <c r="E558" s="2" t="s">
        <v>581</v>
      </c>
    </row>
    <row r="559" spans="1:5">
      <c r="A559" s="56">
        <v>560</v>
      </c>
      <c r="B559" s="1" t="s">
        <v>218</v>
      </c>
      <c r="C559" s="2">
        <v>9</v>
      </c>
      <c r="D559" s="2">
        <v>0</v>
      </c>
      <c r="E559" s="2" t="s">
        <v>581</v>
      </c>
    </row>
    <row r="560" spans="1:5">
      <c r="A560" s="56">
        <v>561</v>
      </c>
      <c r="B560" s="56" t="s">
        <v>113</v>
      </c>
      <c r="C560" s="2">
        <v>5.3</v>
      </c>
      <c r="D560" s="2">
        <v>0</v>
      </c>
      <c r="E560" s="2" t="s">
        <v>583</v>
      </c>
    </row>
    <row r="561" spans="1:5">
      <c r="A561" s="56">
        <v>562</v>
      </c>
      <c r="B561" s="56" t="s">
        <v>584</v>
      </c>
      <c r="C561" s="2">
        <v>3</v>
      </c>
      <c r="D561" s="2">
        <v>0</v>
      </c>
      <c r="E561" s="2" t="s">
        <v>583</v>
      </c>
    </row>
    <row r="562" spans="1:5">
      <c r="A562" s="56">
        <v>563</v>
      </c>
      <c r="B562" s="56" t="s">
        <v>585</v>
      </c>
      <c r="C562" s="2">
        <v>2</v>
      </c>
      <c r="D562" s="2">
        <v>0</v>
      </c>
      <c r="E562" s="2" t="s">
        <v>586</v>
      </c>
    </row>
    <row r="563" spans="1:5">
      <c r="A563" s="56">
        <v>564</v>
      </c>
      <c r="B563" s="56" t="s">
        <v>587</v>
      </c>
      <c r="C563" s="2">
        <v>3.3</v>
      </c>
      <c r="D563" s="2">
        <v>0</v>
      </c>
      <c r="E563" s="2" t="s">
        <v>583</v>
      </c>
    </row>
    <row r="564" spans="1:5">
      <c r="A564" s="56">
        <v>565</v>
      </c>
      <c r="B564" s="56" t="s">
        <v>588</v>
      </c>
      <c r="C564" s="2">
        <v>1.8</v>
      </c>
      <c r="D564" s="2">
        <v>0</v>
      </c>
      <c r="E564" s="2" t="s">
        <v>583</v>
      </c>
    </row>
    <row r="565" spans="1:5">
      <c r="A565" s="56">
        <v>566</v>
      </c>
      <c r="B565" s="56" t="s">
        <v>589</v>
      </c>
      <c r="C565" s="2">
        <v>2.3</v>
      </c>
      <c r="D565" s="2">
        <v>0</v>
      </c>
      <c r="E565" s="2" t="s">
        <v>583</v>
      </c>
    </row>
    <row r="566" spans="1:5">
      <c r="A566" s="56">
        <v>567</v>
      </c>
      <c r="B566" s="56" t="s">
        <v>590</v>
      </c>
      <c r="C566" s="2">
        <v>2</v>
      </c>
      <c r="D566" s="2">
        <v>0</v>
      </c>
      <c r="E566" s="2" t="s">
        <v>583</v>
      </c>
    </row>
    <row r="567" spans="1:5">
      <c r="A567" s="56">
        <v>568</v>
      </c>
      <c r="B567" s="56" t="s">
        <v>591</v>
      </c>
      <c r="C567" s="2">
        <v>2.5</v>
      </c>
      <c r="D567" s="2">
        <v>0</v>
      </c>
      <c r="E567" s="2" t="s">
        <v>586</v>
      </c>
    </row>
    <row r="568" spans="1:5">
      <c r="A568" s="56">
        <v>569</v>
      </c>
      <c r="B568" s="56" t="s">
        <v>592</v>
      </c>
      <c r="C568" s="2">
        <v>1.2</v>
      </c>
      <c r="D568" s="2">
        <v>0</v>
      </c>
      <c r="E568" s="2" t="s">
        <v>593</v>
      </c>
    </row>
    <row r="569" spans="1:5">
      <c r="A569" s="56">
        <v>570</v>
      </c>
      <c r="B569" s="56" t="s">
        <v>594</v>
      </c>
      <c r="C569" s="2">
        <v>2.3</v>
      </c>
      <c r="D569" s="2">
        <v>0</v>
      </c>
      <c r="E569" s="2" t="s">
        <v>593</v>
      </c>
    </row>
    <row r="570" spans="1:5">
      <c r="A570" s="56">
        <v>571</v>
      </c>
      <c r="B570" s="56" t="s">
        <v>595</v>
      </c>
      <c r="C570" s="2">
        <v>2.1</v>
      </c>
      <c r="D570" s="2">
        <v>0</v>
      </c>
      <c r="E570" s="2" t="s">
        <v>596</v>
      </c>
    </row>
    <row r="571" spans="1:5">
      <c r="A571" s="56">
        <v>572</v>
      </c>
      <c r="B571" s="56" t="s">
        <v>597</v>
      </c>
      <c r="C571" s="2">
        <v>3.2</v>
      </c>
      <c r="D571" s="2">
        <v>0</v>
      </c>
      <c r="E571" s="2" t="s">
        <v>596</v>
      </c>
    </row>
    <row r="572" spans="1:5">
      <c r="A572" s="56">
        <v>573</v>
      </c>
      <c r="B572" s="56" t="s">
        <v>598</v>
      </c>
      <c r="C572" s="2">
        <v>1.7</v>
      </c>
      <c r="D572" s="2">
        <v>0</v>
      </c>
      <c r="E572" s="2" t="s">
        <v>599</v>
      </c>
    </row>
    <row r="573" spans="1:5">
      <c r="A573" s="56">
        <v>574</v>
      </c>
      <c r="B573" s="56" t="s">
        <v>600</v>
      </c>
      <c r="C573" s="2">
        <v>2.8</v>
      </c>
      <c r="D573" s="2">
        <v>0</v>
      </c>
      <c r="E573" s="2" t="s">
        <v>599</v>
      </c>
    </row>
    <row r="574" spans="1:5">
      <c r="A574" s="56">
        <v>575</v>
      </c>
      <c r="B574" s="56" t="s">
        <v>601</v>
      </c>
      <c r="C574" s="2">
        <v>1</v>
      </c>
      <c r="D574" s="2">
        <v>0</v>
      </c>
      <c r="E574" s="2" t="s">
        <v>599</v>
      </c>
    </row>
    <row r="575" spans="1:4">
      <c r="A575" s="56">
        <v>576</v>
      </c>
      <c r="B575" s="56" t="s">
        <v>602</v>
      </c>
      <c r="C575" s="2">
        <v>1</v>
      </c>
      <c r="D575" s="2">
        <v>0</v>
      </c>
    </row>
    <row r="576" spans="1:5">
      <c r="A576" s="56">
        <v>577</v>
      </c>
      <c r="B576" s="56" t="s">
        <v>603</v>
      </c>
      <c r="C576" s="2">
        <v>14.5</v>
      </c>
      <c r="D576" s="2">
        <v>0</v>
      </c>
      <c r="E576" s="2" t="s">
        <v>604</v>
      </c>
    </row>
    <row r="577" spans="1:5">
      <c r="A577" s="56">
        <v>578</v>
      </c>
      <c r="B577" s="56" t="s">
        <v>605</v>
      </c>
      <c r="C577" s="2">
        <v>14.5</v>
      </c>
      <c r="D577" s="2">
        <v>0</v>
      </c>
      <c r="E577" s="2" t="s">
        <v>604</v>
      </c>
    </row>
    <row r="578" spans="1:5">
      <c r="A578" s="56">
        <v>579</v>
      </c>
      <c r="B578" s="56" t="s">
        <v>606</v>
      </c>
      <c r="C578" s="2">
        <v>14.5</v>
      </c>
      <c r="D578" s="2">
        <v>0</v>
      </c>
      <c r="E578" s="2" t="s">
        <v>604</v>
      </c>
    </row>
    <row r="579" spans="1:4">
      <c r="A579" s="56">
        <v>580</v>
      </c>
      <c r="B579" s="56" t="s">
        <v>607</v>
      </c>
      <c r="C579" s="2">
        <v>2.8</v>
      </c>
      <c r="D579" s="2">
        <v>0</v>
      </c>
    </row>
    <row r="580" spans="1:5">
      <c r="A580" s="56">
        <v>581</v>
      </c>
      <c r="B580" s="56" t="s">
        <v>608</v>
      </c>
      <c r="C580" s="2">
        <v>4.9</v>
      </c>
      <c r="D580" s="2">
        <v>0</v>
      </c>
      <c r="E580" s="2" t="s">
        <v>609</v>
      </c>
    </row>
    <row r="581" spans="1:5">
      <c r="A581" s="56">
        <v>582</v>
      </c>
      <c r="B581" s="56" t="s">
        <v>610</v>
      </c>
      <c r="C581" s="2">
        <v>6.3</v>
      </c>
      <c r="D581" s="2">
        <v>0</v>
      </c>
      <c r="E581" s="2" t="s">
        <v>609</v>
      </c>
    </row>
    <row r="582" spans="1:5">
      <c r="A582" s="56">
        <v>583</v>
      </c>
      <c r="B582" s="56" t="s">
        <v>611</v>
      </c>
      <c r="C582" s="2">
        <v>4.9</v>
      </c>
      <c r="D582" s="2">
        <v>0</v>
      </c>
      <c r="E582" s="2" t="s">
        <v>609</v>
      </c>
    </row>
    <row r="583" spans="1:5">
      <c r="A583" s="56">
        <v>584</v>
      </c>
      <c r="B583" s="56" t="s">
        <v>612</v>
      </c>
      <c r="C583" s="2">
        <v>4.6</v>
      </c>
      <c r="D583" s="2">
        <v>0</v>
      </c>
      <c r="E583" s="2" t="s">
        <v>609</v>
      </c>
    </row>
    <row r="584" spans="1:5">
      <c r="A584" s="56">
        <v>585</v>
      </c>
      <c r="B584" s="56" t="s">
        <v>613</v>
      </c>
      <c r="C584" s="2">
        <v>7.5</v>
      </c>
      <c r="D584" s="2">
        <v>0</v>
      </c>
      <c r="E584" s="2" t="s">
        <v>609</v>
      </c>
    </row>
    <row r="585" spans="1:5">
      <c r="A585" s="56">
        <v>586</v>
      </c>
      <c r="B585" s="56" t="s">
        <v>614</v>
      </c>
      <c r="C585" s="2">
        <v>2.4</v>
      </c>
      <c r="D585" s="2">
        <v>0</v>
      </c>
      <c r="E585" s="2" t="s">
        <v>609</v>
      </c>
    </row>
    <row r="586" spans="1:5">
      <c r="A586" s="56">
        <v>587</v>
      </c>
      <c r="B586" s="56" t="s">
        <v>615</v>
      </c>
      <c r="C586" s="2">
        <v>1</v>
      </c>
      <c r="D586" s="2">
        <v>0</v>
      </c>
      <c r="E586" s="2" t="s">
        <v>609</v>
      </c>
    </row>
    <row r="587" spans="1:5">
      <c r="A587" s="56">
        <v>588</v>
      </c>
      <c r="B587" s="56" t="s">
        <v>616</v>
      </c>
      <c r="C587" s="2">
        <v>5.5</v>
      </c>
      <c r="D587" s="2">
        <v>0</v>
      </c>
      <c r="E587" s="2" t="s">
        <v>609</v>
      </c>
    </row>
    <row r="588" spans="1:5">
      <c r="A588" s="56">
        <v>589</v>
      </c>
      <c r="B588" s="56" t="s">
        <v>617</v>
      </c>
      <c r="C588" s="2">
        <v>3.9</v>
      </c>
      <c r="D588" s="2">
        <v>0</v>
      </c>
      <c r="E588" s="2" t="s">
        <v>609</v>
      </c>
    </row>
    <row r="589" spans="1:5">
      <c r="A589" s="56">
        <v>590</v>
      </c>
      <c r="B589" s="56" t="s">
        <v>618</v>
      </c>
      <c r="C589" s="2">
        <v>3.9</v>
      </c>
      <c r="D589" s="2">
        <v>0</v>
      </c>
      <c r="E589" s="2" t="s">
        <v>609</v>
      </c>
    </row>
    <row r="590" spans="1:5">
      <c r="A590" s="56">
        <v>591</v>
      </c>
      <c r="B590" s="56" t="s">
        <v>619</v>
      </c>
      <c r="C590" s="2">
        <v>3.9</v>
      </c>
      <c r="D590" s="2">
        <v>0</v>
      </c>
      <c r="E590" s="2" t="s">
        <v>609</v>
      </c>
    </row>
    <row r="591" spans="1:5">
      <c r="A591" s="56">
        <v>592</v>
      </c>
      <c r="B591" s="56" t="s">
        <v>620</v>
      </c>
      <c r="C591" s="2">
        <v>2.8</v>
      </c>
      <c r="D591" s="2">
        <v>0</v>
      </c>
      <c r="E591" s="2" t="s">
        <v>621</v>
      </c>
    </row>
    <row r="592" spans="1:5">
      <c r="A592" s="56">
        <v>593</v>
      </c>
      <c r="B592" s="56" t="s">
        <v>622</v>
      </c>
      <c r="C592" s="2">
        <v>3</v>
      </c>
      <c r="D592" s="2">
        <v>0</v>
      </c>
      <c r="E592" s="2" t="s">
        <v>623</v>
      </c>
    </row>
    <row r="593" spans="1:5">
      <c r="A593" s="56">
        <v>594</v>
      </c>
      <c r="B593" s="56" t="s">
        <v>624</v>
      </c>
      <c r="C593" s="2">
        <v>3</v>
      </c>
      <c r="D593" s="2">
        <v>0</v>
      </c>
      <c r="E593" s="2" t="s">
        <v>625</v>
      </c>
    </row>
    <row r="594" spans="1:5">
      <c r="A594" s="56">
        <v>595</v>
      </c>
      <c r="B594" s="56" t="s">
        <v>626</v>
      </c>
      <c r="C594" s="2">
        <v>1</v>
      </c>
      <c r="D594" s="2">
        <v>0</v>
      </c>
      <c r="E594" s="2" t="s">
        <v>627</v>
      </c>
    </row>
    <row r="595" spans="1:5">
      <c r="A595" s="56">
        <v>596</v>
      </c>
      <c r="B595" s="56" t="s">
        <v>628</v>
      </c>
      <c r="C595" s="2">
        <v>3</v>
      </c>
      <c r="D595" s="2">
        <v>0</v>
      </c>
      <c r="E595" s="2" t="s">
        <v>627</v>
      </c>
    </row>
    <row r="596" spans="1:5">
      <c r="A596" s="56">
        <v>597</v>
      </c>
      <c r="B596" s="56" t="s">
        <v>629</v>
      </c>
      <c r="C596" s="2">
        <v>3</v>
      </c>
      <c r="D596" s="2">
        <v>0</v>
      </c>
      <c r="E596" s="2" t="s">
        <v>627</v>
      </c>
    </row>
    <row r="597" spans="1:5">
      <c r="A597" s="56">
        <v>598</v>
      </c>
      <c r="B597" s="56" t="s">
        <v>630</v>
      </c>
      <c r="C597" s="2">
        <v>3</v>
      </c>
      <c r="D597" s="2">
        <v>0</v>
      </c>
      <c r="E597" s="2" t="s">
        <v>627</v>
      </c>
    </row>
    <row r="598" spans="1:5">
      <c r="A598" s="56">
        <v>599</v>
      </c>
      <c r="B598" s="56" t="s">
        <v>631</v>
      </c>
      <c r="C598" s="2">
        <v>2.9</v>
      </c>
      <c r="D598" s="2">
        <v>0</v>
      </c>
      <c r="E598" s="2" t="s">
        <v>632</v>
      </c>
    </row>
    <row r="599" spans="1:5">
      <c r="A599" s="56">
        <v>600</v>
      </c>
      <c r="B599" s="56" t="s">
        <v>633</v>
      </c>
      <c r="C599" s="2">
        <v>1</v>
      </c>
      <c r="D599" s="2">
        <v>0</v>
      </c>
      <c r="E599" s="2" t="s">
        <v>632</v>
      </c>
    </row>
    <row r="600" spans="1:5">
      <c r="A600" s="56">
        <v>601</v>
      </c>
      <c r="B600" s="56" t="s">
        <v>634</v>
      </c>
      <c r="C600" s="2">
        <v>2.5</v>
      </c>
      <c r="D600" s="2">
        <v>0</v>
      </c>
      <c r="E600" s="2" t="s">
        <v>635</v>
      </c>
    </row>
    <row r="601" spans="1:5">
      <c r="A601" s="56">
        <v>602</v>
      </c>
      <c r="B601" s="56" t="s">
        <v>636</v>
      </c>
      <c r="C601" s="2">
        <v>2.3</v>
      </c>
      <c r="D601" s="2">
        <v>0</v>
      </c>
      <c r="E601" s="2" t="s">
        <v>635</v>
      </c>
    </row>
    <row r="602" spans="1:5">
      <c r="A602" s="56">
        <v>603</v>
      </c>
      <c r="B602" s="56" t="s">
        <v>637</v>
      </c>
      <c r="C602" s="2">
        <v>4</v>
      </c>
      <c r="D602" s="2">
        <v>0</v>
      </c>
      <c r="E602" s="2" t="s">
        <v>638</v>
      </c>
    </row>
    <row r="603" spans="1:5">
      <c r="A603" s="56">
        <v>604</v>
      </c>
      <c r="B603" s="56" t="s">
        <v>639</v>
      </c>
      <c r="C603" s="2">
        <v>1</v>
      </c>
      <c r="D603" s="2">
        <v>0</v>
      </c>
      <c r="E603" s="2" t="s">
        <v>638</v>
      </c>
    </row>
    <row r="604" spans="1:5">
      <c r="A604" s="56">
        <v>605</v>
      </c>
      <c r="B604" s="56" t="s">
        <v>640</v>
      </c>
      <c r="C604" s="2">
        <v>2.8</v>
      </c>
      <c r="D604" s="2">
        <v>0</v>
      </c>
      <c r="E604" s="2" t="s">
        <v>641</v>
      </c>
    </row>
    <row r="605" spans="1:5">
      <c r="A605" s="56">
        <v>606</v>
      </c>
      <c r="B605" s="56" t="s">
        <v>642</v>
      </c>
      <c r="C605" s="2">
        <v>2.8</v>
      </c>
      <c r="D605" s="2">
        <v>0</v>
      </c>
      <c r="E605" s="2" t="s">
        <v>641</v>
      </c>
    </row>
    <row r="606" spans="1:5">
      <c r="A606" s="56">
        <v>607</v>
      </c>
      <c r="B606" s="56" t="s">
        <v>643</v>
      </c>
      <c r="C606" s="2">
        <v>2.5</v>
      </c>
      <c r="D606" s="2">
        <v>0</v>
      </c>
      <c r="E606" s="2" t="s">
        <v>641</v>
      </c>
    </row>
    <row r="607" spans="1:5">
      <c r="A607" s="56">
        <v>608</v>
      </c>
      <c r="B607" s="56" t="s">
        <v>644</v>
      </c>
      <c r="C607" s="2">
        <v>2.5</v>
      </c>
      <c r="D607" s="2">
        <v>0</v>
      </c>
      <c r="E607" s="2" t="s">
        <v>641</v>
      </c>
    </row>
    <row r="608" spans="1:5">
      <c r="A608" s="56">
        <v>609</v>
      </c>
      <c r="B608" s="56" t="s">
        <v>645</v>
      </c>
      <c r="C608" s="2">
        <v>7.5</v>
      </c>
      <c r="D608" s="2">
        <v>0</v>
      </c>
      <c r="E608" s="2" t="s">
        <v>641</v>
      </c>
    </row>
    <row r="609" spans="1:5">
      <c r="A609" s="56">
        <v>610</v>
      </c>
      <c r="B609" s="56" t="s">
        <v>646</v>
      </c>
      <c r="C609" s="2">
        <v>0.3</v>
      </c>
      <c r="D609" s="2">
        <v>0</v>
      </c>
      <c r="E609" s="2" t="s">
        <v>641</v>
      </c>
    </row>
    <row r="610" spans="1:5">
      <c r="A610" s="56">
        <v>611</v>
      </c>
      <c r="B610" s="56" t="s">
        <v>647</v>
      </c>
      <c r="C610" s="2">
        <v>0</v>
      </c>
      <c r="D610" s="2">
        <v>0</v>
      </c>
      <c r="E610" s="2" t="s">
        <v>641</v>
      </c>
    </row>
    <row r="611" spans="1:5">
      <c r="A611" s="56">
        <v>612</v>
      </c>
      <c r="B611" s="56" t="s">
        <v>648</v>
      </c>
      <c r="C611" s="2">
        <v>0</v>
      </c>
      <c r="D611" s="2">
        <v>0</v>
      </c>
      <c r="E611" s="2" t="s">
        <v>641</v>
      </c>
    </row>
    <row r="612" spans="1:5">
      <c r="A612" s="56">
        <v>613</v>
      </c>
      <c r="B612" s="56" t="s">
        <v>649</v>
      </c>
      <c r="C612" s="2">
        <v>8.33333333333333</v>
      </c>
      <c r="D612" s="2">
        <v>0</v>
      </c>
      <c r="E612" s="2" t="s">
        <v>641</v>
      </c>
    </row>
    <row r="613" spans="1:5">
      <c r="A613" s="56">
        <v>614</v>
      </c>
      <c r="B613" s="56" t="s">
        <v>650</v>
      </c>
      <c r="C613" s="2">
        <v>2.5</v>
      </c>
      <c r="D613" s="2">
        <v>0</v>
      </c>
      <c r="E613" s="2" t="s">
        <v>641</v>
      </c>
    </row>
    <row r="614" spans="1:5">
      <c r="A614" s="56">
        <v>615</v>
      </c>
      <c r="B614" s="56" t="s">
        <v>651</v>
      </c>
      <c r="C614" s="2">
        <v>2</v>
      </c>
      <c r="D614" s="2">
        <v>0</v>
      </c>
      <c r="E614" s="2" t="s">
        <v>652</v>
      </c>
    </row>
    <row r="615" spans="1:5">
      <c r="A615" s="56">
        <v>616</v>
      </c>
      <c r="B615" s="56" t="s">
        <v>653</v>
      </c>
      <c r="C615" s="2">
        <v>2.5</v>
      </c>
      <c r="D615" s="2">
        <v>0</v>
      </c>
      <c r="E615" s="2" t="s">
        <v>652</v>
      </c>
    </row>
    <row r="616" spans="1:5">
      <c r="A616" s="56">
        <v>617</v>
      </c>
      <c r="B616" s="56" t="s">
        <v>654</v>
      </c>
      <c r="C616" s="2">
        <v>2.8</v>
      </c>
      <c r="D616" s="2">
        <v>0</v>
      </c>
      <c r="E616" s="2" t="s">
        <v>652</v>
      </c>
    </row>
    <row r="617" spans="1:5">
      <c r="A617" s="56">
        <v>618</v>
      </c>
      <c r="B617" s="56" t="s">
        <v>655</v>
      </c>
      <c r="C617" s="2">
        <v>2</v>
      </c>
      <c r="D617" s="2">
        <v>0</v>
      </c>
      <c r="E617" s="2" t="s">
        <v>652</v>
      </c>
    </row>
    <row r="618" spans="1:5">
      <c r="A618" s="56">
        <v>619</v>
      </c>
      <c r="B618" s="56" t="s">
        <v>656</v>
      </c>
      <c r="C618" s="2">
        <v>1</v>
      </c>
      <c r="D618" s="2">
        <v>0</v>
      </c>
      <c r="E618" s="2" t="s">
        <v>652</v>
      </c>
    </row>
    <row r="619" spans="1:5">
      <c r="A619" s="56">
        <v>620</v>
      </c>
      <c r="B619" s="56" t="s">
        <v>657</v>
      </c>
      <c r="C619" s="2">
        <v>2</v>
      </c>
      <c r="D619" s="2">
        <v>0</v>
      </c>
      <c r="E619" s="2" t="s">
        <v>658</v>
      </c>
    </row>
    <row r="620" spans="1:5">
      <c r="A620" s="56">
        <v>621</v>
      </c>
      <c r="B620" s="56" t="s">
        <v>659</v>
      </c>
      <c r="C620" s="2">
        <v>1</v>
      </c>
      <c r="D620" s="2">
        <v>0</v>
      </c>
      <c r="E620" s="2" t="s">
        <v>658</v>
      </c>
    </row>
    <row r="621" spans="1:5">
      <c r="A621" s="56">
        <v>622</v>
      </c>
      <c r="B621" s="56" t="s">
        <v>660</v>
      </c>
      <c r="C621" s="2">
        <v>3</v>
      </c>
      <c r="D621" s="2">
        <v>0</v>
      </c>
      <c r="E621" s="2" t="s">
        <v>658</v>
      </c>
    </row>
    <row r="622" spans="1:5">
      <c r="A622" s="56">
        <v>623</v>
      </c>
      <c r="B622" s="56" t="s">
        <v>661</v>
      </c>
      <c r="C622" s="2">
        <v>3.3</v>
      </c>
      <c r="D622" s="2">
        <v>0</v>
      </c>
      <c r="E622" s="2" t="s">
        <v>658</v>
      </c>
    </row>
    <row r="623" spans="1:5">
      <c r="A623" s="56">
        <v>624</v>
      </c>
      <c r="B623" s="56" t="s">
        <v>662</v>
      </c>
      <c r="C623" s="2">
        <v>3.3</v>
      </c>
      <c r="D623" s="2">
        <v>0</v>
      </c>
      <c r="E623" s="2" t="s">
        <v>658</v>
      </c>
    </row>
    <row r="624" spans="1:5">
      <c r="A624" s="56">
        <v>625</v>
      </c>
      <c r="B624" s="56" t="s">
        <v>663</v>
      </c>
      <c r="C624" s="2">
        <v>9.1</v>
      </c>
      <c r="D624" s="2">
        <v>0</v>
      </c>
      <c r="E624" s="2" t="s">
        <v>658</v>
      </c>
    </row>
    <row r="625" spans="1:5">
      <c r="A625" s="56">
        <v>626</v>
      </c>
      <c r="B625" s="56" t="s">
        <v>664</v>
      </c>
      <c r="C625" s="2">
        <v>9.1</v>
      </c>
      <c r="D625" s="2">
        <v>0</v>
      </c>
      <c r="E625" s="2" t="s">
        <v>658</v>
      </c>
    </row>
    <row r="626" spans="1:5">
      <c r="A626" s="56">
        <v>627</v>
      </c>
      <c r="B626" s="56" t="s">
        <v>665</v>
      </c>
      <c r="C626" s="2">
        <v>9.1</v>
      </c>
      <c r="D626" s="2">
        <v>0</v>
      </c>
      <c r="E626" s="2" t="s">
        <v>658</v>
      </c>
    </row>
    <row r="627" spans="1:5">
      <c r="A627" s="56">
        <v>628</v>
      </c>
      <c r="B627" s="56" t="s">
        <v>666</v>
      </c>
      <c r="C627" s="2">
        <v>9.1</v>
      </c>
      <c r="D627" s="2">
        <v>0</v>
      </c>
      <c r="E627" s="2" t="s">
        <v>658</v>
      </c>
    </row>
    <row r="628" spans="1:5">
      <c r="A628" s="56">
        <v>629</v>
      </c>
      <c r="B628" s="56" t="s">
        <v>667</v>
      </c>
      <c r="C628" s="2">
        <v>7</v>
      </c>
      <c r="D628" s="2">
        <v>0</v>
      </c>
      <c r="E628" s="2" t="s">
        <v>658</v>
      </c>
    </row>
    <row r="629" spans="1:5">
      <c r="A629" s="56">
        <v>630</v>
      </c>
      <c r="B629" s="56" t="s">
        <v>668</v>
      </c>
      <c r="C629" s="2">
        <v>7</v>
      </c>
      <c r="D629" s="2">
        <v>0</v>
      </c>
      <c r="E629" s="2" t="s">
        <v>658</v>
      </c>
    </row>
    <row r="630" spans="1:5">
      <c r="A630" s="56">
        <v>631</v>
      </c>
      <c r="B630" s="56" t="s">
        <v>669</v>
      </c>
      <c r="C630" s="2">
        <v>7</v>
      </c>
      <c r="D630" s="2">
        <v>0</v>
      </c>
      <c r="E630" s="2" t="s">
        <v>658</v>
      </c>
    </row>
    <row r="631" spans="1:5">
      <c r="A631" s="56">
        <v>632</v>
      </c>
      <c r="B631" s="56" t="s">
        <v>670</v>
      </c>
      <c r="C631" s="2">
        <v>7</v>
      </c>
      <c r="D631" s="2">
        <v>0</v>
      </c>
      <c r="E631" s="2" t="s">
        <v>658</v>
      </c>
    </row>
    <row r="632" spans="1:5">
      <c r="A632" s="56">
        <v>633</v>
      </c>
      <c r="B632" s="56" t="s">
        <v>671</v>
      </c>
      <c r="C632" s="2">
        <v>7</v>
      </c>
      <c r="D632" s="2">
        <v>0</v>
      </c>
      <c r="E632" s="2" t="s">
        <v>658</v>
      </c>
    </row>
    <row r="633" spans="1:5">
      <c r="A633" s="56">
        <v>634</v>
      </c>
      <c r="B633" s="56" t="s">
        <v>672</v>
      </c>
      <c r="C633" s="2">
        <v>6</v>
      </c>
      <c r="D633" s="2">
        <v>0</v>
      </c>
      <c r="E633" s="2" t="s">
        <v>658</v>
      </c>
    </row>
    <row r="634" spans="1:5">
      <c r="A634" s="56">
        <v>635</v>
      </c>
      <c r="B634" s="56" t="s">
        <v>673</v>
      </c>
      <c r="C634" s="2">
        <v>3.5</v>
      </c>
      <c r="D634" s="2">
        <v>0</v>
      </c>
      <c r="E634" s="2" t="s">
        <v>658</v>
      </c>
    </row>
    <row r="635" spans="1:5">
      <c r="A635" s="56">
        <v>636</v>
      </c>
      <c r="B635" s="56" t="s">
        <v>674</v>
      </c>
      <c r="C635" s="2">
        <v>3.7</v>
      </c>
      <c r="D635" s="2">
        <v>0</v>
      </c>
      <c r="E635" s="2" t="s">
        <v>658</v>
      </c>
    </row>
    <row r="636" spans="1:5">
      <c r="A636" s="56">
        <v>637</v>
      </c>
      <c r="B636" s="56" t="s">
        <v>675</v>
      </c>
      <c r="C636" s="2">
        <v>3</v>
      </c>
      <c r="D636" s="2">
        <v>0</v>
      </c>
      <c r="E636" s="2" t="s">
        <v>658</v>
      </c>
    </row>
    <row r="637" spans="1:5">
      <c r="A637" s="56">
        <v>638</v>
      </c>
      <c r="B637" s="56" t="s">
        <v>676</v>
      </c>
      <c r="C637" s="2">
        <v>3.7</v>
      </c>
      <c r="D637" s="2">
        <v>0</v>
      </c>
      <c r="E637" s="2" t="s">
        <v>658</v>
      </c>
    </row>
    <row r="638" spans="1:5">
      <c r="A638" s="56">
        <v>639</v>
      </c>
      <c r="B638" s="56" t="s">
        <v>677</v>
      </c>
      <c r="C638" s="2">
        <v>3.7</v>
      </c>
      <c r="D638" s="2">
        <v>0</v>
      </c>
      <c r="E638" s="2" t="s">
        <v>658</v>
      </c>
    </row>
    <row r="639" spans="1:5">
      <c r="A639" s="56">
        <v>640</v>
      </c>
      <c r="B639" s="56" t="s">
        <v>678</v>
      </c>
      <c r="C639" s="2">
        <v>3.7</v>
      </c>
      <c r="D639" s="2">
        <v>0</v>
      </c>
      <c r="E639" s="2" t="s">
        <v>658</v>
      </c>
    </row>
    <row r="640" spans="1:5">
      <c r="A640" s="56">
        <v>641</v>
      </c>
      <c r="B640" s="56" t="s">
        <v>679</v>
      </c>
      <c r="C640" s="2">
        <v>3.7</v>
      </c>
      <c r="D640" s="2">
        <v>0</v>
      </c>
      <c r="E640" s="2" t="s">
        <v>658</v>
      </c>
    </row>
    <row r="641" spans="1:5">
      <c r="A641" s="56">
        <v>642</v>
      </c>
      <c r="B641" s="56" t="s">
        <v>680</v>
      </c>
      <c r="C641" s="2">
        <v>12.5</v>
      </c>
      <c r="D641" s="2">
        <v>0</v>
      </c>
      <c r="E641" s="2" t="s">
        <v>658</v>
      </c>
    </row>
    <row r="642" spans="1:5">
      <c r="A642" s="56">
        <v>643</v>
      </c>
      <c r="B642" s="56" t="s">
        <v>681</v>
      </c>
      <c r="C642" s="2">
        <v>12.5</v>
      </c>
      <c r="D642" s="2">
        <v>0</v>
      </c>
      <c r="E642" s="2" t="s">
        <v>658</v>
      </c>
    </row>
    <row r="643" spans="1:5">
      <c r="A643" s="56">
        <v>644</v>
      </c>
      <c r="B643" s="56" t="s">
        <v>682</v>
      </c>
      <c r="C643" s="2">
        <v>12.5</v>
      </c>
      <c r="D643" s="2">
        <v>0</v>
      </c>
      <c r="E643" s="2" t="s">
        <v>658</v>
      </c>
    </row>
    <row r="644" spans="1:5">
      <c r="A644" s="56">
        <v>645</v>
      </c>
      <c r="B644" s="56" t="s">
        <v>683</v>
      </c>
      <c r="C644" s="2">
        <v>2</v>
      </c>
      <c r="D644" s="2">
        <v>0</v>
      </c>
      <c r="E644" s="2" t="s">
        <v>684</v>
      </c>
    </row>
    <row r="645" spans="1:5">
      <c r="A645" s="56">
        <v>646</v>
      </c>
      <c r="B645" s="56" t="s">
        <v>685</v>
      </c>
      <c r="C645" s="2">
        <v>3</v>
      </c>
      <c r="D645" s="2">
        <v>0</v>
      </c>
      <c r="E645" s="2" t="s">
        <v>686</v>
      </c>
    </row>
    <row r="646" spans="1:5">
      <c r="A646" s="56">
        <v>647</v>
      </c>
      <c r="B646" s="56" t="s">
        <v>687</v>
      </c>
      <c r="C646" s="2">
        <v>2.3</v>
      </c>
      <c r="D646" s="2">
        <v>0</v>
      </c>
      <c r="E646" s="2" t="s">
        <v>688</v>
      </c>
    </row>
    <row r="647" spans="1:5">
      <c r="A647" s="56">
        <v>648</v>
      </c>
      <c r="B647" s="56" t="s">
        <v>689</v>
      </c>
      <c r="C647" s="2">
        <v>1.4</v>
      </c>
      <c r="D647" s="2">
        <v>0</v>
      </c>
      <c r="E647" s="2" t="s">
        <v>688</v>
      </c>
    </row>
    <row r="648" spans="1:5">
      <c r="A648" s="56">
        <v>649</v>
      </c>
      <c r="B648" s="56" t="s">
        <v>690</v>
      </c>
      <c r="C648" s="2">
        <v>2</v>
      </c>
      <c r="D648" s="2">
        <v>0</v>
      </c>
      <c r="E648" s="2" t="s">
        <v>691</v>
      </c>
    </row>
    <row r="649" spans="1:5">
      <c r="A649" s="56">
        <v>650</v>
      </c>
      <c r="B649" s="56" t="s">
        <v>692</v>
      </c>
      <c r="C649" s="2">
        <v>1.5</v>
      </c>
      <c r="D649" s="2">
        <v>0</v>
      </c>
      <c r="E649" s="2" t="s">
        <v>693</v>
      </c>
    </row>
    <row r="650" spans="1:5">
      <c r="A650" s="56">
        <v>651</v>
      </c>
      <c r="B650" s="56" t="s">
        <v>694</v>
      </c>
      <c r="C650" s="2">
        <v>5.2</v>
      </c>
      <c r="D650" s="2">
        <v>0</v>
      </c>
      <c r="E650" s="2" t="s">
        <v>693</v>
      </c>
    </row>
    <row r="651" spans="1:5">
      <c r="A651" s="56">
        <v>652</v>
      </c>
      <c r="B651" s="56" t="s">
        <v>695</v>
      </c>
      <c r="C651" s="2">
        <v>2</v>
      </c>
      <c r="D651" s="2">
        <v>0</v>
      </c>
      <c r="E651" s="2" t="s">
        <v>696</v>
      </c>
    </row>
    <row r="652" spans="1:5">
      <c r="A652" s="56">
        <v>653</v>
      </c>
      <c r="B652" s="56" t="s">
        <v>697</v>
      </c>
      <c r="C652" s="2">
        <v>1.5</v>
      </c>
      <c r="D652" s="2">
        <v>0</v>
      </c>
      <c r="E652" s="2" t="s">
        <v>698</v>
      </c>
    </row>
    <row r="653" spans="1:5">
      <c r="A653" s="56">
        <v>654</v>
      </c>
      <c r="B653" s="56" t="s">
        <v>699</v>
      </c>
      <c r="C653" s="2">
        <v>2</v>
      </c>
      <c r="D653" s="2">
        <v>0</v>
      </c>
      <c r="E653" s="2" t="s">
        <v>700</v>
      </c>
    </row>
    <row r="654" spans="1:5">
      <c r="A654" s="56">
        <v>655</v>
      </c>
      <c r="B654" s="56" t="s">
        <v>701</v>
      </c>
      <c r="C654" s="2">
        <v>1.5</v>
      </c>
      <c r="D654" s="2">
        <v>0</v>
      </c>
      <c r="E654" s="2" t="s">
        <v>702</v>
      </c>
    </row>
    <row r="655" spans="1:5">
      <c r="A655" s="56">
        <v>656</v>
      </c>
      <c r="B655" s="56" t="s">
        <v>703</v>
      </c>
      <c r="C655" s="2">
        <v>2.5</v>
      </c>
      <c r="D655" s="2">
        <v>0</v>
      </c>
      <c r="E655" s="2" t="s">
        <v>704</v>
      </c>
    </row>
    <row r="656" spans="1:5">
      <c r="A656" s="56">
        <v>657</v>
      </c>
      <c r="B656" s="56" t="s">
        <v>705</v>
      </c>
      <c r="C656" s="2">
        <v>3.4</v>
      </c>
      <c r="D656" s="2">
        <v>0</v>
      </c>
      <c r="E656" s="2" t="s">
        <v>704</v>
      </c>
    </row>
    <row r="657" spans="1:5">
      <c r="A657" s="56">
        <v>658</v>
      </c>
      <c r="B657" s="56" t="s">
        <v>706</v>
      </c>
      <c r="C657" s="2">
        <v>7</v>
      </c>
      <c r="D657" s="2">
        <v>0</v>
      </c>
      <c r="E657" s="2" t="s">
        <v>704</v>
      </c>
    </row>
    <row r="658" spans="1:5">
      <c r="A658" s="56">
        <v>659</v>
      </c>
      <c r="B658" s="56" t="s">
        <v>707</v>
      </c>
      <c r="C658" s="2">
        <v>6</v>
      </c>
      <c r="D658" s="2">
        <v>0</v>
      </c>
      <c r="E658" s="2" t="s">
        <v>704</v>
      </c>
    </row>
    <row r="659" spans="1:5">
      <c r="A659" s="56">
        <v>660</v>
      </c>
      <c r="B659" s="56" t="s">
        <v>708</v>
      </c>
      <c r="C659" s="2">
        <v>7.7</v>
      </c>
      <c r="D659" s="2">
        <v>0</v>
      </c>
      <c r="E659" s="2" t="s">
        <v>704</v>
      </c>
    </row>
    <row r="660" spans="1:5">
      <c r="A660" s="56">
        <v>661</v>
      </c>
      <c r="B660" s="56" t="s">
        <v>709</v>
      </c>
      <c r="C660" s="2">
        <v>1.5</v>
      </c>
      <c r="D660" s="2">
        <v>0</v>
      </c>
      <c r="E660" s="2" t="s">
        <v>704</v>
      </c>
    </row>
    <row r="661" spans="1:5">
      <c r="A661" s="56">
        <v>662</v>
      </c>
      <c r="B661" s="1" t="s">
        <v>710</v>
      </c>
      <c r="C661" s="2">
        <v>0.7</v>
      </c>
      <c r="D661" s="2">
        <v>0</v>
      </c>
      <c r="E661" s="2" t="s">
        <v>704</v>
      </c>
    </row>
    <row r="662" spans="1:5">
      <c r="A662" s="56">
        <v>663</v>
      </c>
      <c r="B662" s="56" t="s">
        <v>711</v>
      </c>
      <c r="C662" s="2">
        <v>2</v>
      </c>
      <c r="D662" s="2">
        <v>0</v>
      </c>
      <c r="E662" s="2" t="s">
        <v>704</v>
      </c>
    </row>
    <row r="663" spans="1:5">
      <c r="A663" s="56">
        <v>664</v>
      </c>
      <c r="B663" s="56" t="s">
        <v>712</v>
      </c>
      <c r="C663" s="2">
        <v>1.85</v>
      </c>
      <c r="D663" s="2">
        <v>0</v>
      </c>
      <c r="E663" s="2" t="s">
        <v>704</v>
      </c>
    </row>
    <row r="664" spans="1:5">
      <c r="A664" s="56">
        <v>665</v>
      </c>
      <c r="B664" s="56" t="s">
        <v>713</v>
      </c>
      <c r="C664" s="2">
        <v>0.53</v>
      </c>
      <c r="D664" s="2">
        <v>0</v>
      </c>
      <c r="E664" s="2" t="s">
        <v>704</v>
      </c>
    </row>
    <row r="665" spans="1:5">
      <c r="A665" s="56">
        <v>666</v>
      </c>
      <c r="B665" s="56" t="s">
        <v>714</v>
      </c>
      <c r="C665" s="2">
        <v>1</v>
      </c>
      <c r="D665" s="2">
        <v>0</v>
      </c>
      <c r="E665" s="2" t="s">
        <v>704</v>
      </c>
    </row>
    <row r="666" spans="1:5">
      <c r="A666" s="56">
        <v>667</v>
      </c>
      <c r="B666" s="56" t="s">
        <v>715</v>
      </c>
      <c r="C666" s="2">
        <v>1</v>
      </c>
      <c r="D666" s="2">
        <v>0</v>
      </c>
      <c r="E666" s="2" t="s">
        <v>704</v>
      </c>
    </row>
    <row r="667" spans="1:4">
      <c r="A667" s="56">
        <v>668</v>
      </c>
      <c r="B667" s="1" t="s">
        <v>716</v>
      </c>
      <c r="C667" s="2">
        <v>2</v>
      </c>
      <c r="D667" s="2">
        <v>0</v>
      </c>
    </row>
    <row r="668" spans="1:5">
      <c r="A668" s="56">
        <v>669</v>
      </c>
      <c r="B668" s="1" t="s">
        <v>717</v>
      </c>
      <c r="C668" s="2">
        <v>6</v>
      </c>
      <c r="D668" s="2">
        <v>0</v>
      </c>
      <c r="E668" s="2" t="s">
        <v>704</v>
      </c>
    </row>
    <row r="669" spans="1:5">
      <c r="A669" s="56">
        <v>670</v>
      </c>
      <c r="B669" s="56" t="s">
        <v>718</v>
      </c>
      <c r="C669" s="2">
        <v>1</v>
      </c>
      <c r="D669" s="2">
        <v>0</v>
      </c>
      <c r="E669" s="2" t="s">
        <v>658</v>
      </c>
    </row>
    <row r="670" spans="1:5">
      <c r="A670" s="56">
        <v>671</v>
      </c>
      <c r="B670" s="56" t="s">
        <v>719</v>
      </c>
      <c r="C670" s="2">
        <v>1</v>
      </c>
      <c r="D670" s="2">
        <v>0</v>
      </c>
      <c r="E670" s="2" t="s">
        <v>658</v>
      </c>
    </row>
    <row r="671" spans="1:5">
      <c r="A671" s="56">
        <v>672</v>
      </c>
      <c r="B671" s="1" t="s">
        <v>720</v>
      </c>
      <c r="C671" s="2">
        <v>1</v>
      </c>
      <c r="D671" s="2">
        <v>0</v>
      </c>
      <c r="E671" s="2" t="s">
        <v>721</v>
      </c>
    </row>
    <row r="672" spans="1:5">
      <c r="A672" s="56">
        <v>673</v>
      </c>
      <c r="B672" s="56" t="s">
        <v>722</v>
      </c>
      <c r="C672" s="2">
        <v>2</v>
      </c>
      <c r="D672" s="2">
        <v>0</v>
      </c>
      <c r="E672" s="2" t="s">
        <v>723</v>
      </c>
    </row>
    <row r="673" spans="1:5">
      <c r="A673" s="56">
        <v>674</v>
      </c>
      <c r="B673" s="56" t="s">
        <v>724</v>
      </c>
      <c r="C673" s="2">
        <v>2</v>
      </c>
      <c r="D673" s="2">
        <v>0</v>
      </c>
      <c r="E673" s="2" t="s">
        <v>725</v>
      </c>
    </row>
    <row r="674" spans="1:5">
      <c r="A674" s="56">
        <v>675</v>
      </c>
      <c r="B674" s="56" t="s">
        <v>726</v>
      </c>
      <c r="C674" s="2">
        <v>1.94</v>
      </c>
      <c r="D674" s="2">
        <v>0</v>
      </c>
      <c r="E674" s="2" t="s">
        <v>727</v>
      </c>
    </row>
    <row r="675" spans="1:5">
      <c r="A675" s="56">
        <v>676</v>
      </c>
      <c r="B675" s="56" t="s">
        <v>728</v>
      </c>
      <c r="C675" s="2">
        <v>1.68</v>
      </c>
      <c r="D675" s="2">
        <v>0</v>
      </c>
      <c r="E675" s="2" t="s">
        <v>727</v>
      </c>
    </row>
    <row r="676" spans="1:5">
      <c r="A676" s="56">
        <v>678</v>
      </c>
      <c r="B676" s="56" t="s">
        <v>729</v>
      </c>
      <c r="C676" s="2">
        <v>1</v>
      </c>
      <c r="D676" s="2">
        <v>0</v>
      </c>
      <c r="E676" s="2" t="s">
        <v>730</v>
      </c>
    </row>
    <row r="677" spans="1:5">
      <c r="A677" s="56">
        <v>679</v>
      </c>
      <c r="B677" s="56" t="s">
        <v>731</v>
      </c>
      <c r="C677" s="2">
        <v>1</v>
      </c>
      <c r="D677" s="2">
        <v>0</v>
      </c>
      <c r="E677" s="2" t="s">
        <v>658</v>
      </c>
    </row>
    <row r="678" spans="1:5">
      <c r="A678" s="56">
        <v>680</v>
      </c>
      <c r="B678" s="56" t="s">
        <v>732</v>
      </c>
      <c r="C678" s="2">
        <v>1</v>
      </c>
      <c r="D678" s="2">
        <v>0</v>
      </c>
      <c r="E678" s="2" t="s">
        <v>658</v>
      </c>
    </row>
    <row r="679" spans="1:5">
      <c r="A679" s="56">
        <v>681</v>
      </c>
      <c r="B679" s="56" t="s">
        <v>733</v>
      </c>
      <c r="C679" s="2">
        <v>3</v>
      </c>
      <c r="D679" s="2">
        <v>0</v>
      </c>
      <c r="E679" s="2" t="s">
        <v>658</v>
      </c>
    </row>
    <row r="680" spans="1:5">
      <c r="A680" s="56">
        <v>682</v>
      </c>
      <c r="B680" s="1" t="s">
        <v>734</v>
      </c>
      <c r="C680" s="2">
        <v>3.5</v>
      </c>
      <c r="D680" s="2">
        <v>0</v>
      </c>
      <c r="E680" s="2" t="s">
        <v>658</v>
      </c>
    </row>
    <row r="681" spans="1:5">
      <c r="A681" s="56">
        <v>683</v>
      </c>
      <c r="B681" s="56" t="s">
        <v>735</v>
      </c>
      <c r="C681" s="2">
        <v>3</v>
      </c>
      <c r="D681" s="2">
        <v>0</v>
      </c>
      <c r="E681" s="2" t="s">
        <v>658</v>
      </c>
    </row>
    <row r="682" spans="1:5">
      <c r="A682" s="56">
        <v>684</v>
      </c>
      <c r="B682" s="56" t="s">
        <v>736</v>
      </c>
      <c r="C682" s="2">
        <v>1.5</v>
      </c>
      <c r="D682" s="2">
        <v>0</v>
      </c>
      <c r="E682" s="2" t="s">
        <v>737</v>
      </c>
    </row>
    <row r="683" spans="1:5">
      <c r="A683" s="56">
        <v>685</v>
      </c>
      <c r="B683" s="1" t="s">
        <v>738</v>
      </c>
      <c r="C683" s="2">
        <v>2.9</v>
      </c>
      <c r="D683" s="2">
        <v>0</v>
      </c>
      <c r="E683" s="2" t="s">
        <v>325</v>
      </c>
    </row>
    <row r="684" spans="1:5">
      <c r="A684" s="56">
        <v>686</v>
      </c>
      <c r="B684" s="56" t="s">
        <v>739</v>
      </c>
      <c r="C684" s="2">
        <v>1.83333333333333</v>
      </c>
      <c r="D684" s="2">
        <v>0</v>
      </c>
      <c r="E684" s="2" t="s">
        <v>740</v>
      </c>
    </row>
    <row r="685" spans="1:5">
      <c r="A685" s="56">
        <v>687</v>
      </c>
      <c r="B685" s="56" t="s">
        <v>741</v>
      </c>
      <c r="C685" s="2">
        <v>2</v>
      </c>
      <c r="D685" s="2">
        <v>0</v>
      </c>
      <c r="E685" s="2" t="s">
        <v>742</v>
      </c>
    </row>
    <row r="686" spans="1:5">
      <c r="A686" s="56">
        <v>688</v>
      </c>
      <c r="B686" s="56" t="s">
        <v>743</v>
      </c>
      <c r="C686" s="2">
        <v>1.3</v>
      </c>
      <c r="D686" s="2">
        <v>0</v>
      </c>
      <c r="E686" s="2" t="s">
        <v>744</v>
      </c>
    </row>
    <row r="687" spans="1:5">
      <c r="A687" s="56">
        <v>689</v>
      </c>
      <c r="B687" s="56" t="s">
        <v>745</v>
      </c>
      <c r="C687" s="2">
        <v>2.8</v>
      </c>
      <c r="D687" s="2">
        <v>0</v>
      </c>
      <c r="E687" s="2" t="s">
        <v>744</v>
      </c>
    </row>
    <row r="688" spans="1:5">
      <c r="A688" s="56">
        <v>690</v>
      </c>
      <c r="B688" s="56" t="s">
        <v>746</v>
      </c>
      <c r="C688" s="2">
        <v>1.7</v>
      </c>
      <c r="D688" s="2">
        <v>0</v>
      </c>
      <c r="E688" s="2" t="s">
        <v>747</v>
      </c>
    </row>
    <row r="689" spans="1:5">
      <c r="A689" s="56">
        <v>693</v>
      </c>
      <c r="B689" s="1" t="s">
        <v>748</v>
      </c>
      <c r="C689" s="2">
        <v>4</v>
      </c>
      <c r="D689" s="2">
        <v>0</v>
      </c>
      <c r="E689" s="2" t="s">
        <v>749</v>
      </c>
    </row>
    <row r="690" spans="1:5">
      <c r="A690" s="56">
        <v>694</v>
      </c>
      <c r="B690" s="56" t="s">
        <v>750</v>
      </c>
      <c r="C690" s="2">
        <v>2</v>
      </c>
      <c r="D690" s="2">
        <v>0</v>
      </c>
      <c r="E690" s="2" t="s">
        <v>751</v>
      </c>
    </row>
    <row r="691" spans="1:5">
      <c r="A691" s="56">
        <v>695</v>
      </c>
      <c r="B691" s="1" t="s">
        <v>752</v>
      </c>
      <c r="C691" s="2">
        <v>1.66666666666667</v>
      </c>
      <c r="D691" s="2">
        <v>1</v>
      </c>
      <c r="E691" s="2" t="s">
        <v>753</v>
      </c>
    </row>
    <row r="692" spans="1:4">
      <c r="A692" s="56">
        <v>696</v>
      </c>
      <c r="B692" s="56" t="s">
        <v>754</v>
      </c>
      <c r="C692" s="2">
        <v>2</v>
      </c>
      <c r="D692" s="2">
        <v>0</v>
      </c>
    </row>
    <row r="693" spans="1:5">
      <c r="A693" s="56">
        <v>697</v>
      </c>
      <c r="B693" s="56" t="s">
        <v>755</v>
      </c>
      <c r="C693" s="2">
        <v>1.4</v>
      </c>
      <c r="D693" s="2">
        <v>0</v>
      </c>
      <c r="E693" s="2" t="s">
        <v>756</v>
      </c>
    </row>
    <row r="694" spans="1:5">
      <c r="A694" s="56">
        <v>699</v>
      </c>
      <c r="B694" s="56" t="s">
        <v>757</v>
      </c>
      <c r="C694" s="2">
        <v>2</v>
      </c>
      <c r="D694" s="2">
        <v>0</v>
      </c>
      <c r="E694" s="2" t="s">
        <v>758</v>
      </c>
    </row>
    <row r="695" spans="1:5">
      <c r="A695" s="56">
        <v>700</v>
      </c>
      <c r="B695" s="56" t="s">
        <v>759</v>
      </c>
      <c r="C695" s="2">
        <v>2</v>
      </c>
      <c r="D695" s="2">
        <v>0</v>
      </c>
      <c r="E695" s="2" t="s">
        <v>760</v>
      </c>
    </row>
    <row r="696" spans="1:5">
      <c r="A696" s="56">
        <v>701</v>
      </c>
      <c r="B696" s="56" t="s">
        <v>761</v>
      </c>
      <c r="C696" s="2">
        <v>1</v>
      </c>
      <c r="D696" s="2">
        <v>0</v>
      </c>
      <c r="E696" s="2" t="s">
        <v>762</v>
      </c>
    </row>
    <row r="697" spans="1:5">
      <c r="A697" s="56">
        <v>702</v>
      </c>
      <c r="B697" s="1" t="s">
        <v>763</v>
      </c>
      <c r="C697" s="2">
        <v>1</v>
      </c>
      <c r="D697" s="2">
        <v>0</v>
      </c>
      <c r="E697" s="2" t="s">
        <v>764</v>
      </c>
    </row>
    <row r="698" spans="1:5">
      <c r="A698" s="56">
        <v>703</v>
      </c>
      <c r="B698" s="56" t="s">
        <v>765</v>
      </c>
      <c r="C698" s="2">
        <v>2</v>
      </c>
      <c r="D698" s="2">
        <v>0</v>
      </c>
      <c r="E698" s="2" t="s">
        <v>766</v>
      </c>
    </row>
    <row r="699" spans="1:5">
      <c r="A699" s="56">
        <v>704</v>
      </c>
      <c r="B699" s="56" t="s">
        <v>767</v>
      </c>
      <c r="C699" s="2">
        <v>2.6</v>
      </c>
      <c r="D699" s="2">
        <v>0</v>
      </c>
      <c r="E699" s="2" t="s">
        <v>766</v>
      </c>
    </row>
    <row r="700" spans="1:5">
      <c r="A700" s="56">
        <v>705</v>
      </c>
      <c r="B700" s="56" t="s">
        <v>768</v>
      </c>
      <c r="C700" s="2">
        <v>2.8</v>
      </c>
      <c r="D700" s="2">
        <v>0</v>
      </c>
      <c r="E700" s="2" t="s">
        <v>766</v>
      </c>
    </row>
    <row r="701" spans="1:5">
      <c r="A701" s="56">
        <v>706</v>
      </c>
      <c r="B701" s="56" t="s">
        <v>769</v>
      </c>
      <c r="C701" s="2">
        <v>2</v>
      </c>
      <c r="D701" s="2">
        <v>0</v>
      </c>
      <c r="E701" s="2" t="s">
        <v>770</v>
      </c>
    </row>
    <row r="702" spans="1:5">
      <c r="A702" s="56">
        <v>707</v>
      </c>
      <c r="B702" s="1" t="s">
        <v>771</v>
      </c>
      <c r="C702" s="2">
        <v>4</v>
      </c>
      <c r="D702" s="2">
        <v>0</v>
      </c>
      <c r="E702" s="2" t="s">
        <v>772</v>
      </c>
    </row>
    <row r="703" spans="1:5">
      <c r="A703" s="56">
        <v>708</v>
      </c>
      <c r="B703" s="56" t="s">
        <v>773</v>
      </c>
      <c r="C703" s="2">
        <v>3.8</v>
      </c>
      <c r="D703" s="2">
        <v>0</v>
      </c>
      <c r="E703" s="2" t="s">
        <v>770</v>
      </c>
    </row>
    <row r="704" spans="1:5">
      <c r="A704" s="56">
        <v>709</v>
      </c>
      <c r="B704" s="1" t="s">
        <v>774</v>
      </c>
      <c r="C704" s="2">
        <v>3.3</v>
      </c>
      <c r="D704" s="2">
        <v>0</v>
      </c>
      <c r="E704" s="2" t="s">
        <v>775</v>
      </c>
    </row>
    <row r="705" spans="1:5">
      <c r="A705" s="56">
        <v>710</v>
      </c>
      <c r="B705" s="56" t="s">
        <v>776</v>
      </c>
      <c r="C705" s="2">
        <v>6</v>
      </c>
      <c r="D705" s="2">
        <v>0</v>
      </c>
      <c r="E705" s="2" t="s">
        <v>770</v>
      </c>
    </row>
    <row r="706" spans="1:5">
      <c r="A706" s="56">
        <v>711</v>
      </c>
      <c r="B706" s="56" t="s">
        <v>777</v>
      </c>
      <c r="C706" s="2">
        <v>1</v>
      </c>
      <c r="D706" s="2">
        <v>0</v>
      </c>
      <c r="E706" s="2" t="s">
        <v>770</v>
      </c>
    </row>
    <row r="707" spans="1:5">
      <c r="A707" s="56">
        <v>712</v>
      </c>
      <c r="B707" s="56" t="s">
        <v>778</v>
      </c>
      <c r="C707" s="2">
        <v>3.4</v>
      </c>
      <c r="D707" s="2">
        <v>0</v>
      </c>
      <c r="E707" s="2" t="s">
        <v>770</v>
      </c>
    </row>
    <row r="708" spans="1:5">
      <c r="A708" s="56">
        <v>713</v>
      </c>
      <c r="B708" s="1" t="s">
        <v>779</v>
      </c>
      <c r="C708" s="2">
        <v>2.6</v>
      </c>
      <c r="D708" s="2">
        <v>0</v>
      </c>
      <c r="E708" s="2" t="s">
        <v>770</v>
      </c>
    </row>
    <row r="709" spans="1:5">
      <c r="A709" s="56">
        <v>714</v>
      </c>
      <c r="B709" s="56" t="s">
        <v>780</v>
      </c>
      <c r="C709" s="2">
        <v>2</v>
      </c>
      <c r="D709" s="2">
        <v>0</v>
      </c>
      <c r="E709" s="2" t="s">
        <v>781</v>
      </c>
    </row>
    <row r="710" spans="1:5">
      <c r="A710" s="56">
        <v>715</v>
      </c>
      <c r="B710" s="56" t="s">
        <v>782</v>
      </c>
      <c r="C710" s="2">
        <v>2.5</v>
      </c>
      <c r="D710" s="2">
        <v>0</v>
      </c>
      <c r="E710" s="2" t="s">
        <v>781</v>
      </c>
    </row>
    <row r="711" spans="1:5">
      <c r="A711" s="56">
        <v>716</v>
      </c>
      <c r="B711" s="56" t="s">
        <v>783</v>
      </c>
      <c r="C711" s="2">
        <v>6</v>
      </c>
      <c r="D711" s="2">
        <v>0</v>
      </c>
      <c r="E711" s="2" t="s">
        <v>781</v>
      </c>
    </row>
    <row r="712" spans="1:5">
      <c r="A712" s="56">
        <v>717</v>
      </c>
      <c r="B712" s="56" t="s">
        <v>784</v>
      </c>
      <c r="C712" s="2">
        <v>1</v>
      </c>
      <c r="D712" s="2">
        <v>0</v>
      </c>
      <c r="E712" s="2" t="s">
        <v>781</v>
      </c>
    </row>
    <row r="713" spans="1:5">
      <c r="A713" s="56">
        <v>718</v>
      </c>
      <c r="B713" s="56" t="s">
        <v>785</v>
      </c>
      <c r="C713" s="2">
        <v>1</v>
      </c>
      <c r="D713" s="2">
        <v>0</v>
      </c>
      <c r="E713" s="2" t="s">
        <v>781</v>
      </c>
    </row>
    <row r="714" spans="1:5">
      <c r="A714" s="56">
        <v>719</v>
      </c>
      <c r="B714" s="56" t="s">
        <v>786</v>
      </c>
      <c r="C714" s="2">
        <v>2</v>
      </c>
      <c r="D714" s="2">
        <v>0</v>
      </c>
      <c r="E714" s="2" t="s">
        <v>781</v>
      </c>
    </row>
    <row r="715" spans="1:5">
      <c r="A715" s="56">
        <v>720</v>
      </c>
      <c r="B715" s="56" t="s">
        <v>787</v>
      </c>
      <c r="C715" s="2">
        <v>2</v>
      </c>
      <c r="D715" s="2">
        <v>0</v>
      </c>
      <c r="E715" s="2" t="s">
        <v>788</v>
      </c>
    </row>
    <row r="716" spans="1:5">
      <c r="A716" s="56">
        <v>721</v>
      </c>
      <c r="B716" s="56" t="s">
        <v>789</v>
      </c>
      <c r="C716" s="2">
        <v>3.8</v>
      </c>
      <c r="D716" s="2">
        <v>0</v>
      </c>
      <c r="E716" s="2" t="s">
        <v>788</v>
      </c>
    </row>
    <row r="717" spans="1:5">
      <c r="A717" s="56">
        <v>722</v>
      </c>
      <c r="B717" s="56" t="s">
        <v>790</v>
      </c>
      <c r="C717" s="2">
        <v>1.2</v>
      </c>
      <c r="D717" s="2">
        <v>0</v>
      </c>
      <c r="E717" s="2" t="s">
        <v>788</v>
      </c>
    </row>
    <row r="718" s="11" customFormat="1" spans="1:7">
      <c r="A718" s="90">
        <v>723</v>
      </c>
      <c r="B718" s="90" t="s">
        <v>791</v>
      </c>
      <c r="C718" s="19">
        <v>1.2</v>
      </c>
      <c r="D718" s="19">
        <v>0</v>
      </c>
      <c r="E718" s="19" t="s">
        <v>788</v>
      </c>
      <c r="F718" s="19"/>
      <c r="G718" s="19"/>
    </row>
    <row r="719" spans="1:4">
      <c r="A719" s="56">
        <v>724</v>
      </c>
      <c r="B719" s="56" t="s">
        <v>792</v>
      </c>
      <c r="C719" s="2">
        <v>1</v>
      </c>
      <c r="D719" s="2">
        <v>0</v>
      </c>
    </row>
    <row r="720" spans="1:5">
      <c r="A720" s="56">
        <v>725</v>
      </c>
      <c r="B720" s="56" t="s">
        <v>793</v>
      </c>
      <c r="C720" s="2">
        <v>1.45</v>
      </c>
      <c r="D720" s="2">
        <v>0</v>
      </c>
      <c r="E720" s="2" t="s">
        <v>794</v>
      </c>
    </row>
    <row r="721" spans="1:5">
      <c r="A721" s="56">
        <v>726</v>
      </c>
      <c r="B721" s="56" t="s">
        <v>795</v>
      </c>
      <c r="C721" s="2">
        <v>3.3</v>
      </c>
      <c r="D721" s="2">
        <v>0</v>
      </c>
      <c r="E721" s="2" t="s">
        <v>794</v>
      </c>
    </row>
    <row r="722" spans="1:5">
      <c r="A722" s="56">
        <v>727</v>
      </c>
      <c r="B722" s="56" t="s">
        <v>796</v>
      </c>
      <c r="C722" s="2">
        <v>1</v>
      </c>
      <c r="D722" s="2">
        <v>0</v>
      </c>
      <c r="E722" s="2" t="s">
        <v>797</v>
      </c>
    </row>
    <row r="723" spans="1:5">
      <c r="A723" s="56">
        <v>728</v>
      </c>
      <c r="B723" s="56" t="s">
        <v>798</v>
      </c>
      <c r="C723" s="2">
        <v>1.5</v>
      </c>
      <c r="D723" s="2">
        <v>0</v>
      </c>
      <c r="E723" s="2" t="s">
        <v>797</v>
      </c>
    </row>
    <row r="724" spans="1:5">
      <c r="A724" s="56">
        <v>729</v>
      </c>
      <c r="B724" s="56" t="s">
        <v>799</v>
      </c>
      <c r="C724" s="2">
        <v>2.5</v>
      </c>
      <c r="D724" s="2">
        <v>0</v>
      </c>
      <c r="E724" s="2" t="s">
        <v>800</v>
      </c>
    </row>
    <row r="725" spans="1:5">
      <c r="A725" s="56">
        <v>730</v>
      </c>
      <c r="B725" s="1" t="s">
        <v>801</v>
      </c>
      <c r="C725" s="91">
        <v>10.2</v>
      </c>
      <c r="D725" s="2">
        <v>0</v>
      </c>
      <c r="E725" s="2" t="s">
        <v>802</v>
      </c>
    </row>
    <row r="726" spans="1:5">
      <c r="A726" s="56">
        <v>731</v>
      </c>
      <c r="B726" s="1" t="s">
        <v>803</v>
      </c>
      <c r="C726" s="2">
        <v>3</v>
      </c>
      <c r="D726" s="2">
        <v>0</v>
      </c>
      <c r="E726" s="2" t="s">
        <v>802</v>
      </c>
    </row>
    <row r="727" spans="1:5">
      <c r="A727" s="56">
        <v>732</v>
      </c>
      <c r="B727" s="87" t="s">
        <v>804</v>
      </c>
      <c r="C727" s="2">
        <v>3.2</v>
      </c>
      <c r="D727" s="2">
        <v>0</v>
      </c>
      <c r="E727" s="2" t="s">
        <v>805</v>
      </c>
    </row>
    <row r="728" spans="1:5">
      <c r="A728" s="56">
        <v>733</v>
      </c>
      <c r="B728" s="87" t="s">
        <v>806</v>
      </c>
      <c r="C728" s="2">
        <v>2</v>
      </c>
      <c r="D728" s="2">
        <v>0</v>
      </c>
      <c r="E728" s="2" t="s">
        <v>807</v>
      </c>
    </row>
    <row r="729" spans="1:5">
      <c r="A729" s="56">
        <v>734</v>
      </c>
      <c r="B729" s="87" t="s">
        <v>808</v>
      </c>
      <c r="C729" s="2">
        <v>2</v>
      </c>
      <c r="D729" s="2">
        <v>1</v>
      </c>
      <c r="E729" s="2" t="s">
        <v>809</v>
      </c>
    </row>
    <row r="730" spans="1:5">
      <c r="A730" s="56">
        <v>735</v>
      </c>
      <c r="B730" s="87" t="s">
        <v>810</v>
      </c>
      <c r="C730" s="2">
        <v>3</v>
      </c>
      <c r="D730" s="2">
        <v>0</v>
      </c>
      <c r="E730" s="2" t="s">
        <v>658</v>
      </c>
    </row>
    <row r="731" spans="1:4">
      <c r="A731" s="56">
        <v>736</v>
      </c>
      <c r="B731" s="56" t="s">
        <v>811</v>
      </c>
      <c r="C731" s="2">
        <v>3</v>
      </c>
      <c r="D731" s="2">
        <v>0</v>
      </c>
    </row>
    <row r="732" spans="1:5">
      <c r="A732" s="56">
        <v>737</v>
      </c>
      <c r="B732" s="56" t="s">
        <v>812</v>
      </c>
      <c r="C732" s="2">
        <v>3</v>
      </c>
      <c r="D732" s="2">
        <v>0</v>
      </c>
      <c r="E732" s="2" t="s">
        <v>813</v>
      </c>
    </row>
    <row r="733" spans="1:4">
      <c r="A733" s="56">
        <v>738</v>
      </c>
      <c r="B733" s="56" t="s">
        <v>814</v>
      </c>
      <c r="C733" s="2">
        <v>2</v>
      </c>
      <c r="D733" s="2">
        <v>0</v>
      </c>
    </row>
    <row r="734" spans="1:5">
      <c r="A734" s="56">
        <v>739</v>
      </c>
      <c r="B734" s="1" t="s">
        <v>815</v>
      </c>
      <c r="C734" s="2">
        <v>3.8</v>
      </c>
      <c r="D734" s="2">
        <v>0</v>
      </c>
      <c r="E734" s="2" t="s">
        <v>816</v>
      </c>
    </row>
    <row r="735" spans="1:4">
      <c r="A735" s="56">
        <v>740</v>
      </c>
      <c r="B735" s="56" t="s">
        <v>817</v>
      </c>
      <c r="C735" s="2">
        <v>1.7</v>
      </c>
      <c r="D735" s="2">
        <v>0</v>
      </c>
    </row>
    <row r="736" spans="1:5">
      <c r="A736" s="56">
        <v>741</v>
      </c>
      <c r="B736" s="56" t="s">
        <v>818</v>
      </c>
      <c r="C736" s="2">
        <v>2.7</v>
      </c>
      <c r="D736" s="2">
        <v>0</v>
      </c>
      <c r="E736" s="2" t="s">
        <v>819</v>
      </c>
    </row>
    <row r="737" spans="1:5">
      <c r="A737" s="56">
        <v>742</v>
      </c>
      <c r="B737" s="56" t="s">
        <v>820</v>
      </c>
      <c r="C737" s="2">
        <v>2.5</v>
      </c>
      <c r="D737" s="2">
        <v>0</v>
      </c>
      <c r="E737" s="2" t="s">
        <v>819</v>
      </c>
    </row>
    <row r="738" spans="1:5">
      <c r="A738" s="56">
        <v>743</v>
      </c>
      <c r="B738" s="56" t="s">
        <v>821</v>
      </c>
      <c r="C738" s="2">
        <v>2</v>
      </c>
      <c r="D738" s="2">
        <v>0</v>
      </c>
      <c r="E738" s="2" t="s">
        <v>819</v>
      </c>
    </row>
    <row r="739" spans="1:5">
      <c r="A739" s="56">
        <v>744</v>
      </c>
      <c r="B739" s="56" t="s">
        <v>822</v>
      </c>
      <c r="C739" s="2">
        <v>2</v>
      </c>
      <c r="D739" s="2">
        <v>0</v>
      </c>
      <c r="E739" s="2" t="s">
        <v>819</v>
      </c>
    </row>
    <row r="740" spans="1:5">
      <c r="A740" s="56">
        <v>745</v>
      </c>
      <c r="B740" s="56" t="s">
        <v>823</v>
      </c>
      <c r="C740" s="2">
        <v>4.8</v>
      </c>
      <c r="D740" s="2">
        <v>0</v>
      </c>
      <c r="E740" s="2" t="s">
        <v>819</v>
      </c>
    </row>
    <row r="741" spans="1:5">
      <c r="A741" s="56">
        <v>746</v>
      </c>
      <c r="B741" s="56" t="s">
        <v>824</v>
      </c>
      <c r="C741" s="2">
        <v>4.8</v>
      </c>
      <c r="D741" s="2">
        <v>0</v>
      </c>
      <c r="E741" s="2" t="s">
        <v>819</v>
      </c>
    </row>
    <row r="742" spans="1:5">
      <c r="A742" s="56">
        <v>747</v>
      </c>
      <c r="B742" s="56" t="s">
        <v>825</v>
      </c>
      <c r="C742" s="2">
        <v>3.9</v>
      </c>
      <c r="D742" s="2">
        <v>0</v>
      </c>
      <c r="E742" s="2" t="s">
        <v>819</v>
      </c>
    </row>
    <row r="743" spans="1:5">
      <c r="A743" s="56">
        <v>748</v>
      </c>
      <c r="B743" s="56" t="s">
        <v>826</v>
      </c>
      <c r="C743" s="2">
        <v>2</v>
      </c>
      <c r="D743" s="2">
        <v>0</v>
      </c>
      <c r="E743" s="2" t="s">
        <v>819</v>
      </c>
    </row>
    <row r="744" spans="1:5">
      <c r="A744" s="56">
        <v>749</v>
      </c>
      <c r="B744" s="56" t="s">
        <v>827</v>
      </c>
      <c r="C744" s="2">
        <v>2</v>
      </c>
      <c r="D744" s="2">
        <v>0</v>
      </c>
      <c r="E744" s="2" t="s">
        <v>819</v>
      </c>
    </row>
    <row r="745" spans="1:5">
      <c r="A745" s="56">
        <v>750</v>
      </c>
      <c r="B745" s="56" t="s">
        <v>828</v>
      </c>
      <c r="C745" s="2">
        <v>7</v>
      </c>
      <c r="D745" s="2">
        <v>0</v>
      </c>
      <c r="E745" s="2" t="s">
        <v>819</v>
      </c>
    </row>
    <row r="746" spans="1:5">
      <c r="A746" s="56">
        <v>751</v>
      </c>
      <c r="B746" s="56" t="s">
        <v>829</v>
      </c>
      <c r="C746" s="2">
        <v>10</v>
      </c>
      <c r="D746" s="2">
        <v>0</v>
      </c>
      <c r="E746" s="2" t="s">
        <v>819</v>
      </c>
    </row>
    <row r="747" spans="1:5">
      <c r="A747" s="56">
        <v>752</v>
      </c>
      <c r="B747" s="56" t="s">
        <v>830</v>
      </c>
      <c r="C747" s="2">
        <v>1</v>
      </c>
      <c r="D747" s="2">
        <v>0</v>
      </c>
      <c r="E747" s="2" t="s">
        <v>819</v>
      </c>
    </row>
    <row r="748" spans="1:5">
      <c r="A748" s="56">
        <v>753</v>
      </c>
      <c r="B748" s="56" t="s">
        <v>831</v>
      </c>
      <c r="C748" s="2">
        <v>2</v>
      </c>
      <c r="D748" s="2">
        <v>0</v>
      </c>
      <c r="E748" s="2" t="s">
        <v>819</v>
      </c>
    </row>
    <row r="749" spans="1:5">
      <c r="A749" s="56">
        <v>754</v>
      </c>
      <c r="B749" s="56" t="s">
        <v>832</v>
      </c>
      <c r="C749" s="2">
        <v>2</v>
      </c>
      <c r="D749" s="2">
        <v>0</v>
      </c>
      <c r="E749" s="2" t="s">
        <v>819</v>
      </c>
    </row>
    <row r="750" spans="1:5">
      <c r="A750" s="56">
        <v>756</v>
      </c>
      <c r="B750" s="1" t="s">
        <v>833</v>
      </c>
      <c r="C750" s="2">
        <v>1</v>
      </c>
      <c r="D750" s="2">
        <v>1</v>
      </c>
      <c r="E750" s="2" t="s">
        <v>819</v>
      </c>
    </row>
    <row r="751" spans="1:5">
      <c r="A751" s="56">
        <v>757</v>
      </c>
      <c r="B751" s="56" t="s">
        <v>834</v>
      </c>
      <c r="C751" s="2">
        <v>3</v>
      </c>
      <c r="D751" s="2">
        <v>0</v>
      </c>
      <c r="E751" s="2" t="s">
        <v>835</v>
      </c>
    </row>
    <row r="752" spans="1:5">
      <c r="A752" s="56">
        <v>758</v>
      </c>
      <c r="B752" s="56" t="s">
        <v>836</v>
      </c>
      <c r="C752" s="2">
        <v>3</v>
      </c>
      <c r="D752" s="2">
        <v>0</v>
      </c>
      <c r="E752" s="2" t="s">
        <v>802</v>
      </c>
    </row>
    <row r="753" spans="1:5">
      <c r="A753" s="56">
        <v>759</v>
      </c>
      <c r="B753" s="56" t="s">
        <v>837</v>
      </c>
      <c r="C753" s="2">
        <v>1.8</v>
      </c>
      <c r="D753" s="2">
        <v>0</v>
      </c>
      <c r="E753" s="2" t="s">
        <v>838</v>
      </c>
    </row>
    <row r="754" spans="1:5">
      <c r="A754" s="56">
        <v>760</v>
      </c>
      <c r="B754" s="56" t="s">
        <v>839</v>
      </c>
      <c r="C754" s="2">
        <v>1.3</v>
      </c>
      <c r="D754" s="2">
        <v>0</v>
      </c>
      <c r="E754" s="2" t="s">
        <v>838</v>
      </c>
    </row>
    <row r="755" spans="1:5">
      <c r="A755" s="56">
        <v>761</v>
      </c>
      <c r="B755" s="56" t="s">
        <v>840</v>
      </c>
      <c r="C755" s="2">
        <v>2.7</v>
      </c>
      <c r="D755" s="2">
        <v>0</v>
      </c>
      <c r="E755" s="2" t="s">
        <v>838</v>
      </c>
    </row>
    <row r="756" spans="1:5">
      <c r="A756" s="56">
        <v>762</v>
      </c>
      <c r="B756" s="56" t="s">
        <v>841</v>
      </c>
      <c r="C756" s="2">
        <v>2.7</v>
      </c>
      <c r="D756" s="2">
        <v>0</v>
      </c>
      <c r="E756" s="2" t="s">
        <v>838</v>
      </c>
    </row>
    <row r="757" spans="1:5">
      <c r="A757" s="56">
        <v>763</v>
      </c>
      <c r="B757" s="56" t="s">
        <v>842</v>
      </c>
      <c r="C757" s="2">
        <v>10.3</v>
      </c>
      <c r="D757" s="2">
        <v>0</v>
      </c>
      <c r="E757" s="2" t="s">
        <v>838</v>
      </c>
    </row>
    <row r="758" spans="1:5">
      <c r="A758" s="56">
        <v>764</v>
      </c>
      <c r="B758" s="56" t="s">
        <v>843</v>
      </c>
      <c r="C758" s="2">
        <v>10.3</v>
      </c>
      <c r="D758" s="2">
        <v>0</v>
      </c>
      <c r="E758" s="2" t="s">
        <v>838</v>
      </c>
    </row>
    <row r="759" spans="1:5">
      <c r="A759" s="56">
        <v>765</v>
      </c>
      <c r="B759" s="56" t="s">
        <v>844</v>
      </c>
      <c r="C759" s="2">
        <v>10.3</v>
      </c>
      <c r="D759" s="2">
        <v>0</v>
      </c>
      <c r="E759" s="2" t="s">
        <v>838</v>
      </c>
    </row>
    <row r="760" spans="1:6">
      <c r="A760" s="56">
        <v>766</v>
      </c>
      <c r="B760" s="56" t="s">
        <v>792</v>
      </c>
      <c r="C760" s="2">
        <v>1</v>
      </c>
      <c r="D760" s="2">
        <v>0</v>
      </c>
      <c r="F760" s="2" t="s">
        <v>845</v>
      </c>
    </row>
    <row r="761" spans="1:5">
      <c r="A761" s="56">
        <v>767</v>
      </c>
      <c r="B761" s="1" t="s">
        <v>846</v>
      </c>
      <c r="C761" s="2">
        <v>3</v>
      </c>
      <c r="D761" s="2">
        <v>0</v>
      </c>
      <c r="E761" s="2" t="s">
        <v>847</v>
      </c>
    </row>
    <row r="762" spans="1:5">
      <c r="A762" s="56">
        <v>768</v>
      </c>
      <c r="B762" s="56" t="s">
        <v>848</v>
      </c>
      <c r="C762" s="2">
        <v>1</v>
      </c>
      <c r="D762" s="2">
        <v>0</v>
      </c>
      <c r="E762" s="2" t="s">
        <v>551</v>
      </c>
    </row>
    <row r="763" spans="1:5">
      <c r="A763" s="56">
        <v>769</v>
      </c>
      <c r="B763" s="56" t="s">
        <v>849</v>
      </c>
      <c r="C763" s="2">
        <v>1</v>
      </c>
      <c r="D763" s="2">
        <v>0</v>
      </c>
      <c r="E763" s="2" t="s">
        <v>551</v>
      </c>
    </row>
    <row r="764" spans="1:5">
      <c r="A764" s="56">
        <v>770</v>
      </c>
      <c r="B764" s="56" t="s">
        <v>850</v>
      </c>
      <c r="C764" s="2">
        <v>1</v>
      </c>
      <c r="D764" s="2">
        <v>0</v>
      </c>
      <c r="E764" s="2" t="s">
        <v>551</v>
      </c>
    </row>
    <row r="765" spans="1:4">
      <c r="A765" s="56">
        <v>771</v>
      </c>
      <c r="B765" s="56" t="s">
        <v>851</v>
      </c>
      <c r="C765" s="2">
        <v>2.9</v>
      </c>
      <c r="D765" s="2">
        <v>0</v>
      </c>
    </row>
    <row r="766" spans="1:7">
      <c r="A766" s="56">
        <v>778</v>
      </c>
      <c r="B766" s="56" t="s">
        <v>852</v>
      </c>
      <c r="C766" s="2">
        <v>0.9</v>
      </c>
      <c r="D766" s="2">
        <v>0</v>
      </c>
      <c r="E766" s="2" t="s">
        <v>853</v>
      </c>
      <c r="G766" s="2" t="s">
        <v>854</v>
      </c>
    </row>
    <row r="767" spans="1:6">
      <c r="A767" s="56">
        <v>779</v>
      </c>
      <c r="B767" s="56" t="s">
        <v>855</v>
      </c>
      <c r="C767" s="2">
        <v>1</v>
      </c>
      <c r="D767" s="2">
        <v>1</v>
      </c>
      <c r="E767" s="2" t="s">
        <v>856</v>
      </c>
      <c r="F767" s="2" t="s">
        <v>857</v>
      </c>
    </row>
    <row r="768" spans="1:6">
      <c r="A768" s="56">
        <v>780</v>
      </c>
      <c r="B768" s="56" t="s">
        <v>858</v>
      </c>
      <c r="C768" s="2">
        <v>1</v>
      </c>
      <c r="D768" s="2">
        <v>1</v>
      </c>
      <c r="E768" s="2" t="s">
        <v>856</v>
      </c>
      <c r="F768" s="2" t="s">
        <v>859</v>
      </c>
    </row>
    <row r="769" spans="1:4">
      <c r="A769" s="56">
        <v>781</v>
      </c>
      <c r="B769" s="56" t="s">
        <v>69</v>
      </c>
      <c r="C769" s="2">
        <v>1.2</v>
      </c>
      <c r="D769" s="2">
        <v>0</v>
      </c>
    </row>
    <row r="770" spans="1:5">
      <c r="A770" s="56">
        <v>782</v>
      </c>
      <c r="B770" s="56" t="s">
        <v>377</v>
      </c>
      <c r="C770" s="2">
        <v>1.6666666</v>
      </c>
      <c r="D770" s="2">
        <v>0</v>
      </c>
      <c r="E770" s="2" t="s">
        <v>860</v>
      </c>
    </row>
    <row r="771" spans="1:5">
      <c r="A771" s="56">
        <v>783</v>
      </c>
      <c r="B771" s="56" t="s">
        <v>861</v>
      </c>
      <c r="C771" s="2">
        <v>2</v>
      </c>
      <c r="D771" s="2">
        <v>0</v>
      </c>
      <c r="E771" s="2" t="s">
        <v>862</v>
      </c>
    </row>
    <row r="772" spans="1:5">
      <c r="A772" s="56">
        <v>784</v>
      </c>
      <c r="B772" s="56" t="s">
        <v>863</v>
      </c>
      <c r="C772" s="2">
        <v>2</v>
      </c>
      <c r="D772" s="2">
        <v>0</v>
      </c>
      <c r="E772" s="2" t="s">
        <v>864</v>
      </c>
    </row>
    <row r="773" spans="1:5">
      <c r="A773" s="56">
        <v>785</v>
      </c>
      <c r="B773" s="56" t="s">
        <v>865</v>
      </c>
      <c r="C773" s="2">
        <v>2</v>
      </c>
      <c r="D773" s="2">
        <v>0</v>
      </c>
      <c r="E773" s="2" t="s">
        <v>864</v>
      </c>
    </row>
    <row r="774" spans="1:5">
      <c r="A774" s="56">
        <v>786</v>
      </c>
      <c r="B774" s="1" t="s">
        <v>866</v>
      </c>
      <c r="C774" s="2">
        <v>1</v>
      </c>
      <c r="D774" s="2">
        <v>1</v>
      </c>
      <c r="E774" s="2" t="s">
        <v>867</v>
      </c>
    </row>
    <row r="775" spans="1:5">
      <c r="A775" s="56">
        <v>787</v>
      </c>
      <c r="B775" s="1" t="s">
        <v>868</v>
      </c>
      <c r="C775" s="2">
        <v>1</v>
      </c>
      <c r="D775" s="2">
        <v>1</v>
      </c>
      <c r="E775" s="2" t="s">
        <v>867</v>
      </c>
    </row>
    <row r="776" spans="1:5">
      <c r="A776" s="56">
        <v>788</v>
      </c>
      <c r="B776" s="1" t="s">
        <v>869</v>
      </c>
      <c r="C776" s="2">
        <v>1</v>
      </c>
      <c r="D776" s="2">
        <v>0</v>
      </c>
      <c r="E776" s="2" t="s">
        <v>870</v>
      </c>
    </row>
    <row r="777" spans="1:5">
      <c r="A777" s="56">
        <v>789</v>
      </c>
      <c r="B777" s="56" t="s">
        <v>871</v>
      </c>
      <c r="C777" s="2">
        <v>2</v>
      </c>
      <c r="D777" s="2">
        <v>0</v>
      </c>
      <c r="E777" s="2" t="s">
        <v>872</v>
      </c>
    </row>
    <row r="778" spans="1:5">
      <c r="A778" s="56">
        <v>790</v>
      </c>
      <c r="B778" s="56" t="s">
        <v>873</v>
      </c>
      <c r="C778" s="2">
        <v>2</v>
      </c>
      <c r="D778" s="2">
        <v>0</v>
      </c>
      <c r="E778" s="2" t="s">
        <v>872</v>
      </c>
    </row>
    <row r="779" spans="1:5">
      <c r="A779" s="56">
        <v>791</v>
      </c>
      <c r="B779" s="56" t="s">
        <v>874</v>
      </c>
      <c r="C779" s="2">
        <v>1</v>
      </c>
      <c r="D779" s="2">
        <v>1</v>
      </c>
      <c r="E779" s="2" t="s">
        <v>875</v>
      </c>
    </row>
    <row r="780" spans="1:4">
      <c r="A780" s="56">
        <v>792</v>
      </c>
      <c r="B780" s="1" t="s">
        <v>876</v>
      </c>
      <c r="C780" s="2">
        <v>2</v>
      </c>
      <c r="D780" s="2">
        <v>0</v>
      </c>
    </row>
    <row r="781" spans="1:4">
      <c r="A781" s="56">
        <v>793</v>
      </c>
      <c r="B781" s="1" t="s">
        <v>877</v>
      </c>
      <c r="C781" s="2">
        <v>2</v>
      </c>
      <c r="D781" s="2">
        <v>0</v>
      </c>
    </row>
    <row r="782" spans="1:4">
      <c r="A782" s="56">
        <v>794</v>
      </c>
      <c r="B782" s="1" t="s">
        <v>878</v>
      </c>
      <c r="C782" s="2">
        <v>2</v>
      </c>
      <c r="D782" s="2">
        <v>0</v>
      </c>
    </row>
    <row r="783" spans="1:4">
      <c r="A783" s="56">
        <v>795</v>
      </c>
      <c r="B783" s="56" t="s">
        <v>879</v>
      </c>
      <c r="C783" s="2">
        <v>1</v>
      </c>
      <c r="D783" s="2">
        <v>0</v>
      </c>
    </row>
    <row r="784" spans="1:4">
      <c r="A784" s="56">
        <v>796</v>
      </c>
      <c r="B784" s="56" t="s">
        <v>41</v>
      </c>
      <c r="C784" s="2">
        <v>1</v>
      </c>
      <c r="D784" s="2">
        <v>0</v>
      </c>
    </row>
    <row r="785" spans="1:4">
      <c r="A785" s="56">
        <v>797</v>
      </c>
      <c r="B785" s="56" t="s">
        <v>880</v>
      </c>
      <c r="C785" s="2">
        <v>2</v>
      </c>
      <c r="D785" s="2">
        <v>0</v>
      </c>
    </row>
    <row r="786" spans="1:5">
      <c r="A786" s="56">
        <v>798</v>
      </c>
      <c r="B786" s="56" t="s">
        <v>881</v>
      </c>
      <c r="C786" s="2">
        <v>1</v>
      </c>
      <c r="D786" s="2">
        <v>1</v>
      </c>
      <c r="E786" s="2" t="s">
        <v>882</v>
      </c>
    </row>
    <row r="787" spans="1:4">
      <c r="A787" s="56">
        <v>799</v>
      </c>
      <c r="B787" s="56" t="s">
        <v>883</v>
      </c>
      <c r="C787" s="2">
        <v>8.5</v>
      </c>
      <c r="D787" s="2">
        <v>0</v>
      </c>
    </row>
    <row r="788" spans="1:5">
      <c r="A788" s="56">
        <v>800</v>
      </c>
      <c r="B788" s="56" t="s">
        <v>884</v>
      </c>
      <c r="C788" s="2">
        <v>1</v>
      </c>
      <c r="D788" s="2">
        <v>1</v>
      </c>
      <c r="E788" s="2" t="s">
        <v>658</v>
      </c>
    </row>
    <row r="789" spans="1:5">
      <c r="A789" s="56">
        <v>801</v>
      </c>
      <c r="B789" s="56" t="s">
        <v>885</v>
      </c>
      <c r="C789" s="2">
        <v>1.5</v>
      </c>
      <c r="D789" s="2">
        <v>1</v>
      </c>
      <c r="E789" s="2" t="s">
        <v>886</v>
      </c>
    </row>
    <row r="790" spans="1:4">
      <c r="A790" s="56">
        <v>802</v>
      </c>
      <c r="B790" s="56" t="s">
        <v>887</v>
      </c>
      <c r="C790" s="2">
        <v>2</v>
      </c>
      <c r="D790" s="2">
        <v>0</v>
      </c>
    </row>
    <row r="791" spans="1:4">
      <c r="A791" s="56">
        <v>803</v>
      </c>
      <c r="B791" s="56" t="s">
        <v>888</v>
      </c>
      <c r="C791" s="2">
        <v>0.5</v>
      </c>
      <c r="D791" s="2">
        <v>0</v>
      </c>
    </row>
    <row r="792" spans="1:4">
      <c r="A792" s="56">
        <v>804</v>
      </c>
      <c r="B792" s="56" t="s">
        <v>889</v>
      </c>
      <c r="C792" s="2">
        <v>7</v>
      </c>
      <c r="D792" s="2">
        <v>0</v>
      </c>
    </row>
    <row r="793" spans="1:4">
      <c r="A793" s="56">
        <v>805</v>
      </c>
      <c r="B793" s="56" t="s">
        <v>890</v>
      </c>
      <c r="C793" s="2">
        <v>7</v>
      </c>
      <c r="D793" s="2">
        <v>0</v>
      </c>
    </row>
    <row r="794" spans="1:6">
      <c r="A794" s="56">
        <v>806</v>
      </c>
      <c r="B794" s="60" t="s">
        <v>891</v>
      </c>
      <c r="C794" s="2">
        <v>3.5</v>
      </c>
      <c r="D794" s="2">
        <v>0</v>
      </c>
      <c r="F794" s="3"/>
    </row>
    <row r="795" spans="1:6">
      <c r="A795" s="56">
        <v>807</v>
      </c>
      <c r="B795" s="60" t="s">
        <v>892</v>
      </c>
      <c r="C795" s="2">
        <v>3</v>
      </c>
      <c r="D795" s="2">
        <v>0</v>
      </c>
      <c r="F795" s="3"/>
    </row>
    <row r="796" spans="1:6">
      <c r="A796" s="56">
        <v>808</v>
      </c>
      <c r="B796" s="60" t="s">
        <v>893</v>
      </c>
      <c r="C796" s="2">
        <v>2.85</v>
      </c>
      <c r="D796" s="2">
        <v>0</v>
      </c>
      <c r="F796" s="3"/>
    </row>
    <row r="797" spans="1:6">
      <c r="A797" s="56">
        <v>809</v>
      </c>
      <c r="B797" s="60" t="s">
        <v>894</v>
      </c>
      <c r="C797" s="2">
        <v>5.33333333333333</v>
      </c>
      <c r="D797" s="2">
        <v>0</v>
      </c>
      <c r="F797" s="3"/>
    </row>
    <row r="798" spans="1:6">
      <c r="A798" s="56">
        <v>810</v>
      </c>
      <c r="B798" s="60" t="s">
        <v>895</v>
      </c>
      <c r="C798" s="2">
        <v>7</v>
      </c>
      <c r="D798" s="2">
        <v>0</v>
      </c>
      <c r="F798" s="3"/>
    </row>
    <row r="799" spans="1:6">
      <c r="A799" s="56">
        <v>811</v>
      </c>
      <c r="B799" s="60" t="s">
        <v>896</v>
      </c>
      <c r="C799" s="2">
        <v>1.1</v>
      </c>
      <c r="D799" s="2">
        <v>0</v>
      </c>
      <c r="F799" s="3"/>
    </row>
    <row r="800" spans="1:6">
      <c r="A800" s="56">
        <v>812</v>
      </c>
      <c r="B800" s="60" t="s">
        <v>897</v>
      </c>
      <c r="C800" s="2">
        <v>6.5</v>
      </c>
      <c r="D800" s="2">
        <v>0</v>
      </c>
      <c r="F800" s="3"/>
    </row>
    <row r="801" spans="1:6">
      <c r="A801" s="56">
        <v>813</v>
      </c>
      <c r="B801" s="60" t="s">
        <v>898</v>
      </c>
      <c r="C801" s="2">
        <v>3</v>
      </c>
      <c r="D801" s="2">
        <v>0</v>
      </c>
      <c r="F801" s="3"/>
    </row>
    <row r="802" spans="1:6">
      <c r="A802" s="56">
        <v>814</v>
      </c>
      <c r="B802" s="60" t="s">
        <v>899</v>
      </c>
      <c r="C802" s="2">
        <v>15</v>
      </c>
      <c r="D802" s="2">
        <v>0</v>
      </c>
      <c r="F802" s="3"/>
    </row>
    <row r="803" spans="1:6">
      <c r="A803" s="56">
        <v>815</v>
      </c>
      <c r="B803" s="60" t="s">
        <v>900</v>
      </c>
      <c r="C803" s="2">
        <v>1</v>
      </c>
      <c r="D803" s="2">
        <v>0</v>
      </c>
      <c r="F803" s="3"/>
    </row>
    <row r="804" spans="1:6">
      <c r="A804" s="56">
        <v>816</v>
      </c>
      <c r="B804" s="60" t="s">
        <v>901</v>
      </c>
      <c r="C804" s="2">
        <v>1</v>
      </c>
      <c r="D804" s="2">
        <v>0</v>
      </c>
      <c r="F804" s="3"/>
    </row>
    <row r="805" spans="1:6">
      <c r="A805" s="56">
        <v>817</v>
      </c>
      <c r="B805" s="60" t="s">
        <v>902</v>
      </c>
      <c r="C805" s="2">
        <v>4.5</v>
      </c>
      <c r="D805" s="2">
        <v>0</v>
      </c>
      <c r="F805" s="3"/>
    </row>
    <row r="806" spans="1:6">
      <c r="A806" s="56">
        <v>818</v>
      </c>
      <c r="B806" s="60" t="s">
        <v>903</v>
      </c>
      <c r="C806" s="2">
        <v>3.5</v>
      </c>
      <c r="D806" s="2">
        <v>0</v>
      </c>
      <c r="F806" s="3"/>
    </row>
    <row r="807" spans="1:6">
      <c r="A807" s="56">
        <v>819</v>
      </c>
      <c r="B807" s="60" t="s">
        <v>904</v>
      </c>
      <c r="C807" s="2">
        <v>3</v>
      </c>
      <c r="D807" s="2">
        <v>0</v>
      </c>
      <c r="F807" s="3"/>
    </row>
    <row r="808" spans="1:6">
      <c r="A808" s="56">
        <v>820</v>
      </c>
      <c r="B808" s="1" t="s">
        <v>905</v>
      </c>
      <c r="C808" s="2">
        <v>2</v>
      </c>
      <c r="D808" s="2">
        <v>0</v>
      </c>
      <c r="F808" s="3"/>
    </row>
    <row r="809" spans="1:6">
      <c r="A809" s="56">
        <v>821</v>
      </c>
      <c r="B809" s="1" t="s">
        <v>906</v>
      </c>
      <c r="C809" s="2">
        <v>2</v>
      </c>
      <c r="D809" s="2">
        <v>0</v>
      </c>
      <c r="F809" s="3"/>
    </row>
    <row r="810" spans="1:4">
      <c r="A810" s="56">
        <v>822</v>
      </c>
      <c r="B810" s="1" t="s">
        <v>907</v>
      </c>
      <c r="C810" s="2">
        <v>3.2</v>
      </c>
      <c r="D810" s="2">
        <v>0</v>
      </c>
    </row>
    <row r="811" spans="1:6">
      <c r="A811" s="56">
        <v>823</v>
      </c>
      <c r="B811" s="60" t="s">
        <v>908</v>
      </c>
      <c r="C811" s="2">
        <v>2.3</v>
      </c>
      <c r="D811" s="2">
        <v>0</v>
      </c>
      <c r="F811" s="3"/>
    </row>
    <row r="812" spans="1:4">
      <c r="A812" s="56">
        <v>824</v>
      </c>
      <c r="B812" s="60" t="s">
        <v>909</v>
      </c>
      <c r="C812" s="2">
        <v>1</v>
      </c>
      <c r="D812" s="2">
        <v>0</v>
      </c>
    </row>
    <row r="813" spans="1:6">
      <c r="A813" s="56">
        <v>825</v>
      </c>
      <c r="B813" s="60" t="s">
        <v>910</v>
      </c>
      <c r="C813" s="2">
        <v>3.5</v>
      </c>
      <c r="D813" s="2">
        <v>0</v>
      </c>
      <c r="F813" s="3"/>
    </row>
    <row r="814" spans="1:6">
      <c r="A814" s="56">
        <v>826</v>
      </c>
      <c r="B814" s="60" t="s">
        <v>911</v>
      </c>
      <c r="C814" s="2">
        <v>5</v>
      </c>
      <c r="D814" s="2">
        <v>0</v>
      </c>
      <c r="F814" s="3"/>
    </row>
    <row r="815" spans="1:6">
      <c r="A815" s="56">
        <v>827</v>
      </c>
      <c r="B815" s="1" t="s">
        <v>912</v>
      </c>
      <c r="C815" s="2">
        <v>1</v>
      </c>
      <c r="D815" s="2">
        <v>0</v>
      </c>
      <c r="F815" s="3"/>
    </row>
    <row r="816" spans="1:6">
      <c r="A816" s="56">
        <v>828</v>
      </c>
      <c r="B816" s="1" t="s">
        <v>913</v>
      </c>
      <c r="C816" s="2">
        <v>2</v>
      </c>
      <c r="D816" s="2">
        <v>0</v>
      </c>
      <c r="F816" s="3"/>
    </row>
    <row r="817" spans="1:6">
      <c r="A817" s="56">
        <v>829</v>
      </c>
      <c r="B817" s="1" t="s">
        <v>914</v>
      </c>
      <c r="C817" s="2">
        <v>2</v>
      </c>
      <c r="D817" s="2">
        <v>0</v>
      </c>
      <c r="F817" s="3"/>
    </row>
    <row r="818" spans="1:6">
      <c r="A818" s="56">
        <v>830</v>
      </c>
      <c r="B818" s="1" t="s">
        <v>915</v>
      </c>
      <c r="C818" s="2">
        <v>2</v>
      </c>
      <c r="D818" s="2">
        <v>0</v>
      </c>
      <c r="F818" s="3"/>
    </row>
    <row r="819" spans="1:4">
      <c r="A819" s="56">
        <v>831</v>
      </c>
      <c r="B819" s="1" t="s">
        <v>916</v>
      </c>
      <c r="C819" s="2">
        <v>1</v>
      </c>
      <c r="D819" s="2">
        <v>1</v>
      </c>
    </row>
    <row r="820" spans="1:6">
      <c r="A820" s="56">
        <v>832</v>
      </c>
      <c r="B820" s="1" t="s">
        <v>917</v>
      </c>
      <c r="C820" s="2">
        <v>2</v>
      </c>
      <c r="D820" s="2">
        <v>0</v>
      </c>
      <c r="F820" s="3"/>
    </row>
    <row r="821" spans="1:4">
      <c r="A821" s="56">
        <v>833</v>
      </c>
      <c r="B821" s="1" t="s">
        <v>918</v>
      </c>
      <c r="C821" s="2">
        <v>1</v>
      </c>
      <c r="D821" s="2">
        <v>1</v>
      </c>
    </row>
    <row r="822" spans="1:6">
      <c r="A822" s="56">
        <v>834</v>
      </c>
      <c r="B822" s="1" t="s">
        <v>919</v>
      </c>
      <c r="C822" s="2">
        <v>1</v>
      </c>
      <c r="D822" s="2">
        <v>1</v>
      </c>
      <c r="F822" s="3"/>
    </row>
    <row r="823" spans="1:6">
      <c r="A823" s="56">
        <v>835</v>
      </c>
      <c r="B823" s="56" t="s">
        <v>920</v>
      </c>
      <c r="C823" s="2">
        <v>6.33333333333333</v>
      </c>
      <c r="D823" s="2">
        <v>0</v>
      </c>
      <c r="F823" s="3"/>
    </row>
    <row r="824" spans="1:6">
      <c r="A824" s="56">
        <v>836</v>
      </c>
      <c r="B824" s="56" t="s">
        <v>921</v>
      </c>
      <c r="C824" s="2">
        <v>2.3</v>
      </c>
      <c r="D824" s="2">
        <v>0</v>
      </c>
      <c r="F824" s="3"/>
    </row>
    <row r="825" spans="1:6">
      <c r="A825" s="56">
        <v>839</v>
      </c>
      <c r="B825" s="56" t="s">
        <v>922</v>
      </c>
      <c r="C825" s="2">
        <v>1</v>
      </c>
      <c r="D825" s="2">
        <v>0</v>
      </c>
      <c r="F825" s="3"/>
    </row>
    <row r="826" spans="1:6">
      <c r="A826" s="56">
        <v>840</v>
      </c>
      <c r="B826" s="56" t="s">
        <v>923</v>
      </c>
      <c r="C826" s="2">
        <v>3</v>
      </c>
      <c r="D826" s="2">
        <v>0</v>
      </c>
      <c r="F826" s="3"/>
    </row>
    <row r="827" spans="1:6">
      <c r="A827" s="56">
        <v>841</v>
      </c>
      <c r="B827" s="56" t="s">
        <v>924</v>
      </c>
      <c r="C827" s="2">
        <v>2</v>
      </c>
      <c r="D827" s="2">
        <v>0</v>
      </c>
      <c r="F827" s="3"/>
    </row>
    <row r="828" spans="1:6">
      <c r="A828" s="56">
        <v>842</v>
      </c>
      <c r="B828" s="56" t="s">
        <v>925</v>
      </c>
      <c r="C828" s="2">
        <v>2</v>
      </c>
      <c r="D828" s="2">
        <v>0</v>
      </c>
      <c r="F828" s="3"/>
    </row>
    <row r="829" spans="1:6">
      <c r="A829" s="56">
        <v>843</v>
      </c>
      <c r="B829" s="56" t="s">
        <v>926</v>
      </c>
      <c r="C829" s="2">
        <v>2</v>
      </c>
      <c r="D829" s="2">
        <v>0</v>
      </c>
      <c r="F829" s="3"/>
    </row>
    <row r="830" spans="1:6">
      <c r="A830" s="56">
        <v>844</v>
      </c>
      <c r="B830" s="56" t="s">
        <v>927</v>
      </c>
      <c r="C830" s="2">
        <v>2</v>
      </c>
      <c r="D830" s="2">
        <v>0</v>
      </c>
      <c r="F830" s="3"/>
    </row>
    <row r="831" spans="1:5">
      <c r="A831" s="56">
        <v>845</v>
      </c>
      <c r="B831" s="56" t="s">
        <v>928</v>
      </c>
      <c r="C831" s="2">
        <v>2.8</v>
      </c>
      <c r="D831" s="2">
        <v>0</v>
      </c>
      <c r="E831" s="2" t="s">
        <v>599</v>
      </c>
    </row>
    <row r="832" spans="1:6">
      <c r="A832" s="56">
        <v>846</v>
      </c>
      <c r="B832" s="1" t="s">
        <v>929</v>
      </c>
      <c r="C832" s="2">
        <v>2</v>
      </c>
      <c r="D832" s="2">
        <v>0</v>
      </c>
      <c r="F832" s="2" t="s">
        <v>930</v>
      </c>
    </row>
    <row r="833" spans="1:4">
      <c r="A833" s="56">
        <v>847</v>
      </c>
      <c r="B833" s="1" t="s">
        <v>931</v>
      </c>
      <c r="C833" s="2">
        <v>2.6</v>
      </c>
      <c r="D833" s="2">
        <v>0</v>
      </c>
    </row>
    <row r="834" spans="1:5">
      <c r="A834" s="56">
        <v>848</v>
      </c>
      <c r="B834" s="1" t="s">
        <v>932</v>
      </c>
      <c r="C834" s="2">
        <v>8.33333333333333</v>
      </c>
      <c r="D834" s="2">
        <v>0</v>
      </c>
      <c r="E834" s="2" t="s">
        <v>933</v>
      </c>
    </row>
    <row r="835" spans="1:4">
      <c r="A835" s="56">
        <v>849</v>
      </c>
      <c r="B835" s="1" t="s">
        <v>934</v>
      </c>
      <c r="C835" s="2">
        <v>2.5</v>
      </c>
      <c r="D835" s="2">
        <v>0</v>
      </c>
    </row>
    <row r="836" spans="1:5">
      <c r="A836" s="56">
        <v>850</v>
      </c>
      <c r="B836" s="1" t="s">
        <v>935</v>
      </c>
      <c r="C836" s="2">
        <v>2.46666666666667</v>
      </c>
      <c r="D836" s="2">
        <v>0</v>
      </c>
      <c r="E836" s="2" t="s">
        <v>936</v>
      </c>
    </row>
    <row r="837" spans="1:5">
      <c r="A837" s="56">
        <v>852</v>
      </c>
      <c r="B837" s="1" t="s">
        <v>937</v>
      </c>
      <c r="C837" s="2">
        <v>3.83333333333333</v>
      </c>
      <c r="D837" s="2">
        <v>0</v>
      </c>
      <c r="E837" s="2" t="s">
        <v>938</v>
      </c>
    </row>
    <row r="838" spans="1:4">
      <c r="A838" s="56">
        <v>853</v>
      </c>
      <c r="B838" s="1" t="s">
        <v>939</v>
      </c>
      <c r="C838" s="2">
        <v>2.4</v>
      </c>
      <c r="D838" s="2">
        <v>0</v>
      </c>
    </row>
    <row r="839" spans="1:4">
      <c r="A839" s="56">
        <v>854</v>
      </c>
      <c r="B839" s="1" t="s">
        <v>940</v>
      </c>
      <c r="C839" s="2">
        <v>2</v>
      </c>
      <c r="D839" s="2">
        <v>0</v>
      </c>
    </row>
    <row r="840" spans="1:6">
      <c r="A840" s="56">
        <v>855</v>
      </c>
      <c r="B840" s="1" t="s">
        <v>941</v>
      </c>
      <c r="C840" s="2">
        <v>1</v>
      </c>
      <c r="D840" s="2">
        <v>1</v>
      </c>
      <c r="F840" s="2" t="s">
        <v>942</v>
      </c>
    </row>
    <row r="841" spans="1:6">
      <c r="A841" s="56">
        <v>856</v>
      </c>
      <c r="B841" s="1" t="s">
        <v>943</v>
      </c>
      <c r="C841" s="2">
        <v>1</v>
      </c>
      <c r="D841" s="2">
        <v>1</v>
      </c>
      <c r="F841" s="2" t="s">
        <v>944</v>
      </c>
    </row>
    <row r="842" spans="1:4">
      <c r="A842" s="56">
        <v>857</v>
      </c>
      <c r="B842" s="1" t="s">
        <v>945</v>
      </c>
      <c r="C842" s="2">
        <v>4</v>
      </c>
      <c r="D842" s="2">
        <v>0</v>
      </c>
    </row>
    <row r="843" spans="1:6">
      <c r="A843" s="56">
        <v>858</v>
      </c>
      <c r="B843" s="1" t="s">
        <v>946</v>
      </c>
      <c r="C843" s="2">
        <v>1</v>
      </c>
      <c r="D843" s="2">
        <v>1</v>
      </c>
      <c r="F843" s="2" t="s">
        <v>947</v>
      </c>
    </row>
    <row r="844" spans="1:6">
      <c r="A844" s="56">
        <v>859</v>
      </c>
      <c r="B844" s="1" t="s">
        <v>948</v>
      </c>
      <c r="C844" s="2">
        <v>1</v>
      </c>
      <c r="D844" s="2">
        <v>1</v>
      </c>
      <c r="F844" s="2" t="s">
        <v>949</v>
      </c>
    </row>
    <row r="845" spans="1:6">
      <c r="A845" s="56">
        <v>860</v>
      </c>
      <c r="B845" s="1" t="s">
        <v>950</v>
      </c>
      <c r="C845" s="2">
        <v>1</v>
      </c>
      <c r="D845" s="2">
        <v>1</v>
      </c>
      <c r="F845" s="2" t="s">
        <v>951</v>
      </c>
    </row>
    <row r="846" spans="1:6">
      <c r="A846" s="56">
        <v>861</v>
      </c>
      <c r="B846" s="1" t="s">
        <v>952</v>
      </c>
      <c r="C846" s="2">
        <v>1</v>
      </c>
      <c r="D846" s="2">
        <v>1</v>
      </c>
      <c r="F846" s="2" t="s">
        <v>819</v>
      </c>
    </row>
    <row r="847" spans="1:5">
      <c r="A847" s="56">
        <v>862</v>
      </c>
      <c r="B847" s="1" t="s">
        <v>953</v>
      </c>
      <c r="C847" s="2">
        <v>2.73333333333333</v>
      </c>
      <c r="D847" s="2">
        <v>1</v>
      </c>
      <c r="E847" s="2" t="s">
        <v>954</v>
      </c>
    </row>
    <row r="848" spans="1:4">
      <c r="A848" s="56">
        <v>863</v>
      </c>
      <c r="B848" s="1" t="s">
        <v>955</v>
      </c>
      <c r="C848" s="2">
        <v>2.4</v>
      </c>
      <c r="D848" s="2">
        <v>1</v>
      </c>
    </row>
    <row r="849" spans="1:5">
      <c r="A849" s="56">
        <v>864</v>
      </c>
      <c r="B849" s="56" t="s">
        <v>956</v>
      </c>
      <c r="C849" s="2">
        <v>2.2</v>
      </c>
      <c r="D849" s="2">
        <v>1</v>
      </c>
      <c r="E849" s="2" t="s">
        <v>957</v>
      </c>
    </row>
    <row r="850" spans="1:5">
      <c r="A850" s="56">
        <v>865</v>
      </c>
      <c r="B850" s="56" t="s">
        <v>958</v>
      </c>
      <c r="C850" s="2">
        <v>1.2</v>
      </c>
      <c r="D850" s="2">
        <v>1</v>
      </c>
      <c r="E850" s="2" t="s">
        <v>957</v>
      </c>
    </row>
    <row r="851" spans="1:5">
      <c r="A851" s="56">
        <v>866</v>
      </c>
      <c r="B851" s="56" t="s">
        <v>959</v>
      </c>
      <c r="C851" s="2">
        <v>2.2</v>
      </c>
      <c r="D851" s="2">
        <v>1</v>
      </c>
      <c r="E851" s="2" t="s">
        <v>957</v>
      </c>
    </row>
    <row r="852" spans="1:5">
      <c r="A852" s="56">
        <v>867</v>
      </c>
      <c r="B852" s="1" t="s">
        <v>960</v>
      </c>
      <c r="C852" s="2">
        <v>5.3</v>
      </c>
      <c r="D852" s="2">
        <v>0</v>
      </c>
      <c r="E852" s="2" t="s">
        <v>961</v>
      </c>
    </row>
    <row r="853" spans="1:5">
      <c r="A853" s="56">
        <v>868</v>
      </c>
      <c r="B853" s="56" t="s">
        <v>962</v>
      </c>
      <c r="C853" s="2">
        <v>1.8</v>
      </c>
      <c r="D853" s="2">
        <v>0</v>
      </c>
      <c r="E853" s="2" t="s">
        <v>963</v>
      </c>
    </row>
    <row r="854" spans="1:5">
      <c r="A854" s="56">
        <v>869</v>
      </c>
      <c r="B854" s="56" t="s">
        <v>964</v>
      </c>
      <c r="C854" s="2">
        <v>1.7</v>
      </c>
      <c r="D854" s="2">
        <v>0</v>
      </c>
      <c r="E854" s="2" t="s">
        <v>965</v>
      </c>
    </row>
    <row r="855" spans="1:5">
      <c r="A855" s="56">
        <v>870</v>
      </c>
      <c r="B855" s="56" t="s">
        <v>966</v>
      </c>
      <c r="C855" s="2">
        <v>2.95</v>
      </c>
      <c r="D855" s="2">
        <v>0</v>
      </c>
      <c r="E855" s="2" t="s">
        <v>965</v>
      </c>
    </row>
    <row r="856" spans="1:5">
      <c r="A856" s="56">
        <v>871</v>
      </c>
      <c r="B856" s="56" t="s">
        <v>967</v>
      </c>
      <c r="C856" s="2">
        <v>1</v>
      </c>
      <c r="D856" s="2">
        <v>0</v>
      </c>
      <c r="E856" s="2" t="s">
        <v>968</v>
      </c>
    </row>
    <row r="857" spans="1:5">
      <c r="A857" s="56">
        <v>872</v>
      </c>
      <c r="B857" s="56" t="s">
        <v>969</v>
      </c>
      <c r="C857" s="2">
        <v>2.2</v>
      </c>
      <c r="D857" s="2">
        <v>0</v>
      </c>
      <c r="E857" s="2" t="s">
        <v>970</v>
      </c>
    </row>
    <row r="858" spans="1:5">
      <c r="A858" s="56">
        <v>873</v>
      </c>
      <c r="B858" s="56" t="s">
        <v>971</v>
      </c>
      <c r="C858" s="2">
        <v>2.3</v>
      </c>
      <c r="D858" s="2">
        <v>0</v>
      </c>
      <c r="E858" s="2" t="s">
        <v>972</v>
      </c>
    </row>
    <row r="859" spans="1:5">
      <c r="A859" s="56">
        <v>874</v>
      </c>
      <c r="B859" s="56" t="s">
        <v>973</v>
      </c>
      <c r="C859" s="2">
        <v>2.8</v>
      </c>
      <c r="D859" s="2">
        <v>0</v>
      </c>
      <c r="E859" s="2" t="s">
        <v>961</v>
      </c>
    </row>
    <row r="860" spans="1:5">
      <c r="A860" s="56">
        <v>875</v>
      </c>
      <c r="B860" s="56" t="s">
        <v>974</v>
      </c>
      <c r="C860" s="2">
        <v>2.8</v>
      </c>
      <c r="D860" s="2">
        <v>0</v>
      </c>
      <c r="E860" s="2" t="s">
        <v>961</v>
      </c>
    </row>
    <row r="861" spans="1:5">
      <c r="A861" s="56">
        <v>876</v>
      </c>
      <c r="B861" s="92" t="s">
        <v>975</v>
      </c>
      <c r="C861" s="2">
        <v>4.5</v>
      </c>
      <c r="D861" s="2">
        <v>0</v>
      </c>
      <c r="E861" s="2" t="s">
        <v>976</v>
      </c>
    </row>
    <row r="862" spans="1:5">
      <c r="A862" s="56">
        <v>877</v>
      </c>
      <c r="B862" s="92" t="s">
        <v>977</v>
      </c>
      <c r="C862" s="2">
        <v>4.5</v>
      </c>
      <c r="D862" s="2">
        <v>0</v>
      </c>
      <c r="E862" s="2" t="s">
        <v>976</v>
      </c>
    </row>
    <row r="863" spans="1:5">
      <c r="A863" s="56">
        <v>878</v>
      </c>
      <c r="B863" s="92" t="s">
        <v>978</v>
      </c>
      <c r="C863" s="2">
        <v>5</v>
      </c>
      <c r="D863" s="2">
        <v>0</v>
      </c>
      <c r="E863" s="2" t="s">
        <v>976</v>
      </c>
    </row>
    <row r="864" spans="1:5">
      <c r="A864" s="56">
        <v>879</v>
      </c>
      <c r="B864" s="92" t="s">
        <v>979</v>
      </c>
      <c r="C864" s="2">
        <v>5</v>
      </c>
      <c r="D864" s="2">
        <v>0</v>
      </c>
      <c r="E864" s="2" t="s">
        <v>976</v>
      </c>
    </row>
    <row r="865" spans="1:5">
      <c r="A865" s="56">
        <v>880</v>
      </c>
      <c r="B865" s="92" t="s">
        <v>980</v>
      </c>
      <c r="C865" s="2">
        <v>3</v>
      </c>
      <c r="D865" s="2">
        <v>0</v>
      </c>
      <c r="E865" s="2" t="s">
        <v>976</v>
      </c>
    </row>
    <row r="866" spans="1:5">
      <c r="A866" s="56">
        <v>881</v>
      </c>
      <c r="B866" s="92" t="s">
        <v>981</v>
      </c>
      <c r="C866" s="2">
        <v>1</v>
      </c>
      <c r="D866" s="2">
        <v>0</v>
      </c>
      <c r="E866" s="2" t="s">
        <v>976</v>
      </c>
    </row>
    <row r="867" spans="1:5">
      <c r="A867" s="56">
        <v>882</v>
      </c>
      <c r="B867" s="92" t="s">
        <v>982</v>
      </c>
      <c r="C867" s="2">
        <v>2</v>
      </c>
      <c r="D867" s="2">
        <v>0</v>
      </c>
      <c r="E867" s="2" t="s">
        <v>976</v>
      </c>
    </row>
    <row r="868" spans="1:5">
      <c r="A868" s="56">
        <v>883</v>
      </c>
      <c r="B868" s="92" t="s">
        <v>983</v>
      </c>
      <c r="C868" s="2">
        <v>4</v>
      </c>
      <c r="D868" s="2">
        <v>0</v>
      </c>
      <c r="E868" s="2" t="s">
        <v>976</v>
      </c>
    </row>
    <row r="869" spans="1:6">
      <c r="A869" s="56">
        <v>884</v>
      </c>
      <c r="B869" s="92" t="s">
        <v>984</v>
      </c>
      <c r="C869" s="2">
        <v>3</v>
      </c>
      <c r="D869" s="2">
        <v>0</v>
      </c>
      <c r="F869" s="2" t="s">
        <v>985</v>
      </c>
    </row>
    <row r="870" spans="1:6">
      <c r="A870" s="56">
        <v>885</v>
      </c>
      <c r="B870" s="92" t="s">
        <v>986</v>
      </c>
      <c r="C870" s="2">
        <v>2</v>
      </c>
      <c r="D870" s="2">
        <v>0</v>
      </c>
      <c r="F870" s="2" t="s">
        <v>987</v>
      </c>
    </row>
    <row r="871" spans="1:6">
      <c r="A871" s="56">
        <v>886</v>
      </c>
      <c r="B871" s="92" t="s">
        <v>988</v>
      </c>
      <c r="C871" s="2">
        <v>4.3</v>
      </c>
      <c r="D871" s="2">
        <v>0</v>
      </c>
      <c r="F871" s="2" t="s">
        <v>845</v>
      </c>
    </row>
    <row r="872" spans="1:6">
      <c r="A872" s="56">
        <v>887</v>
      </c>
      <c r="B872" s="92" t="s">
        <v>989</v>
      </c>
      <c r="C872" s="2">
        <v>2.9</v>
      </c>
      <c r="D872" s="2">
        <v>0</v>
      </c>
      <c r="F872" s="2" t="s">
        <v>845</v>
      </c>
    </row>
    <row r="873" spans="1:6">
      <c r="A873" s="56">
        <v>888</v>
      </c>
      <c r="B873" s="92" t="s">
        <v>990</v>
      </c>
      <c r="C873" s="2">
        <v>2.4</v>
      </c>
      <c r="D873" s="2">
        <v>0</v>
      </c>
      <c r="F873" s="2" t="s">
        <v>845</v>
      </c>
    </row>
    <row r="874" spans="1:6">
      <c r="A874" s="56">
        <v>889</v>
      </c>
      <c r="B874" s="92" t="s">
        <v>991</v>
      </c>
      <c r="C874" s="2">
        <v>3.2</v>
      </c>
      <c r="D874" s="2">
        <v>0</v>
      </c>
      <c r="F874" s="2" t="s">
        <v>845</v>
      </c>
    </row>
    <row r="875" spans="1:6">
      <c r="A875" s="56">
        <v>890</v>
      </c>
      <c r="B875" s="1" t="s">
        <v>992</v>
      </c>
      <c r="C875" s="2">
        <v>2.3</v>
      </c>
      <c r="D875" s="2">
        <v>0</v>
      </c>
      <c r="F875" s="2" t="s">
        <v>845</v>
      </c>
    </row>
    <row r="876" spans="1:6">
      <c r="A876" s="56">
        <v>891</v>
      </c>
      <c r="B876" s="56" t="s">
        <v>993</v>
      </c>
      <c r="C876" s="2">
        <v>2.3</v>
      </c>
      <c r="D876" s="2">
        <v>0</v>
      </c>
      <c r="F876" s="2" t="s">
        <v>994</v>
      </c>
    </row>
    <row r="877" spans="1:6">
      <c r="A877" s="56">
        <v>892</v>
      </c>
      <c r="B877" s="1" t="s">
        <v>995</v>
      </c>
      <c r="C877" s="2">
        <v>2.4</v>
      </c>
      <c r="D877" s="2">
        <v>0</v>
      </c>
      <c r="F877" s="2" t="s">
        <v>845</v>
      </c>
    </row>
    <row r="878" spans="1:6">
      <c r="A878" s="56">
        <v>893</v>
      </c>
      <c r="B878" s="1" t="s">
        <v>996</v>
      </c>
      <c r="C878" s="2">
        <v>2.4</v>
      </c>
      <c r="D878" s="2">
        <v>0</v>
      </c>
      <c r="F878" s="2" t="s">
        <v>994</v>
      </c>
    </row>
    <row r="879" spans="1:6">
      <c r="A879" s="56">
        <v>894</v>
      </c>
      <c r="B879" s="1" t="s">
        <v>997</v>
      </c>
      <c r="C879" s="2">
        <v>2.5</v>
      </c>
      <c r="D879" s="2">
        <v>0</v>
      </c>
      <c r="F879" s="2" t="s">
        <v>845</v>
      </c>
    </row>
    <row r="880" spans="1:6">
      <c r="A880" s="56">
        <v>895</v>
      </c>
      <c r="B880" s="1" t="s">
        <v>998</v>
      </c>
      <c r="C880" s="2">
        <v>4.8</v>
      </c>
      <c r="D880" s="2">
        <v>0</v>
      </c>
      <c r="F880" s="2" t="s">
        <v>845</v>
      </c>
    </row>
    <row r="881" spans="1:6">
      <c r="A881" s="56">
        <v>896</v>
      </c>
      <c r="B881" s="1" t="s">
        <v>999</v>
      </c>
      <c r="C881" s="2">
        <v>1.4</v>
      </c>
      <c r="D881" s="2">
        <v>0</v>
      </c>
      <c r="F881" s="2" t="s">
        <v>845</v>
      </c>
    </row>
    <row r="882" spans="1:6">
      <c r="A882" s="56">
        <v>897</v>
      </c>
      <c r="B882" s="1" t="s">
        <v>1000</v>
      </c>
      <c r="C882" s="2">
        <v>2.7</v>
      </c>
      <c r="D882" s="2">
        <v>0</v>
      </c>
      <c r="F882" s="2" t="s">
        <v>1001</v>
      </c>
    </row>
    <row r="883" spans="1:6">
      <c r="A883" s="56">
        <v>898</v>
      </c>
      <c r="B883" s="1" t="s">
        <v>1002</v>
      </c>
      <c r="C883" s="2">
        <v>3</v>
      </c>
      <c r="D883" s="2">
        <v>0</v>
      </c>
      <c r="F883" s="2" t="s">
        <v>1001</v>
      </c>
    </row>
    <row r="884" spans="1:6">
      <c r="A884" s="56">
        <v>899</v>
      </c>
      <c r="B884" s="1" t="s">
        <v>1003</v>
      </c>
      <c r="C884" s="2">
        <v>3</v>
      </c>
      <c r="D884" s="2">
        <v>0</v>
      </c>
      <c r="F884" s="2" t="s">
        <v>1001</v>
      </c>
    </row>
    <row r="885" spans="1:6">
      <c r="A885" s="56">
        <v>900</v>
      </c>
      <c r="B885" s="1" t="s">
        <v>1004</v>
      </c>
      <c r="C885" s="2">
        <v>4.2</v>
      </c>
      <c r="D885" s="2">
        <v>0</v>
      </c>
      <c r="F885" s="2" t="s">
        <v>1001</v>
      </c>
    </row>
    <row r="886" spans="1:6">
      <c r="A886" s="56">
        <v>901</v>
      </c>
      <c r="B886" s="1" t="s">
        <v>1005</v>
      </c>
      <c r="C886" s="2">
        <v>2</v>
      </c>
      <c r="D886" s="2">
        <v>0</v>
      </c>
      <c r="F886" s="2" t="s">
        <v>1006</v>
      </c>
    </row>
    <row r="887" spans="1:4">
      <c r="A887" s="56">
        <v>902</v>
      </c>
      <c r="B887" s="1" t="s">
        <v>1007</v>
      </c>
      <c r="C887" s="2">
        <v>9.5</v>
      </c>
      <c r="D887" s="2">
        <v>0</v>
      </c>
    </row>
    <row r="888" spans="1:4">
      <c r="A888" s="56">
        <v>903</v>
      </c>
      <c r="B888" s="56" t="s">
        <v>1008</v>
      </c>
      <c r="C888" s="2">
        <v>9.5</v>
      </c>
      <c r="D888" s="2">
        <v>0</v>
      </c>
    </row>
    <row r="889" spans="1:4">
      <c r="A889" s="56">
        <v>904</v>
      </c>
      <c r="B889" s="56" t="s">
        <v>1009</v>
      </c>
      <c r="C889" s="2">
        <v>14</v>
      </c>
      <c r="D889" s="2">
        <v>0</v>
      </c>
    </row>
    <row r="890" spans="1:4">
      <c r="A890" s="56">
        <v>905</v>
      </c>
      <c r="B890" s="1" t="s">
        <v>1010</v>
      </c>
      <c r="C890" s="2">
        <v>3.66</v>
      </c>
      <c r="D890" s="2">
        <v>0</v>
      </c>
    </row>
    <row r="891" spans="1:4">
      <c r="A891" s="56">
        <v>906</v>
      </c>
      <c r="B891" s="1" t="s">
        <v>1011</v>
      </c>
      <c r="C891" s="2">
        <v>2</v>
      </c>
      <c r="D891" s="2">
        <v>0</v>
      </c>
    </row>
    <row r="892" spans="1:4">
      <c r="A892" s="56">
        <v>907</v>
      </c>
      <c r="B892" s="1" t="s">
        <v>1012</v>
      </c>
      <c r="C892" s="2">
        <v>2</v>
      </c>
      <c r="D892" s="2">
        <v>0</v>
      </c>
    </row>
    <row r="893" spans="1:4">
      <c r="A893" s="56">
        <v>908</v>
      </c>
      <c r="B893" s="1" t="s">
        <v>1013</v>
      </c>
      <c r="C893" s="2">
        <v>6</v>
      </c>
      <c r="D893" s="2">
        <v>0</v>
      </c>
    </row>
    <row r="894" spans="1:4">
      <c r="A894" s="56">
        <v>909</v>
      </c>
      <c r="B894" s="1" t="s">
        <v>1014</v>
      </c>
      <c r="C894" s="2">
        <v>1</v>
      </c>
      <c r="D894" s="2">
        <v>0</v>
      </c>
    </row>
    <row r="895" spans="1:4">
      <c r="A895" s="56">
        <v>910</v>
      </c>
      <c r="B895" s="1" t="s">
        <v>1015</v>
      </c>
      <c r="C895" s="2">
        <v>3</v>
      </c>
      <c r="D895" s="2">
        <v>0</v>
      </c>
    </row>
    <row r="896" spans="1:4">
      <c r="A896" s="56">
        <v>911</v>
      </c>
      <c r="B896" s="1" t="s">
        <v>1016</v>
      </c>
      <c r="C896" s="2">
        <v>3</v>
      </c>
      <c r="D896" s="2">
        <v>0</v>
      </c>
    </row>
    <row r="897" spans="1:4">
      <c r="A897" s="56">
        <v>912</v>
      </c>
      <c r="B897" s="1" t="s">
        <v>1017</v>
      </c>
      <c r="C897" s="2">
        <v>2</v>
      </c>
      <c r="D897" s="2">
        <v>0</v>
      </c>
    </row>
    <row r="898" ht="15" customHeight="1" spans="1:4">
      <c r="A898" s="56">
        <v>913</v>
      </c>
      <c r="B898" s="1" t="s">
        <v>1018</v>
      </c>
      <c r="C898" s="2">
        <v>2</v>
      </c>
      <c r="D898" s="2">
        <v>0</v>
      </c>
    </row>
    <row r="899" spans="1:4">
      <c r="A899" s="56">
        <v>914</v>
      </c>
      <c r="B899" s="1" t="s">
        <v>1019</v>
      </c>
      <c r="C899" s="2">
        <v>2</v>
      </c>
      <c r="D899" s="2">
        <v>0</v>
      </c>
    </row>
    <row r="900" spans="1:4">
      <c r="A900" s="56">
        <v>915</v>
      </c>
      <c r="B900" s="1" t="s">
        <v>1020</v>
      </c>
      <c r="C900" s="2">
        <v>1</v>
      </c>
      <c r="D900" s="2">
        <v>0</v>
      </c>
    </row>
    <row r="901" spans="1:4">
      <c r="A901" s="56">
        <v>916</v>
      </c>
      <c r="B901" s="1" t="s">
        <v>1021</v>
      </c>
      <c r="C901" s="2">
        <v>1</v>
      </c>
      <c r="D901" s="2">
        <v>0</v>
      </c>
    </row>
    <row r="902" spans="1:4">
      <c r="A902" s="56">
        <v>917</v>
      </c>
      <c r="B902" s="1" t="s">
        <v>1022</v>
      </c>
      <c r="C902" s="2">
        <v>2</v>
      </c>
      <c r="D902" s="2">
        <v>0</v>
      </c>
    </row>
    <row r="903" spans="1:4">
      <c r="A903" s="56">
        <v>918</v>
      </c>
      <c r="B903" s="1" t="s">
        <v>1023</v>
      </c>
      <c r="C903" s="2">
        <v>1.3</v>
      </c>
      <c r="D903" s="2">
        <v>0</v>
      </c>
    </row>
    <row r="904" spans="1:4">
      <c r="A904" s="56">
        <v>919</v>
      </c>
      <c r="B904" s="1" t="s">
        <v>1024</v>
      </c>
      <c r="C904" s="2">
        <v>2</v>
      </c>
      <c r="D904" s="2">
        <v>0</v>
      </c>
    </row>
    <row r="905" spans="1:4">
      <c r="A905" s="56">
        <v>920</v>
      </c>
      <c r="B905" s="1" t="s">
        <v>1025</v>
      </c>
      <c r="C905" s="2">
        <v>2.3</v>
      </c>
      <c r="D905" s="2">
        <v>0</v>
      </c>
    </row>
    <row r="906" spans="1:4">
      <c r="A906" s="56">
        <v>921</v>
      </c>
      <c r="B906" s="1" t="s">
        <v>1026</v>
      </c>
      <c r="C906" s="2">
        <v>4</v>
      </c>
      <c r="D906" s="2">
        <v>0</v>
      </c>
    </row>
    <row r="907" spans="1:4">
      <c r="A907" s="56">
        <v>922</v>
      </c>
      <c r="B907" s="1" t="s">
        <v>1027</v>
      </c>
      <c r="C907" s="2">
        <v>4</v>
      </c>
      <c r="D907" s="2">
        <v>0</v>
      </c>
    </row>
    <row r="908" spans="1:4">
      <c r="A908" s="56">
        <v>923</v>
      </c>
      <c r="B908" s="1" t="s">
        <v>1028</v>
      </c>
      <c r="C908" s="2">
        <v>6</v>
      </c>
      <c r="D908" s="2">
        <v>0</v>
      </c>
    </row>
    <row r="909" spans="1:4">
      <c r="A909" s="56">
        <v>924</v>
      </c>
      <c r="B909" s="1" t="s">
        <v>1029</v>
      </c>
      <c r="C909" s="2">
        <v>6</v>
      </c>
      <c r="D909" s="2">
        <v>0</v>
      </c>
    </row>
    <row r="910" spans="1:4">
      <c r="A910" s="56">
        <v>925</v>
      </c>
      <c r="B910" s="56" t="s">
        <v>1030</v>
      </c>
      <c r="C910" s="2">
        <v>1.3</v>
      </c>
      <c r="D910" s="2">
        <v>0</v>
      </c>
    </row>
    <row r="911" spans="1:4">
      <c r="A911" s="56">
        <v>926</v>
      </c>
      <c r="B911" s="1" t="s">
        <v>1031</v>
      </c>
      <c r="C911" s="2">
        <v>2</v>
      </c>
      <c r="D911" s="2">
        <v>0</v>
      </c>
    </row>
    <row r="912" spans="1:4">
      <c r="A912" s="56">
        <v>927</v>
      </c>
      <c r="B912" s="1" t="s">
        <v>1032</v>
      </c>
      <c r="C912" s="2">
        <v>4</v>
      </c>
      <c r="D912" s="2">
        <v>0</v>
      </c>
    </row>
    <row r="913" spans="1:4">
      <c r="A913" s="56">
        <v>928</v>
      </c>
      <c r="B913" s="1" t="s">
        <v>1033</v>
      </c>
      <c r="C913" s="2">
        <v>7.5</v>
      </c>
      <c r="D913" s="2">
        <v>0</v>
      </c>
    </row>
    <row r="914" spans="1:4">
      <c r="A914" s="56">
        <v>929</v>
      </c>
      <c r="B914" s="1" t="s">
        <v>1034</v>
      </c>
      <c r="C914" s="2">
        <v>7.5</v>
      </c>
      <c r="D914" s="2">
        <v>0</v>
      </c>
    </row>
    <row r="915" spans="1:4">
      <c r="A915" s="56">
        <v>930</v>
      </c>
      <c r="B915" s="1" t="s">
        <v>1035</v>
      </c>
      <c r="C915" s="2">
        <v>1.2</v>
      </c>
      <c r="D915" s="2">
        <v>0</v>
      </c>
    </row>
    <row r="916" spans="1:4">
      <c r="A916" s="56">
        <v>931</v>
      </c>
      <c r="B916" s="1" t="s">
        <v>1036</v>
      </c>
      <c r="C916" s="2">
        <v>3.6</v>
      </c>
      <c r="D916" s="2">
        <v>0</v>
      </c>
    </row>
    <row r="917" spans="1:4">
      <c r="A917" s="56">
        <v>932</v>
      </c>
      <c r="B917" s="1" t="s">
        <v>1037</v>
      </c>
      <c r="C917" s="2">
        <v>2.1</v>
      </c>
      <c r="D917" s="2">
        <v>0</v>
      </c>
    </row>
    <row r="918" spans="1:4">
      <c r="A918" s="56">
        <v>933</v>
      </c>
      <c r="B918" s="1" t="s">
        <v>1038</v>
      </c>
      <c r="C918" s="2">
        <v>2.9</v>
      </c>
      <c r="D918" s="2">
        <v>0</v>
      </c>
    </row>
    <row r="919" spans="1:4">
      <c r="A919" s="56">
        <v>934</v>
      </c>
      <c r="B919" s="1" t="s">
        <v>1039</v>
      </c>
      <c r="C919" s="2">
        <v>1</v>
      </c>
      <c r="D919" s="2">
        <v>0</v>
      </c>
    </row>
    <row r="920" spans="1:4">
      <c r="A920" s="56">
        <v>935</v>
      </c>
      <c r="B920" s="1" t="s">
        <v>1040</v>
      </c>
      <c r="C920" s="2">
        <v>1.49</v>
      </c>
      <c r="D920" s="2">
        <v>0</v>
      </c>
    </row>
    <row r="921" spans="1:4">
      <c r="A921" s="56">
        <v>936</v>
      </c>
      <c r="B921" s="1" t="s">
        <v>1041</v>
      </c>
      <c r="C921" s="2">
        <v>3.7</v>
      </c>
      <c r="D921" s="2">
        <v>0</v>
      </c>
    </row>
    <row r="922" spans="1:4">
      <c r="A922" s="56">
        <v>937</v>
      </c>
      <c r="B922" s="1" t="s">
        <v>1042</v>
      </c>
      <c r="C922" s="2">
        <v>1</v>
      </c>
      <c r="D922" s="2">
        <v>0</v>
      </c>
    </row>
    <row r="923" spans="1:4">
      <c r="A923" s="56">
        <v>938</v>
      </c>
      <c r="B923" s="1" t="s">
        <v>1043</v>
      </c>
      <c r="C923" s="2">
        <v>1.7</v>
      </c>
      <c r="D923" s="2">
        <v>0</v>
      </c>
    </row>
    <row r="924" spans="1:4">
      <c r="A924" s="56">
        <v>939</v>
      </c>
      <c r="B924" s="1" t="s">
        <v>1044</v>
      </c>
      <c r="C924" s="2">
        <v>2.5</v>
      </c>
      <c r="D924" s="2">
        <v>0</v>
      </c>
    </row>
    <row r="925" spans="1:4">
      <c r="A925" s="56">
        <v>940</v>
      </c>
      <c r="B925" s="1" t="s">
        <v>1045</v>
      </c>
      <c r="C925" s="2">
        <v>3.5</v>
      </c>
      <c r="D925" s="2">
        <v>0</v>
      </c>
    </row>
    <row r="926" spans="1:4">
      <c r="A926" s="56">
        <v>941</v>
      </c>
      <c r="B926" s="1" t="s">
        <v>1046</v>
      </c>
      <c r="C926" s="2">
        <v>1.5</v>
      </c>
      <c r="D926" s="2">
        <v>0</v>
      </c>
    </row>
    <row r="927" spans="1:4">
      <c r="A927" s="56">
        <v>942</v>
      </c>
      <c r="B927" s="1" t="s">
        <v>1047</v>
      </c>
      <c r="C927" s="2">
        <v>2.3</v>
      </c>
      <c r="D927" s="2">
        <v>0</v>
      </c>
    </row>
    <row r="928" spans="1:4">
      <c r="A928" s="56">
        <v>943</v>
      </c>
      <c r="B928" s="1" t="s">
        <v>1048</v>
      </c>
      <c r="C928" s="2">
        <v>2</v>
      </c>
      <c r="D928" s="2">
        <v>0</v>
      </c>
    </row>
    <row r="929" spans="1:4">
      <c r="A929" s="56">
        <v>944</v>
      </c>
      <c r="B929" s="1" t="s">
        <v>1049</v>
      </c>
      <c r="C929" s="2">
        <v>1.9</v>
      </c>
      <c r="D929" s="2">
        <v>0</v>
      </c>
    </row>
    <row r="930" spans="1:4">
      <c r="A930" s="56">
        <v>945</v>
      </c>
      <c r="B930" s="1" t="s">
        <v>1050</v>
      </c>
      <c r="C930" s="2">
        <v>3</v>
      </c>
      <c r="D930" s="2">
        <v>0</v>
      </c>
    </row>
    <row r="931" spans="1:4">
      <c r="A931" s="56">
        <v>946</v>
      </c>
      <c r="B931" s="1" t="s">
        <v>1051</v>
      </c>
      <c r="C931" s="2">
        <v>9.8</v>
      </c>
      <c r="D931" s="2">
        <v>0</v>
      </c>
    </row>
    <row r="932" spans="1:4">
      <c r="A932" s="56">
        <v>947</v>
      </c>
      <c r="B932" s="1" t="s">
        <v>1052</v>
      </c>
      <c r="C932" s="2">
        <v>9.8</v>
      </c>
      <c r="D932" s="2">
        <v>0</v>
      </c>
    </row>
    <row r="933" spans="1:4">
      <c r="A933" s="56">
        <v>948</v>
      </c>
      <c r="B933" s="1" t="s">
        <v>1053</v>
      </c>
      <c r="C933" s="2">
        <v>5</v>
      </c>
      <c r="D933" s="2">
        <v>0</v>
      </c>
    </row>
    <row r="934" spans="1:4">
      <c r="A934" s="56">
        <v>949</v>
      </c>
      <c r="B934" s="1" t="s">
        <v>1010</v>
      </c>
      <c r="C934" s="2">
        <v>5</v>
      </c>
      <c r="D934" s="2">
        <v>0</v>
      </c>
    </row>
    <row r="935" spans="1:5">
      <c r="A935" s="56">
        <v>950</v>
      </c>
      <c r="B935" s="1" t="s">
        <v>1054</v>
      </c>
      <c r="C935" s="2">
        <v>5</v>
      </c>
      <c r="D935" s="2">
        <v>0</v>
      </c>
      <c r="E935" s="2" t="s">
        <v>1055</v>
      </c>
    </row>
    <row r="936" spans="1:4">
      <c r="A936" s="56">
        <v>951</v>
      </c>
      <c r="B936" s="56" t="s">
        <v>1056</v>
      </c>
      <c r="C936" s="2">
        <v>5</v>
      </c>
      <c r="D936" s="2">
        <v>0</v>
      </c>
    </row>
    <row r="937" spans="1:5">
      <c r="A937" s="56">
        <v>952</v>
      </c>
      <c r="B937" s="1" t="s">
        <v>1057</v>
      </c>
      <c r="C937" s="2">
        <v>5</v>
      </c>
      <c r="D937" s="2">
        <v>0</v>
      </c>
      <c r="E937" s="2" t="s">
        <v>845</v>
      </c>
    </row>
    <row r="938" spans="1:5">
      <c r="A938" s="56">
        <v>953</v>
      </c>
      <c r="B938" s="1" t="s">
        <v>1058</v>
      </c>
      <c r="C938" s="2">
        <v>5</v>
      </c>
      <c r="D938" s="2">
        <v>0</v>
      </c>
      <c r="E938" s="2" t="s">
        <v>845</v>
      </c>
    </row>
    <row r="939" spans="1:5">
      <c r="A939" s="56">
        <v>954</v>
      </c>
      <c r="B939" s="1" t="s">
        <v>1059</v>
      </c>
      <c r="C939" s="2">
        <v>5</v>
      </c>
      <c r="D939" s="2">
        <v>0</v>
      </c>
      <c r="E939" s="2" t="s">
        <v>845</v>
      </c>
    </row>
    <row r="940" spans="1:4">
      <c r="A940" s="56">
        <v>955</v>
      </c>
      <c r="B940" s="1" t="s">
        <v>1060</v>
      </c>
      <c r="C940" s="2">
        <v>5</v>
      </c>
      <c r="D940" s="2">
        <v>0</v>
      </c>
    </row>
    <row r="941" spans="1:5">
      <c r="A941" s="56">
        <v>956</v>
      </c>
      <c r="B941" s="1" t="s">
        <v>1061</v>
      </c>
      <c r="C941" s="2">
        <v>5</v>
      </c>
      <c r="D941" s="2">
        <v>0</v>
      </c>
      <c r="E941" s="2" t="s">
        <v>845</v>
      </c>
    </row>
    <row r="942" spans="1:5">
      <c r="A942" s="56">
        <v>957</v>
      </c>
      <c r="B942" s="1" t="s">
        <v>1062</v>
      </c>
      <c r="C942" s="2">
        <v>5</v>
      </c>
      <c r="D942" s="2">
        <v>0</v>
      </c>
      <c r="E942" s="2" t="s">
        <v>845</v>
      </c>
    </row>
    <row r="943" spans="1:5">
      <c r="A943" s="56">
        <v>958</v>
      </c>
      <c r="B943" s="1" t="s">
        <v>1063</v>
      </c>
      <c r="C943" s="2">
        <v>2.8</v>
      </c>
      <c r="D943" s="2">
        <v>0</v>
      </c>
      <c r="E943" s="2" t="s">
        <v>1064</v>
      </c>
    </row>
    <row r="944" spans="1:5">
      <c r="A944" s="56">
        <v>959</v>
      </c>
      <c r="B944" s="1" t="s">
        <v>1065</v>
      </c>
      <c r="C944" s="2">
        <v>1.8</v>
      </c>
      <c r="D944" s="2">
        <v>0</v>
      </c>
      <c r="E944" s="2" t="s">
        <v>1066</v>
      </c>
    </row>
    <row r="945" spans="1:5">
      <c r="A945" s="56">
        <v>960</v>
      </c>
      <c r="B945" s="1" t="s">
        <v>1067</v>
      </c>
      <c r="C945" s="2">
        <v>1.8</v>
      </c>
      <c r="D945" s="2">
        <v>0</v>
      </c>
      <c r="E945" s="2" t="s">
        <v>1068</v>
      </c>
    </row>
    <row r="946" spans="1:5">
      <c r="A946" s="56">
        <v>961</v>
      </c>
      <c r="B946" s="1" t="s">
        <v>1069</v>
      </c>
      <c r="C946" s="2">
        <v>1</v>
      </c>
      <c r="D946" s="2">
        <v>0</v>
      </c>
      <c r="E946" s="2" t="s">
        <v>1070</v>
      </c>
    </row>
    <row r="947" spans="1:5">
      <c r="A947" s="56">
        <v>962</v>
      </c>
      <c r="B947" s="1" t="s">
        <v>1071</v>
      </c>
      <c r="C947" s="2">
        <v>1.5</v>
      </c>
      <c r="D947" s="2">
        <v>0</v>
      </c>
      <c r="E947" s="2" t="s">
        <v>1072</v>
      </c>
    </row>
    <row r="948" spans="1:5">
      <c r="A948" s="56">
        <v>963</v>
      </c>
      <c r="B948" s="1" t="s">
        <v>1073</v>
      </c>
      <c r="C948" s="2">
        <v>1.8</v>
      </c>
      <c r="D948" s="2">
        <v>0</v>
      </c>
      <c r="E948" s="2" t="s">
        <v>1074</v>
      </c>
    </row>
    <row r="949" spans="1:5">
      <c r="A949" s="56">
        <v>964</v>
      </c>
      <c r="B949" s="1" t="s">
        <v>1075</v>
      </c>
      <c r="C949" s="2">
        <v>2</v>
      </c>
      <c r="D949" s="2">
        <v>0</v>
      </c>
      <c r="E949" s="2">
        <v>416</v>
      </c>
    </row>
    <row r="950" spans="1:5">
      <c r="A950" s="56">
        <v>965</v>
      </c>
      <c r="B950" s="1" t="s">
        <v>1076</v>
      </c>
      <c r="C950" s="2">
        <v>2</v>
      </c>
      <c r="D950" s="2">
        <v>0</v>
      </c>
      <c r="E950" s="2">
        <v>99</v>
      </c>
    </row>
    <row r="951" spans="1:5">
      <c r="A951" s="56">
        <v>966</v>
      </c>
      <c r="B951" s="1" t="s">
        <v>1077</v>
      </c>
      <c r="C951" s="2">
        <v>1</v>
      </c>
      <c r="D951" s="2">
        <v>0</v>
      </c>
      <c r="E951" s="2">
        <v>99</v>
      </c>
    </row>
    <row r="952" spans="1:4">
      <c r="A952" s="56">
        <v>967</v>
      </c>
      <c r="B952" s="1" t="s">
        <v>1078</v>
      </c>
      <c r="C952" s="2">
        <v>1.9</v>
      </c>
      <c r="D952" s="2">
        <v>0</v>
      </c>
    </row>
    <row r="953" spans="1:5">
      <c r="A953" s="56">
        <v>968</v>
      </c>
      <c r="B953" s="1" t="s">
        <v>1079</v>
      </c>
      <c r="C953" s="2">
        <v>2</v>
      </c>
      <c r="D953" s="2">
        <v>0</v>
      </c>
      <c r="E953" s="2">
        <v>101</v>
      </c>
    </row>
    <row r="954" spans="1:4">
      <c r="A954" s="56">
        <v>969</v>
      </c>
      <c r="B954" s="1" t="s">
        <v>1080</v>
      </c>
      <c r="C954" s="2">
        <v>2.8</v>
      </c>
      <c r="D954" s="2">
        <v>0</v>
      </c>
    </row>
    <row r="955" spans="1:4">
      <c r="A955" s="56">
        <v>970</v>
      </c>
      <c r="B955" s="56" t="s">
        <v>1081</v>
      </c>
      <c r="C955" s="2">
        <v>2</v>
      </c>
      <c r="D955" s="2">
        <v>0</v>
      </c>
    </row>
    <row r="956" spans="1:4">
      <c r="A956" s="56">
        <v>971</v>
      </c>
      <c r="B956" s="1" t="s">
        <v>1082</v>
      </c>
      <c r="C956" s="2">
        <v>6</v>
      </c>
      <c r="D956" s="2">
        <v>1</v>
      </c>
    </row>
    <row r="957" spans="1:4">
      <c r="A957" s="56">
        <v>972</v>
      </c>
      <c r="B957" s="56" t="s">
        <v>1083</v>
      </c>
      <c r="C957" s="2">
        <v>2.2</v>
      </c>
      <c r="D957" s="2">
        <v>0</v>
      </c>
    </row>
    <row r="958" spans="1:4">
      <c r="A958" s="56">
        <v>973</v>
      </c>
      <c r="B958" s="56" t="s">
        <v>1084</v>
      </c>
      <c r="C958" s="2">
        <v>1</v>
      </c>
      <c r="D958" s="2">
        <v>1</v>
      </c>
    </row>
    <row r="959" spans="1:4">
      <c r="A959" s="56">
        <v>974</v>
      </c>
      <c r="B959" s="56" t="s">
        <v>1085</v>
      </c>
      <c r="C959" s="2">
        <v>3</v>
      </c>
      <c r="D959" s="2">
        <v>0</v>
      </c>
    </row>
    <row r="960" spans="1:4">
      <c r="A960" s="56">
        <v>975</v>
      </c>
      <c r="B960" s="1" t="s">
        <v>1086</v>
      </c>
      <c r="C960" s="2">
        <v>3</v>
      </c>
      <c r="D960" s="2">
        <v>0</v>
      </c>
    </row>
    <row r="961" spans="1:4">
      <c r="A961" s="56">
        <v>976</v>
      </c>
      <c r="B961" s="1" t="s">
        <v>1087</v>
      </c>
      <c r="C961" s="2">
        <v>2.9</v>
      </c>
      <c r="D961" s="2">
        <v>0</v>
      </c>
    </row>
    <row r="962" spans="1:4">
      <c r="A962" s="56">
        <v>977</v>
      </c>
      <c r="B962" s="1" t="s">
        <v>1088</v>
      </c>
      <c r="C962" s="2">
        <v>2.9</v>
      </c>
      <c r="D962" s="2">
        <v>0</v>
      </c>
    </row>
    <row r="963" spans="1:4">
      <c r="A963" s="56">
        <v>978</v>
      </c>
      <c r="B963" s="1" t="s">
        <v>1089</v>
      </c>
      <c r="C963" s="2">
        <v>2.9</v>
      </c>
      <c r="D963" s="2">
        <v>0</v>
      </c>
    </row>
    <row r="964" spans="1:4">
      <c r="A964" s="56">
        <v>979</v>
      </c>
      <c r="B964" s="1" t="s">
        <v>1090</v>
      </c>
      <c r="C964" s="2">
        <v>4.5</v>
      </c>
      <c r="D964" s="2">
        <v>0</v>
      </c>
    </row>
    <row r="965" spans="1:4">
      <c r="A965" s="56">
        <v>980</v>
      </c>
      <c r="B965" s="1" t="s">
        <v>1091</v>
      </c>
      <c r="C965" s="2">
        <v>4.5</v>
      </c>
      <c r="D965" s="2">
        <v>0</v>
      </c>
    </row>
    <row r="966" spans="1:4">
      <c r="A966" s="56">
        <v>981</v>
      </c>
      <c r="B966" s="1" t="s">
        <v>1092</v>
      </c>
      <c r="C966" s="2">
        <v>5</v>
      </c>
      <c r="D966" s="2">
        <v>0</v>
      </c>
    </row>
    <row r="967" spans="1:4">
      <c r="A967" s="56">
        <v>982</v>
      </c>
      <c r="B967" s="1" t="s">
        <v>1093</v>
      </c>
      <c r="C967" s="2">
        <v>5</v>
      </c>
      <c r="D967" s="2">
        <v>0</v>
      </c>
    </row>
    <row r="968" spans="1:4">
      <c r="A968" s="56">
        <v>983</v>
      </c>
      <c r="B968" s="1" t="s">
        <v>1094</v>
      </c>
      <c r="C968" s="2">
        <v>5</v>
      </c>
      <c r="D968" s="2">
        <v>0</v>
      </c>
    </row>
    <row r="969" spans="1:4">
      <c r="A969" s="56">
        <v>984</v>
      </c>
      <c r="B969" s="1" t="s">
        <v>1095</v>
      </c>
      <c r="C969" s="2">
        <v>4.3</v>
      </c>
      <c r="D969" s="2">
        <v>0</v>
      </c>
    </row>
    <row r="970" spans="1:4">
      <c r="A970" s="56">
        <v>985</v>
      </c>
      <c r="B970" s="1" t="s">
        <v>1096</v>
      </c>
      <c r="C970" s="2">
        <v>4.3</v>
      </c>
      <c r="D970" s="2">
        <v>0</v>
      </c>
    </row>
    <row r="971" spans="1:4">
      <c r="A971" s="56">
        <v>986</v>
      </c>
      <c r="B971" s="1" t="s">
        <v>1097</v>
      </c>
      <c r="C971" s="2">
        <v>2.5</v>
      </c>
      <c r="D971" s="2">
        <v>0</v>
      </c>
    </row>
    <row r="972" spans="1:4">
      <c r="A972" s="56">
        <v>987</v>
      </c>
      <c r="B972" s="1" t="s">
        <v>1098</v>
      </c>
      <c r="C972" s="2">
        <v>1</v>
      </c>
      <c r="D972" s="2">
        <v>1</v>
      </c>
    </row>
    <row r="973" spans="1:4">
      <c r="A973" s="56">
        <v>988</v>
      </c>
      <c r="B973" s="56" t="s">
        <v>1099</v>
      </c>
      <c r="C973" s="2">
        <v>1</v>
      </c>
      <c r="D973" s="2">
        <v>1</v>
      </c>
    </row>
    <row r="974" spans="1:4">
      <c r="A974" s="56">
        <v>989</v>
      </c>
      <c r="B974" s="56" t="s">
        <v>1100</v>
      </c>
      <c r="C974" s="2">
        <v>2.2</v>
      </c>
      <c r="D974" s="2">
        <v>0</v>
      </c>
    </row>
    <row r="975" spans="1:4">
      <c r="A975" s="56">
        <v>990</v>
      </c>
      <c r="B975" s="56" t="s">
        <v>1101</v>
      </c>
      <c r="C975" s="2">
        <v>3.1</v>
      </c>
      <c r="D975" s="2">
        <v>0</v>
      </c>
    </row>
    <row r="976" spans="1:4">
      <c r="A976" s="56">
        <v>991</v>
      </c>
      <c r="B976" s="56" t="s">
        <v>1102</v>
      </c>
      <c r="C976" s="2">
        <v>3.1</v>
      </c>
      <c r="D976" s="2">
        <v>0</v>
      </c>
    </row>
    <row r="977" spans="1:4">
      <c r="A977" s="56">
        <v>992</v>
      </c>
      <c r="B977" s="56" t="s">
        <v>1103</v>
      </c>
      <c r="C977" s="2">
        <v>3.5</v>
      </c>
      <c r="D977" s="2">
        <v>0</v>
      </c>
    </row>
    <row r="978" spans="1:4">
      <c r="A978" s="56">
        <v>993</v>
      </c>
      <c r="B978" s="56" t="s">
        <v>1104</v>
      </c>
      <c r="C978" s="2">
        <v>3.5</v>
      </c>
      <c r="D978" s="2">
        <v>0</v>
      </c>
    </row>
    <row r="979" spans="1:4">
      <c r="A979" s="56">
        <v>994</v>
      </c>
      <c r="B979" s="56" t="s">
        <v>1105</v>
      </c>
      <c r="C979" s="2">
        <v>3.5</v>
      </c>
      <c r="D979" s="2">
        <v>0</v>
      </c>
    </row>
    <row r="980" spans="1:4">
      <c r="A980" s="56">
        <v>995</v>
      </c>
      <c r="B980" s="56" t="s">
        <v>1106</v>
      </c>
      <c r="C980" s="2">
        <v>6.4</v>
      </c>
      <c r="D980" s="2">
        <v>0</v>
      </c>
    </row>
    <row r="981" spans="1:4">
      <c r="A981" s="56">
        <v>996</v>
      </c>
      <c r="B981" s="56" t="s">
        <v>1107</v>
      </c>
      <c r="C981" s="2">
        <v>2.5</v>
      </c>
      <c r="D981" s="2">
        <v>0</v>
      </c>
    </row>
    <row r="982" spans="1:4">
      <c r="A982" s="56">
        <v>997</v>
      </c>
      <c r="B982" s="56" t="s">
        <v>1108</v>
      </c>
      <c r="C982" s="2">
        <v>4.4</v>
      </c>
      <c r="D982" s="2">
        <v>0</v>
      </c>
    </row>
    <row r="983" spans="1:4">
      <c r="A983" s="56">
        <v>998</v>
      </c>
      <c r="B983" s="56" t="s">
        <v>1109</v>
      </c>
      <c r="C983" s="2">
        <v>4.4</v>
      </c>
      <c r="D983" s="2">
        <v>0</v>
      </c>
    </row>
    <row r="984" spans="1:4">
      <c r="A984" s="56">
        <v>999</v>
      </c>
      <c r="B984" s="56" t="s">
        <v>1110</v>
      </c>
      <c r="C984" s="2">
        <v>3.2</v>
      </c>
      <c r="D984" s="2">
        <v>0</v>
      </c>
    </row>
    <row r="985" spans="1:4">
      <c r="A985" s="56">
        <v>1000</v>
      </c>
      <c r="B985" s="1" t="s">
        <v>1111</v>
      </c>
      <c r="C985" s="2">
        <v>2.7</v>
      </c>
      <c r="D985" s="2">
        <v>0</v>
      </c>
    </row>
    <row r="986" spans="1:4">
      <c r="A986" s="56">
        <v>1001</v>
      </c>
      <c r="B986" s="1" t="s">
        <v>1112</v>
      </c>
      <c r="C986" s="2">
        <v>2.8</v>
      </c>
      <c r="D986" s="2">
        <v>0</v>
      </c>
    </row>
    <row r="987" spans="1:4">
      <c r="A987" s="56">
        <v>1002</v>
      </c>
      <c r="B987" s="56" t="s">
        <v>1113</v>
      </c>
      <c r="C987" s="2">
        <v>4</v>
      </c>
      <c r="D987" s="2">
        <v>0</v>
      </c>
    </row>
    <row r="988" spans="1:4">
      <c r="A988" s="56">
        <v>1003</v>
      </c>
      <c r="B988" s="1" t="s">
        <v>1114</v>
      </c>
      <c r="C988" s="2">
        <v>4</v>
      </c>
      <c r="D988" s="2">
        <v>0</v>
      </c>
    </row>
    <row r="989" spans="1:4">
      <c r="A989" s="56">
        <v>1004</v>
      </c>
      <c r="B989" s="1" t="s">
        <v>1115</v>
      </c>
      <c r="C989" s="2">
        <v>4</v>
      </c>
      <c r="D989" s="2">
        <v>0</v>
      </c>
    </row>
    <row r="990" spans="1:4">
      <c r="A990" s="56">
        <v>1005</v>
      </c>
      <c r="B990" s="56" t="s">
        <v>1116</v>
      </c>
      <c r="C990" s="2">
        <v>3</v>
      </c>
      <c r="D990" s="2">
        <v>0</v>
      </c>
    </row>
    <row r="991" spans="1:4">
      <c r="A991" s="56">
        <v>1006</v>
      </c>
      <c r="B991" s="1" t="s">
        <v>1117</v>
      </c>
      <c r="C991" s="2">
        <v>1.2</v>
      </c>
      <c r="D991" s="2">
        <v>0</v>
      </c>
    </row>
    <row r="992" spans="1:4">
      <c r="A992" s="56">
        <v>1007</v>
      </c>
      <c r="B992" s="1" t="s">
        <v>1118</v>
      </c>
      <c r="C992" s="2">
        <v>1.4</v>
      </c>
      <c r="D992" s="2">
        <v>0</v>
      </c>
    </row>
    <row r="993" spans="1:6">
      <c r="A993" s="56">
        <v>1008</v>
      </c>
      <c r="B993" s="56" t="s">
        <v>1119</v>
      </c>
      <c r="C993" s="2">
        <v>1</v>
      </c>
      <c r="D993" s="2">
        <v>1</v>
      </c>
      <c r="F993" s="2" t="s">
        <v>1120</v>
      </c>
    </row>
    <row r="994" spans="1:4">
      <c r="A994" s="56">
        <v>1009</v>
      </c>
      <c r="B994" s="1" t="s">
        <v>1117</v>
      </c>
      <c r="C994" s="2">
        <v>1</v>
      </c>
      <c r="D994" s="2">
        <v>0</v>
      </c>
    </row>
    <row r="995" spans="1:4">
      <c r="A995" s="56">
        <v>1010</v>
      </c>
      <c r="B995" s="1" t="s">
        <v>1121</v>
      </c>
      <c r="C995" s="2">
        <v>1</v>
      </c>
      <c r="D995" s="2">
        <v>1</v>
      </c>
    </row>
    <row r="996" spans="1:4">
      <c r="A996" s="56">
        <v>1011</v>
      </c>
      <c r="B996" s="60" t="s">
        <v>1122</v>
      </c>
      <c r="C996" s="2">
        <v>2.3</v>
      </c>
      <c r="D996" s="2">
        <v>0</v>
      </c>
    </row>
    <row r="997" spans="1:4">
      <c r="A997" s="56">
        <v>1012</v>
      </c>
      <c r="B997" s="60" t="s">
        <v>1123</v>
      </c>
      <c r="C997" s="2">
        <v>6</v>
      </c>
      <c r="D997" s="2">
        <v>0</v>
      </c>
    </row>
    <row r="998" spans="1:4">
      <c r="A998" s="56">
        <v>1013</v>
      </c>
      <c r="B998" s="60" t="s">
        <v>1124</v>
      </c>
      <c r="C998" s="2">
        <v>6</v>
      </c>
      <c r="D998" s="2">
        <v>0</v>
      </c>
    </row>
    <row r="999" spans="1:4">
      <c r="A999" s="56">
        <v>1014</v>
      </c>
      <c r="B999" s="60" t="s">
        <v>1125</v>
      </c>
      <c r="C999" s="2">
        <v>6</v>
      </c>
      <c r="D999" s="2">
        <v>0</v>
      </c>
    </row>
    <row r="1000" spans="1:4">
      <c r="A1000" s="56">
        <v>1015</v>
      </c>
      <c r="B1000" s="1" t="s">
        <v>1126</v>
      </c>
      <c r="C1000" s="2">
        <v>2</v>
      </c>
      <c r="D1000" s="2">
        <v>0</v>
      </c>
    </row>
    <row r="1001" spans="1:4">
      <c r="A1001" s="56">
        <v>1016</v>
      </c>
      <c r="B1001" s="1" t="s">
        <v>1127</v>
      </c>
      <c r="C1001" s="2">
        <v>1</v>
      </c>
      <c r="D1001" s="2">
        <v>1</v>
      </c>
    </row>
    <row r="1002" spans="1:4">
      <c r="A1002" s="56">
        <v>1017</v>
      </c>
      <c r="B1002" s="1" t="s">
        <v>1128</v>
      </c>
      <c r="C1002" s="2">
        <v>3.5</v>
      </c>
      <c r="D1002" s="2">
        <v>0</v>
      </c>
    </row>
    <row r="1003" spans="1:4">
      <c r="A1003" s="56">
        <v>1018</v>
      </c>
      <c r="B1003" s="1" t="s">
        <v>1129</v>
      </c>
      <c r="C1003" s="2">
        <v>3.2</v>
      </c>
      <c r="D1003" s="2">
        <v>0</v>
      </c>
    </row>
    <row r="1004" spans="1:4">
      <c r="A1004" s="56">
        <v>1019</v>
      </c>
      <c r="B1004" s="1" t="s">
        <v>1130</v>
      </c>
      <c r="C1004" s="2">
        <v>4.8</v>
      </c>
      <c r="D1004" s="2">
        <v>0</v>
      </c>
    </row>
    <row r="1005" spans="1:6">
      <c r="A1005" s="56">
        <v>1020</v>
      </c>
      <c r="B1005" s="1" t="s">
        <v>1131</v>
      </c>
      <c r="C1005" s="2">
        <v>1</v>
      </c>
      <c r="D1005" s="2">
        <v>1</v>
      </c>
      <c r="F1005" s="2" t="s">
        <v>1132</v>
      </c>
    </row>
    <row r="1006" spans="1:4">
      <c r="A1006" s="56">
        <v>1021</v>
      </c>
      <c r="B1006" s="1" t="s">
        <v>1133</v>
      </c>
      <c r="C1006" s="2">
        <v>5</v>
      </c>
      <c r="D1006" s="2">
        <v>0</v>
      </c>
    </row>
    <row r="1007" spans="1:4">
      <c r="A1007" s="56">
        <v>1022</v>
      </c>
      <c r="B1007" s="1" t="s">
        <v>1134</v>
      </c>
      <c r="C1007" s="2">
        <v>3.2</v>
      </c>
      <c r="D1007" s="2">
        <v>0</v>
      </c>
    </row>
    <row r="1008" spans="1:4">
      <c r="A1008" s="56">
        <v>1023</v>
      </c>
      <c r="B1008" s="1" t="s">
        <v>1135</v>
      </c>
      <c r="C1008" s="2">
        <v>11.3333333333333</v>
      </c>
      <c r="D1008" s="2">
        <v>0</v>
      </c>
    </row>
    <row r="1009" spans="1:4">
      <c r="A1009" s="56">
        <v>1024</v>
      </c>
      <c r="B1009" s="1" t="s">
        <v>1136</v>
      </c>
      <c r="C1009" s="2">
        <v>10.06</v>
      </c>
      <c r="D1009" s="2">
        <v>0</v>
      </c>
    </row>
    <row r="1010" spans="1:4">
      <c r="A1010" s="56">
        <v>1025</v>
      </c>
      <c r="B1010" s="1" t="s">
        <v>1137</v>
      </c>
      <c r="C1010" s="2">
        <v>10.06</v>
      </c>
      <c r="D1010" s="2">
        <v>0</v>
      </c>
    </row>
    <row r="1011" spans="1:4">
      <c r="A1011" s="56">
        <v>1026</v>
      </c>
      <c r="B1011" s="1" t="s">
        <v>1138</v>
      </c>
      <c r="C1011" s="2">
        <v>1.1</v>
      </c>
      <c r="D1011" s="2">
        <v>0</v>
      </c>
    </row>
    <row r="1012" spans="1:4">
      <c r="A1012" s="56">
        <v>1027</v>
      </c>
      <c r="B1012" s="1" t="s">
        <v>1139</v>
      </c>
      <c r="C1012" s="2">
        <v>1</v>
      </c>
      <c r="D1012" s="2">
        <v>1</v>
      </c>
    </row>
    <row r="1013" spans="1:6">
      <c r="A1013" s="56">
        <v>1028</v>
      </c>
      <c r="B1013" s="1" t="s">
        <v>1140</v>
      </c>
      <c r="C1013" s="2">
        <v>4</v>
      </c>
      <c r="D1013" s="2">
        <v>0</v>
      </c>
      <c r="F1013" s="2" t="s">
        <v>1141</v>
      </c>
    </row>
    <row r="1014" spans="1:6">
      <c r="A1014" s="56">
        <v>1029</v>
      </c>
      <c r="B1014" s="1" t="s">
        <v>1142</v>
      </c>
      <c r="C1014" s="2">
        <v>6</v>
      </c>
      <c r="D1014" s="2">
        <v>0</v>
      </c>
      <c r="F1014" s="2" t="s">
        <v>1141</v>
      </c>
    </row>
    <row r="1015" spans="1:6">
      <c r="A1015" s="56">
        <v>1030</v>
      </c>
      <c r="B1015" s="1" t="s">
        <v>1143</v>
      </c>
      <c r="C1015" s="2">
        <v>3</v>
      </c>
      <c r="D1015" s="2">
        <v>0</v>
      </c>
      <c r="F1015" s="2" t="s">
        <v>1141</v>
      </c>
    </row>
    <row r="1016" spans="1:6">
      <c r="A1016" s="56">
        <v>1031</v>
      </c>
      <c r="B1016" s="1" t="s">
        <v>1144</v>
      </c>
      <c r="C1016" s="2">
        <v>1</v>
      </c>
      <c r="D1016" s="2">
        <v>1</v>
      </c>
      <c r="F1016" s="2" t="s">
        <v>1141</v>
      </c>
    </row>
    <row r="1017" spans="1:4">
      <c r="A1017" s="56">
        <v>1032</v>
      </c>
      <c r="B1017" s="60" t="s">
        <v>1145</v>
      </c>
      <c r="C1017" s="2">
        <v>1</v>
      </c>
      <c r="D1017" s="2">
        <v>0</v>
      </c>
    </row>
    <row r="1018" spans="1:4">
      <c r="A1018" s="56">
        <v>1033</v>
      </c>
      <c r="B1018" s="60" t="s">
        <v>1146</v>
      </c>
      <c r="C1018" s="2">
        <v>4.2</v>
      </c>
      <c r="D1018" s="2">
        <v>0</v>
      </c>
    </row>
    <row r="1019" spans="1:4">
      <c r="A1019" s="56">
        <v>1034</v>
      </c>
      <c r="B1019" s="1" t="s">
        <v>1147</v>
      </c>
      <c r="C1019" s="2">
        <v>2</v>
      </c>
      <c r="D1019" s="2">
        <v>0</v>
      </c>
    </row>
    <row r="1020" spans="1:4">
      <c r="A1020" s="56">
        <v>1035</v>
      </c>
      <c r="B1020" s="1" t="s">
        <v>1148</v>
      </c>
      <c r="C1020" s="2">
        <v>2</v>
      </c>
      <c r="D1020" s="2">
        <v>0</v>
      </c>
    </row>
    <row r="1021" spans="1:4">
      <c r="A1021" s="56">
        <v>1036</v>
      </c>
      <c r="B1021" s="1" t="s">
        <v>1149</v>
      </c>
      <c r="C1021" s="2">
        <v>1</v>
      </c>
      <c r="D1021" s="2">
        <v>1</v>
      </c>
    </row>
    <row r="1022" spans="1:6">
      <c r="A1022" s="56">
        <v>1037</v>
      </c>
      <c r="B1022" s="1" t="s">
        <v>1150</v>
      </c>
      <c r="C1022" s="2">
        <v>11.3333333333333</v>
      </c>
      <c r="D1022" s="2">
        <v>0</v>
      </c>
      <c r="F1022" s="2" t="s">
        <v>1151</v>
      </c>
    </row>
    <row r="1023" spans="1:6">
      <c r="A1023" s="56">
        <v>1038</v>
      </c>
      <c r="B1023" s="1" t="s">
        <v>1152</v>
      </c>
      <c r="C1023" s="2">
        <v>1.4</v>
      </c>
      <c r="D1023" s="2">
        <v>0</v>
      </c>
      <c r="F1023" s="2" t="s">
        <v>1153</v>
      </c>
    </row>
    <row r="1024" spans="1:6">
      <c r="A1024" s="56">
        <v>1039</v>
      </c>
      <c r="B1024" s="1" t="s">
        <v>1154</v>
      </c>
      <c r="C1024" s="2">
        <v>1.8</v>
      </c>
      <c r="D1024" s="2">
        <v>0</v>
      </c>
      <c r="F1024" s="2" t="s">
        <v>1155</v>
      </c>
    </row>
    <row r="1025" spans="1:6">
      <c r="A1025" s="56">
        <v>1040</v>
      </c>
      <c r="B1025" s="1" t="s">
        <v>1156</v>
      </c>
      <c r="C1025" s="2">
        <v>1</v>
      </c>
      <c r="D1025" s="2">
        <v>0</v>
      </c>
      <c r="F1025" s="2" t="s">
        <v>1157</v>
      </c>
    </row>
    <row r="1026" spans="1:6">
      <c r="A1026" s="56">
        <v>1041</v>
      </c>
      <c r="B1026" s="1" t="s">
        <v>1158</v>
      </c>
      <c r="C1026" s="2">
        <v>1</v>
      </c>
      <c r="D1026" s="2">
        <v>1</v>
      </c>
      <c r="F1026" s="2" t="s">
        <v>1159</v>
      </c>
    </row>
    <row r="1027" spans="1:6">
      <c r="A1027" s="93">
        <v>1042</v>
      </c>
      <c r="B1027" s="1" t="s">
        <v>1160</v>
      </c>
      <c r="C1027" s="2">
        <v>2</v>
      </c>
      <c r="D1027" s="2">
        <v>0</v>
      </c>
      <c r="F1027" s="2" t="s">
        <v>1161</v>
      </c>
    </row>
    <row r="1028" spans="1:6">
      <c r="A1028" s="93">
        <v>1043</v>
      </c>
      <c r="B1028" s="1" t="s">
        <v>1162</v>
      </c>
      <c r="C1028" s="2">
        <v>2</v>
      </c>
      <c r="D1028" s="2">
        <v>0</v>
      </c>
      <c r="F1028" s="2" t="s">
        <v>1163</v>
      </c>
    </row>
    <row r="1029" spans="1:6">
      <c r="A1029" s="93">
        <v>1044</v>
      </c>
      <c r="B1029" s="1" t="s">
        <v>1164</v>
      </c>
      <c r="C1029" s="2">
        <v>2</v>
      </c>
      <c r="D1029" s="2">
        <v>0</v>
      </c>
      <c r="F1029" s="2" t="s">
        <v>1165</v>
      </c>
    </row>
    <row r="1030" spans="1:6">
      <c r="A1030" s="93">
        <v>1045</v>
      </c>
      <c r="B1030" s="1" t="s">
        <v>1166</v>
      </c>
      <c r="C1030" s="2">
        <v>2</v>
      </c>
      <c r="D1030" s="2">
        <v>0</v>
      </c>
      <c r="F1030" s="2" t="s">
        <v>1167</v>
      </c>
    </row>
    <row r="1031" spans="1:6">
      <c r="A1031" s="93">
        <v>1046</v>
      </c>
      <c r="B1031" s="1" t="s">
        <v>1168</v>
      </c>
      <c r="C1031" s="2">
        <v>2</v>
      </c>
      <c r="D1031" s="2">
        <v>0</v>
      </c>
      <c r="F1031" s="2" t="s">
        <v>1169</v>
      </c>
    </row>
    <row r="1032" spans="1:6">
      <c r="A1032" s="93">
        <v>1047</v>
      </c>
      <c r="B1032" s="1" t="s">
        <v>1170</v>
      </c>
      <c r="C1032" s="2">
        <v>2</v>
      </c>
      <c r="D1032" s="2">
        <v>0</v>
      </c>
      <c r="F1032" s="2" t="s">
        <v>1171</v>
      </c>
    </row>
    <row r="1033" spans="1:6">
      <c r="A1033" s="93">
        <v>1048</v>
      </c>
      <c r="B1033" s="1" t="s">
        <v>1172</v>
      </c>
      <c r="C1033" s="2">
        <v>2</v>
      </c>
      <c r="D1033" s="2">
        <v>0</v>
      </c>
      <c r="F1033" s="2" t="s">
        <v>1173</v>
      </c>
    </row>
    <row r="1034" spans="1:6">
      <c r="A1034" s="93">
        <v>1049</v>
      </c>
      <c r="B1034" s="1" t="s">
        <v>1174</v>
      </c>
      <c r="C1034" s="2">
        <v>2</v>
      </c>
      <c r="D1034" s="2">
        <v>0</v>
      </c>
      <c r="F1034" s="2" t="s">
        <v>1175</v>
      </c>
    </row>
    <row r="1035" spans="1:6">
      <c r="A1035" s="93">
        <v>1050</v>
      </c>
      <c r="B1035" s="1" t="s">
        <v>1176</v>
      </c>
      <c r="C1035" s="2">
        <v>2.5</v>
      </c>
      <c r="D1035" s="2">
        <v>0</v>
      </c>
      <c r="F1035" s="2" t="s">
        <v>1177</v>
      </c>
    </row>
    <row r="1036" spans="1:6">
      <c r="A1036" s="93">
        <v>1051</v>
      </c>
      <c r="B1036" s="1" t="s">
        <v>1178</v>
      </c>
      <c r="C1036" s="2">
        <v>2</v>
      </c>
      <c r="D1036" s="2">
        <v>0</v>
      </c>
      <c r="F1036" s="2" t="s">
        <v>1179</v>
      </c>
    </row>
    <row r="1037" spans="1:6">
      <c r="A1037" s="93">
        <v>1052</v>
      </c>
      <c r="B1037" s="1" t="s">
        <v>1180</v>
      </c>
      <c r="C1037" s="2">
        <v>3.5</v>
      </c>
      <c r="D1037" s="2">
        <v>0</v>
      </c>
      <c r="F1037" s="2" t="s">
        <v>1181</v>
      </c>
    </row>
    <row r="1038" spans="1:6">
      <c r="A1038" s="93">
        <v>1053</v>
      </c>
      <c r="B1038" s="1" t="s">
        <v>1182</v>
      </c>
      <c r="C1038" s="2">
        <v>3</v>
      </c>
      <c r="D1038" s="2">
        <v>0</v>
      </c>
      <c r="F1038" s="2" t="s">
        <v>1183</v>
      </c>
    </row>
    <row r="1039" spans="1:6">
      <c r="A1039" s="93">
        <v>1054</v>
      </c>
      <c r="B1039" s="1" t="s">
        <v>1184</v>
      </c>
      <c r="C1039" s="2">
        <v>2.5</v>
      </c>
      <c r="D1039" s="2">
        <v>0</v>
      </c>
      <c r="F1039" s="2" t="s">
        <v>1185</v>
      </c>
    </row>
    <row r="1040" spans="1:6">
      <c r="A1040" s="56">
        <v>1055</v>
      </c>
      <c r="B1040" s="60" t="s">
        <v>1186</v>
      </c>
      <c r="C1040" s="2">
        <v>4.5</v>
      </c>
      <c r="D1040" s="2">
        <v>0</v>
      </c>
      <c r="F1040" s="2" t="s">
        <v>1187</v>
      </c>
    </row>
    <row r="1041" spans="1:7">
      <c r="A1041" s="56">
        <v>1056</v>
      </c>
      <c r="B1041" s="1" t="s">
        <v>1188</v>
      </c>
      <c r="C1041" s="2">
        <v>1</v>
      </c>
      <c r="D1041" s="2">
        <v>1</v>
      </c>
      <c r="F1041" s="2" t="s">
        <v>1189</v>
      </c>
      <c r="G1041" s="8"/>
    </row>
    <row r="1042" spans="1:7">
      <c r="A1042" s="56">
        <v>1057</v>
      </c>
      <c r="B1042" s="1" t="s">
        <v>1190</v>
      </c>
      <c r="C1042" s="2">
        <v>1</v>
      </c>
      <c r="D1042" s="2">
        <v>0</v>
      </c>
      <c r="F1042" s="2" t="s">
        <v>1191</v>
      </c>
      <c r="G1042" s="8"/>
    </row>
    <row r="1043" spans="1:7">
      <c r="A1043" s="56">
        <v>1058</v>
      </c>
      <c r="B1043" s="1" t="s">
        <v>1192</v>
      </c>
      <c r="C1043" s="2">
        <v>3.3</v>
      </c>
      <c r="D1043" s="2">
        <v>0</v>
      </c>
      <c r="G1043" s="8"/>
    </row>
    <row r="1044" spans="1:7">
      <c r="A1044" s="56">
        <v>1059</v>
      </c>
      <c r="B1044" s="1" t="s">
        <v>1193</v>
      </c>
      <c r="C1044" s="2">
        <v>2.5</v>
      </c>
      <c r="D1044" s="2">
        <v>0</v>
      </c>
      <c r="G1044" s="8"/>
    </row>
    <row r="1045" spans="1:7">
      <c r="A1045" s="56">
        <v>1060</v>
      </c>
      <c r="B1045" s="1" t="s">
        <v>1194</v>
      </c>
      <c r="C1045" s="2">
        <v>3</v>
      </c>
      <c r="D1045" s="2">
        <v>0</v>
      </c>
      <c r="G1045" s="8"/>
    </row>
    <row r="1046" spans="1:7">
      <c r="A1046" s="56">
        <v>1061</v>
      </c>
      <c r="B1046" s="1" t="s">
        <v>1195</v>
      </c>
      <c r="C1046" s="2">
        <v>9.5</v>
      </c>
      <c r="D1046" s="2">
        <v>0</v>
      </c>
      <c r="G1046" s="8"/>
    </row>
    <row r="1047" spans="1:7">
      <c r="A1047" s="56">
        <v>1062</v>
      </c>
      <c r="B1047" s="1" t="s">
        <v>1196</v>
      </c>
      <c r="C1047" s="2">
        <v>3</v>
      </c>
      <c r="D1047" s="2">
        <v>0</v>
      </c>
      <c r="G1047" s="8"/>
    </row>
    <row r="1048" spans="1:7">
      <c r="A1048" s="56">
        <v>1063</v>
      </c>
      <c r="B1048" s="1" t="s">
        <v>1197</v>
      </c>
      <c r="C1048" s="2">
        <v>7.5</v>
      </c>
      <c r="D1048" s="2">
        <v>0</v>
      </c>
      <c r="G1048" s="8"/>
    </row>
    <row r="1049" spans="1:7">
      <c r="A1049" s="56">
        <v>1064</v>
      </c>
      <c r="B1049" s="1" t="s">
        <v>1198</v>
      </c>
      <c r="C1049" s="2">
        <v>7.5</v>
      </c>
      <c r="D1049" s="2">
        <v>0</v>
      </c>
      <c r="G1049" s="8"/>
    </row>
    <row r="1050" spans="1:7">
      <c r="A1050" s="56">
        <v>1065</v>
      </c>
      <c r="B1050" s="56" t="s">
        <v>1199</v>
      </c>
      <c r="C1050" s="2">
        <v>7.5</v>
      </c>
      <c r="D1050" s="2">
        <v>0</v>
      </c>
      <c r="G1050" s="8"/>
    </row>
    <row r="1051" spans="1:7">
      <c r="A1051" s="56">
        <v>1066</v>
      </c>
      <c r="B1051" s="1" t="s">
        <v>1200</v>
      </c>
      <c r="C1051" s="2">
        <v>1</v>
      </c>
      <c r="D1051" s="2">
        <v>1</v>
      </c>
      <c r="G1051" s="8"/>
    </row>
    <row r="1052" spans="1:7">
      <c r="A1052" s="56">
        <v>1067</v>
      </c>
      <c r="B1052" s="1" t="s">
        <v>1201</v>
      </c>
      <c r="C1052" s="2">
        <v>2</v>
      </c>
      <c r="D1052" s="2">
        <v>0</v>
      </c>
      <c r="G1052" s="8"/>
    </row>
    <row r="1053" spans="1:7">
      <c r="A1053" s="56">
        <v>1068</v>
      </c>
      <c r="B1053" s="1" t="s">
        <v>1202</v>
      </c>
      <c r="C1053" s="2">
        <v>1</v>
      </c>
      <c r="D1053" s="2">
        <v>0</v>
      </c>
      <c r="G1053" s="8"/>
    </row>
    <row r="1054" spans="1:7">
      <c r="A1054" s="56">
        <v>1069</v>
      </c>
      <c r="B1054" s="1" t="s">
        <v>1203</v>
      </c>
      <c r="C1054" s="2">
        <v>1</v>
      </c>
      <c r="D1054" s="2">
        <v>0</v>
      </c>
      <c r="G1054" s="8"/>
    </row>
    <row r="1055" spans="1:7">
      <c r="A1055" s="56">
        <v>1070</v>
      </c>
      <c r="B1055" s="1" t="s">
        <v>1204</v>
      </c>
      <c r="C1055" s="2">
        <v>1</v>
      </c>
      <c r="D1055" s="2">
        <v>0</v>
      </c>
      <c r="G1055" s="8"/>
    </row>
    <row r="1056" spans="1:7">
      <c r="A1056" s="56">
        <v>1071</v>
      </c>
      <c r="B1056" s="1" t="s">
        <v>1205</v>
      </c>
      <c r="C1056" s="2">
        <v>2</v>
      </c>
      <c r="D1056" s="2">
        <v>0</v>
      </c>
      <c r="G1056" s="8"/>
    </row>
    <row r="1057" spans="1:7">
      <c r="A1057" s="56">
        <v>1072</v>
      </c>
      <c r="B1057" s="56" t="s">
        <v>1206</v>
      </c>
      <c r="C1057" s="2">
        <v>3</v>
      </c>
      <c r="D1057" s="2">
        <v>0</v>
      </c>
      <c r="G1057" s="8"/>
    </row>
    <row r="1058" spans="1:7">
      <c r="A1058" s="56">
        <v>1073</v>
      </c>
      <c r="B1058" s="1" t="s">
        <v>1207</v>
      </c>
      <c r="C1058" s="2">
        <v>2</v>
      </c>
      <c r="D1058" s="2">
        <v>0</v>
      </c>
      <c r="G1058" s="8"/>
    </row>
    <row r="1059" spans="1:7">
      <c r="A1059" s="56">
        <v>1074</v>
      </c>
      <c r="B1059" s="1" t="s">
        <v>1208</v>
      </c>
      <c r="C1059" s="2">
        <v>5</v>
      </c>
      <c r="D1059" s="2">
        <v>0</v>
      </c>
      <c r="G1059" s="8"/>
    </row>
    <row r="1060" spans="1:7">
      <c r="A1060" s="94">
        <v>1075</v>
      </c>
      <c r="B1060" s="95" t="s">
        <v>1209</v>
      </c>
      <c r="C1060" s="2">
        <v>2.2</v>
      </c>
      <c r="D1060" s="2">
        <v>0</v>
      </c>
      <c r="F1060" s="2" t="s">
        <v>1210</v>
      </c>
      <c r="G1060" s="8"/>
    </row>
    <row r="1061" spans="1:7">
      <c r="A1061" s="94">
        <v>1076</v>
      </c>
      <c r="B1061" s="95" t="s">
        <v>1211</v>
      </c>
      <c r="C1061" s="2">
        <v>2.5</v>
      </c>
      <c r="D1061" s="2">
        <v>0</v>
      </c>
      <c r="F1061" s="2" t="s">
        <v>1212</v>
      </c>
      <c r="G1061" s="8"/>
    </row>
    <row r="1062" spans="1:7">
      <c r="A1062" s="94">
        <v>1077</v>
      </c>
      <c r="B1062" s="95" t="s">
        <v>1213</v>
      </c>
      <c r="C1062" s="2">
        <v>5.5</v>
      </c>
      <c r="D1062" s="2">
        <v>0</v>
      </c>
      <c r="F1062" s="2" t="s">
        <v>1214</v>
      </c>
      <c r="G1062" s="8"/>
    </row>
    <row r="1063" spans="1:7">
      <c r="A1063" s="94">
        <v>1078</v>
      </c>
      <c r="B1063" s="95" t="s">
        <v>1215</v>
      </c>
      <c r="C1063" s="2">
        <v>1</v>
      </c>
      <c r="D1063" s="2">
        <v>0</v>
      </c>
      <c r="F1063" s="2" t="s">
        <v>1216</v>
      </c>
      <c r="G1063" s="8"/>
    </row>
    <row r="1064" spans="1:7">
      <c r="A1064" s="94">
        <v>1079</v>
      </c>
      <c r="B1064" s="95" t="s">
        <v>1215</v>
      </c>
      <c r="C1064" s="2">
        <v>1</v>
      </c>
      <c r="D1064" s="2">
        <v>0</v>
      </c>
      <c r="F1064" s="2" t="s">
        <v>1217</v>
      </c>
      <c r="G1064" s="8"/>
    </row>
    <row r="1065" spans="1:7">
      <c r="A1065" s="94">
        <v>1080</v>
      </c>
      <c r="B1065" s="95" t="s">
        <v>1218</v>
      </c>
      <c r="C1065" s="2">
        <v>3.5</v>
      </c>
      <c r="D1065" s="2">
        <v>0</v>
      </c>
      <c r="F1065" s="2" t="s">
        <v>1219</v>
      </c>
      <c r="G1065" s="8"/>
    </row>
    <row r="1066" spans="1:7">
      <c r="A1066" s="94">
        <v>1081</v>
      </c>
      <c r="B1066" s="95" t="s">
        <v>1220</v>
      </c>
      <c r="C1066" s="2">
        <v>1.6</v>
      </c>
      <c r="D1066" s="2">
        <v>0</v>
      </c>
      <c r="F1066" s="2" t="s">
        <v>1221</v>
      </c>
      <c r="G1066" s="8"/>
    </row>
    <row r="1067" spans="1:7">
      <c r="A1067" s="94">
        <v>1082</v>
      </c>
      <c r="B1067" s="95" t="s">
        <v>1222</v>
      </c>
      <c r="C1067" s="2">
        <v>1.6</v>
      </c>
      <c r="D1067" s="2">
        <v>0</v>
      </c>
      <c r="F1067" s="2" t="s">
        <v>1223</v>
      </c>
      <c r="G1067" s="8"/>
    </row>
    <row r="1068" spans="1:7">
      <c r="A1068" s="94">
        <v>1083</v>
      </c>
      <c r="B1068" s="95" t="s">
        <v>879</v>
      </c>
      <c r="C1068" s="2">
        <v>1</v>
      </c>
      <c r="D1068" s="2">
        <v>0</v>
      </c>
      <c r="F1068" s="2" t="s">
        <v>1224</v>
      </c>
      <c r="G1068" s="8"/>
    </row>
    <row r="1069" spans="1:7">
      <c r="A1069" s="94">
        <v>1084</v>
      </c>
      <c r="B1069" s="95" t="s">
        <v>879</v>
      </c>
      <c r="C1069" s="2">
        <v>1</v>
      </c>
      <c r="D1069" s="2">
        <v>0</v>
      </c>
      <c r="F1069" s="2" t="s">
        <v>1225</v>
      </c>
      <c r="G1069" s="8"/>
    </row>
    <row r="1070" spans="1:7">
      <c r="A1070" s="94">
        <v>1085</v>
      </c>
      <c r="B1070" s="95" t="s">
        <v>879</v>
      </c>
      <c r="C1070" s="2">
        <v>1</v>
      </c>
      <c r="D1070" s="2">
        <v>0</v>
      </c>
      <c r="F1070" s="2" t="s">
        <v>1226</v>
      </c>
      <c r="G1070" s="8"/>
    </row>
    <row r="1071" spans="1:7">
      <c r="A1071" s="94">
        <v>1086</v>
      </c>
      <c r="B1071" s="95" t="s">
        <v>449</v>
      </c>
      <c r="C1071" s="2">
        <v>1</v>
      </c>
      <c r="D1071" s="2">
        <v>1</v>
      </c>
      <c r="F1071" s="2" t="s">
        <v>1227</v>
      </c>
      <c r="G1071" s="8"/>
    </row>
    <row r="1072" spans="1:7">
      <c r="A1072" s="94">
        <v>1087</v>
      </c>
      <c r="B1072" s="95" t="s">
        <v>1228</v>
      </c>
      <c r="C1072" s="2">
        <v>1</v>
      </c>
      <c r="D1072" s="2">
        <v>0</v>
      </c>
      <c r="F1072" s="2" t="s">
        <v>1229</v>
      </c>
      <c r="G1072" s="8"/>
    </row>
    <row r="1073" spans="1:7">
      <c r="A1073" s="94">
        <v>1088</v>
      </c>
      <c r="B1073" s="95" t="s">
        <v>1230</v>
      </c>
      <c r="C1073" s="2">
        <v>2.5</v>
      </c>
      <c r="D1073" s="2">
        <v>0</v>
      </c>
      <c r="F1073" s="2" t="s">
        <v>1231</v>
      </c>
      <c r="G1073" s="8"/>
    </row>
    <row r="1074" spans="1:7">
      <c r="A1074" s="94">
        <v>1089</v>
      </c>
      <c r="B1074" s="95" t="s">
        <v>1232</v>
      </c>
      <c r="C1074" s="2">
        <v>3.5</v>
      </c>
      <c r="D1074" s="2">
        <v>0</v>
      </c>
      <c r="F1074" s="2" t="s">
        <v>1233</v>
      </c>
      <c r="G1074" s="8"/>
    </row>
    <row r="1075" spans="1:7">
      <c r="A1075" s="94">
        <v>1090</v>
      </c>
      <c r="B1075" s="95" t="s">
        <v>1234</v>
      </c>
      <c r="C1075" s="2">
        <v>1</v>
      </c>
      <c r="D1075" s="2">
        <v>0</v>
      </c>
      <c r="F1075" s="2" t="s">
        <v>1235</v>
      </c>
      <c r="G1075" s="8"/>
    </row>
    <row r="1076" spans="1:7">
      <c r="A1076" s="94">
        <v>1091</v>
      </c>
      <c r="B1076" s="95" t="s">
        <v>1234</v>
      </c>
      <c r="C1076" s="2">
        <v>1</v>
      </c>
      <c r="D1076" s="2">
        <v>0</v>
      </c>
      <c r="F1076" s="2" t="s">
        <v>1236</v>
      </c>
      <c r="G1076" s="8"/>
    </row>
    <row r="1077" spans="1:7">
      <c r="A1077" s="94">
        <v>1092</v>
      </c>
      <c r="B1077" s="95" t="s">
        <v>1234</v>
      </c>
      <c r="C1077" s="2">
        <v>1</v>
      </c>
      <c r="D1077" s="2">
        <v>0</v>
      </c>
      <c r="F1077" s="2" t="s">
        <v>1237</v>
      </c>
      <c r="G1077" s="8"/>
    </row>
    <row r="1078" spans="1:7">
      <c r="A1078" s="94">
        <v>1093</v>
      </c>
      <c r="B1078" s="95" t="s">
        <v>1238</v>
      </c>
      <c r="C1078" s="2">
        <v>2</v>
      </c>
      <c r="D1078" s="2">
        <v>0</v>
      </c>
      <c r="F1078" s="2" t="s">
        <v>1239</v>
      </c>
      <c r="G1078" s="8"/>
    </row>
    <row r="1079" spans="1:7">
      <c r="A1079" s="94">
        <v>1094</v>
      </c>
      <c r="B1079" s="95" t="s">
        <v>1240</v>
      </c>
      <c r="C1079" s="2">
        <v>2.5</v>
      </c>
      <c r="D1079" s="2">
        <v>0</v>
      </c>
      <c r="F1079" s="2" t="s">
        <v>1241</v>
      </c>
      <c r="G1079" s="8"/>
    </row>
    <row r="1080" spans="1:7">
      <c r="A1080" s="94">
        <v>1095</v>
      </c>
      <c r="B1080" s="95" t="s">
        <v>1242</v>
      </c>
      <c r="C1080" s="2">
        <v>6.2</v>
      </c>
      <c r="D1080" s="2">
        <v>0</v>
      </c>
      <c r="F1080" s="2" t="s">
        <v>1243</v>
      </c>
      <c r="G1080" s="8"/>
    </row>
    <row r="1081" spans="1:7">
      <c r="A1081" s="94">
        <v>1096</v>
      </c>
      <c r="B1081" s="95" t="s">
        <v>1244</v>
      </c>
      <c r="C1081" s="2">
        <v>1</v>
      </c>
      <c r="D1081" s="2">
        <v>0</v>
      </c>
      <c r="F1081" s="2" t="s">
        <v>1245</v>
      </c>
      <c r="G1081" s="8"/>
    </row>
    <row r="1082" spans="1:7">
      <c r="A1082" s="94">
        <v>1097</v>
      </c>
      <c r="B1082" s="95" t="s">
        <v>1244</v>
      </c>
      <c r="C1082" s="2">
        <v>1</v>
      </c>
      <c r="D1082" s="2">
        <v>0</v>
      </c>
      <c r="F1082" s="2" t="s">
        <v>1246</v>
      </c>
      <c r="G1082" s="8"/>
    </row>
    <row r="1083" spans="1:7">
      <c r="A1083" s="94">
        <v>1098</v>
      </c>
      <c r="B1083" s="95" t="s">
        <v>1244</v>
      </c>
      <c r="C1083" s="2">
        <v>1</v>
      </c>
      <c r="D1083" s="2">
        <v>0</v>
      </c>
      <c r="F1083" s="2" t="s">
        <v>1247</v>
      </c>
      <c r="G1083" s="8"/>
    </row>
    <row r="1084" spans="1:7">
      <c r="A1084" s="94">
        <v>1099</v>
      </c>
      <c r="B1084" s="95" t="s">
        <v>1248</v>
      </c>
      <c r="C1084" s="2">
        <v>1</v>
      </c>
      <c r="D1084" s="2">
        <v>1</v>
      </c>
      <c r="F1084" s="2" t="s">
        <v>1249</v>
      </c>
      <c r="G1084" s="8"/>
    </row>
    <row r="1085" spans="1:7">
      <c r="A1085" s="94">
        <v>1100</v>
      </c>
      <c r="B1085" s="95" t="s">
        <v>1250</v>
      </c>
      <c r="C1085" s="70">
        <v>5</v>
      </c>
      <c r="D1085" s="2">
        <v>0</v>
      </c>
      <c r="F1085" s="2" t="s">
        <v>1251</v>
      </c>
      <c r="G1085" s="8"/>
    </row>
    <row r="1086" spans="1:7">
      <c r="A1086" s="94">
        <v>1101</v>
      </c>
      <c r="B1086" s="95" t="s">
        <v>1252</v>
      </c>
      <c r="C1086" s="70">
        <v>5.5</v>
      </c>
      <c r="D1086" s="2">
        <v>0</v>
      </c>
      <c r="F1086" s="96" t="s">
        <v>1253</v>
      </c>
      <c r="G1086" s="8"/>
    </row>
    <row r="1087" spans="1:7">
      <c r="A1087" s="94">
        <v>1102</v>
      </c>
      <c r="B1087" s="95" t="s">
        <v>1254</v>
      </c>
      <c r="C1087" s="70">
        <v>5.5</v>
      </c>
      <c r="D1087" s="2">
        <v>0</v>
      </c>
      <c r="F1087" s="96" t="s">
        <v>1255</v>
      </c>
      <c r="G1087" s="8"/>
    </row>
    <row r="1088" spans="1:7">
      <c r="A1088" s="94">
        <v>1103</v>
      </c>
      <c r="B1088" s="95" t="s">
        <v>1256</v>
      </c>
      <c r="C1088" s="2">
        <v>5.66666666666667</v>
      </c>
      <c r="D1088" s="2">
        <v>0</v>
      </c>
      <c r="F1088" s="96" t="s">
        <v>1257</v>
      </c>
      <c r="G1088" s="8"/>
    </row>
    <row r="1089" spans="1:7">
      <c r="A1089" s="94">
        <v>1104</v>
      </c>
      <c r="B1089" s="95" t="s">
        <v>1258</v>
      </c>
      <c r="C1089" s="2">
        <v>7.53333333333333</v>
      </c>
      <c r="D1089" s="2">
        <v>0</v>
      </c>
      <c r="F1089" s="96" t="s">
        <v>1259</v>
      </c>
      <c r="G1089" s="8"/>
    </row>
    <row r="1090" spans="1:7">
      <c r="A1090" s="94">
        <v>1105</v>
      </c>
      <c r="B1090" s="95" t="s">
        <v>1260</v>
      </c>
      <c r="C1090" s="2">
        <v>13.9666666666667</v>
      </c>
      <c r="D1090" s="2">
        <v>0</v>
      </c>
      <c r="F1090" s="96" t="s">
        <v>1261</v>
      </c>
      <c r="G1090" s="8"/>
    </row>
    <row r="1091" spans="1:7">
      <c r="A1091" s="56">
        <v>1106</v>
      </c>
      <c r="B1091" s="56" t="s">
        <v>1262</v>
      </c>
      <c r="C1091" s="85">
        <v>5.5</v>
      </c>
      <c r="D1091" s="2">
        <v>0</v>
      </c>
      <c r="F1091" s="8"/>
      <c r="G1091" s="8"/>
    </row>
    <row r="1092" spans="1:7">
      <c r="A1092" s="56">
        <v>1107</v>
      </c>
      <c r="B1092" s="56" t="s">
        <v>1263</v>
      </c>
      <c r="C1092" s="97">
        <v>2.36</v>
      </c>
      <c r="D1092" s="2">
        <v>0</v>
      </c>
      <c r="F1092" s="8"/>
      <c r="G1092" s="8"/>
    </row>
    <row r="1093" spans="1:7">
      <c r="A1093" s="56">
        <v>1108</v>
      </c>
      <c r="B1093" s="56" t="s">
        <v>1264</v>
      </c>
      <c r="C1093" s="2">
        <v>3</v>
      </c>
      <c r="D1093" s="2">
        <v>0</v>
      </c>
      <c r="F1093" s="8"/>
      <c r="G1093" s="8"/>
    </row>
    <row r="1094" spans="1:7">
      <c r="A1094" s="56">
        <v>1110</v>
      </c>
      <c r="B1094" s="56" t="s">
        <v>1265</v>
      </c>
      <c r="C1094" s="2">
        <v>1</v>
      </c>
      <c r="D1094" s="2">
        <v>1</v>
      </c>
      <c r="F1094" s="8"/>
      <c r="G1094" s="8"/>
    </row>
    <row r="1095" spans="1:7">
      <c r="A1095" s="56">
        <v>1111</v>
      </c>
      <c r="B1095" s="56" t="s">
        <v>1266</v>
      </c>
      <c r="C1095" s="85">
        <v>10.3333333333333</v>
      </c>
      <c r="D1095" s="2">
        <v>0</v>
      </c>
      <c r="F1095" s="8"/>
      <c r="G1095" s="8"/>
    </row>
    <row r="1096" spans="1:7">
      <c r="A1096" s="56">
        <v>1112</v>
      </c>
      <c r="B1096" s="56" t="s">
        <v>1267</v>
      </c>
      <c r="C1096" s="85">
        <v>5.5</v>
      </c>
      <c r="D1096" s="2">
        <v>0</v>
      </c>
      <c r="F1096" s="8"/>
      <c r="G1096" s="8"/>
    </row>
    <row r="1097" spans="1:7">
      <c r="A1097" s="56">
        <v>1113</v>
      </c>
      <c r="B1097" s="56" t="s">
        <v>1268</v>
      </c>
      <c r="C1097" s="85">
        <v>1.8</v>
      </c>
      <c r="D1097" s="2">
        <v>0</v>
      </c>
      <c r="F1097" s="8"/>
      <c r="G1097" s="8"/>
    </row>
    <row r="1098" spans="1:7">
      <c r="A1098" s="56">
        <v>1114</v>
      </c>
      <c r="B1098" s="56" t="s">
        <v>1269</v>
      </c>
      <c r="C1098" s="2">
        <v>1</v>
      </c>
      <c r="D1098" s="2">
        <v>1</v>
      </c>
      <c r="F1098" s="8"/>
      <c r="G1098" s="8"/>
    </row>
    <row r="1099" spans="1:7">
      <c r="A1099" s="56">
        <v>1115</v>
      </c>
      <c r="B1099" s="56" t="s">
        <v>1270</v>
      </c>
      <c r="C1099" s="97">
        <v>2.7</v>
      </c>
      <c r="D1099" s="2">
        <v>0</v>
      </c>
      <c r="F1099" s="8"/>
      <c r="G1099" s="8"/>
    </row>
    <row r="1100" spans="1:7">
      <c r="A1100" s="56">
        <v>1116</v>
      </c>
      <c r="B1100" s="56" t="s">
        <v>1271</v>
      </c>
      <c r="C1100" s="85">
        <v>8.5</v>
      </c>
      <c r="D1100" s="2">
        <v>0</v>
      </c>
      <c r="F1100" s="8"/>
      <c r="G1100" s="8"/>
    </row>
    <row r="1101" spans="1:7">
      <c r="A1101" s="56">
        <v>1117</v>
      </c>
      <c r="B1101" s="56" t="s">
        <v>1272</v>
      </c>
      <c r="C1101" s="85">
        <v>8</v>
      </c>
      <c r="D1101" s="2">
        <v>0</v>
      </c>
      <c r="F1101" s="8"/>
      <c r="G1101" s="8"/>
    </row>
    <row r="1102" spans="1:7">
      <c r="A1102" s="56">
        <v>1118</v>
      </c>
      <c r="B1102" s="56" t="s">
        <v>1273</v>
      </c>
      <c r="C1102" s="2">
        <v>10.3333333333333</v>
      </c>
      <c r="D1102" s="2">
        <v>0</v>
      </c>
      <c r="F1102" s="8"/>
      <c r="G1102" s="8"/>
    </row>
    <row r="1103" spans="1:7">
      <c r="A1103" s="56">
        <v>1119</v>
      </c>
      <c r="B1103" s="56" t="s">
        <v>1274</v>
      </c>
      <c r="C1103" s="85">
        <v>2.8</v>
      </c>
      <c r="D1103" s="2">
        <v>0</v>
      </c>
      <c r="F1103" s="8"/>
      <c r="G1103" s="8"/>
    </row>
    <row r="1104" spans="1:7">
      <c r="A1104" s="56">
        <v>1120</v>
      </c>
      <c r="B1104" s="56" t="s">
        <v>1275</v>
      </c>
      <c r="C1104" s="85">
        <v>3.2</v>
      </c>
      <c r="D1104" s="2">
        <v>0</v>
      </c>
      <c r="F1104" s="8"/>
      <c r="G1104" s="8"/>
    </row>
    <row r="1105" spans="1:6">
      <c r="A1105" s="56">
        <v>1121</v>
      </c>
      <c r="B1105" s="56" t="s">
        <v>1276</v>
      </c>
      <c r="C1105" s="85">
        <v>3.4</v>
      </c>
      <c r="D1105" s="2">
        <v>0</v>
      </c>
      <c r="F1105" s="8"/>
    </row>
    <row r="1106" spans="1:6">
      <c r="A1106" s="56">
        <v>1122</v>
      </c>
      <c r="B1106" s="56" t="s">
        <v>1277</v>
      </c>
      <c r="C1106" s="2">
        <v>6.33333333333333</v>
      </c>
      <c r="D1106" s="2">
        <v>0</v>
      </c>
      <c r="F1106" s="8"/>
    </row>
    <row r="1107" spans="1:6">
      <c r="A1107" s="56">
        <v>1123</v>
      </c>
      <c r="B1107" s="56" t="s">
        <v>1278</v>
      </c>
      <c r="C1107" s="85">
        <v>4.2</v>
      </c>
      <c r="D1107" s="2">
        <v>0</v>
      </c>
      <c r="F1107" s="8"/>
    </row>
    <row r="1108" spans="1:7">
      <c r="A1108" s="56">
        <v>1124</v>
      </c>
      <c r="B1108" s="56" t="s">
        <v>1279</v>
      </c>
      <c r="C1108" s="85">
        <v>5.6</v>
      </c>
      <c r="D1108" s="2">
        <v>0</v>
      </c>
      <c r="F1108" s="8"/>
      <c r="G1108" s="8"/>
    </row>
    <row r="1109" spans="1:6">
      <c r="A1109" s="56">
        <v>1125</v>
      </c>
      <c r="B1109" s="56" t="s">
        <v>1280</v>
      </c>
      <c r="C1109" s="85">
        <v>11.4</v>
      </c>
      <c r="D1109" s="2">
        <v>0</v>
      </c>
      <c r="F1109" s="8"/>
    </row>
    <row r="1110" spans="1:7">
      <c r="A1110" s="56">
        <v>1126</v>
      </c>
      <c r="B1110" s="56" t="s">
        <v>1281</v>
      </c>
      <c r="C1110" s="85">
        <v>9</v>
      </c>
      <c r="D1110" s="2">
        <v>0</v>
      </c>
      <c r="F1110" s="8"/>
      <c r="G1110" s="8"/>
    </row>
    <row r="1111" spans="1:7">
      <c r="A1111" s="56">
        <v>1127</v>
      </c>
      <c r="B1111" s="87" t="s">
        <v>1282</v>
      </c>
      <c r="C1111" s="2">
        <v>1</v>
      </c>
      <c r="D1111" s="2">
        <v>0</v>
      </c>
      <c r="F1111" s="8"/>
      <c r="G1111" s="8"/>
    </row>
    <row r="1112" spans="1:7">
      <c r="A1112" s="56">
        <v>1128</v>
      </c>
      <c r="B1112" s="87" t="s">
        <v>1283</v>
      </c>
      <c r="C1112" s="2">
        <v>2.1</v>
      </c>
      <c r="D1112" s="2">
        <v>0</v>
      </c>
      <c r="F1112" s="8"/>
      <c r="G1112" s="8"/>
    </row>
    <row r="1113" spans="1:7">
      <c r="A1113" s="56">
        <v>1129</v>
      </c>
      <c r="B1113" s="87" t="s">
        <v>1284</v>
      </c>
      <c r="C1113" s="2">
        <v>1</v>
      </c>
      <c r="D1113" s="2">
        <v>0</v>
      </c>
      <c r="F1113" s="8"/>
      <c r="G1113" s="8"/>
    </row>
    <row r="1114" spans="1:7">
      <c r="A1114" s="56">
        <v>1130</v>
      </c>
      <c r="B1114" s="87" t="s">
        <v>1285</v>
      </c>
      <c r="C1114" s="2">
        <v>1</v>
      </c>
      <c r="D1114" s="2">
        <v>0</v>
      </c>
      <c r="G1114" s="8"/>
    </row>
    <row r="1115" spans="1:7">
      <c r="A1115" s="56">
        <v>1131</v>
      </c>
      <c r="B1115" s="1" t="s">
        <v>1286</v>
      </c>
      <c r="C1115" s="2">
        <v>0.8</v>
      </c>
      <c r="D1115" s="2">
        <v>0</v>
      </c>
      <c r="G1115" s="8"/>
    </row>
    <row r="1116" spans="1:7">
      <c r="A1116" s="56">
        <v>1132</v>
      </c>
      <c r="B1116" s="1" t="s">
        <v>1287</v>
      </c>
      <c r="C1116" s="2">
        <v>1</v>
      </c>
      <c r="D1116" s="2">
        <v>1</v>
      </c>
      <c r="G1116" s="8"/>
    </row>
    <row r="1117" spans="1:7">
      <c r="A1117" s="56">
        <v>1133</v>
      </c>
      <c r="B1117" s="1" t="s">
        <v>1288</v>
      </c>
      <c r="C1117" s="2">
        <v>10</v>
      </c>
      <c r="D1117" s="2">
        <v>0</v>
      </c>
      <c r="F1117" s="2" t="s">
        <v>1289</v>
      </c>
      <c r="G1117" s="8"/>
    </row>
    <row r="1118" spans="1:7">
      <c r="A1118" s="56">
        <v>1134</v>
      </c>
      <c r="B1118" s="1" t="s">
        <v>1290</v>
      </c>
      <c r="C1118" s="2">
        <v>1</v>
      </c>
      <c r="D1118" s="2">
        <v>1</v>
      </c>
      <c r="F1118" s="2" t="s">
        <v>1291</v>
      </c>
      <c r="G1118" s="8"/>
    </row>
    <row r="1119" spans="1:7">
      <c r="A1119" s="56">
        <v>1135</v>
      </c>
      <c r="B1119" s="1" t="s">
        <v>1292</v>
      </c>
      <c r="C1119" s="2">
        <v>1</v>
      </c>
      <c r="D1119" s="2">
        <v>0</v>
      </c>
      <c r="F1119" s="2" t="s">
        <v>1293</v>
      </c>
      <c r="G1119" s="8"/>
    </row>
    <row r="1120" spans="1:6">
      <c r="A1120" s="56">
        <v>1136</v>
      </c>
      <c r="B1120" s="1" t="s">
        <v>1294</v>
      </c>
      <c r="C1120" s="2">
        <v>2.833333333</v>
      </c>
      <c r="D1120" s="2">
        <v>0</v>
      </c>
      <c r="F1120" s="2" t="s">
        <v>1295</v>
      </c>
    </row>
    <row r="1121" spans="1:7">
      <c r="A1121" s="56">
        <v>1137</v>
      </c>
      <c r="B1121" s="87" t="s">
        <v>1296</v>
      </c>
      <c r="C1121" s="2">
        <v>1</v>
      </c>
      <c r="D1121" s="2">
        <v>1</v>
      </c>
      <c r="G1121" s="8"/>
    </row>
    <row r="1122" spans="1:7">
      <c r="A1122" s="56">
        <v>1138</v>
      </c>
      <c r="B1122" s="1" t="s">
        <v>1297</v>
      </c>
      <c r="C1122" s="2">
        <v>1</v>
      </c>
      <c r="D1122" s="2">
        <v>1</v>
      </c>
      <c r="G1122" s="8"/>
    </row>
    <row r="1123" spans="1:6">
      <c r="A1123" s="56">
        <v>1139</v>
      </c>
      <c r="B1123" s="1" t="s">
        <v>1298</v>
      </c>
      <c r="C1123" s="2">
        <v>2</v>
      </c>
      <c r="D1123" s="2">
        <v>0</v>
      </c>
      <c r="F1123" s="2" t="s">
        <v>1299</v>
      </c>
    </row>
    <row r="1124" spans="1:4">
      <c r="A1124" s="56">
        <v>1140</v>
      </c>
      <c r="B1124" s="1" t="s">
        <v>1300</v>
      </c>
      <c r="C1124" s="2">
        <v>1</v>
      </c>
      <c r="D1124" s="2">
        <v>1</v>
      </c>
    </row>
    <row r="1125" spans="1:6">
      <c r="A1125" s="56">
        <v>1141</v>
      </c>
      <c r="B1125" s="1" t="s">
        <v>1301</v>
      </c>
      <c r="C1125" s="2">
        <v>1</v>
      </c>
      <c r="D1125" s="2">
        <v>0</v>
      </c>
      <c r="F1125" s="2" t="s">
        <v>1302</v>
      </c>
    </row>
    <row r="1126" spans="1:6">
      <c r="A1126" s="56">
        <v>1142</v>
      </c>
      <c r="B1126" s="1" t="s">
        <v>1303</v>
      </c>
      <c r="C1126" s="2">
        <v>1</v>
      </c>
      <c r="D1126" s="2">
        <v>1</v>
      </c>
      <c r="F1126" s="2" t="s">
        <v>1304</v>
      </c>
    </row>
    <row r="1127" spans="1:4">
      <c r="A1127" s="56">
        <v>1143</v>
      </c>
      <c r="B1127" s="1" t="s">
        <v>1305</v>
      </c>
      <c r="C1127" s="2">
        <v>1</v>
      </c>
      <c r="D1127" s="2">
        <v>0</v>
      </c>
    </row>
    <row r="1128" spans="1:4">
      <c r="A1128" s="56">
        <v>1144</v>
      </c>
      <c r="B1128" s="1" t="s">
        <v>1306</v>
      </c>
      <c r="C1128" s="2">
        <v>3</v>
      </c>
      <c r="D1128" s="2">
        <v>0</v>
      </c>
    </row>
    <row r="1129" spans="1:4">
      <c r="A1129" s="56">
        <v>1145</v>
      </c>
      <c r="B1129" s="1" t="s">
        <v>1307</v>
      </c>
      <c r="C1129" s="2">
        <v>1</v>
      </c>
      <c r="D1129" s="2">
        <v>0</v>
      </c>
    </row>
    <row r="1130" spans="1:4">
      <c r="A1130" s="56">
        <v>1146</v>
      </c>
      <c r="B1130" s="1" t="s">
        <v>1308</v>
      </c>
      <c r="C1130" s="2">
        <v>2</v>
      </c>
      <c r="D1130" s="2">
        <v>0</v>
      </c>
    </row>
    <row r="1131" spans="1:4">
      <c r="A1131" s="56">
        <v>1147</v>
      </c>
      <c r="B1131" s="1" t="s">
        <v>1309</v>
      </c>
      <c r="C1131" s="2">
        <v>2</v>
      </c>
      <c r="D1131" s="2">
        <v>0</v>
      </c>
    </row>
    <row r="1132" spans="1:4">
      <c r="A1132" s="56">
        <v>1148</v>
      </c>
      <c r="B1132" s="1" t="s">
        <v>1310</v>
      </c>
      <c r="C1132" s="2">
        <v>1</v>
      </c>
      <c r="D1132" s="2">
        <v>0</v>
      </c>
    </row>
    <row r="1133" spans="1:4">
      <c r="A1133" s="56">
        <v>1149</v>
      </c>
      <c r="B1133" s="1" t="s">
        <v>1311</v>
      </c>
      <c r="C1133" s="2">
        <v>1</v>
      </c>
      <c r="D1133" s="2">
        <v>0</v>
      </c>
    </row>
    <row r="1134" spans="1:4">
      <c r="A1134" s="56">
        <v>1150</v>
      </c>
      <c r="B1134" s="1" t="s">
        <v>1312</v>
      </c>
      <c r="C1134" s="2">
        <v>1</v>
      </c>
      <c r="D1134" s="2">
        <v>0</v>
      </c>
    </row>
    <row r="1135" spans="1:5">
      <c r="A1135" s="56">
        <v>1151</v>
      </c>
      <c r="B1135" s="1" t="s">
        <v>1313</v>
      </c>
      <c r="C1135" s="2">
        <v>3</v>
      </c>
      <c r="D1135" s="2">
        <v>0</v>
      </c>
      <c r="E1135" s="2" t="s">
        <v>1314</v>
      </c>
    </row>
    <row r="1136" spans="1:6">
      <c r="A1136" s="56">
        <v>1152</v>
      </c>
      <c r="B1136" s="1" t="s">
        <v>1315</v>
      </c>
      <c r="C1136" s="2">
        <v>1</v>
      </c>
      <c r="D1136" s="2">
        <v>1</v>
      </c>
      <c r="F1136" s="2" t="s">
        <v>1316</v>
      </c>
    </row>
    <row r="1137" spans="1:4">
      <c r="A1137" s="56">
        <v>1153</v>
      </c>
      <c r="B1137" s="1" t="s">
        <v>1317</v>
      </c>
      <c r="C1137" s="2">
        <v>2.4</v>
      </c>
      <c r="D1137" s="2">
        <v>0</v>
      </c>
    </row>
    <row r="1138" spans="1:4">
      <c r="A1138" s="56">
        <v>1154</v>
      </c>
      <c r="B1138" s="1" t="s">
        <v>1318</v>
      </c>
      <c r="C1138" s="2">
        <v>3</v>
      </c>
      <c r="D1138" s="2">
        <v>0</v>
      </c>
    </row>
    <row r="1139" spans="1:4">
      <c r="A1139" s="56">
        <v>1155</v>
      </c>
      <c r="B1139" s="1" t="s">
        <v>1319</v>
      </c>
      <c r="C1139" s="2">
        <v>3.8</v>
      </c>
      <c r="D1139" s="2">
        <v>0</v>
      </c>
    </row>
    <row r="1140" spans="1:4">
      <c r="A1140" s="56">
        <v>1156</v>
      </c>
      <c r="B1140" s="1" t="s">
        <v>1320</v>
      </c>
      <c r="C1140" s="2">
        <v>4</v>
      </c>
      <c r="D1140" s="2">
        <v>0</v>
      </c>
    </row>
    <row r="1141" spans="1:4">
      <c r="A1141" s="56">
        <v>1157</v>
      </c>
      <c r="B1141" s="1" t="s">
        <v>1321</v>
      </c>
      <c r="C1141" s="2">
        <v>4</v>
      </c>
      <c r="D1141" s="2">
        <v>0</v>
      </c>
    </row>
    <row r="1142" spans="1:4">
      <c r="A1142" s="56">
        <v>1158</v>
      </c>
      <c r="B1142" s="1" t="s">
        <v>1322</v>
      </c>
      <c r="C1142" s="2">
        <v>4</v>
      </c>
      <c r="D1142" s="2">
        <v>0</v>
      </c>
    </row>
    <row r="1143" spans="1:4">
      <c r="A1143" s="56">
        <v>1159</v>
      </c>
      <c r="B1143" s="1" t="s">
        <v>1323</v>
      </c>
      <c r="C1143" s="2">
        <v>4</v>
      </c>
      <c r="D1143" s="2">
        <v>0</v>
      </c>
    </row>
    <row r="1144" spans="1:6">
      <c r="A1144" s="56">
        <v>1160</v>
      </c>
      <c r="B1144" s="1" t="s">
        <v>1324</v>
      </c>
      <c r="C1144" s="2">
        <v>5</v>
      </c>
      <c r="D1144" s="2">
        <v>0</v>
      </c>
      <c r="F1144" s="2" t="s">
        <v>1325</v>
      </c>
    </row>
    <row r="1145" spans="1:6">
      <c r="A1145" s="56">
        <v>1161</v>
      </c>
      <c r="B1145" s="1" t="s">
        <v>1326</v>
      </c>
      <c r="C1145" s="2">
        <v>5</v>
      </c>
      <c r="D1145" s="2">
        <v>0</v>
      </c>
      <c r="F1145" s="2" t="s">
        <v>1327</v>
      </c>
    </row>
    <row r="1146" spans="1:4">
      <c r="A1146" s="56">
        <v>1162</v>
      </c>
      <c r="B1146" s="1" t="s">
        <v>1328</v>
      </c>
      <c r="C1146" s="2">
        <v>0.6</v>
      </c>
      <c r="D1146" s="2">
        <v>0</v>
      </c>
    </row>
    <row r="1147" spans="1:4">
      <c r="A1147" s="56">
        <v>1163</v>
      </c>
      <c r="B1147" s="1" t="s">
        <v>1329</v>
      </c>
      <c r="C1147" s="2">
        <v>0.85</v>
      </c>
      <c r="D1147" s="2">
        <v>0</v>
      </c>
    </row>
    <row r="1148" spans="1:4">
      <c r="A1148" s="56">
        <v>1164</v>
      </c>
      <c r="B1148" s="1" t="s">
        <v>1330</v>
      </c>
      <c r="C1148" s="2">
        <v>2</v>
      </c>
      <c r="D1148" s="2">
        <v>0</v>
      </c>
    </row>
    <row r="1149" spans="1:4">
      <c r="A1149" s="56">
        <v>1165</v>
      </c>
      <c r="B1149" s="1" t="s">
        <v>1331</v>
      </c>
      <c r="C1149" s="2">
        <v>3</v>
      </c>
      <c r="D1149" s="2">
        <v>0</v>
      </c>
    </row>
    <row r="1150" spans="1:4">
      <c r="A1150" s="56">
        <v>1166</v>
      </c>
      <c r="B1150" s="1" t="s">
        <v>1332</v>
      </c>
      <c r="C1150" s="2">
        <v>2</v>
      </c>
      <c r="D1150" s="2">
        <v>0</v>
      </c>
    </row>
    <row r="1151" spans="1:4">
      <c r="A1151" s="56">
        <v>1167</v>
      </c>
      <c r="B1151" s="1" t="s">
        <v>1333</v>
      </c>
      <c r="C1151" s="2">
        <v>3</v>
      </c>
      <c r="D1151" s="2">
        <v>0</v>
      </c>
    </row>
    <row r="1152" spans="1:4">
      <c r="A1152" s="56">
        <v>1168</v>
      </c>
      <c r="B1152" s="1" t="s">
        <v>1334</v>
      </c>
      <c r="C1152" s="2">
        <v>2.5</v>
      </c>
      <c r="D1152" s="2">
        <v>0</v>
      </c>
    </row>
    <row r="1153" spans="1:4">
      <c r="A1153" s="56">
        <v>1169</v>
      </c>
      <c r="B1153" s="1" t="s">
        <v>1335</v>
      </c>
      <c r="C1153" s="2">
        <v>2.5</v>
      </c>
      <c r="D1153" s="2">
        <v>0</v>
      </c>
    </row>
    <row r="1154" spans="1:4">
      <c r="A1154" s="56">
        <v>1170</v>
      </c>
      <c r="B1154" s="1" t="s">
        <v>1336</v>
      </c>
      <c r="C1154" s="2">
        <v>10</v>
      </c>
      <c r="D1154" s="2">
        <v>0</v>
      </c>
    </row>
    <row r="1155" spans="1:6">
      <c r="A1155" s="56">
        <v>1171</v>
      </c>
      <c r="B1155" s="1" t="s">
        <v>1337</v>
      </c>
      <c r="C1155" s="2">
        <v>1</v>
      </c>
      <c r="D1155" s="2">
        <v>0</v>
      </c>
      <c r="F1155" s="2" t="s">
        <v>1338</v>
      </c>
    </row>
    <row r="1156" spans="1:4">
      <c r="A1156" s="56">
        <v>1172</v>
      </c>
      <c r="B1156" s="1" t="s">
        <v>1339</v>
      </c>
      <c r="C1156" s="2">
        <v>4.1</v>
      </c>
      <c r="D1156" s="2">
        <v>0</v>
      </c>
    </row>
    <row r="1157" spans="1:4">
      <c r="A1157" s="56">
        <v>1173</v>
      </c>
      <c r="B1157" s="1" t="s">
        <v>1340</v>
      </c>
      <c r="C1157" s="2">
        <v>0.5</v>
      </c>
      <c r="D1157" s="2">
        <v>0</v>
      </c>
    </row>
    <row r="1158" spans="1:4">
      <c r="A1158" s="56">
        <v>1174</v>
      </c>
      <c r="B1158" s="1" t="s">
        <v>1341</v>
      </c>
      <c r="C1158" s="2">
        <v>0.5</v>
      </c>
      <c r="D1158" s="2">
        <v>0</v>
      </c>
    </row>
    <row r="1159" spans="1:4">
      <c r="A1159" s="56">
        <v>1175</v>
      </c>
      <c r="B1159" s="1" t="s">
        <v>1342</v>
      </c>
      <c r="C1159" s="2">
        <v>5</v>
      </c>
      <c r="D1159" s="2">
        <v>0</v>
      </c>
    </row>
    <row r="1160" spans="1:4">
      <c r="A1160" s="56">
        <v>1176</v>
      </c>
      <c r="B1160" s="1" t="s">
        <v>1343</v>
      </c>
      <c r="C1160" s="2">
        <v>7.66666666666667</v>
      </c>
      <c r="D1160" s="2">
        <v>0</v>
      </c>
    </row>
    <row r="1161" spans="1:4">
      <c r="A1161" s="56">
        <v>1177</v>
      </c>
      <c r="B1161" s="1" t="s">
        <v>1344</v>
      </c>
      <c r="C1161" s="2">
        <v>7.66666666666667</v>
      </c>
      <c r="D1161" s="2">
        <v>0</v>
      </c>
    </row>
    <row r="1162" spans="1:4">
      <c r="A1162" s="56">
        <v>1178</v>
      </c>
      <c r="B1162" s="1" t="s">
        <v>1345</v>
      </c>
      <c r="C1162" s="2">
        <v>1.7</v>
      </c>
      <c r="D1162" s="2">
        <v>0</v>
      </c>
    </row>
    <row r="1163" spans="1:4">
      <c r="A1163" s="56">
        <v>1179</v>
      </c>
      <c r="B1163" s="1" t="s">
        <v>1346</v>
      </c>
      <c r="C1163" s="2">
        <v>1</v>
      </c>
      <c r="D1163" s="2">
        <v>1</v>
      </c>
    </row>
    <row r="1164" spans="1:4">
      <c r="A1164" s="56">
        <v>1180</v>
      </c>
      <c r="B1164" s="1" t="s">
        <v>1347</v>
      </c>
      <c r="C1164" s="2">
        <v>3.5</v>
      </c>
      <c r="D1164" s="2">
        <v>1</v>
      </c>
    </row>
    <row r="1165" spans="1:4">
      <c r="A1165" s="56">
        <v>1181</v>
      </c>
      <c r="B1165" s="1" t="s">
        <v>1348</v>
      </c>
      <c r="C1165" s="2">
        <v>5.3</v>
      </c>
      <c r="D1165" s="2">
        <v>0</v>
      </c>
    </row>
    <row r="1166" spans="1:4">
      <c r="A1166" s="56">
        <v>1182</v>
      </c>
      <c r="B1166" s="1" t="s">
        <v>1349</v>
      </c>
      <c r="C1166" s="2">
        <v>2.5</v>
      </c>
      <c r="D1166" s="2">
        <v>0</v>
      </c>
    </row>
    <row r="1167" spans="1:4">
      <c r="A1167" s="56">
        <v>1183</v>
      </c>
      <c r="B1167" s="1" t="s">
        <v>1350</v>
      </c>
      <c r="C1167" s="2">
        <v>1.3</v>
      </c>
      <c r="D1167" s="2">
        <v>0</v>
      </c>
    </row>
    <row r="1168" spans="1:4">
      <c r="A1168" s="56">
        <v>1184</v>
      </c>
      <c r="B1168" s="1" t="s">
        <v>1351</v>
      </c>
      <c r="C1168" s="2">
        <v>2</v>
      </c>
      <c r="D1168" s="2">
        <v>0</v>
      </c>
    </row>
    <row r="1169" spans="1:6">
      <c r="A1169" s="56">
        <v>1185</v>
      </c>
      <c r="B1169" s="1" t="s">
        <v>1352</v>
      </c>
      <c r="C1169" s="2">
        <v>5</v>
      </c>
      <c r="D1169" s="2">
        <v>0</v>
      </c>
      <c r="F1169" s="2" t="s">
        <v>1353</v>
      </c>
    </row>
    <row r="1170" spans="1:6">
      <c r="A1170" s="56">
        <v>1187</v>
      </c>
      <c r="B1170" s="1" t="s">
        <v>1354</v>
      </c>
      <c r="C1170" s="2">
        <v>6</v>
      </c>
      <c r="D1170" s="2">
        <v>0</v>
      </c>
      <c r="F1170" s="2" t="s">
        <v>1355</v>
      </c>
    </row>
    <row r="1171" spans="1:6">
      <c r="A1171" s="56">
        <v>1188</v>
      </c>
      <c r="B1171" s="1" t="s">
        <v>1356</v>
      </c>
      <c r="C1171" s="2">
        <v>12</v>
      </c>
      <c r="D1171" s="2">
        <v>0</v>
      </c>
      <c r="F1171" s="2" t="s">
        <v>1357</v>
      </c>
    </row>
    <row r="1172" spans="1:6">
      <c r="A1172" s="56">
        <v>1189</v>
      </c>
      <c r="B1172" s="1" t="s">
        <v>1358</v>
      </c>
      <c r="C1172" s="2">
        <v>2</v>
      </c>
      <c r="D1172" s="2">
        <v>0</v>
      </c>
      <c r="F1172" s="2" t="s">
        <v>1359</v>
      </c>
    </row>
    <row r="1173" spans="1:6">
      <c r="A1173" s="56">
        <v>1190</v>
      </c>
      <c r="B1173" s="1" t="s">
        <v>1360</v>
      </c>
      <c r="C1173" s="2">
        <f>251/30</f>
        <v>8.36666666666667</v>
      </c>
      <c r="D1173" s="2">
        <v>0</v>
      </c>
      <c r="F1173" s="2" t="s">
        <v>1361</v>
      </c>
    </row>
    <row r="1174" spans="1:6">
      <c r="A1174" s="56">
        <v>1191</v>
      </c>
      <c r="B1174" s="1" t="s">
        <v>1362</v>
      </c>
      <c r="C1174" s="2">
        <v>1.3</v>
      </c>
      <c r="D1174" s="2">
        <v>0</v>
      </c>
      <c r="F1174" s="2" t="s">
        <v>1363</v>
      </c>
    </row>
    <row r="1175" spans="1:6">
      <c r="A1175" s="56">
        <v>1192</v>
      </c>
      <c r="B1175" s="1" t="s">
        <v>1364</v>
      </c>
      <c r="C1175" s="2">
        <v>4</v>
      </c>
      <c r="D1175" s="2">
        <v>0</v>
      </c>
      <c r="F1175" s="2" t="s">
        <v>1365</v>
      </c>
    </row>
    <row r="1176" spans="1:6">
      <c r="A1176" s="56">
        <v>1193</v>
      </c>
      <c r="B1176" s="1" t="s">
        <v>1366</v>
      </c>
      <c r="C1176" s="2">
        <v>3.4</v>
      </c>
      <c r="D1176" s="2">
        <v>0</v>
      </c>
      <c r="F1176" s="2" t="s">
        <v>1367</v>
      </c>
    </row>
    <row r="1177" spans="1:6">
      <c r="A1177" s="56">
        <v>1194</v>
      </c>
      <c r="B1177" s="89" t="s">
        <v>1368</v>
      </c>
      <c r="C1177" s="2">
        <v>1.5</v>
      </c>
      <c r="D1177" s="2">
        <v>0</v>
      </c>
      <c r="F1177" s="2" t="s">
        <v>1369</v>
      </c>
    </row>
    <row r="1178" spans="1:6">
      <c r="A1178" s="56">
        <v>1195</v>
      </c>
      <c r="B1178" s="89" t="s">
        <v>1370</v>
      </c>
      <c r="C1178" s="2">
        <v>1</v>
      </c>
      <c r="D1178" s="2">
        <v>0</v>
      </c>
      <c r="F1178" s="2" t="s">
        <v>1371</v>
      </c>
    </row>
    <row r="1179" spans="1:6">
      <c r="A1179" s="56">
        <v>1196</v>
      </c>
      <c r="B1179" s="1" t="s">
        <v>1372</v>
      </c>
      <c r="C1179" s="2">
        <v>5</v>
      </c>
      <c r="D1179" s="2">
        <v>0</v>
      </c>
      <c r="F1179" s="2" t="s">
        <v>1373</v>
      </c>
    </row>
    <row r="1180" spans="1:6">
      <c r="A1180" s="56">
        <v>1197</v>
      </c>
      <c r="B1180" s="1" t="s">
        <v>1374</v>
      </c>
      <c r="C1180" s="2">
        <v>5</v>
      </c>
      <c r="D1180" s="2">
        <v>0</v>
      </c>
      <c r="F1180" s="2" t="s">
        <v>1375</v>
      </c>
    </row>
    <row r="1181" spans="1:6">
      <c r="A1181" s="56">
        <v>1198</v>
      </c>
      <c r="B1181" s="89" t="s">
        <v>1376</v>
      </c>
      <c r="C1181" s="2">
        <v>1.5</v>
      </c>
      <c r="D1181" s="2">
        <v>0</v>
      </c>
      <c r="F1181" s="2" t="s">
        <v>1377</v>
      </c>
    </row>
    <row r="1182" spans="1:6">
      <c r="A1182" s="56">
        <v>1199</v>
      </c>
      <c r="B1182" s="89" t="s">
        <v>1378</v>
      </c>
      <c r="C1182" s="2">
        <v>2</v>
      </c>
      <c r="D1182" s="2">
        <v>0</v>
      </c>
      <c r="F1182" s="2" t="s">
        <v>1379</v>
      </c>
    </row>
    <row r="1183" spans="1:6">
      <c r="A1183" s="56">
        <v>1200</v>
      </c>
      <c r="B1183" s="89" t="s">
        <v>1380</v>
      </c>
      <c r="C1183" s="2">
        <v>1.5</v>
      </c>
      <c r="D1183" s="2">
        <v>0</v>
      </c>
      <c r="F1183" s="2" t="s">
        <v>1381</v>
      </c>
    </row>
    <row r="1184" spans="1:6">
      <c r="A1184" s="56">
        <v>1201</v>
      </c>
      <c r="B1184" s="89" t="s">
        <v>1382</v>
      </c>
      <c r="C1184" s="2">
        <v>2</v>
      </c>
      <c r="D1184" s="2">
        <v>0</v>
      </c>
      <c r="F1184" s="2" t="s">
        <v>1383</v>
      </c>
    </row>
    <row r="1185" spans="1:6">
      <c r="A1185" s="56">
        <v>1202</v>
      </c>
      <c r="B1185" s="89" t="s">
        <v>1384</v>
      </c>
      <c r="C1185" s="2">
        <v>1</v>
      </c>
      <c r="D1185" s="2">
        <v>1</v>
      </c>
      <c r="F1185" s="2" t="s">
        <v>1385</v>
      </c>
    </row>
    <row r="1186" spans="1:6">
      <c r="A1186" s="56">
        <v>1203</v>
      </c>
      <c r="B1186" s="89" t="s">
        <v>1386</v>
      </c>
      <c r="C1186" s="2">
        <v>1</v>
      </c>
      <c r="D1186" s="2">
        <v>0</v>
      </c>
      <c r="F1186" s="2" t="s">
        <v>1387</v>
      </c>
    </row>
    <row r="1187" spans="1:6">
      <c r="A1187" s="56">
        <v>1204</v>
      </c>
      <c r="B1187" s="89" t="s">
        <v>1388</v>
      </c>
      <c r="C1187" s="2">
        <v>1.3</v>
      </c>
      <c r="D1187" s="2">
        <v>0</v>
      </c>
      <c r="F1187" s="2" t="s">
        <v>1389</v>
      </c>
    </row>
    <row r="1188" spans="1:6">
      <c r="A1188" s="56">
        <v>1205</v>
      </c>
      <c r="B1188" s="89" t="s">
        <v>1390</v>
      </c>
      <c r="C1188" s="2">
        <v>1</v>
      </c>
      <c r="D1188" s="2">
        <v>0</v>
      </c>
      <c r="F1188" s="2" t="s">
        <v>1391</v>
      </c>
    </row>
    <row r="1189" spans="1:6">
      <c r="A1189" s="56">
        <v>1206</v>
      </c>
      <c r="B1189" s="89" t="s">
        <v>1392</v>
      </c>
      <c r="C1189" s="2">
        <v>1</v>
      </c>
      <c r="D1189" s="2">
        <v>0</v>
      </c>
      <c r="F1189" s="2" t="s">
        <v>1393</v>
      </c>
    </row>
    <row r="1190" spans="1:6">
      <c r="A1190" s="56">
        <v>1208</v>
      </c>
      <c r="B1190" s="89" t="s">
        <v>1394</v>
      </c>
      <c r="C1190" s="2">
        <v>2</v>
      </c>
      <c r="D1190" s="2">
        <v>0</v>
      </c>
      <c r="F1190" s="2" t="s">
        <v>1395</v>
      </c>
    </row>
    <row r="1191" spans="1:6">
      <c r="A1191" s="56">
        <v>1209</v>
      </c>
      <c r="B1191" s="89" t="s">
        <v>1396</v>
      </c>
      <c r="C1191" s="2">
        <v>1</v>
      </c>
      <c r="D1191" s="2">
        <v>1</v>
      </c>
      <c r="F1191" s="2" t="s">
        <v>1397</v>
      </c>
    </row>
    <row r="1192" ht="33" spans="1:6">
      <c r="A1192" s="56">
        <v>1210</v>
      </c>
      <c r="B1192" s="89" t="s">
        <v>1398</v>
      </c>
      <c r="C1192" s="2">
        <v>2</v>
      </c>
      <c r="D1192" s="2">
        <v>0</v>
      </c>
      <c r="F1192" s="2" t="s">
        <v>1399</v>
      </c>
    </row>
    <row r="1193" ht="33" spans="1:6">
      <c r="A1193" s="56">
        <v>1211</v>
      </c>
      <c r="B1193" s="89" t="s">
        <v>1400</v>
      </c>
      <c r="C1193" s="2">
        <v>2</v>
      </c>
      <c r="D1193" s="2">
        <v>0</v>
      </c>
      <c r="F1193" s="2" t="s">
        <v>1401</v>
      </c>
    </row>
    <row r="1194" spans="1:4">
      <c r="A1194" s="56">
        <v>1212</v>
      </c>
      <c r="B1194" s="89" t="s">
        <v>1402</v>
      </c>
      <c r="C1194" s="2">
        <v>2.6</v>
      </c>
      <c r="D1194" s="2">
        <v>0</v>
      </c>
    </row>
    <row r="1195" spans="1:4">
      <c r="A1195" s="56">
        <v>1213</v>
      </c>
      <c r="B1195" s="89" t="s">
        <v>1403</v>
      </c>
      <c r="C1195" s="2">
        <v>2.2</v>
      </c>
      <c r="D1195" s="2">
        <v>0</v>
      </c>
    </row>
    <row r="1196" spans="1:4">
      <c r="A1196" s="56">
        <v>1214</v>
      </c>
      <c r="B1196" s="89" t="s">
        <v>1404</v>
      </c>
      <c r="C1196" s="2">
        <v>2.7</v>
      </c>
      <c r="D1196" s="2">
        <v>0</v>
      </c>
    </row>
    <row r="1197" spans="1:4">
      <c r="A1197" s="56">
        <v>1215</v>
      </c>
      <c r="B1197" s="89" t="s">
        <v>1405</v>
      </c>
      <c r="C1197" s="2">
        <v>2</v>
      </c>
      <c r="D1197" s="2">
        <v>0</v>
      </c>
    </row>
    <row r="1198" spans="1:4">
      <c r="A1198" s="56">
        <v>1216</v>
      </c>
      <c r="B1198" s="89" t="s">
        <v>1406</v>
      </c>
      <c r="C1198" s="2">
        <v>11</v>
      </c>
      <c r="D1198" s="2">
        <v>0</v>
      </c>
    </row>
    <row r="1199" spans="1:4">
      <c r="A1199" s="56">
        <v>1217</v>
      </c>
      <c r="B1199" s="89" t="s">
        <v>1407</v>
      </c>
      <c r="C1199" s="2">
        <v>10.5333333333333</v>
      </c>
      <c r="D1199" s="2">
        <v>0</v>
      </c>
    </row>
    <row r="1200" spans="1:4">
      <c r="A1200" s="56">
        <v>1218</v>
      </c>
      <c r="B1200" s="89" t="s">
        <v>1408</v>
      </c>
      <c r="C1200" s="2">
        <v>5</v>
      </c>
      <c r="D1200" s="2">
        <v>0</v>
      </c>
    </row>
    <row r="1201" spans="1:4">
      <c r="A1201" s="56">
        <v>1219</v>
      </c>
      <c r="B1201" s="89" t="s">
        <v>1409</v>
      </c>
      <c r="C1201" s="2">
        <v>3.5</v>
      </c>
      <c r="D1201" s="2">
        <v>0</v>
      </c>
    </row>
    <row r="1202" spans="1:4">
      <c r="A1202" s="56">
        <v>1220</v>
      </c>
      <c r="B1202" s="89" t="s">
        <v>1410</v>
      </c>
      <c r="C1202" s="2">
        <v>9</v>
      </c>
      <c r="D1202" s="2">
        <v>0</v>
      </c>
    </row>
    <row r="1203" spans="1:4">
      <c r="A1203" s="56">
        <v>1221</v>
      </c>
      <c r="B1203" s="89" t="s">
        <v>1411</v>
      </c>
      <c r="C1203" s="2">
        <v>1</v>
      </c>
      <c r="D1203" s="2">
        <v>0</v>
      </c>
    </row>
    <row r="1204" spans="1:4">
      <c r="A1204" s="56">
        <v>1222</v>
      </c>
      <c r="B1204" s="89" t="s">
        <v>1412</v>
      </c>
      <c r="C1204" s="2">
        <v>1.2</v>
      </c>
      <c r="D1204" s="2">
        <v>0</v>
      </c>
    </row>
    <row r="1205" spans="1:4">
      <c r="A1205" s="56">
        <v>1223</v>
      </c>
      <c r="B1205" s="89" t="s">
        <v>1413</v>
      </c>
      <c r="C1205" s="2">
        <v>1</v>
      </c>
      <c r="D1205" s="2">
        <v>0</v>
      </c>
    </row>
    <row r="1206" spans="1:4">
      <c r="A1206" s="56">
        <v>1224</v>
      </c>
      <c r="B1206" s="89" t="s">
        <v>1414</v>
      </c>
      <c r="C1206" s="2">
        <v>1</v>
      </c>
      <c r="D1206" s="2">
        <v>0</v>
      </c>
    </row>
    <row r="1207" spans="1:4">
      <c r="A1207" s="56">
        <v>1225</v>
      </c>
      <c r="B1207" s="89" t="s">
        <v>1415</v>
      </c>
      <c r="C1207" s="2">
        <v>2.2</v>
      </c>
      <c r="D1207" s="2">
        <v>0</v>
      </c>
    </row>
    <row r="1208" spans="1:6">
      <c r="A1208" s="56">
        <v>1228</v>
      </c>
      <c r="B1208" s="89" t="s">
        <v>1416</v>
      </c>
      <c r="C1208" s="5">
        <v>3</v>
      </c>
      <c r="D1208" s="6">
        <v>0</v>
      </c>
      <c r="F1208" s="2" t="s">
        <v>1417</v>
      </c>
    </row>
    <row r="1209" spans="1:6">
      <c r="A1209" s="56">
        <v>1229</v>
      </c>
      <c r="B1209" s="89" t="s">
        <v>1418</v>
      </c>
      <c r="C1209" s="2">
        <v>3</v>
      </c>
      <c r="D1209" s="2">
        <v>0</v>
      </c>
      <c r="F1209" s="2" t="s">
        <v>1419</v>
      </c>
    </row>
    <row r="1210" spans="1:6">
      <c r="A1210" s="56">
        <v>1230</v>
      </c>
      <c r="B1210" s="89" t="s">
        <v>1420</v>
      </c>
      <c r="C1210" s="9">
        <v>3</v>
      </c>
      <c r="D1210" s="2">
        <v>0</v>
      </c>
      <c r="F1210" s="2" t="s">
        <v>1421</v>
      </c>
    </row>
    <row r="1211" spans="1:6">
      <c r="A1211" s="56">
        <v>1231</v>
      </c>
      <c r="B1211" s="89" t="s">
        <v>1422</v>
      </c>
      <c r="C1211" s="2">
        <v>3</v>
      </c>
      <c r="D1211" s="2">
        <v>0</v>
      </c>
      <c r="F1211" s="2" t="s">
        <v>1423</v>
      </c>
    </row>
    <row r="1212" spans="1:6">
      <c r="A1212" s="56">
        <v>1232</v>
      </c>
      <c r="B1212" s="89" t="s">
        <v>1424</v>
      </c>
      <c r="C1212" s="9">
        <v>3</v>
      </c>
      <c r="D1212" s="2">
        <v>0</v>
      </c>
      <c r="F1212" s="2" t="s">
        <v>1425</v>
      </c>
    </row>
    <row r="1213" spans="1:6">
      <c r="A1213" s="56">
        <v>1233</v>
      </c>
      <c r="B1213" s="89" t="s">
        <v>1426</v>
      </c>
      <c r="C1213" s="2">
        <v>3</v>
      </c>
      <c r="D1213" s="2">
        <v>0</v>
      </c>
      <c r="F1213" s="2" t="s">
        <v>1427</v>
      </c>
    </row>
    <row r="1214" spans="1:6">
      <c r="A1214" s="56">
        <v>1234</v>
      </c>
      <c r="B1214" s="89" t="s">
        <v>1428</v>
      </c>
      <c r="C1214" s="2">
        <v>3</v>
      </c>
      <c r="D1214" s="2">
        <v>0</v>
      </c>
      <c r="F1214" s="2" t="s">
        <v>1429</v>
      </c>
    </row>
    <row r="1215" spans="1:6">
      <c r="A1215" s="56">
        <v>1235</v>
      </c>
      <c r="B1215" s="89" t="s">
        <v>1430</v>
      </c>
      <c r="C1215" s="2">
        <v>3</v>
      </c>
      <c r="D1215" s="2">
        <v>0</v>
      </c>
      <c r="F1215" s="2" t="s">
        <v>1431</v>
      </c>
    </row>
    <row r="1216" spans="1:6">
      <c r="A1216" s="56">
        <v>1236</v>
      </c>
      <c r="B1216" s="1" t="s">
        <v>1432</v>
      </c>
      <c r="C1216" s="2">
        <v>3</v>
      </c>
      <c r="D1216" s="2">
        <v>0</v>
      </c>
      <c r="F1216" s="2" t="s">
        <v>1433</v>
      </c>
    </row>
    <row r="1217" spans="1:6">
      <c r="A1217" s="56">
        <v>1237</v>
      </c>
      <c r="B1217" s="1" t="s">
        <v>1434</v>
      </c>
      <c r="C1217" s="2">
        <v>3</v>
      </c>
      <c r="D1217" s="2">
        <v>0</v>
      </c>
      <c r="F1217" s="2" t="s">
        <v>1435</v>
      </c>
    </row>
    <row r="1218" spans="1:4">
      <c r="A1218" s="56">
        <v>1238</v>
      </c>
      <c r="B1218" s="89" t="s">
        <v>1436</v>
      </c>
      <c r="C1218" s="5">
        <v>3</v>
      </c>
      <c r="D1218" s="6">
        <v>0</v>
      </c>
    </row>
    <row r="1219" spans="1:4">
      <c r="A1219" s="56">
        <v>1239</v>
      </c>
      <c r="B1219" s="89" t="s">
        <v>1437</v>
      </c>
      <c r="C1219" s="5">
        <v>3</v>
      </c>
      <c r="D1219" s="6">
        <v>0</v>
      </c>
    </row>
    <row r="1220" spans="1:4">
      <c r="A1220" s="56">
        <v>1240</v>
      </c>
      <c r="B1220" s="89" t="s">
        <v>1438</v>
      </c>
      <c r="C1220" s="5">
        <v>3</v>
      </c>
      <c r="D1220" s="6">
        <v>0</v>
      </c>
    </row>
    <row r="1221" spans="1:4">
      <c r="A1221" s="56">
        <v>1241</v>
      </c>
      <c r="B1221" s="89" t="s">
        <v>1439</v>
      </c>
      <c r="C1221" s="5">
        <v>3</v>
      </c>
      <c r="D1221" s="6">
        <v>0</v>
      </c>
    </row>
    <row r="1222" spans="1:4">
      <c r="A1222" s="56">
        <v>1242</v>
      </c>
      <c r="B1222" s="89" t="s">
        <v>1440</v>
      </c>
      <c r="C1222" s="5">
        <v>3</v>
      </c>
      <c r="D1222" s="6">
        <v>0</v>
      </c>
    </row>
    <row r="1223" spans="1:4">
      <c r="A1223" s="56">
        <v>1243</v>
      </c>
      <c r="B1223" s="89" t="s">
        <v>1441</v>
      </c>
      <c r="C1223" s="5">
        <v>3</v>
      </c>
      <c r="D1223" s="6">
        <v>0</v>
      </c>
    </row>
    <row r="1224" spans="1:6">
      <c r="A1224" s="56">
        <v>1244</v>
      </c>
      <c r="B1224" s="89" t="s">
        <v>1442</v>
      </c>
      <c r="C1224" s="5">
        <v>2</v>
      </c>
      <c r="D1224" s="6">
        <v>0</v>
      </c>
      <c r="F1224" s="2" t="s">
        <v>1443</v>
      </c>
    </row>
    <row r="1225" spans="1:6">
      <c r="A1225" s="56">
        <v>1245</v>
      </c>
      <c r="B1225" s="89" t="s">
        <v>1444</v>
      </c>
      <c r="C1225" s="5">
        <v>2</v>
      </c>
      <c r="D1225" s="6">
        <v>0</v>
      </c>
      <c r="F1225" s="2" t="s">
        <v>1445</v>
      </c>
    </row>
    <row r="1226" spans="1:6">
      <c r="A1226" s="56">
        <v>1246</v>
      </c>
      <c r="B1226" s="89" t="s">
        <v>1446</v>
      </c>
      <c r="C1226" s="5">
        <v>2</v>
      </c>
      <c r="D1226" s="6">
        <v>0</v>
      </c>
      <c r="F1226" s="2" t="s">
        <v>1447</v>
      </c>
    </row>
    <row r="1227" spans="1:6">
      <c r="A1227" s="56">
        <v>1247</v>
      </c>
      <c r="B1227" s="89" t="s">
        <v>1448</v>
      </c>
      <c r="C1227" s="5">
        <v>2</v>
      </c>
      <c r="D1227" s="6">
        <v>0</v>
      </c>
      <c r="F1227" s="2" t="s">
        <v>1449</v>
      </c>
    </row>
    <row r="1228" spans="1:6">
      <c r="A1228" s="56">
        <v>1248</v>
      </c>
      <c r="B1228" s="89" t="s">
        <v>1450</v>
      </c>
      <c r="C1228" s="2">
        <v>3</v>
      </c>
      <c r="D1228" s="2">
        <v>0</v>
      </c>
      <c r="F1228" s="2" t="s">
        <v>1451</v>
      </c>
    </row>
    <row r="1229" spans="1:6">
      <c r="A1229" s="56">
        <v>1249</v>
      </c>
      <c r="B1229" s="89" t="s">
        <v>1452</v>
      </c>
      <c r="C1229" s="2">
        <v>3</v>
      </c>
      <c r="D1229" s="2">
        <v>0</v>
      </c>
      <c r="F1229" s="2" t="s">
        <v>1453</v>
      </c>
    </row>
    <row r="1230" spans="1:6">
      <c r="A1230" s="56">
        <v>1250</v>
      </c>
      <c r="B1230" s="89" t="s">
        <v>1454</v>
      </c>
      <c r="C1230" s="2">
        <v>3</v>
      </c>
      <c r="D1230" s="2">
        <v>0</v>
      </c>
      <c r="F1230" s="2" t="s">
        <v>1455</v>
      </c>
    </row>
    <row r="1231" spans="1:6">
      <c r="A1231" s="56">
        <v>1251</v>
      </c>
      <c r="B1231" s="89" t="s">
        <v>1456</v>
      </c>
      <c r="C1231" s="2">
        <v>3</v>
      </c>
      <c r="D1231" s="2">
        <v>0</v>
      </c>
      <c r="F1231" s="2" t="s">
        <v>1457</v>
      </c>
    </row>
    <row r="1232" spans="1:6">
      <c r="A1232" s="56">
        <v>1252</v>
      </c>
      <c r="B1232" s="89" t="s">
        <v>1458</v>
      </c>
      <c r="C1232" s="2">
        <v>3</v>
      </c>
      <c r="D1232" s="2">
        <v>0</v>
      </c>
      <c r="F1232" s="2" t="s">
        <v>1459</v>
      </c>
    </row>
    <row r="1233" spans="1:6">
      <c r="A1233" s="56">
        <v>1253</v>
      </c>
      <c r="B1233" s="89" t="s">
        <v>1460</v>
      </c>
      <c r="C1233" s="2">
        <v>1</v>
      </c>
      <c r="D1233" s="2">
        <v>1</v>
      </c>
      <c r="F1233" s="2" t="s">
        <v>1461</v>
      </c>
    </row>
    <row r="1234" spans="1:6">
      <c r="A1234" s="56">
        <v>1254</v>
      </c>
      <c r="B1234" s="89" t="s">
        <v>1462</v>
      </c>
      <c r="C1234" s="2">
        <v>1</v>
      </c>
      <c r="D1234" s="2">
        <v>0</v>
      </c>
      <c r="F1234" s="2" t="s">
        <v>1463</v>
      </c>
    </row>
    <row r="1235" spans="1:6">
      <c r="A1235" s="56">
        <v>1255</v>
      </c>
      <c r="B1235" s="89" t="s">
        <v>1464</v>
      </c>
      <c r="C1235" s="2">
        <v>1</v>
      </c>
      <c r="D1235" s="2">
        <v>0</v>
      </c>
      <c r="F1235" s="2" t="s">
        <v>1465</v>
      </c>
    </row>
    <row r="1236" spans="1:6">
      <c r="A1236" s="56">
        <v>1256</v>
      </c>
      <c r="B1236" s="89" t="s">
        <v>1466</v>
      </c>
      <c r="C1236" s="2">
        <v>3</v>
      </c>
      <c r="D1236" s="2">
        <v>0</v>
      </c>
      <c r="F1236" s="2" t="s">
        <v>1467</v>
      </c>
    </row>
    <row r="1237" spans="1:6">
      <c r="A1237" s="56">
        <v>1257</v>
      </c>
      <c r="B1237" s="89" t="s">
        <v>1468</v>
      </c>
      <c r="C1237" s="2">
        <v>3</v>
      </c>
      <c r="D1237" s="2">
        <v>0</v>
      </c>
      <c r="F1237" s="2" t="s">
        <v>1469</v>
      </c>
    </row>
    <row r="1238" spans="1:6">
      <c r="A1238" s="56">
        <v>1258</v>
      </c>
      <c r="B1238" s="89" t="s">
        <v>1470</v>
      </c>
      <c r="C1238" s="2">
        <v>1.5</v>
      </c>
      <c r="D1238" s="2">
        <v>0</v>
      </c>
      <c r="F1238" s="2" t="s">
        <v>1471</v>
      </c>
    </row>
    <row r="1239" spans="1:4">
      <c r="A1239" s="56">
        <v>1260</v>
      </c>
      <c r="B1239" s="1" t="s">
        <v>1472</v>
      </c>
      <c r="C1239" s="2">
        <v>10</v>
      </c>
      <c r="D1239" s="2">
        <v>0</v>
      </c>
    </row>
    <row r="1240" spans="1:4">
      <c r="A1240" s="56">
        <v>1261</v>
      </c>
      <c r="B1240" s="1" t="s">
        <v>1473</v>
      </c>
      <c r="C1240" s="2">
        <v>10.5</v>
      </c>
      <c r="D1240" s="2">
        <v>0</v>
      </c>
    </row>
    <row r="1241" spans="1:4">
      <c r="A1241" s="56">
        <v>1262</v>
      </c>
      <c r="B1241" s="1" t="s">
        <v>1474</v>
      </c>
      <c r="C1241" s="2">
        <v>1.3</v>
      </c>
      <c r="D1241" s="2">
        <v>0</v>
      </c>
    </row>
    <row r="1242" spans="1:4">
      <c r="A1242" s="56">
        <v>1263</v>
      </c>
      <c r="B1242" s="89" t="s">
        <v>1475</v>
      </c>
      <c r="C1242" s="2">
        <v>1.2</v>
      </c>
      <c r="D1242" s="2">
        <v>0</v>
      </c>
    </row>
    <row r="1243" spans="1:4">
      <c r="A1243" s="56">
        <v>1264</v>
      </c>
      <c r="B1243" s="1" t="s">
        <v>1476</v>
      </c>
      <c r="C1243" s="2">
        <v>5</v>
      </c>
      <c r="D1243" s="2">
        <v>1</v>
      </c>
    </row>
    <row r="1244" spans="1:4">
      <c r="A1244" s="56">
        <v>1265</v>
      </c>
      <c r="B1244" s="1" t="s">
        <v>1477</v>
      </c>
      <c r="C1244" s="2">
        <v>1</v>
      </c>
      <c r="D1244" s="2">
        <v>0</v>
      </c>
    </row>
    <row r="1245" spans="1:4">
      <c r="A1245" s="56">
        <v>1266</v>
      </c>
      <c r="B1245" s="1" t="s">
        <v>1478</v>
      </c>
      <c r="C1245" s="2">
        <v>10.5333333333333</v>
      </c>
      <c r="D1245" s="2">
        <v>0</v>
      </c>
    </row>
    <row r="1246" spans="1:4">
      <c r="A1246" s="56">
        <v>1267</v>
      </c>
      <c r="B1246" s="1" t="s">
        <v>1479</v>
      </c>
      <c r="C1246" s="2">
        <v>4</v>
      </c>
      <c r="D1246" s="2">
        <v>0</v>
      </c>
    </row>
    <row r="1247" spans="1:4">
      <c r="A1247" s="56">
        <v>1268</v>
      </c>
      <c r="B1247" s="1" t="s">
        <v>1480</v>
      </c>
      <c r="C1247" s="2">
        <v>9</v>
      </c>
      <c r="D1247" s="2">
        <v>0</v>
      </c>
    </row>
    <row r="1248" spans="1:4">
      <c r="A1248" s="56">
        <v>1269</v>
      </c>
      <c r="B1248" s="1" t="s">
        <v>1481</v>
      </c>
      <c r="C1248" s="2">
        <v>1</v>
      </c>
      <c r="D1248" s="2">
        <v>1</v>
      </c>
    </row>
    <row r="1249" spans="1:6">
      <c r="A1249" s="56">
        <v>1270</v>
      </c>
      <c r="B1249" s="1" t="s">
        <v>1482</v>
      </c>
      <c r="C1249" s="2">
        <v>2</v>
      </c>
      <c r="D1249" s="2">
        <v>0</v>
      </c>
      <c r="F1249" s="2" t="s">
        <v>1483</v>
      </c>
    </row>
    <row r="1250" spans="1:6">
      <c r="A1250" s="56">
        <v>1271</v>
      </c>
      <c r="B1250" s="1" t="s">
        <v>1484</v>
      </c>
      <c r="C1250" s="2">
        <v>2</v>
      </c>
      <c r="D1250" s="2">
        <v>0</v>
      </c>
      <c r="F1250" s="2" t="s">
        <v>1485</v>
      </c>
    </row>
    <row r="1251" spans="1:4">
      <c r="A1251" s="56">
        <v>1272</v>
      </c>
      <c r="B1251" s="1" t="s">
        <v>1486</v>
      </c>
      <c r="C1251" s="2">
        <v>2</v>
      </c>
      <c r="D1251" s="2">
        <v>0</v>
      </c>
    </row>
    <row r="1252" spans="1:4">
      <c r="A1252" s="56">
        <v>1273</v>
      </c>
      <c r="B1252" s="1" t="s">
        <v>1487</v>
      </c>
      <c r="C1252" s="2">
        <v>2</v>
      </c>
      <c r="D1252" s="2">
        <v>0</v>
      </c>
    </row>
    <row r="1253" spans="1:4">
      <c r="A1253" s="56">
        <v>1274</v>
      </c>
      <c r="B1253" s="1" t="s">
        <v>1488</v>
      </c>
      <c r="C1253" s="2">
        <v>1</v>
      </c>
      <c r="D1253" s="2">
        <v>1</v>
      </c>
    </row>
    <row r="1254" spans="1:4">
      <c r="A1254" s="56">
        <v>1275</v>
      </c>
      <c r="B1254" s="1" t="s">
        <v>1489</v>
      </c>
      <c r="C1254" s="2">
        <v>1.5</v>
      </c>
      <c r="D1254" s="2">
        <v>0</v>
      </c>
    </row>
    <row r="1255" spans="1:4">
      <c r="A1255" s="56">
        <v>1276</v>
      </c>
      <c r="B1255" s="1" t="s">
        <v>1490</v>
      </c>
      <c r="C1255" s="2">
        <v>1</v>
      </c>
      <c r="D1255" s="2">
        <v>1</v>
      </c>
    </row>
    <row r="1256" spans="1:4">
      <c r="A1256" s="56">
        <v>1277</v>
      </c>
      <c r="B1256" s="1" t="s">
        <v>1491</v>
      </c>
      <c r="C1256" s="2">
        <v>2.5</v>
      </c>
      <c r="D1256" s="2">
        <v>0</v>
      </c>
    </row>
    <row r="1257" spans="1:6">
      <c r="A1257" s="56">
        <v>1278</v>
      </c>
      <c r="B1257" s="1" t="s">
        <v>1492</v>
      </c>
      <c r="C1257" s="2">
        <v>2.5</v>
      </c>
      <c r="D1257" s="2">
        <v>0</v>
      </c>
      <c r="F1257" s="2" t="s">
        <v>1493</v>
      </c>
    </row>
    <row r="1258" spans="1:4">
      <c r="A1258" s="56">
        <v>1279</v>
      </c>
      <c r="B1258" s="1" t="s">
        <v>1494</v>
      </c>
      <c r="C1258" s="2">
        <v>3</v>
      </c>
      <c r="D1258" s="2">
        <v>0</v>
      </c>
    </row>
    <row r="1259" spans="1:4">
      <c r="A1259" s="56">
        <v>1280</v>
      </c>
      <c r="B1259" s="1" t="s">
        <v>1495</v>
      </c>
      <c r="C1259" s="2">
        <v>2.5</v>
      </c>
      <c r="D1259" s="2">
        <v>0</v>
      </c>
    </row>
    <row r="1260" spans="1:4">
      <c r="A1260" s="56">
        <v>1281</v>
      </c>
      <c r="B1260" s="1" t="s">
        <v>1496</v>
      </c>
      <c r="C1260" s="2">
        <v>2.5</v>
      </c>
      <c r="D1260" s="2">
        <v>0</v>
      </c>
    </row>
    <row r="1261" spans="1:6">
      <c r="A1261" s="56">
        <v>1282</v>
      </c>
      <c r="B1261" s="1" t="s">
        <v>1497</v>
      </c>
      <c r="C1261" s="5">
        <v>10</v>
      </c>
      <c r="D1261" s="2">
        <v>0</v>
      </c>
      <c r="F1261" s="2" t="s">
        <v>1498</v>
      </c>
    </row>
    <row r="1262" spans="1:4">
      <c r="A1262" s="56">
        <v>1283</v>
      </c>
      <c r="B1262" s="1" t="s">
        <v>1499</v>
      </c>
      <c r="C1262" s="2">
        <v>2.5</v>
      </c>
      <c r="D1262" s="2">
        <v>0</v>
      </c>
    </row>
    <row r="1263" spans="1:6">
      <c r="A1263" s="56">
        <v>1284</v>
      </c>
      <c r="B1263" s="1" t="s">
        <v>1500</v>
      </c>
      <c r="C1263" s="2">
        <v>3</v>
      </c>
      <c r="D1263" s="2">
        <v>0</v>
      </c>
      <c r="F1263" s="2" t="s">
        <v>1498</v>
      </c>
    </row>
    <row r="1264" spans="1:6">
      <c r="A1264" s="56">
        <v>1285</v>
      </c>
      <c r="B1264" s="1" t="s">
        <v>1501</v>
      </c>
      <c r="C1264" s="2">
        <f>200/30</f>
        <v>6.66666666666667</v>
      </c>
      <c r="D1264" s="2">
        <v>0</v>
      </c>
      <c r="F1264" s="2" t="s">
        <v>1498</v>
      </c>
    </row>
    <row r="1265" spans="1:4">
      <c r="A1265" s="56">
        <v>1286</v>
      </c>
      <c r="B1265" s="1" t="s">
        <v>1502</v>
      </c>
      <c r="C1265" s="2">
        <v>2</v>
      </c>
      <c r="D1265" s="2">
        <v>0</v>
      </c>
    </row>
    <row r="1266" spans="1:4">
      <c r="A1266" s="56">
        <v>1287</v>
      </c>
      <c r="B1266" s="1" t="s">
        <v>1503</v>
      </c>
      <c r="C1266" s="2">
        <v>3.3</v>
      </c>
      <c r="D1266" s="2">
        <v>0</v>
      </c>
    </row>
    <row r="1267" spans="1:4">
      <c r="A1267" s="56">
        <v>1288</v>
      </c>
      <c r="B1267" s="1" t="s">
        <v>1504</v>
      </c>
      <c r="C1267" s="2">
        <v>3.3</v>
      </c>
      <c r="D1267" s="2">
        <v>0</v>
      </c>
    </row>
    <row r="1268" spans="1:4">
      <c r="A1268" s="56">
        <v>1289</v>
      </c>
      <c r="B1268" s="1" t="s">
        <v>1505</v>
      </c>
      <c r="C1268" s="2">
        <v>1.5</v>
      </c>
      <c r="D1268" s="2">
        <v>0</v>
      </c>
    </row>
    <row r="1269" spans="1:4">
      <c r="A1269" s="56">
        <v>1290</v>
      </c>
      <c r="B1269" s="1" t="s">
        <v>1506</v>
      </c>
      <c r="C1269" s="2">
        <v>3</v>
      </c>
      <c r="D1269" s="2">
        <v>0</v>
      </c>
    </row>
    <row r="1270" spans="1:6">
      <c r="A1270" s="56">
        <v>1292</v>
      </c>
      <c r="B1270" s="1" t="s">
        <v>1507</v>
      </c>
      <c r="C1270" s="2">
        <v>4.8</v>
      </c>
      <c r="D1270" s="2">
        <v>0</v>
      </c>
      <c r="F1270" s="2" t="s">
        <v>1498</v>
      </c>
    </row>
    <row r="1271" spans="1:6">
      <c r="A1271" s="56">
        <v>1293</v>
      </c>
      <c r="B1271" s="1" t="s">
        <v>1508</v>
      </c>
      <c r="C1271" s="2">
        <v>4</v>
      </c>
      <c r="D1271" s="2">
        <v>0</v>
      </c>
      <c r="F1271" s="2" t="s">
        <v>1498</v>
      </c>
    </row>
    <row r="1272" spans="1:4">
      <c r="A1272" s="56">
        <v>1294</v>
      </c>
      <c r="B1272" s="1" t="s">
        <v>1509</v>
      </c>
      <c r="C1272" s="2">
        <v>2.5</v>
      </c>
      <c r="D1272" s="2">
        <v>0</v>
      </c>
    </row>
    <row r="1273" spans="1:6">
      <c r="A1273" s="56">
        <v>1295</v>
      </c>
      <c r="B1273" s="1" t="s">
        <v>1510</v>
      </c>
      <c r="C1273" s="2">
        <v>8</v>
      </c>
      <c r="D1273" s="2">
        <v>0</v>
      </c>
      <c r="F1273" s="2" t="s">
        <v>1498</v>
      </c>
    </row>
    <row r="1274" spans="1:4">
      <c r="A1274" s="56">
        <v>1296</v>
      </c>
      <c r="B1274" s="89" t="s">
        <v>1511</v>
      </c>
      <c r="C1274" s="2">
        <v>11.5</v>
      </c>
      <c r="D1274" s="2">
        <v>0</v>
      </c>
    </row>
    <row r="1275" spans="1:4">
      <c r="A1275" s="56">
        <v>1297</v>
      </c>
      <c r="B1275" s="1" t="s">
        <v>1512</v>
      </c>
      <c r="C1275" s="2">
        <v>10.3333333333333</v>
      </c>
      <c r="D1275" s="2">
        <v>0</v>
      </c>
    </row>
    <row r="1276" spans="1:4">
      <c r="A1276" s="56">
        <v>1298</v>
      </c>
      <c r="B1276" s="1" t="s">
        <v>1513</v>
      </c>
      <c r="C1276" s="2">
        <v>1</v>
      </c>
      <c r="D1276" s="2">
        <v>1</v>
      </c>
    </row>
    <row r="1277" spans="1:4">
      <c r="A1277" s="56">
        <v>1299</v>
      </c>
      <c r="B1277" s="1" t="s">
        <v>1490</v>
      </c>
      <c r="C1277" s="2">
        <v>1</v>
      </c>
      <c r="D1277" s="2">
        <v>1</v>
      </c>
    </row>
    <row r="1278" spans="1:6">
      <c r="A1278" s="56">
        <v>1300</v>
      </c>
      <c r="B1278" s="1" t="s">
        <v>1514</v>
      </c>
      <c r="C1278" s="2">
        <v>2</v>
      </c>
      <c r="D1278" s="2">
        <v>0</v>
      </c>
      <c r="F1278" s="2" t="s">
        <v>1515</v>
      </c>
    </row>
    <row r="1279" spans="1:6">
      <c r="A1279" s="56">
        <v>1301</v>
      </c>
      <c r="B1279" s="1" t="s">
        <v>1516</v>
      </c>
      <c r="C1279" s="2">
        <v>2</v>
      </c>
      <c r="D1279" s="2">
        <v>0</v>
      </c>
      <c r="F1279" s="2" t="s">
        <v>1517</v>
      </c>
    </row>
    <row r="1280" spans="1:6">
      <c r="A1280" s="56">
        <v>1302</v>
      </c>
      <c r="B1280" s="1" t="s">
        <v>1518</v>
      </c>
      <c r="C1280" s="2">
        <v>0.8</v>
      </c>
      <c r="D1280" s="2">
        <v>0</v>
      </c>
      <c r="F1280" s="2" t="s">
        <v>1519</v>
      </c>
    </row>
    <row r="1281" spans="1:6">
      <c r="A1281" s="56">
        <v>1303</v>
      </c>
      <c r="B1281" s="1" t="s">
        <v>1520</v>
      </c>
      <c r="C1281" s="2">
        <v>0.9</v>
      </c>
      <c r="D1281" s="2">
        <v>0</v>
      </c>
      <c r="F1281" s="2" t="s">
        <v>1519</v>
      </c>
    </row>
    <row r="1282" spans="1:6">
      <c r="A1282" s="56">
        <v>1304</v>
      </c>
      <c r="B1282" s="1" t="s">
        <v>1521</v>
      </c>
      <c r="C1282" s="2">
        <v>2.5</v>
      </c>
      <c r="D1282" s="2">
        <v>0</v>
      </c>
      <c r="F1282" s="2" t="s">
        <v>1522</v>
      </c>
    </row>
    <row r="1283" spans="1:6">
      <c r="A1283" s="56">
        <v>1305</v>
      </c>
      <c r="B1283" s="1" t="s">
        <v>1523</v>
      </c>
      <c r="C1283" s="2">
        <v>2.3</v>
      </c>
      <c r="D1283" s="2">
        <v>0</v>
      </c>
      <c r="F1283" s="2" t="s">
        <v>1524</v>
      </c>
    </row>
    <row r="1284" spans="1:6">
      <c r="A1284" s="56">
        <v>1306</v>
      </c>
      <c r="B1284" s="1" t="s">
        <v>1525</v>
      </c>
      <c r="C1284" s="2">
        <v>2.7</v>
      </c>
      <c r="D1284" s="2">
        <v>0</v>
      </c>
      <c r="F1284" s="2" t="s">
        <v>1526</v>
      </c>
    </row>
    <row r="1285" spans="1:6">
      <c r="A1285" s="56">
        <v>1307</v>
      </c>
      <c r="B1285" s="1" t="s">
        <v>1527</v>
      </c>
      <c r="C1285" s="2">
        <v>1</v>
      </c>
      <c r="D1285" s="2">
        <v>1</v>
      </c>
      <c r="F1285" s="2" t="s">
        <v>1528</v>
      </c>
    </row>
    <row r="1286" spans="1:6">
      <c r="A1286" s="56">
        <v>1308</v>
      </c>
      <c r="B1286" s="1" t="s">
        <v>1529</v>
      </c>
      <c r="C1286" s="2">
        <v>1</v>
      </c>
      <c r="D1286" s="2">
        <v>1</v>
      </c>
      <c r="F1286" s="2" t="s">
        <v>1530</v>
      </c>
    </row>
    <row r="1287" spans="1:4">
      <c r="A1287" s="56">
        <v>1309</v>
      </c>
      <c r="B1287" s="1" t="s">
        <v>1531</v>
      </c>
      <c r="C1287" s="2">
        <v>3</v>
      </c>
      <c r="D1287" s="2">
        <v>0</v>
      </c>
    </row>
    <row r="1288" spans="1:4">
      <c r="A1288" s="56">
        <v>1310</v>
      </c>
      <c r="B1288" s="1" t="s">
        <v>1532</v>
      </c>
      <c r="C1288" s="2">
        <v>3</v>
      </c>
      <c r="D1288" s="2">
        <v>0</v>
      </c>
    </row>
    <row r="1289" spans="1:4">
      <c r="A1289" s="56">
        <v>1311</v>
      </c>
      <c r="B1289" s="1" t="s">
        <v>1533</v>
      </c>
      <c r="C1289" s="2">
        <v>1</v>
      </c>
      <c r="D1289" s="2">
        <v>1</v>
      </c>
    </row>
    <row r="1290" spans="1:4">
      <c r="A1290" s="56">
        <v>1312</v>
      </c>
      <c r="B1290" s="1" t="s">
        <v>1534</v>
      </c>
      <c r="C1290" s="2">
        <v>2.8</v>
      </c>
      <c r="D1290" s="2">
        <v>0</v>
      </c>
    </row>
    <row r="1291" spans="1:4">
      <c r="A1291" s="56">
        <v>1313</v>
      </c>
      <c r="B1291" s="1" t="s">
        <v>1535</v>
      </c>
      <c r="C1291" s="2">
        <v>10</v>
      </c>
      <c r="D1291" s="2">
        <v>0</v>
      </c>
    </row>
    <row r="1292" spans="1:6">
      <c r="A1292" s="56">
        <v>1314</v>
      </c>
      <c r="B1292" s="1" t="s">
        <v>1536</v>
      </c>
      <c r="C1292" s="2">
        <v>1</v>
      </c>
      <c r="D1292" s="2">
        <v>1</v>
      </c>
      <c r="F1292" s="2" t="s">
        <v>1537</v>
      </c>
    </row>
    <row r="1293" spans="1:6">
      <c r="A1293" s="56">
        <v>1315</v>
      </c>
      <c r="B1293" s="1" t="s">
        <v>1538</v>
      </c>
      <c r="C1293" s="2">
        <v>1</v>
      </c>
      <c r="D1293" s="2">
        <v>1</v>
      </c>
      <c r="F1293" s="2" t="s">
        <v>1539</v>
      </c>
    </row>
    <row r="1294" spans="1:4">
      <c r="A1294" s="56">
        <v>1316</v>
      </c>
      <c r="B1294" s="1" t="s">
        <v>1540</v>
      </c>
      <c r="C1294" s="2">
        <v>2.8</v>
      </c>
      <c r="D1294" s="2">
        <v>0</v>
      </c>
    </row>
    <row r="1295" spans="1:4">
      <c r="A1295" s="56">
        <v>1317</v>
      </c>
      <c r="B1295" s="1" t="s">
        <v>1541</v>
      </c>
      <c r="C1295" s="2">
        <v>0.7</v>
      </c>
      <c r="D1295" s="2">
        <v>0</v>
      </c>
    </row>
    <row r="1296" spans="1:4">
      <c r="A1296" s="56">
        <v>1318</v>
      </c>
      <c r="B1296" s="1" t="s">
        <v>1542</v>
      </c>
      <c r="C1296" s="2">
        <v>0.7</v>
      </c>
      <c r="D1296" s="2">
        <v>0</v>
      </c>
    </row>
    <row r="1297" spans="1:6">
      <c r="A1297" s="56">
        <v>1319</v>
      </c>
      <c r="B1297" s="1" t="s">
        <v>1543</v>
      </c>
      <c r="C1297" s="2">
        <v>2.5</v>
      </c>
      <c r="D1297" s="2">
        <v>0</v>
      </c>
      <c r="F1297" s="2" t="s">
        <v>987</v>
      </c>
    </row>
    <row r="1298" spans="1:4">
      <c r="A1298" s="56">
        <v>1320</v>
      </c>
      <c r="B1298" s="1" t="s">
        <v>1544</v>
      </c>
      <c r="C1298" s="2">
        <v>2.7</v>
      </c>
      <c r="D1298" s="2">
        <v>0</v>
      </c>
    </row>
    <row r="1299" spans="1:4">
      <c r="A1299" s="56">
        <v>1321</v>
      </c>
      <c r="B1299" s="1" t="s">
        <v>1545</v>
      </c>
      <c r="C1299" s="2">
        <v>4.5</v>
      </c>
      <c r="D1299" s="2">
        <v>0</v>
      </c>
    </row>
    <row r="1300" spans="1:4">
      <c r="A1300" s="56">
        <v>1322</v>
      </c>
      <c r="B1300" s="1" t="s">
        <v>1546</v>
      </c>
      <c r="C1300" s="2">
        <v>1</v>
      </c>
      <c r="D1300" s="2">
        <v>1</v>
      </c>
    </row>
    <row r="1301" spans="1:4">
      <c r="A1301" s="56">
        <v>1323</v>
      </c>
      <c r="B1301" s="56" t="s">
        <v>1547</v>
      </c>
      <c r="C1301" s="2">
        <v>1</v>
      </c>
      <c r="D1301" s="2">
        <v>1</v>
      </c>
    </row>
    <row r="1302" spans="1:4">
      <c r="A1302" s="56">
        <v>1324</v>
      </c>
      <c r="B1302" s="1" t="s">
        <v>1548</v>
      </c>
      <c r="C1302" s="2">
        <v>4</v>
      </c>
      <c r="D1302" s="2">
        <v>0</v>
      </c>
    </row>
    <row r="1303" spans="1:6">
      <c r="A1303" s="56">
        <v>1325</v>
      </c>
      <c r="B1303" s="1" t="s">
        <v>1549</v>
      </c>
      <c r="C1303" s="2">
        <v>1</v>
      </c>
      <c r="D1303" s="2">
        <v>1</v>
      </c>
      <c r="F1303" s="2" t="s">
        <v>1550</v>
      </c>
    </row>
    <row r="1304" spans="1:6">
      <c r="A1304" s="56">
        <v>1326</v>
      </c>
      <c r="B1304" s="1" t="s">
        <v>1551</v>
      </c>
      <c r="C1304" s="2">
        <v>1</v>
      </c>
      <c r="D1304" s="2">
        <v>1</v>
      </c>
      <c r="F1304" s="2" t="s">
        <v>1552</v>
      </c>
    </row>
    <row r="1305" spans="1:4">
      <c r="A1305" s="56">
        <v>1327</v>
      </c>
      <c r="B1305" s="1" t="s">
        <v>1553</v>
      </c>
      <c r="C1305" s="2">
        <v>1</v>
      </c>
      <c r="D1305" s="2">
        <v>0</v>
      </c>
    </row>
    <row r="1306" spans="1:6">
      <c r="A1306" s="56">
        <v>1328</v>
      </c>
      <c r="B1306" s="1" t="s">
        <v>1554</v>
      </c>
      <c r="C1306" s="2">
        <v>1</v>
      </c>
      <c r="D1306" s="2">
        <v>1</v>
      </c>
      <c r="F1306" s="2" t="s">
        <v>1555</v>
      </c>
    </row>
    <row r="1307" spans="1:4">
      <c r="A1307" s="56">
        <v>1329</v>
      </c>
      <c r="B1307" s="1" t="s">
        <v>1556</v>
      </c>
      <c r="C1307" s="2">
        <v>5</v>
      </c>
      <c r="D1307" s="2">
        <v>0</v>
      </c>
    </row>
    <row r="1308" spans="1:6">
      <c r="A1308" s="56">
        <v>1330</v>
      </c>
      <c r="B1308" s="1" t="s">
        <v>1557</v>
      </c>
      <c r="C1308" s="2">
        <v>1</v>
      </c>
      <c r="D1308" s="2">
        <v>1</v>
      </c>
      <c r="F1308" s="2" t="s">
        <v>1558</v>
      </c>
    </row>
    <row r="1309" spans="1:6">
      <c r="A1309" s="56">
        <v>1331</v>
      </c>
      <c r="B1309" s="1" t="s">
        <v>1559</v>
      </c>
      <c r="C1309" s="2">
        <v>1</v>
      </c>
      <c r="D1309" s="2">
        <v>1</v>
      </c>
      <c r="F1309" s="2" t="s">
        <v>1560</v>
      </c>
    </row>
    <row r="1310" spans="1:6">
      <c r="A1310" s="56">
        <v>1332</v>
      </c>
      <c r="B1310" s="1" t="s">
        <v>1561</v>
      </c>
      <c r="C1310" s="2">
        <v>1</v>
      </c>
      <c r="D1310" s="2">
        <v>1</v>
      </c>
      <c r="F1310" s="2" t="s">
        <v>1562</v>
      </c>
    </row>
    <row r="1311" spans="1:4">
      <c r="A1311" s="56">
        <v>1333</v>
      </c>
      <c r="B1311" s="1" t="s">
        <v>1563</v>
      </c>
      <c r="C1311" s="2">
        <v>2.8</v>
      </c>
      <c r="D1311" s="2">
        <v>0</v>
      </c>
    </row>
    <row r="1312" spans="1:4">
      <c r="A1312" s="56">
        <v>1334</v>
      </c>
      <c r="B1312" s="1" t="s">
        <v>1564</v>
      </c>
      <c r="C1312" s="2">
        <v>1.52</v>
      </c>
      <c r="D1312" s="2">
        <v>0</v>
      </c>
    </row>
    <row r="1313" spans="1:4">
      <c r="A1313" s="56">
        <v>1335</v>
      </c>
      <c r="B1313" s="1" t="s">
        <v>1565</v>
      </c>
      <c r="C1313" s="2">
        <v>1.52</v>
      </c>
      <c r="D1313" s="2">
        <v>0</v>
      </c>
    </row>
    <row r="1314" spans="1:4">
      <c r="A1314" s="56">
        <v>1336</v>
      </c>
      <c r="B1314" s="1" t="s">
        <v>1566</v>
      </c>
      <c r="C1314" s="2">
        <v>2</v>
      </c>
      <c r="D1314" s="2">
        <v>0</v>
      </c>
    </row>
    <row r="1315" spans="1:6">
      <c r="A1315" s="56">
        <v>1337</v>
      </c>
      <c r="B1315" s="1" t="s">
        <v>1567</v>
      </c>
      <c r="C1315" s="2">
        <v>2.5</v>
      </c>
      <c r="D1315" s="2">
        <v>0</v>
      </c>
      <c r="F1315" s="2" t="s">
        <v>1568</v>
      </c>
    </row>
    <row r="1316" spans="1:8">
      <c r="A1316" s="56">
        <v>1338</v>
      </c>
      <c r="B1316" s="1" t="s">
        <v>1569</v>
      </c>
      <c r="C1316" s="2">
        <v>2.5</v>
      </c>
      <c r="D1316" s="2">
        <v>0</v>
      </c>
      <c r="F1316" s="2" t="s">
        <v>1570</v>
      </c>
      <c r="G1316" s="2" t="s">
        <v>1571</v>
      </c>
      <c r="H1316" s="2" t="s">
        <v>1572</v>
      </c>
    </row>
    <row r="1317" spans="1:4">
      <c r="A1317" s="56">
        <v>1339</v>
      </c>
      <c r="B1317" s="1" t="s">
        <v>1573</v>
      </c>
      <c r="C1317" s="2">
        <v>5</v>
      </c>
      <c r="D1317" s="2">
        <v>0</v>
      </c>
    </row>
    <row r="1318" spans="1:6">
      <c r="A1318" s="56">
        <v>1340</v>
      </c>
      <c r="B1318" s="1" t="s">
        <v>1574</v>
      </c>
      <c r="C1318" s="2">
        <v>1</v>
      </c>
      <c r="D1318" s="2">
        <v>1</v>
      </c>
      <c r="F1318" s="2" t="s">
        <v>1575</v>
      </c>
    </row>
    <row r="1319" spans="1:4">
      <c r="A1319" s="56">
        <v>1341</v>
      </c>
      <c r="B1319" s="1" t="s">
        <v>1576</v>
      </c>
      <c r="C1319" s="2">
        <v>1</v>
      </c>
      <c r="D1319" s="2">
        <v>1</v>
      </c>
    </row>
    <row r="1320" spans="1:6">
      <c r="A1320" s="56">
        <v>1342</v>
      </c>
      <c r="B1320" s="1" t="s">
        <v>1577</v>
      </c>
      <c r="C1320" s="2">
        <v>1</v>
      </c>
      <c r="D1320" s="2">
        <v>1</v>
      </c>
      <c r="F1320" s="2" t="s">
        <v>1578</v>
      </c>
    </row>
    <row r="1321" spans="1:6">
      <c r="A1321" s="56">
        <v>1343</v>
      </c>
      <c r="B1321" s="1" t="s">
        <v>1579</v>
      </c>
      <c r="C1321" s="2">
        <v>1</v>
      </c>
      <c r="D1321" s="2">
        <v>1</v>
      </c>
      <c r="F1321" s="2" t="s">
        <v>1580</v>
      </c>
    </row>
    <row r="1322" spans="1:6">
      <c r="A1322" s="56">
        <v>1344</v>
      </c>
      <c r="B1322" s="1" t="s">
        <v>1581</v>
      </c>
      <c r="C1322" s="2">
        <v>3.2</v>
      </c>
      <c r="D1322" s="2">
        <v>0</v>
      </c>
      <c r="F1322" s="2" t="s">
        <v>1582</v>
      </c>
    </row>
    <row r="1323" spans="1:6">
      <c r="A1323" s="56">
        <v>1345</v>
      </c>
      <c r="B1323" s="1" t="s">
        <v>1583</v>
      </c>
      <c r="C1323" s="2">
        <v>4.6</v>
      </c>
      <c r="D1323" s="2">
        <v>0</v>
      </c>
      <c r="F1323" s="2" t="s">
        <v>1582</v>
      </c>
    </row>
    <row r="1324" spans="1:6">
      <c r="A1324" s="56">
        <v>1346</v>
      </c>
      <c r="B1324" s="1" t="s">
        <v>1584</v>
      </c>
      <c r="C1324" s="2">
        <v>1.5</v>
      </c>
      <c r="D1324" s="2">
        <v>0</v>
      </c>
      <c r="F1324" s="2" t="s">
        <v>1582</v>
      </c>
    </row>
    <row r="1325" spans="1:6">
      <c r="A1325" s="56">
        <v>1347</v>
      </c>
      <c r="B1325" s="1" t="s">
        <v>1585</v>
      </c>
      <c r="C1325" s="2">
        <v>8</v>
      </c>
      <c r="D1325" s="2">
        <v>0</v>
      </c>
      <c r="F1325" s="2" t="s">
        <v>1582</v>
      </c>
    </row>
    <row r="1326" spans="1:6">
      <c r="A1326" s="56">
        <v>1348</v>
      </c>
      <c r="B1326" s="1" t="s">
        <v>1586</v>
      </c>
      <c r="C1326" s="2">
        <v>9.2</v>
      </c>
      <c r="D1326" s="2">
        <v>0</v>
      </c>
      <c r="F1326" s="2" t="s">
        <v>1582</v>
      </c>
    </row>
    <row r="1327" spans="1:6">
      <c r="A1327" s="56">
        <v>1349</v>
      </c>
      <c r="B1327" s="1" t="s">
        <v>1587</v>
      </c>
      <c r="C1327" s="2">
        <v>1</v>
      </c>
      <c r="D1327" s="2">
        <v>1</v>
      </c>
      <c r="F1327" s="2" t="s">
        <v>1588</v>
      </c>
    </row>
    <row r="1328" spans="1:6">
      <c r="A1328" s="56">
        <v>1350</v>
      </c>
      <c r="B1328" s="1" t="s">
        <v>1589</v>
      </c>
      <c r="C1328" s="2">
        <v>3</v>
      </c>
      <c r="D1328" s="2">
        <v>0</v>
      </c>
      <c r="F1328" s="2" t="s">
        <v>1590</v>
      </c>
    </row>
    <row r="1329" spans="1:6">
      <c r="A1329" s="56">
        <v>1351</v>
      </c>
      <c r="B1329" s="1" t="s">
        <v>1591</v>
      </c>
      <c r="C1329" s="91">
        <v>4</v>
      </c>
      <c r="D1329" s="2">
        <v>0</v>
      </c>
      <c r="F1329" s="2" t="s">
        <v>1592</v>
      </c>
    </row>
    <row r="1330" spans="1:4">
      <c r="A1330" s="56">
        <v>1352</v>
      </c>
      <c r="B1330" s="1" t="s">
        <v>1593</v>
      </c>
      <c r="C1330" s="2">
        <v>1.6</v>
      </c>
      <c r="D1330" s="2">
        <v>0</v>
      </c>
    </row>
    <row r="1331" spans="1:4">
      <c r="A1331" s="56">
        <v>1353</v>
      </c>
      <c r="B1331" s="1" t="s">
        <v>1594</v>
      </c>
      <c r="C1331" s="2">
        <v>1</v>
      </c>
      <c r="D1331" s="2">
        <v>0</v>
      </c>
    </row>
    <row r="1332" spans="1:4">
      <c r="A1332" s="56">
        <v>1354</v>
      </c>
      <c r="B1332" s="1" t="s">
        <v>1595</v>
      </c>
      <c r="C1332" s="2">
        <v>4.6</v>
      </c>
      <c r="D1332" s="2">
        <v>0</v>
      </c>
    </row>
    <row r="1333" spans="1:4">
      <c r="A1333" s="56">
        <v>1355</v>
      </c>
      <c r="B1333" s="1" t="s">
        <v>1596</v>
      </c>
      <c r="C1333" s="2">
        <v>2.5</v>
      </c>
      <c r="D1333" s="2">
        <v>0</v>
      </c>
    </row>
    <row r="1334" spans="1:4">
      <c r="A1334" s="56">
        <v>1356</v>
      </c>
      <c r="B1334" s="1" t="s">
        <v>1597</v>
      </c>
      <c r="C1334" s="2">
        <v>3</v>
      </c>
      <c r="D1334" s="2">
        <v>0</v>
      </c>
    </row>
    <row r="1335" spans="1:4">
      <c r="A1335" s="56">
        <v>1357</v>
      </c>
      <c r="B1335" s="1" t="s">
        <v>1598</v>
      </c>
      <c r="C1335" s="2">
        <v>2.5</v>
      </c>
      <c r="D1335" s="2">
        <v>0</v>
      </c>
    </row>
    <row r="1336" spans="1:4">
      <c r="A1336" s="56">
        <v>1358</v>
      </c>
      <c r="B1336" s="1" t="s">
        <v>1599</v>
      </c>
      <c r="C1336" s="2">
        <v>2</v>
      </c>
      <c r="D1336" s="2">
        <v>0</v>
      </c>
    </row>
    <row r="1337" spans="1:6">
      <c r="A1337" s="56">
        <v>1359</v>
      </c>
      <c r="B1337" s="1" t="s">
        <v>1600</v>
      </c>
      <c r="C1337" s="2">
        <v>1</v>
      </c>
      <c r="D1337" s="2">
        <v>0</v>
      </c>
      <c r="F1337" s="2" t="s">
        <v>1601</v>
      </c>
    </row>
    <row r="1338" spans="1:4">
      <c r="A1338" s="56">
        <v>1360</v>
      </c>
      <c r="B1338" s="1" t="s">
        <v>1602</v>
      </c>
      <c r="C1338" s="2">
        <v>2.5</v>
      </c>
      <c r="D1338" s="2">
        <v>0</v>
      </c>
    </row>
    <row r="1339" spans="1:4">
      <c r="A1339" s="56">
        <v>1361</v>
      </c>
      <c r="B1339" s="1" t="s">
        <v>1603</v>
      </c>
      <c r="C1339" s="2">
        <v>1.5</v>
      </c>
      <c r="D1339" s="2">
        <v>0</v>
      </c>
    </row>
    <row r="1340" spans="1:4">
      <c r="A1340" s="56">
        <v>1362</v>
      </c>
      <c r="B1340" s="1" t="s">
        <v>1604</v>
      </c>
      <c r="C1340" s="2">
        <v>1.5</v>
      </c>
      <c r="D1340" s="2">
        <v>0</v>
      </c>
    </row>
    <row r="1341" spans="1:6">
      <c r="A1341" s="56">
        <v>1363</v>
      </c>
      <c r="B1341" s="1" t="s">
        <v>1605</v>
      </c>
      <c r="C1341" s="2">
        <v>1</v>
      </c>
      <c r="D1341" s="2">
        <v>0</v>
      </c>
      <c r="F1341" s="2" t="s">
        <v>1606</v>
      </c>
    </row>
    <row r="1342" spans="1:4">
      <c r="A1342" s="56">
        <v>1364</v>
      </c>
      <c r="B1342" s="1" t="s">
        <v>1607</v>
      </c>
      <c r="C1342" s="2">
        <v>2.5</v>
      </c>
      <c r="D1342" s="2">
        <v>0</v>
      </c>
    </row>
    <row r="1343" spans="1:4">
      <c r="A1343" s="56">
        <v>1365</v>
      </c>
      <c r="B1343" s="1" t="s">
        <v>1608</v>
      </c>
      <c r="C1343" s="2">
        <v>2.5</v>
      </c>
      <c r="D1343" s="2">
        <v>0</v>
      </c>
    </row>
    <row r="1344" spans="1:4">
      <c r="A1344" s="56">
        <v>1366</v>
      </c>
      <c r="B1344" s="1" t="s">
        <v>1609</v>
      </c>
      <c r="C1344" s="2">
        <v>1.5</v>
      </c>
      <c r="D1344" s="2">
        <v>0</v>
      </c>
    </row>
    <row r="1345" spans="1:4">
      <c r="A1345" s="56">
        <v>1367</v>
      </c>
      <c r="B1345" s="1" t="s">
        <v>1610</v>
      </c>
      <c r="C1345" s="2">
        <v>1.5</v>
      </c>
      <c r="D1345" s="2">
        <v>0</v>
      </c>
    </row>
    <row r="1346" spans="1:6">
      <c r="A1346" s="56">
        <v>1368</v>
      </c>
      <c r="B1346" s="1" t="s">
        <v>1611</v>
      </c>
      <c r="C1346" s="2">
        <v>2</v>
      </c>
      <c r="D1346" s="2">
        <v>0</v>
      </c>
      <c r="F1346" s="2" t="s">
        <v>1612</v>
      </c>
    </row>
    <row r="1347" spans="1:4">
      <c r="A1347" s="56">
        <v>1369</v>
      </c>
      <c r="B1347" s="1" t="s">
        <v>1613</v>
      </c>
      <c r="C1347" s="2">
        <v>1.5</v>
      </c>
      <c r="D1347" s="2">
        <v>0</v>
      </c>
    </row>
    <row r="1348" spans="1:4">
      <c r="A1348" s="56">
        <v>1370</v>
      </c>
      <c r="B1348" s="1" t="s">
        <v>1614</v>
      </c>
      <c r="C1348" s="2">
        <v>2</v>
      </c>
      <c r="D1348" s="2">
        <v>0</v>
      </c>
    </row>
    <row r="1349" spans="1:4">
      <c r="A1349" s="56">
        <v>1371</v>
      </c>
      <c r="B1349" s="1" t="s">
        <v>1615</v>
      </c>
      <c r="C1349" s="2">
        <v>1.5</v>
      </c>
      <c r="D1349" s="2">
        <v>0</v>
      </c>
    </row>
    <row r="1350" spans="1:6">
      <c r="A1350" s="56">
        <v>1372</v>
      </c>
      <c r="B1350" s="1" t="s">
        <v>1616</v>
      </c>
      <c r="C1350" s="2">
        <v>1</v>
      </c>
      <c r="D1350" s="2">
        <v>0</v>
      </c>
      <c r="F1350" s="2" t="s">
        <v>1617</v>
      </c>
    </row>
    <row r="1351" spans="1:4">
      <c r="A1351" s="56">
        <v>1373</v>
      </c>
      <c r="B1351" s="1" t="s">
        <v>1618</v>
      </c>
      <c r="C1351" s="2">
        <v>2.5</v>
      </c>
      <c r="D1351" s="2">
        <v>0</v>
      </c>
    </row>
    <row r="1352" spans="1:4">
      <c r="A1352" s="56">
        <v>1374</v>
      </c>
      <c r="B1352" s="1" t="s">
        <v>1619</v>
      </c>
      <c r="C1352" s="2">
        <v>1</v>
      </c>
      <c r="D1352" s="2">
        <v>0</v>
      </c>
    </row>
    <row r="1353" spans="1:4">
      <c r="A1353" s="56">
        <v>1375</v>
      </c>
      <c r="B1353" s="1" t="s">
        <v>1620</v>
      </c>
      <c r="C1353" s="2">
        <v>1.5</v>
      </c>
      <c r="D1353" s="2">
        <v>0</v>
      </c>
    </row>
    <row r="1354" spans="1:6">
      <c r="A1354" s="56">
        <v>1376</v>
      </c>
      <c r="B1354" s="1" t="s">
        <v>1621</v>
      </c>
      <c r="C1354" s="2">
        <v>1.8</v>
      </c>
      <c r="D1354" s="2">
        <v>0</v>
      </c>
      <c r="F1354" s="2" t="s">
        <v>1622</v>
      </c>
    </row>
    <row r="1355" spans="1:4">
      <c r="A1355" s="56">
        <v>1377</v>
      </c>
      <c r="B1355" s="1" t="s">
        <v>1623</v>
      </c>
      <c r="C1355" s="2">
        <v>2.5</v>
      </c>
      <c r="D1355" s="2">
        <v>0</v>
      </c>
    </row>
    <row r="1356" spans="1:4">
      <c r="A1356" s="56">
        <v>1378</v>
      </c>
      <c r="B1356" s="1" t="s">
        <v>1624</v>
      </c>
      <c r="C1356" s="2">
        <v>2.4</v>
      </c>
      <c r="D1356" s="2">
        <v>0</v>
      </c>
    </row>
    <row r="1357" spans="1:6">
      <c r="A1357" s="56">
        <v>1379</v>
      </c>
      <c r="B1357" s="1" t="s">
        <v>1625</v>
      </c>
      <c r="C1357" s="2">
        <v>3.5</v>
      </c>
      <c r="D1357" s="2">
        <v>0</v>
      </c>
      <c r="F1357" s="2" t="s">
        <v>1626</v>
      </c>
    </row>
    <row r="1358" spans="1:4">
      <c r="A1358" s="56">
        <v>1380</v>
      </c>
      <c r="B1358" s="1" t="s">
        <v>1627</v>
      </c>
      <c r="C1358" s="2">
        <v>3</v>
      </c>
      <c r="D1358" s="2">
        <v>0</v>
      </c>
    </row>
    <row r="1359" spans="1:4">
      <c r="A1359" s="56">
        <v>1381</v>
      </c>
      <c r="B1359" s="1" t="s">
        <v>1628</v>
      </c>
      <c r="C1359" s="2">
        <v>4.6</v>
      </c>
      <c r="D1359" s="2">
        <v>0</v>
      </c>
    </row>
    <row r="1360" spans="1:4">
      <c r="A1360" s="56">
        <v>1382</v>
      </c>
      <c r="B1360" s="1" t="s">
        <v>1629</v>
      </c>
      <c r="C1360" s="2">
        <v>1.7</v>
      </c>
      <c r="D1360" s="2">
        <v>0</v>
      </c>
    </row>
    <row r="1361" spans="1:4">
      <c r="A1361" s="56">
        <v>1383</v>
      </c>
      <c r="B1361" s="1" t="s">
        <v>1630</v>
      </c>
      <c r="C1361" s="2">
        <v>4.4</v>
      </c>
      <c r="D1361" s="2">
        <v>0</v>
      </c>
    </row>
    <row r="1362" spans="1:6">
      <c r="A1362" s="56">
        <v>1384</v>
      </c>
      <c r="B1362" s="1" t="s">
        <v>1631</v>
      </c>
      <c r="C1362" s="2">
        <v>1.8</v>
      </c>
      <c r="D1362" s="2">
        <v>0</v>
      </c>
      <c r="F1362" s="2" t="s">
        <v>1632</v>
      </c>
    </row>
    <row r="1363" spans="1:4">
      <c r="A1363" s="56">
        <v>1385</v>
      </c>
      <c r="B1363" s="1" t="s">
        <v>1633</v>
      </c>
      <c r="C1363" s="2">
        <v>1.8</v>
      </c>
      <c r="D1363" s="2">
        <v>0</v>
      </c>
    </row>
    <row r="1364" spans="1:6">
      <c r="A1364" s="56">
        <v>1386</v>
      </c>
      <c r="B1364" s="1" t="s">
        <v>1634</v>
      </c>
      <c r="C1364" s="2">
        <v>1.3</v>
      </c>
      <c r="D1364" s="2">
        <v>0</v>
      </c>
      <c r="F1364" s="2" t="s">
        <v>1635</v>
      </c>
    </row>
    <row r="1365" spans="1:4">
      <c r="A1365" s="56">
        <v>1387</v>
      </c>
      <c r="B1365" s="1" t="s">
        <v>1636</v>
      </c>
      <c r="C1365" s="2">
        <v>1.6</v>
      </c>
      <c r="D1365" s="2">
        <v>0</v>
      </c>
    </row>
    <row r="1366" spans="1:4">
      <c r="A1366" s="56">
        <v>1388</v>
      </c>
      <c r="B1366" s="1" t="s">
        <v>1637</v>
      </c>
      <c r="C1366" s="91">
        <v>5</v>
      </c>
      <c r="D1366" s="2">
        <v>0</v>
      </c>
    </row>
    <row r="1367" spans="1:6">
      <c r="A1367" s="56">
        <v>1389</v>
      </c>
      <c r="B1367" s="1" t="s">
        <v>1638</v>
      </c>
      <c r="C1367" s="2">
        <v>2</v>
      </c>
      <c r="D1367" s="2">
        <v>0</v>
      </c>
      <c r="F1367" s="2" t="s">
        <v>1639</v>
      </c>
    </row>
    <row r="1368" spans="1:4">
      <c r="A1368" s="56">
        <v>1390</v>
      </c>
      <c r="B1368" s="1" t="s">
        <v>1640</v>
      </c>
      <c r="C1368" s="2">
        <v>1.5</v>
      </c>
      <c r="D1368" s="2">
        <v>0</v>
      </c>
    </row>
    <row r="1369" spans="1:6">
      <c r="A1369" s="56">
        <v>1391</v>
      </c>
      <c r="B1369" s="1" t="s">
        <v>1641</v>
      </c>
      <c r="C1369" s="2">
        <v>1.3</v>
      </c>
      <c r="D1369" s="2">
        <v>0</v>
      </c>
      <c r="F1369" s="2" t="s">
        <v>1642</v>
      </c>
    </row>
    <row r="1370" spans="1:4">
      <c r="A1370" s="56">
        <v>1392</v>
      </c>
      <c r="B1370" s="1" t="s">
        <v>1643</v>
      </c>
      <c r="C1370" s="2">
        <v>2.2</v>
      </c>
      <c r="D1370" s="2">
        <v>0</v>
      </c>
    </row>
    <row r="1371" spans="1:6">
      <c r="A1371" s="56">
        <v>1393</v>
      </c>
      <c r="B1371" s="1" t="s">
        <v>1644</v>
      </c>
      <c r="C1371" s="2">
        <v>2.2</v>
      </c>
      <c r="D1371" s="2">
        <v>0</v>
      </c>
      <c r="F1371" s="2" t="s">
        <v>1645</v>
      </c>
    </row>
    <row r="1372" spans="1:4">
      <c r="A1372" s="56">
        <v>1394</v>
      </c>
      <c r="B1372" s="1" t="s">
        <v>1646</v>
      </c>
      <c r="C1372" s="2">
        <v>1.8</v>
      </c>
      <c r="D1372" s="2">
        <v>0</v>
      </c>
    </row>
    <row r="1373" spans="1:4">
      <c r="A1373" s="56">
        <v>1395</v>
      </c>
      <c r="B1373" s="1" t="s">
        <v>1647</v>
      </c>
      <c r="C1373" s="2">
        <v>2</v>
      </c>
      <c r="D1373" s="2">
        <v>0</v>
      </c>
    </row>
    <row r="1374" spans="1:6">
      <c r="A1374" s="56">
        <v>1396</v>
      </c>
      <c r="B1374" s="1" t="s">
        <v>1648</v>
      </c>
      <c r="C1374" s="2">
        <v>1.6</v>
      </c>
      <c r="D1374" s="2">
        <v>0</v>
      </c>
      <c r="F1374" s="2" t="s">
        <v>1649</v>
      </c>
    </row>
    <row r="1375" spans="1:4">
      <c r="A1375" s="56">
        <v>1397</v>
      </c>
      <c r="B1375" s="1" t="s">
        <v>1650</v>
      </c>
      <c r="C1375" s="2">
        <v>3.8</v>
      </c>
      <c r="D1375" s="2">
        <v>0</v>
      </c>
    </row>
    <row r="1376" spans="1:4">
      <c r="A1376" s="56">
        <v>1398</v>
      </c>
      <c r="B1376" s="1" t="s">
        <v>1651</v>
      </c>
      <c r="C1376" s="1">
        <v>2.55</v>
      </c>
      <c r="D1376" s="1">
        <v>0</v>
      </c>
    </row>
    <row r="1377" spans="1:4">
      <c r="A1377" s="56">
        <v>1399</v>
      </c>
      <c r="B1377" s="1" t="s">
        <v>1652</v>
      </c>
      <c r="C1377" s="1">
        <v>3.8</v>
      </c>
      <c r="D1377" s="1">
        <v>0</v>
      </c>
    </row>
    <row r="1378" spans="1:6">
      <c r="A1378" s="56">
        <v>1400</v>
      </c>
      <c r="B1378" s="1" t="s">
        <v>1653</v>
      </c>
      <c r="C1378" s="1">
        <v>1</v>
      </c>
      <c r="D1378" s="1">
        <v>1</v>
      </c>
      <c r="F1378" s="2" t="s">
        <v>1654</v>
      </c>
    </row>
    <row r="1379" spans="1:4">
      <c r="A1379" s="56">
        <v>1401</v>
      </c>
      <c r="B1379" s="1" t="s">
        <v>1655</v>
      </c>
      <c r="C1379" s="1">
        <v>7</v>
      </c>
      <c r="D1379" s="1">
        <v>0</v>
      </c>
    </row>
    <row r="1380" spans="1:4">
      <c r="A1380" s="56">
        <v>1402</v>
      </c>
      <c r="B1380" s="1" t="s">
        <v>1656</v>
      </c>
      <c r="C1380" s="2">
        <v>17.5</v>
      </c>
      <c r="D1380" s="1">
        <v>0</v>
      </c>
    </row>
    <row r="1381" spans="1:6">
      <c r="A1381" s="56">
        <v>1403</v>
      </c>
      <c r="B1381" s="1" t="s">
        <v>1657</v>
      </c>
      <c r="C1381" s="1">
        <v>1</v>
      </c>
      <c r="D1381" s="1">
        <v>1</v>
      </c>
      <c r="F1381" s="2" t="s">
        <v>1658</v>
      </c>
    </row>
    <row r="1382" spans="1:4">
      <c r="A1382" s="56">
        <v>1404</v>
      </c>
      <c r="B1382" s="1" t="s">
        <v>1659</v>
      </c>
      <c r="C1382" s="1">
        <v>2.55</v>
      </c>
      <c r="D1382" s="1">
        <v>0</v>
      </c>
    </row>
    <row r="1383" spans="1:4">
      <c r="A1383" s="56">
        <v>1405</v>
      </c>
      <c r="B1383" s="1" t="s">
        <v>1660</v>
      </c>
      <c r="C1383" s="1">
        <v>3.8</v>
      </c>
      <c r="D1383" s="1">
        <v>0</v>
      </c>
    </row>
    <row r="1384" spans="1:4">
      <c r="A1384" s="56">
        <v>1406</v>
      </c>
      <c r="B1384" s="1" t="s">
        <v>1661</v>
      </c>
      <c r="C1384" s="1">
        <v>7</v>
      </c>
      <c r="D1384" s="1">
        <v>0</v>
      </c>
    </row>
    <row r="1385" spans="1:4">
      <c r="A1385" s="56">
        <v>1407</v>
      </c>
      <c r="B1385" s="1" t="s">
        <v>1662</v>
      </c>
      <c r="C1385" s="1">
        <v>10</v>
      </c>
      <c r="D1385" s="1">
        <v>0</v>
      </c>
    </row>
    <row r="1386" spans="1:4">
      <c r="A1386" s="56">
        <v>1408</v>
      </c>
      <c r="B1386" s="1" t="s">
        <v>1663</v>
      </c>
      <c r="C1386" s="1">
        <v>9</v>
      </c>
      <c r="D1386" s="1">
        <v>0</v>
      </c>
    </row>
    <row r="1387" spans="1:4">
      <c r="A1387" s="56">
        <v>1409</v>
      </c>
      <c r="B1387" s="1" t="s">
        <v>1664</v>
      </c>
      <c r="C1387" s="1">
        <v>10</v>
      </c>
      <c r="D1387" s="1">
        <v>0</v>
      </c>
    </row>
    <row r="1388" spans="1:6">
      <c r="A1388" s="56">
        <v>1410</v>
      </c>
      <c r="B1388" s="1" t="s">
        <v>1665</v>
      </c>
      <c r="C1388" s="1">
        <v>2.7</v>
      </c>
      <c r="D1388" s="1">
        <v>0</v>
      </c>
      <c r="F1388" s="2" t="s">
        <v>1666</v>
      </c>
    </row>
    <row r="1389" spans="1:4">
      <c r="A1389" s="56">
        <v>1411</v>
      </c>
      <c r="B1389" s="1" t="s">
        <v>1667</v>
      </c>
      <c r="C1389" s="1">
        <v>2.5</v>
      </c>
      <c r="D1389" s="1">
        <v>0</v>
      </c>
    </row>
    <row r="1390" spans="1:4">
      <c r="A1390" s="56">
        <v>1412</v>
      </c>
      <c r="B1390" s="1" t="s">
        <v>1668</v>
      </c>
      <c r="C1390" s="1">
        <v>3</v>
      </c>
      <c r="D1390" s="1">
        <v>0</v>
      </c>
    </row>
    <row r="1391" spans="1:4">
      <c r="A1391" s="56">
        <v>1413</v>
      </c>
      <c r="B1391" s="1" t="s">
        <v>1669</v>
      </c>
      <c r="C1391" s="1">
        <v>4</v>
      </c>
      <c r="D1391" s="1">
        <v>0</v>
      </c>
    </row>
    <row r="1392" spans="1:4">
      <c r="A1392" s="56">
        <v>1414</v>
      </c>
      <c r="B1392" s="1" t="s">
        <v>1670</v>
      </c>
      <c r="C1392" s="1">
        <v>0.6</v>
      </c>
      <c r="D1392" s="1">
        <v>0</v>
      </c>
    </row>
    <row r="1393" spans="1:4">
      <c r="A1393" s="56">
        <v>1415</v>
      </c>
      <c r="B1393" s="1" t="s">
        <v>1671</v>
      </c>
      <c r="C1393" s="1">
        <v>0.6</v>
      </c>
      <c r="D1393" s="1">
        <v>0</v>
      </c>
    </row>
    <row r="1394" spans="1:4">
      <c r="A1394" s="56">
        <v>1416</v>
      </c>
      <c r="B1394" s="1" t="s">
        <v>1672</v>
      </c>
      <c r="C1394" s="1">
        <v>11</v>
      </c>
      <c r="D1394" s="1">
        <v>0</v>
      </c>
    </row>
    <row r="1395" spans="1:4">
      <c r="A1395" s="56">
        <v>1417</v>
      </c>
      <c r="B1395" s="1" t="s">
        <v>1673</v>
      </c>
      <c r="C1395" s="1">
        <v>4</v>
      </c>
      <c r="D1395" s="1">
        <v>0</v>
      </c>
    </row>
    <row r="1396" spans="1:4">
      <c r="A1396" s="56">
        <v>1418</v>
      </c>
      <c r="B1396" s="1" t="s">
        <v>1674</v>
      </c>
      <c r="C1396" s="1">
        <v>2.6</v>
      </c>
      <c r="D1396" s="1">
        <v>0</v>
      </c>
    </row>
    <row r="1397" spans="1:4">
      <c r="A1397" s="56">
        <v>1419</v>
      </c>
      <c r="B1397" s="1" t="s">
        <v>1675</v>
      </c>
      <c r="C1397" s="1">
        <v>3.9</v>
      </c>
      <c r="D1397" s="1">
        <v>0</v>
      </c>
    </row>
    <row r="1398" spans="1:4">
      <c r="A1398" s="56">
        <v>1420</v>
      </c>
      <c r="B1398" s="1" t="s">
        <v>1676</v>
      </c>
      <c r="C1398" s="1">
        <v>3.9</v>
      </c>
      <c r="D1398" s="1">
        <v>0</v>
      </c>
    </row>
    <row r="1399" spans="1:4">
      <c r="A1399" s="56">
        <v>1421</v>
      </c>
      <c r="B1399" s="1" t="s">
        <v>1677</v>
      </c>
      <c r="C1399" s="1">
        <v>4.6</v>
      </c>
      <c r="D1399" s="1">
        <v>0</v>
      </c>
    </row>
    <row r="1400" spans="1:4">
      <c r="A1400" s="56">
        <v>1422</v>
      </c>
      <c r="B1400" s="1" t="s">
        <v>1678</v>
      </c>
      <c r="C1400" s="1">
        <v>4.6</v>
      </c>
      <c r="D1400" s="1">
        <v>0</v>
      </c>
    </row>
    <row r="1401" spans="1:4">
      <c r="A1401" s="56">
        <v>1423</v>
      </c>
      <c r="B1401" s="1" t="s">
        <v>1679</v>
      </c>
      <c r="C1401" s="1">
        <v>4.6</v>
      </c>
      <c r="D1401" s="1">
        <v>0</v>
      </c>
    </row>
    <row r="1402" spans="1:4">
      <c r="A1402" s="56">
        <v>1424</v>
      </c>
      <c r="B1402" s="1" t="s">
        <v>1680</v>
      </c>
      <c r="C1402" s="1">
        <v>10</v>
      </c>
      <c r="D1402" s="1">
        <v>0</v>
      </c>
    </row>
    <row r="1403" spans="1:4">
      <c r="A1403" s="56">
        <v>1425</v>
      </c>
      <c r="B1403" s="1" t="s">
        <v>1681</v>
      </c>
      <c r="C1403" s="1">
        <v>10</v>
      </c>
      <c r="D1403" s="1">
        <v>0</v>
      </c>
    </row>
    <row r="1404" spans="1:4">
      <c r="A1404" s="56">
        <v>1426</v>
      </c>
      <c r="B1404" s="1" t="s">
        <v>1682</v>
      </c>
      <c r="C1404" s="1">
        <v>1.6</v>
      </c>
      <c r="D1404" s="1">
        <v>0</v>
      </c>
    </row>
    <row r="1405" spans="1:4">
      <c r="A1405" s="56">
        <v>1427</v>
      </c>
      <c r="B1405" s="1" t="s">
        <v>1683</v>
      </c>
      <c r="C1405" s="1">
        <v>1</v>
      </c>
      <c r="D1405" s="1">
        <v>1</v>
      </c>
    </row>
    <row r="1406" spans="1:4">
      <c r="A1406" s="56">
        <v>1428</v>
      </c>
      <c r="B1406" s="1" t="s">
        <v>1684</v>
      </c>
      <c r="C1406" s="1">
        <v>1</v>
      </c>
      <c r="D1406" s="1">
        <v>1</v>
      </c>
    </row>
    <row r="1407" spans="1:4">
      <c r="A1407" s="56">
        <v>1429</v>
      </c>
      <c r="B1407" s="1" t="s">
        <v>1685</v>
      </c>
      <c r="C1407" s="1">
        <v>1.2</v>
      </c>
      <c r="D1407" s="1">
        <v>0</v>
      </c>
    </row>
    <row r="1408" spans="1:4">
      <c r="A1408" s="56">
        <v>1430</v>
      </c>
      <c r="B1408" s="1" t="s">
        <v>1686</v>
      </c>
      <c r="C1408" s="1">
        <v>12</v>
      </c>
      <c r="D1408" s="1">
        <v>1</v>
      </c>
    </row>
    <row r="1409" spans="1:4">
      <c r="A1409" s="56">
        <v>1431</v>
      </c>
      <c r="B1409" s="1" t="s">
        <v>1687</v>
      </c>
      <c r="C1409" s="1">
        <v>10</v>
      </c>
      <c r="D1409" s="1">
        <v>0</v>
      </c>
    </row>
    <row r="1410" spans="1:4">
      <c r="A1410" s="56">
        <v>1432</v>
      </c>
      <c r="B1410" s="1" t="s">
        <v>1688</v>
      </c>
      <c r="C1410" s="1">
        <v>1.2</v>
      </c>
      <c r="D1410" s="1">
        <v>0</v>
      </c>
    </row>
    <row r="1411" spans="1:6">
      <c r="A1411" s="56">
        <v>1433</v>
      </c>
      <c r="B1411" s="1" t="s">
        <v>1689</v>
      </c>
      <c r="C1411" s="1">
        <v>4.5</v>
      </c>
      <c r="D1411" s="1">
        <v>0</v>
      </c>
      <c r="F1411" s="1"/>
    </row>
    <row r="1412" spans="1:4">
      <c r="A1412" s="56">
        <v>1434</v>
      </c>
      <c r="B1412" s="1" t="s">
        <v>1690</v>
      </c>
      <c r="C1412" s="1">
        <v>1.8</v>
      </c>
      <c r="D1412" s="1">
        <v>0</v>
      </c>
    </row>
    <row r="1413" spans="1:6">
      <c r="A1413" s="56">
        <v>1435</v>
      </c>
      <c r="B1413" s="1" t="s">
        <v>1691</v>
      </c>
      <c r="C1413" s="1">
        <v>4.8</v>
      </c>
      <c r="D1413" s="1">
        <v>0</v>
      </c>
      <c r="F1413" s="1"/>
    </row>
    <row r="1414" spans="1:6">
      <c r="A1414" s="56">
        <v>1436</v>
      </c>
      <c r="B1414" s="1" t="s">
        <v>1692</v>
      </c>
      <c r="C1414" s="1">
        <v>4.8</v>
      </c>
      <c r="D1414" s="1">
        <v>0</v>
      </c>
      <c r="F1414" s="1"/>
    </row>
    <row r="1415" spans="1:6">
      <c r="A1415" s="56">
        <v>1437</v>
      </c>
      <c r="B1415" s="1" t="s">
        <v>1693</v>
      </c>
      <c r="C1415" s="1">
        <v>1</v>
      </c>
      <c r="D1415" s="1">
        <v>1</v>
      </c>
      <c r="F1415" s="1"/>
    </row>
    <row r="1416" spans="1:6">
      <c r="A1416" s="56">
        <v>1438</v>
      </c>
      <c r="B1416" s="1" t="s">
        <v>1694</v>
      </c>
      <c r="C1416" s="1">
        <v>1</v>
      </c>
      <c r="D1416" s="1">
        <v>1</v>
      </c>
      <c r="F1416" s="1"/>
    </row>
    <row r="1417" spans="1:6">
      <c r="A1417" s="56">
        <v>1439</v>
      </c>
      <c r="B1417" s="1" t="s">
        <v>1695</v>
      </c>
      <c r="C1417" s="1">
        <v>1</v>
      </c>
      <c r="D1417" s="1">
        <v>1</v>
      </c>
      <c r="F1417" s="1"/>
    </row>
    <row r="1418" spans="1:6">
      <c r="A1418" s="56">
        <v>1440</v>
      </c>
      <c r="B1418" s="1" t="s">
        <v>1696</v>
      </c>
      <c r="C1418" s="1">
        <v>1</v>
      </c>
      <c r="D1418" s="1">
        <v>1</v>
      </c>
      <c r="F1418" s="1"/>
    </row>
    <row r="1419" spans="1:6">
      <c r="A1419" s="56">
        <v>1441</v>
      </c>
      <c r="B1419" s="1" t="s">
        <v>1697</v>
      </c>
      <c r="C1419" s="1">
        <v>2</v>
      </c>
      <c r="D1419" s="1">
        <v>0</v>
      </c>
      <c r="F1419" s="1"/>
    </row>
    <row r="1420" spans="1:6">
      <c r="A1420" s="56">
        <v>1442</v>
      </c>
      <c r="B1420" s="1" t="s">
        <v>1698</v>
      </c>
      <c r="C1420" s="1">
        <v>1</v>
      </c>
      <c r="D1420" s="1">
        <v>1</v>
      </c>
      <c r="F1420" s="1"/>
    </row>
    <row r="1421" spans="1:6">
      <c r="A1421" s="56">
        <v>1443</v>
      </c>
      <c r="B1421" s="1" t="s">
        <v>1699</v>
      </c>
      <c r="C1421" s="1">
        <v>2</v>
      </c>
      <c r="D1421" s="1">
        <v>0</v>
      </c>
      <c r="F1421" s="1"/>
    </row>
    <row r="1422" spans="1:6">
      <c r="A1422" s="56">
        <v>1444</v>
      </c>
      <c r="B1422" s="1" t="s">
        <v>1700</v>
      </c>
      <c r="C1422" s="1">
        <v>2</v>
      </c>
      <c r="D1422" s="1">
        <v>0</v>
      </c>
      <c r="F1422" s="1"/>
    </row>
    <row r="1423" spans="1:6">
      <c r="A1423" s="56">
        <v>1445</v>
      </c>
      <c r="B1423" s="1" t="s">
        <v>1701</v>
      </c>
      <c r="C1423" s="1">
        <v>3</v>
      </c>
      <c r="D1423" s="1">
        <v>0</v>
      </c>
      <c r="F1423" s="1"/>
    </row>
    <row r="1424" spans="1:6">
      <c r="A1424" s="56">
        <v>1446</v>
      </c>
      <c r="B1424" s="1" t="s">
        <v>1702</v>
      </c>
      <c r="C1424" s="1">
        <v>3</v>
      </c>
      <c r="D1424" s="1">
        <v>0</v>
      </c>
      <c r="F1424" s="1"/>
    </row>
    <row r="1425" spans="1:6">
      <c r="A1425" s="56">
        <v>1447</v>
      </c>
      <c r="B1425" s="1" t="s">
        <v>1703</v>
      </c>
      <c r="C1425" s="1">
        <v>1</v>
      </c>
      <c r="D1425" s="1">
        <v>1</v>
      </c>
      <c r="F1425" s="1" t="s">
        <v>1704</v>
      </c>
    </row>
    <row r="1426" spans="1:6">
      <c r="A1426" s="56">
        <v>1448</v>
      </c>
      <c r="B1426" s="1" t="s">
        <v>1705</v>
      </c>
      <c r="C1426" s="1">
        <v>2</v>
      </c>
      <c r="D1426" s="1">
        <v>0</v>
      </c>
      <c r="F1426" s="1"/>
    </row>
    <row r="1427" spans="1:6">
      <c r="A1427" s="56">
        <v>1449</v>
      </c>
      <c r="B1427" s="1" t="s">
        <v>1706</v>
      </c>
      <c r="C1427" s="1">
        <v>2.4</v>
      </c>
      <c r="D1427" s="1">
        <v>0</v>
      </c>
      <c r="F1427" s="1"/>
    </row>
    <row r="1428" spans="1:6">
      <c r="A1428" s="56">
        <v>1450</v>
      </c>
      <c r="B1428" s="1" t="s">
        <v>1707</v>
      </c>
      <c r="C1428" s="1">
        <v>2.4</v>
      </c>
      <c r="D1428" s="1">
        <v>0</v>
      </c>
      <c r="F1428" s="1"/>
    </row>
    <row r="1429" spans="1:4">
      <c r="A1429" s="56">
        <v>1451</v>
      </c>
      <c r="B1429" s="1" t="s">
        <v>1708</v>
      </c>
      <c r="C1429" s="1">
        <v>2</v>
      </c>
      <c r="D1429" s="1">
        <v>0</v>
      </c>
    </row>
    <row r="1430" spans="1:4">
      <c r="A1430" s="56">
        <v>1452</v>
      </c>
      <c r="B1430" s="1" t="s">
        <v>1709</v>
      </c>
      <c r="C1430" s="1">
        <v>2</v>
      </c>
      <c r="D1430" s="1">
        <v>0</v>
      </c>
    </row>
    <row r="1431" spans="1:6">
      <c r="A1431" s="56">
        <v>1453</v>
      </c>
      <c r="B1431" s="1" t="s">
        <v>1710</v>
      </c>
      <c r="C1431" s="1">
        <v>2.4</v>
      </c>
      <c r="D1431" s="1">
        <v>0</v>
      </c>
      <c r="F1431" s="2" t="s">
        <v>1711</v>
      </c>
    </row>
    <row r="1432" spans="1:4">
      <c r="A1432" s="56">
        <v>1454</v>
      </c>
      <c r="B1432" s="1" t="s">
        <v>1712</v>
      </c>
      <c r="C1432" s="1">
        <v>1</v>
      </c>
      <c r="D1432" s="1">
        <v>0</v>
      </c>
    </row>
    <row r="1433" spans="1:4">
      <c r="A1433" s="56">
        <v>1455</v>
      </c>
      <c r="B1433" s="1" t="s">
        <v>1713</v>
      </c>
      <c r="C1433" s="1">
        <v>4</v>
      </c>
      <c r="D1433" s="1">
        <v>0</v>
      </c>
    </row>
    <row r="1434" spans="1:4">
      <c r="A1434" s="56">
        <v>1456</v>
      </c>
      <c r="B1434" s="1" t="s">
        <v>1714</v>
      </c>
      <c r="C1434" s="1">
        <v>4</v>
      </c>
      <c r="D1434" s="1">
        <v>0</v>
      </c>
    </row>
    <row r="1435" spans="1:4">
      <c r="A1435" s="56">
        <v>1457</v>
      </c>
      <c r="B1435" s="1" t="s">
        <v>1715</v>
      </c>
      <c r="C1435" s="1">
        <v>4</v>
      </c>
      <c r="D1435" s="1">
        <v>0</v>
      </c>
    </row>
    <row r="1436" spans="1:6">
      <c r="A1436" s="56">
        <v>1458</v>
      </c>
      <c r="B1436" s="1" t="s">
        <v>1716</v>
      </c>
      <c r="C1436" s="1">
        <v>3</v>
      </c>
      <c r="D1436" s="1">
        <v>0</v>
      </c>
      <c r="F1436" s="2" t="s">
        <v>1717</v>
      </c>
    </row>
    <row r="1437" spans="1:4">
      <c r="A1437" s="56">
        <v>1459</v>
      </c>
      <c r="B1437" s="1" t="s">
        <v>1718</v>
      </c>
      <c r="C1437" s="1">
        <v>3</v>
      </c>
      <c r="D1437" s="1">
        <v>0</v>
      </c>
    </row>
    <row r="1438" spans="1:4">
      <c r="A1438" s="56">
        <v>1460</v>
      </c>
      <c r="B1438" s="1" t="s">
        <v>1719</v>
      </c>
      <c r="C1438" s="1">
        <v>3</v>
      </c>
      <c r="D1438" s="1">
        <v>0</v>
      </c>
    </row>
    <row r="1439" spans="1:4">
      <c r="A1439" s="56">
        <v>1461</v>
      </c>
      <c r="B1439" s="1" t="s">
        <v>1720</v>
      </c>
      <c r="C1439" s="1">
        <v>3</v>
      </c>
      <c r="D1439" s="1">
        <v>0</v>
      </c>
    </row>
    <row r="1440" spans="1:4">
      <c r="A1440" s="56">
        <v>1462</v>
      </c>
      <c r="B1440" s="1" t="s">
        <v>1721</v>
      </c>
      <c r="C1440" s="1">
        <v>3</v>
      </c>
      <c r="D1440" s="1">
        <v>0</v>
      </c>
    </row>
    <row r="1441" spans="1:6">
      <c r="A1441" s="56">
        <v>1463</v>
      </c>
      <c r="B1441" s="1" t="s">
        <v>1722</v>
      </c>
      <c r="C1441" s="1">
        <v>3</v>
      </c>
      <c r="D1441" s="1">
        <v>0</v>
      </c>
      <c r="F1441" s="2" t="s">
        <v>1723</v>
      </c>
    </row>
    <row r="1442" spans="1:6">
      <c r="A1442" s="56">
        <v>1464</v>
      </c>
      <c r="B1442" s="1" t="s">
        <v>1724</v>
      </c>
      <c r="C1442" s="1">
        <v>3</v>
      </c>
      <c r="D1442" s="1">
        <v>0</v>
      </c>
      <c r="F1442" s="2" t="s">
        <v>1725</v>
      </c>
    </row>
    <row r="1443" spans="1:6">
      <c r="A1443" s="56">
        <v>1465</v>
      </c>
      <c r="B1443" s="1" t="s">
        <v>1726</v>
      </c>
      <c r="C1443" s="1">
        <v>3</v>
      </c>
      <c r="D1443" s="1">
        <v>0</v>
      </c>
      <c r="F1443" s="2" t="s">
        <v>1727</v>
      </c>
    </row>
    <row r="1444" spans="1:6">
      <c r="A1444" s="56">
        <v>1466</v>
      </c>
      <c r="B1444" s="1" t="s">
        <v>1728</v>
      </c>
      <c r="C1444" s="1">
        <v>3</v>
      </c>
      <c r="D1444" s="1">
        <v>0</v>
      </c>
      <c r="F1444" s="2" t="s">
        <v>1729</v>
      </c>
    </row>
    <row r="1445" s="12" customFormat="1" spans="1:8">
      <c r="A1445" s="98">
        <v>1467</v>
      </c>
      <c r="B1445" s="99" t="s">
        <v>1730</v>
      </c>
      <c r="C1445" s="99">
        <v>1</v>
      </c>
      <c r="D1445" s="99">
        <v>1</v>
      </c>
      <c r="F1445" s="12" t="s">
        <v>1731</v>
      </c>
      <c r="H1445" s="100"/>
    </row>
    <row r="1446" s="13" customFormat="1" spans="1:8">
      <c r="A1446" s="101">
        <v>1468</v>
      </c>
      <c r="B1446" s="102" t="s">
        <v>1732</v>
      </c>
      <c r="C1446" s="102">
        <v>1</v>
      </c>
      <c r="D1446" s="102">
        <v>1</v>
      </c>
      <c r="F1446" s="13" t="s">
        <v>1733</v>
      </c>
      <c r="H1446" s="103"/>
    </row>
    <row r="1447" s="14" customFormat="1" spans="1:8">
      <c r="A1447" s="104">
        <v>1469</v>
      </c>
      <c r="B1447" s="105" t="s">
        <v>1734</v>
      </c>
      <c r="C1447" s="105">
        <v>1</v>
      </c>
      <c r="D1447" s="105">
        <v>1</v>
      </c>
      <c r="F1447" s="14" t="s">
        <v>1735</v>
      </c>
      <c r="H1447" s="106"/>
    </row>
    <row r="1448" s="15" customFormat="1" spans="1:8">
      <c r="A1448" s="107">
        <v>1470</v>
      </c>
      <c r="B1448" s="108" t="s">
        <v>1736</v>
      </c>
      <c r="C1448" s="108">
        <v>1</v>
      </c>
      <c r="D1448" s="108">
        <v>1</v>
      </c>
      <c r="F1448" s="15" t="s">
        <v>1737</v>
      </c>
      <c r="H1448" s="109"/>
    </row>
    <row r="1449" s="16" customFormat="1" spans="1:8">
      <c r="A1449" s="110">
        <v>1471</v>
      </c>
      <c r="B1449" s="111" t="s">
        <v>1738</v>
      </c>
      <c r="C1449" s="111">
        <v>1</v>
      </c>
      <c r="D1449" s="111">
        <v>1</v>
      </c>
      <c r="F1449" s="16" t="s">
        <v>1739</v>
      </c>
      <c r="H1449" s="112"/>
    </row>
    <row r="1450" spans="1:6">
      <c r="A1450" s="56">
        <v>1472</v>
      </c>
      <c r="B1450" s="1" t="s">
        <v>1740</v>
      </c>
      <c r="C1450" s="1">
        <v>3</v>
      </c>
      <c r="D1450" s="1">
        <v>0</v>
      </c>
      <c r="F1450" s="2" t="s">
        <v>1741</v>
      </c>
    </row>
    <row r="1451" spans="1:4">
      <c r="A1451" s="56">
        <v>1473</v>
      </c>
      <c r="B1451" s="1" t="s">
        <v>1742</v>
      </c>
      <c r="C1451" s="1">
        <v>3</v>
      </c>
      <c r="D1451" s="1">
        <v>0</v>
      </c>
    </row>
    <row r="1452" spans="1:4">
      <c r="A1452" s="56">
        <v>1474</v>
      </c>
      <c r="B1452" s="1" t="s">
        <v>1743</v>
      </c>
      <c r="C1452" s="1">
        <v>3</v>
      </c>
      <c r="D1452" s="1">
        <v>0</v>
      </c>
    </row>
    <row r="1453" spans="1:4">
      <c r="A1453" s="56">
        <v>1475</v>
      </c>
      <c r="B1453" s="1" t="s">
        <v>1744</v>
      </c>
      <c r="C1453" s="1">
        <v>3</v>
      </c>
      <c r="D1453" s="1">
        <v>0</v>
      </c>
    </row>
    <row r="1454" spans="1:4">
      <c r="A1454" s="56">
        <v>1476</v>
      </c>
      <c r="B1454" s="1" t="s">
        <v>1745</v>
      </c>
      <c r="C1454" s="1">
        <v>4.85</v>
      </c>
      <c r="D1454" s="1">
        <v>0</v>
      </c>
    </row>
    <row r="1455" spans="1:4">
      <c r="A1455" s="56">
        <v>1477</v>
      </c>
      <c r="B1455" s="1" t="s">
        <v>1746</v>
      </c>
      <c r="C1455" s="1">
        <v>1</v>
      </c>
      <c r="D1455" s="1">
        <v>0</v>
      </c>
    </row>
    <row r="1456" spans="1:6">
      <c r="A1456" s="56">
        <v>1478</v>
      </c>
      <c r="B1456" s="1" t="s">
        <v>1747</v>
      </c>
      <c r="C1456" s="1">
        <v>1</v>
      </c>
      <c r="D1456" s="1">
        <v>1</v>
      </c>
      <c r="F1456" s="2" t="s">
        <v>1748</v>
      </c>
    </row>
    <row r="1457" spans="1:4">
      <c r="A1457" s="56">
        <v>1479</v>
      </c>
      <c r="B1457" s="1" t="s">
        <v>1749</v>
      </c>
      <c r="C1457" s="1">
        <v>3.8</v>
      </c>
      <c r="D1457" s="1">
        <v>0</v>
      </c>
    </row>
    <row r="1458" spans="1:4">
      <c r="A1458" s="56">
        <v>1480</v>
      </c>
      <c r="B1458" s="1" t="s">
        <v>1750</v>
      </c>
      <c r="C1458" s="1">
        <v>8</v>
      </c>
      <c r="D1458" s="1">
        <v>0</v>
      </c>
    </row>
    <row r="1459" spans="1:4">
      <c r="A1459" s="56">
        <v>1481</v>
      </c>
      <c r="B1459" s="1" t="s">
        <v>1751</v>
      </c>
      <c r="C1459" s="1">
        <v>8</v>
      </c>
      <c r="D1459" s="1">
        <v>0</v>
      </c>
    </row>
    <row r="1460" spans="1:4">
      <c r="A1460" s="56">
        <v>1482</v>
      </c>
      <c r="B1460" s="1" t="s">
        <v>1752</v>
      </c>
      <c r="C1460" s="1">
        <v>11.3333333333333</v>
      </c>
      <c r="D1460" s="1">
        <v>0</v>
      </c>
    </row>
    <row r="1461" spans="1:4">
      <c r="A1461" s="56">
        <v>1483</v>
      </c>
      <c r="B1461" s="1" t="s">
        <v>1753</v>
      </c>
      <c r="C1461" s="1">
        <v>2.5</v>
      </c>
      <c r="D1461" s="1">
        <v>0</v>
      </c>
    </row>
    <row r="1462" spans="1:4">
      <c r="A1462" s="56">
        <v>1484</v>
      </c>
      <c r="B1462" s="1" t="s">
        <v>1754</v>
      </c>
      <c r="C1462" s="1">
        <v>2.5</v>
      </c>
      <c r="D1462" s="1">
        <v>0</v>
      </c>
    </row>
    <row r="1463" spans="1:4">
      <c r="A1463" s="56">
        <v>1485</v>
      </c>
      <c r="B1463" s="1" t="s">
        <v>1755</v>
      </c>
      <c r="C1463" s="1">
        <v>1.6</v>
      </c>
      <c r="D1463" s="1">
        <v>0</v>
      </c>
    </row>
    <row r="1464" spans="1:6">
      <c r="A1464" s="56">
        <v>1486</v>
      </c>
      <c r="B1464" s="1" t="s">
        <v>1756</v>
      </c>
      <c r="C1464" s="1">
        <v>1</v>
      </c>
      <c r="D1464" s="1">
        <v>0</v>
      </c>
      <c r="F1464" s="2" t="s">
        <v>1757</v>
      </c>
    </row>
    <row r="1465" spans="1:6">
      <c r="A1465" s="56">
        <v>1487</v>
      </c>
      <c r="B1465" s="1" t="s">
        <v>1758</v>
      </c>
      <c r="C1465" s="1">
        <v>2.5</v>
      </c>
      <c r="D1465" s="1">
        <v>0</v>
      </c>
      <c r="F1465" s="2" t="s">
        <v>1759</v>
      </c>
    </row>
    <row r="1466" spans="1:4">
      <c r="A1466" s="56">
        <v>1488</v>
      </c>
      <c r="B1466" s="1" t="s">
        <v>1760</v>
      </c>
      <c r="C1466" s="1">
        <v>1</v>
      </c>
      <c r="D1466" s="1">
        <v>0</v>
      </c>
    </row>
    <row r="1467" spans="1:4">
      <c r="A1467" s="56">
        <v>1489</v>
      </c>
      <c r="B1467" s="1" t="s">
        <v>1761</v>
      </c>
      <c r="C1467" s="1">
        <v>1.8</v>
      </c>
      <c r="D1467" s="1">
        <v>0</v>
      </c>
    </row>
    <row r="1468" spans="1:4">
      <c r="A1468" s="56">
        <v>1490</v>
      </c>
      <c r="B1468" s="1" t="s">
        <v>1762</v>
      </c>
      <c r="C1468" s="1">
        <v>1.8</v>
      </c>
      <c r="D1468" s="1">
        <v>0</v>
      </c>
    </row>
    <row r="1469" spans="1:4">
      <c r="A1469" s="56">
        <v>1491</v>
      </c>
      <c r="B1469" s="1" t="s">
        <v>1763</v>
      </c>
      <c r="C1469" s="1">
        <v>2.2</v>
      </c>
      <c r="D1469" s="1">
        <v>0</v>
      </c>
    </row>
    <row r="1470" spans="1:4">
      <c r="A1470" s="56">
        <v>1492</v>
      </c>
      <c r="B1470" s="1" t="s">
        <v>1764</v>
      </c>
      <c r="C1470" s="1">
        <v>3</v>
      </c>
      <c r="D1470" s="1">
        <v>0</v>
      </c>
    </row>
    <row r="1471" spans="1:6">
      <c r="A1471" s="56">
        <v>1493</v>
      </c>
      <c r="B1471" s="1" t="s">
        <v>1765</v>
      </c>
      <c r="C1471" s="1">
        <v>1.5</v>
      </c>
      <c r="D1471" s="1">
        <v>0</v>
      </c>
      <c r="F1471" s="2" t="s">
        <v>1766</v>
      </c>
    </row>
    <row r="1472" spans="1:6">
      <c r="A1472" s="56">
        <v>1494</v>
      </c>
      <c r="B1472" s="1" t="s">
        <v>1767</v>
      </c>
      <c r="C1472" s="1">
        <v>3.4</v>
      </c>
      <c r="D1472" s="1">
        <v>0</v>
      </c>
      <c r="F1472" s="2" t="s">
        <v>1768</v>
      </c>
    </row>
    <row r="1473" spans="1:6">
      <c r="A1473" s="56">
        <v>1495</v>
      </c>
      <c r="B1473" s="1" t="s">
        <v>1769</v>
      </c>
      <c r="C1473" s="1">
        <v>4.8</v>
      </c>
      <c r="D1473" s="1">
        <v>0</v>
      </c>
      <c r="F1473" s="2" t="s">
        <v>1768</v>
      </c>
    </row>
    <row r="1474" spans="1:6">
      <c r="A1474" s="56">
        <v>1496</v>
      </c>
      <c r="B1474" s="1" t="s">
        <v>1770</v>
      </c>
      <c r="C1474" s="1">
        <v>2.4</v>
      </c>
      <c r="D1474" s="1">
        <v>0</v>
      </c>
      <c r="F1474" s="2" t="s">
        <v>1768</v>
      </c>
    </row>
    <row r="1475" spans="1:6">
      <c r="A1475" s="56">
        <v>1497</v>
      </c>
      <c r="B1475" s="1" t="s">
        <v>1771</v>
      </c>
      <c r="C1475" s="1">
        <v>2.4</v>
      </c>
      <c r="D1475" s="1">
        <v>0</v>
      </c>
      <c r="F1475" s="2" t="s">
        <v>1772</v>
      </c>
    </row>
    <row r="1476" spans="1:4">
      <c r="A1476" s="56">
        <v>1498</v>
      </c>
      <c r="B1476" s="1" t="s">
        <v>1773</v>
      </c>
      <c r="C1476" s="1">
        <v>4</v>
      </c>
      <c r="D1476" s="1">
        <v>0</v>
      </c>
    </row>
    <row r="1477" spans="1:4">
      <c r="A1477" s="56">
        <v>1499</v>
      </c>
      <c r="B1477" s="1" t="s">
        <v>1774</v>
      </c>
      <c r="C1477" s="1">
        <v>2.4</v>
      </c>
      <c r="D1477" s="1">
        <v>0</v>
      </c>
    </row>
    <row r="1478" spans="1:4">
      <c r="A1478" s="56">
        <v>1500</v>
      </c>
      <c r="B1478" s="1" t="s">
        <v>1775</v>
      </c>
      <c r="C1478" s="1">
        <v>2.2</v>
      </c>
      <c r="D1478" s="1">
        <v>0</v>
      </c>
    </row>
    <row r="1479" spans="1:4">
      <c r="A1479" s="56">
        <v>1501</v>
      </c>
      <c r="B1479" s="1" t="s">
        <v>1776</v>
      </c>
      <c r="C1479" s="1">
        <v>1.8</v>
      </c>
      <c r="D1479" s="1">
        <v>0</v>
      </c>
    </row>
    <row r="1480" spans="1:4">
      <c r="A1480" s="56">
        <v>1502</v>
      </c>
      <c r="B1480" s="1" t="s">
        <v>1777</v>
      </c>
      <c r="C1480" s="1">
        <v>3.5</v>
      </c>
      <c r="D1480" s="1">
        <v>0</v>
      </c>
    </row>
    <row r="1481" spans="1:4">
      <c r="A1481" s="56">
        <v>1503</v>
      </c>
      <c r="B1481" s="1" t="s">
        <v>1778</v>
      </c>
      <c r="C1481" s="1">
        <v>3.2</v>
      </c>
      <c r="D1481" s="1">
        <v>0</v>
      </c>
    </row>
    <row r="1482" spans="1:4">
      <c r="A1482" s="56">
        <v>1504</v>
      </c>
      <c r="B1482" s="1" t="s">
        <v>1779</v>
      </c>
      <c r="C1482" s="1">
        <v>2.2</v>
      </c>
      <c r="D1482" s="1">
        <v>0</v>
      </c>
    </row>
    <row r="1483" spans="1:4">
      <c r="A1483" s="56">
        <v>1505</v>
      </c>
      <c r="B1483" s="1" t="s">
        <v>1780</v>
      </c>
      <c r="C1483" s="1">
        <v>10</v>
      </c>
      <c r="D1483" s="1">
        <v>0</v>
      </c>
    </row>
    <row r="1484" spans="1:4">
      <c r="A1484" s="56">
        <v>1506</v>
      </c>
      <c r="B1484" s="1" t="s">
        <v>1781</v>
      </c>
      <c r="C1484" s="1">
        <v>4.85</v>
      </c>
      <c r="D1484" s="1">
        <v>0</v>
      </c>
    </row>
    <row r="1485" spans="1:4">
      <c r="A1485" s="56">
        <v>1507</v>
      </c>
      <c r="B1485" s="1" t="s">
        <v>1782</v>
      </c>
      <c r="C1485" s="1">
        <v>2.5</v>
      </c>
      <c r="D1485" s="1">
        <v>0</v>
      </c>
    </row>
    <row r="1486" spans="1:4">
      <c r="A1486" s="56">
        <v>1508</v>
      </c>
      <c r="B1486" s="1" t="s">
        <v>1783</v>
      </c>
      <c r="C1486" s="1">
        <v>2.5</v>
      </c>
      <c r="D1486" s="1">
        <v>0</v>
      </c>
    </row>
    <row r="1487" spans="1:4">
      <c r="A1487" s="56">
        <v>1509</v>
      </c>
      <c r="B1487" s="1" t="s">
        <v>1784</v>
      </c>
      <c r="C1487" s="1">
        <v>3.8</v>
      </c>
      <c r="D1487" s="1">
        <v>0</v>
      </c>
    </row>
    <row r="1488" spans="1:4">
      <c r="A1488" s="56">
        <v>1510</v>
      </c>
      <c r="B1488" s="1" t="s">
        <v>1785</v>
      </c>
      <c r="C1488" s="1">
        <v>1</v>
      </c>
      <c r="D1488" s="1">
        <v>1</v>
      </c>
    </row>
    <row r="1489" spans="1:4">
      <c r="A1489" s="56">
        <v>1511</v>
      </c>
      <c r="B1489" s="1" t="s">
        <v>1786</v>
      </c>
      <c r="C1489" s="1">
        <v>4</v>
      </c>
      <c r="D1489" s="1">
        <v>0</v>
      </c>
    </row>
    <row r="1490" spans="1:4">
      <c r="A1490" s="56">
        <v>1512</v>
      </c>
      <c r="B1490" s="1" t="s">
        <v>1787</v>
      </c>
      <c r="C1490" s="1">
        <v>1.2</v>
      </c>
      <c r="D1490" s="1">
        <v>0</v>
      </c>
    </row>
    <row r="1491" spans="1:4">
      <c r="A1491" s="56">
        <v>1513</v>
      </c>
      <c r="B1491" s="1" t="s">
        <v>1788</v>
      </c>
      <c r="C1491" s="2">
        <v>5</v>
      </c>
      <c r="D1491" s="2">
        <v>0</v>
      </c>
    </row>
    <row r="1492" spans="1:4">
      <c r="A1492" s="56">
        <v>1514</v>
      </c>
      <c r="B1492" s="1" t="s">
        <v>1789</v>
      </c>
      <c r="C1492" s="1">
        <v>7.5</v>
      </c>
      <c r="D1492" s="1">
        <v>0</v>
      </c>
    </row>
    <row r="1493" spans="1:4">
      <c r="A1493" s="56">
        <v>1515</v>
      </c>
      <c r="B1493" s="1" t="s">
        <v>1790</v>
      </c>
      <c r="C1493" s="1">
        <v>2.8</v>
      </c>
      <c r="D1493" s="1">
        <v>0</v>
      </c>
    </row>
    <row r="1494" spans="1:4">
      <c r="A1494" s="56">
        <v>1516</v>
      </c>
      <c r="B1494" s="1" t="s">
        <v>1791</v>
      </c>
      <c r="C1494" s="1">
        <v>2.2</v>
      </c>
      <c r="D1494" s="1">
        <v>0</v>
      </c>
    </row>
    <row r="1495" spans="1:4">
      <c r="A1495" s="56">
        <v>1517</v>
      </c>
      <c r="B1495" s="1" t="s">
        <v>1792</v>
      </c>
      <c r="C1495" s="1">
        <v>5</v>
      </c>
      <c r="D1495" s="1">
        <v>0</v>
      </c>
    </row>
    <row r="1496" spans="1:4">
      <c r="A1496" s="56">
        <v>1518</v>
      </c>
      <c r="B1496" s="1" t="s">
        <v>1793</v>
      </c>
      <c r="C1496" s="2">
        <v>6.5</v>
      </c>
      <c r="D1496" s="1">
        <v>0</v>
      </c>
    </row>
    <row r="1497" spans="1:6">
      <c r="A1497" s="56">
        <v>1519</v>
      </c>
      <c r="B1497" s="1" t="s">
        <v>1794</v>
      </c>
      <c r="C1497" s="1">
        <f>256/30</f>
        <v>8.53333333333333</v>
      </c>
      <c r="D1497" s="1">
        <v>0</v>
      </c>
      <c r="F1497" s="5" t="s">
        <v>1795</v>
      </c>
    </row>
    <row r="1498" spans="1:6">
      <c r="A1498" s="56">
        <v>1520</v>
      </c>
      <c r="B1498" s="1" t="s">
        <v>1796</v>
      </c>
      <c r="C1498" s="1">
        <f t="shared" ref="C1498:C1501" si="0">390/30</f>
        <v>13</v>
      </c>
      <c r="D1498" s="1">
        <v>0</v>
      </c>
      <c r="F1498" s="5" t="s">
        <v>1797</v>
      </c>
    </row>
    <row r="1499" spans="1:6">
      <c r="A1499" s="56">
        <v>1521</v>
      </c>
      <c r="B1499" s="1" t="s">
        <v>1798</v>
      </c>
      <c r="C1499" s="1">
        <v>2</v>
      </c>
      <c r="D1499" s="1">
        <v>0</v>
      </c>
      <c r="F1499" s="2" t="s">
        <v>1799</v>
      </c>
    </row>
    <row r="1500" spans="1:6">
      <c r="A1500" s="56">
        <v>1522</v>
      </c>
      <c r="B1500" s="1" t="s">
        <v>1800</v>
      </c>
      <c r="C1500" s="1">
        <f>343/30</f>
        <v>11.4333333333333</v>
      </c>
      <c r="D1500" s="1">
        <v>0</v>
      </c>
      <c r="F1500" s="2" t="s">
        <v>1801</v>
      </c>
    </row>
    <row r="1501" spans="1:4">
      <c r="A1501" s="56">
        <v>1523</v>
      </c>
      <c r="B1501" s="1" t="s">
        <v>1802</v>
      </c>
      <c r="C1501" s="1">
        <f t="shared" si="0"/>
        <v>13</v>
      </c>
      <c r="D1501" s="1">
        <v>0</v>
      </c>
    </row>
    <row r="1502" spans="1:4">
      <c r="A1502" s="56">
        <v>1524</v>
      </c>
      <c r="B1502" s="1" t="s">
        <v>1803</v>
      </c>
      <c r="C1502" s="1">
        <v>5</v>
      </c>
      <c r="D1502" s="1">
        <v>0</v>
      </c>
    </row>
    <row r="1503" spans="1:6">
      <c r="A1503" s="56">
        <v>1525</v>
      </c>
      <c r="B1503" s="1" t="s">
        <v>1804</v>
      </c>
      <c r="C1503" s="1">
        <f>218/30</f>
        <v>7.26666666666667</v>
      </c>
      <c r="D1503" s="1">
        <v>0</v>
      </c>
      <c r="F1503" s="5" t="s">
        <v>1645</v>
      </c>
    </row>
    <row r="1504" spans="1:6">
      <c r="A1504" s="56">
        <v>1526</v>
      </c>
      <c r="B1504" s="1" t="s">
        <v>1805</v>
      </c>
      <c r="C1504" s="1">
        <v>3.8</v>
      </c>
      <c r="D1504" s="1">
        <v>0</v>
      </c>
      <c r="F1504" s="5" t="s">
        <v>1645</v>
      </c>
    </row>
    <row r="1505" spans="1:6">
      <c r="A1505" s="56">
        <v>1527</v>
      </c>
      <c r="B1505" s="1" t="s">
        <v>1806</v>
      </c>
      <c r="C1505" s="1">
        <v>3.4</v>
      </c>
      <c r="D1505" s="1">
        <v>0</v>
      </c>
      <c r="F1505" s="5" t="s">
        <v>1645</v>
      </c>
    </row>
    <row r="1506" spans="1:4">
      <c r="A1506" s="56">
        <v>1528</v>
      </c>
      <c r="B1506" s="1" t="s">
        <v>1807</v>
      </c>
      <c r="C1506" s="1">
        <f>95/30</f>
        <v>3.16666666666667</v>
      </c>
      <c r="D1506" s="1">
        <v>0</v>
      </c>
    </row>
    <row r="1507" spans="1:4">
      <c r="A1507" s="56">
        <v>1529</v>
      </c>
      <c r="B1507" s="1" t="s">
        <v>1808</v>
      </c>
      <c r="C1507" s="1">
        <v>3.8</v>
      </c>
      <c r="D1507" s="1">
        <v>0</v>
      </c>
    </row>
    <row r="1508" spans="1:4">
      <c r="A1508" s="56">
        <v>1530</v>
      </c>
      <c r="B1508" s="1" t="s">
        <v>1809</v>
      </c>
      <c r="C1508" s="1">
        <v>2.8</v>
      </c>
      <c r="D1508" s="1">
        <v>0</v>
      </c>
    </row>
    <row r="1509" spans="1:4">
      <c r="A1509" s="56">
        <v>1531</v>
      </c>
      <c r="B1509" s="1" t="s">
        <v>1810</v>
      </c>
      <c r="C1509" s="1">
        <v>2.8</v>
      </c>
      <c r="D1509" s="1">
        <v>0</v>
      </c>
    </row>
    <row r="1510" spans="1:4">
      <c r="A1510" s="56">
        <v>1532</v>
      </c>
      <c r="B1510" s="1" t="s">
        <v>1811</v>
      </c>
      <c r="C1510" s="1">
        <v>2.8</v>
      </c>
      <c r="D1510" s="1">
        <v>0</v>
      </c>
    </row>
    <row r="1511" spans="1:4">
      <c r="A1511" s="56">
        <v>1533</v>
      </c>
      <c r="B1511" s="1" t="s">
        <v>1812</v>
      </c>
      <c r="C1511" s="1">
        <f>275/30</f>
        <v>9.16666666666667</v>
      </c>
      <c r="D1511" s="1">
        <v>0</v>
      </c>
    </row>
    <row r="1512" spans="1:4">
      <c r="A1512" s="56">
        <v>1534</v>
      </c>
      <c r="B1512" s="1" t="s">
        <v>1813</v>
      </c>
      <c r="C1512" s="1">
        <v>6.5</v>
      </c>
      <c r="D1512" s="1">
        <v>0</v>
      </c>
    </row>
    <row r="1513" spans="1:4">
      <c r="A1513" s="56">
        <v>1535</v>
      </c>
      <c r="B1513" s="1" t="s">
        <v>1814</v>
      </c>
      <c r="C1513" s="1">
        <v>14</v>
      </c>
      <c r="D1513" s="1">
        <v>0</v>
      </c>
    </row>
    <row r="1514" spans="1:4">
      <c r="A1514" s="56">
        <v>1536</v>
      </c>
      <c r="B1514" s="1" t="s">
        <v>1815</v>
      </c>
      <c r="C1514" s="1">
        <f>95/30</f>
        <v>3.16666666666667</v>
      </c>
      <c r="D1514" s="1">
        <v>0</v>
      </c>
    </row>
    <row r="1515" spans="1:4">
      <c r="A1515" s="56">
        <v>1537</v>
      </c>
      <c r="B1515" s="1" t="s">
        <v>1816</v>
      </c>
      <c r="C1515" s="1">
        <v>4.2</v>
      </c>
      <c r="D1515" s="1">
        <v>0</v>
      </c>
    </row>
    <row r="1516" spans="1:4">
      <c r="A1516" s="56">
        <v>1538</v>
      </c>
      <c r="B1516" s="1" t="s">
        <v>1817</v>
      </c>
      <c r="C1516" s="1">
        <v>3</v>
      </c>
      <c r="D1516" s="1">
        <v>0</v>
      </c>
    </row>
    <row r="1517" spans="1:4">
      <c r="A1517" s="56">
        <v>1539</v>
      </c>
      <c r="B1517" s="1" t="s">
        <v>1818</v>
      </c>
      <c r="C1517" s="1">
        <v>3</v>
      </c>
      <c r="D1517" s="1">
        <v>0</v>
      </c>
    </row>
    <row r="1518" spans="1:4">
      <c r="A1518" s="56">
        <v>1540</v>
      </c>
      <c r="B1518" s="1" t="s">
        <v>1819</v>
      </c>
      <c r="C1518" s="1">
        <v>3</v>
      </c>
      <c r="D1518" s="1">
        <v>0</v>
      </c>
    </row>
    <row r="1519" spans="1:6">
      <c r="A1519" s="56">
        <v>1541</v>
      </c>
      <c r="B1519" s="1" t="s">
        <v>1820</v>
      </c>
      <c r="C1519" s="1">
        <v>3</v>
      </c>
      <c r="D1519" s="1">
        <v>0</v>
      </c>
      <c r="F1519" s="2" t="s">
        <v>1821</v>
      </c>
    </row>
    <row r="1520" spans="1:6">
      <c r="A1520" s="56">
        <v>1542</v>
      </c>
      <c r="B1520" s="1" t="s">
        <v>1822</v>
      </c>
      <c r="C1520" s="1">
        <v>0</v>
      </c>
      <c r="D1520" s="1">
        <v>1</v>
      </c>
      <c r="F1520" s="2" t="s">
        <v>1823</v>
      </c>
    </row>
    <row r="1521" spans="1:6">
      <c r="A1521" s="56">
        <v>1543</v>
      </c>
      <c r="B1521" s="1" t="s">
        <v>1824</v>
      </c>
      <c r="C1521" s="1">
        <v>0</v>
      </c>
      <c r="D1521" s="1">
        <v>1</v>
      </c>
      <c r="F1521" s="2" t="s">
        <v>1825</v>
      </c>
    </row>
    <row r="1522" spans="1:6">
      <c r="A1522" s="56">
        <v>1544</v>
      </c>
      <c r="B1522" s="1" t="s">
        <v>1826</v>
      </c>
      <c r="C1522" s="1">
        <v>2.8</v>
      </c>
      <c r="D1522" s="1">
        <v>0</v>
      </c>
      <c r="F1522" s="2" t="s">
        <v>1827</v>
      </c>
    </row>
    <row r="1523" spans="1:6">
      <c r="A1523" s="56">
        <v>1545</v>
      </c>
      <c r="B1523" s="1" t="s">
        <v>1828</v>
      </c>
      <c r="C1523" s="1">
        <v>1.5</v>
      </c>
      <c r="D1523" s="1">
        <v>0</v>
      </c>
      <c r="F1523" s="2" t="s">
        <v>1829</v>
      </c>
    </row>
    <row r="1524" spans="1:6">
      <c r="A1524" s="56">
        <v>1546</v>
      </c>
      <c r="B1524" s="1" t="s">
        <v>1830</v>
      </c>
      <c r="C1524" s="1">
        <v>2</v>
      </c>
      <c r="D1524" s="1">
        <v>0</v>
      </c>
      <c r="F1524" s="2" t="s">
        <v>1831</v>
      </c>
    </row>
    <row r="1525" spans="1:6">
      <c r="A1525" s="56">
        <v>1547</v>
      </c>
      <c r="B1525" s="1" t="s">
        <v>1832</v>
      </c>
      <c r="C1525" s="1">
        <v>2</v>
      </c>
      <c r="D1525" s="1">
        <v>0</v>
      </c>
      <c r="F1525" s="2" t="s">
        <v>1833</v>
      </c>
    </row>
    <row r="1526" spans="1:6">
      <c r="A1526" s="56">
        <v>1548</v>
      </c>
      <c r="B1526" s="1" t="s">
        <v>1834</v>
      </c>
      <c r="C1526" s="1">
        <f>74/30</f>
        <v>2.46666666666667</v>
      </c>
      <c r="D1526" s="1">
        <v>0</v>
      </c>
      <c r="F1526" s="5" t="s">
        <v>1835</v>
      </c>
    </row>
    <row r="1527" spans="1:6">
      <c r="A1527" s="56">
        <v>1549</v>
      </c>
      <c r="B1527" s="1" t="s">
        <v>1836</v>
      </c>
      <c r="C1527" s="1">
        <f>190/30</f>
        <v>6.33333333333333</v>
      </c>
      <c r="D1527" s="1">
        <v>0</v>
      </c>
      <c r="F1527" s="5" t="s">
        <v>1835</v>
      </c>
    </row>
    <row r="1528" spans="1:6">
      <c r="A1528" s="56">
        <v>1550</v>
      </c>
      <c r="B1528" s="1" t="s">
        <v>1837</v>
      </c>
      <c r="C1528" s="1">
        <v>2</v>
      </c>
      <c r="D1528" s="1">
        <v>0</v>
      </c>
      <c r="F1528" s="2" t="s">
        <v>1838</v>
      </c>
    </row>
    <row r="1529" spans="1:4">
      <c r="A1529" s="56">
        <v>1551</v>
      </c>
      <c r="B1529" s="1" t="s">
        <v>1839</v>
      </c>
      <c r="C1529" s="1">
        <f>275/30</f>
        <v>9.16666666666667</v>
      </c>
      <c r="D1529" s="1">
        <v>0</v>
      </c>
    </row>
    <row r="1530" spans="1:4">
      <c r="A1530" s="56">
        <v>1552</v>
      </c>
      <c r="B1530" s="1" t="s">
        <v>1840</v>
      </c>
      <c r="C1530" s="1">
        <f>275/30</f>
        <v>9.16666666666667</v>
      </c>
      <c r="D1530" s="1">
        <v>0</v>
      </c>
    </row>
    <row r="1531" spans="1:4">
      <c r="A1531" s="56">
        <v>1553</v>
      </c>
      <c r="B1531" s="1" t="s">
        <v>1841</v>
      </c>
      <c r="C1531" s="1">
        <v>7</v>
      </c>
      <c r="D1531" s="1">
        <v>0</v>
      </c>
    </row>
    <row r="1532" spans="1:4">
      <c r="A1532" s="56">
        <v>1554</v>
      </c>
      <c r="B1532" s="1" t="s">
        <v>1842</v>
      </c>
      <c r="C1532" s="1">
        <v>7</v>
      </c>
      <c r="D1532" s="1">
        <v>0</v>
      </c>
    </row>
    <row r="1533" spans="1:6">
      <c r="A1533" s="56">
        <v>1555</v>
      </c>
      <c r="B1533" s="1" t="s">
        <v>1820</v>
      </c>
      <c r="C1533" s="1">
        <v>3</v>
      </c>
      <c r="D1533" s="1">
        <v>0</v>
      </c>
      <c r="F1533" s="2" t="s">
        <v>1843</v>
      </c>
    </row>
    <row r="1534" spans="1:4">
      <c r="A1534" s="56">
        <v>1556</v>
      </c>
      <c r="B1534" s="1" t="s">
        <v>1844</v>
      </c>
      <c r="C1534" s="1">
        <v>3</v>
      </c>
      <c r="D1534" s="1">
        <v>0</v>
      </c>
    </row>
    <row r="1535" spans="1:6">
      <c r="A1535" s="56">
        <v>1557</v>
      </c>
      <c r="B1535" s="1" t="s">
        <v>1845</v>
      </c>
      <c r="C1535" s="1">
        <v>3.1</v>
      </c>
      <c r="D1535" s="1">
        <v>0</v>
      </c>
      <c r="F1535" s="2" t="s">
        <v>1846</v>
      </c>
    </row>
    <row r="1536" spans="1:6">
      <c r="A1536" s="56">
        <v>1558</v>
      </c>
      <c r="B1536" s="1" t="s">
        <v>1847</v>
      </c>
      <c r="C1536" s="1">
        <f>160/30</f>
        <v>5.33333333333333</v>
      </c>
      <c r="D1536" s="1">
        <v>0</v>
      </c>
      <c r="F1536" s="2" t="s">
        <v>1846</v>
      </c>
    </row>
    <row r="1537" spans="1:6">
      <c r="A1537" s="56">
        <v>1559</v>
      </c>
      <c r="B1537" s="1" t="s">
        <v>1848</v>
      </c>
      <c r="C1537" s="1">
        <v>3</v>
      </c>
      <c r="D1537" s="1">
        <v>0</v>
      </c>
      <c r="F1537" s="2" t="s">
        <v>1612</v>
      </c>
    </row>
    <row r="1538" spans="1:6">
      <c r="A1538" s="56">
        <v>1560</v>
      </c>
      <c r="B1538" s="1" t="s">
        <v>1849</v>
      </c>
      <c r="C1538" s="1">
        <v>1.6</v>
      </c>
      <c r="D1538" s="1">
        <v>0</v>
      </c>
      <c r="F1538" s="2" t="s">
        <v>1612</v>
      </c>
    </row>
    <row r="1539" spans="1:6">
      <c r="A1539" s="56">
        <v>1561</v>
      </c>
      <c r="B1539" s="1" t="s">
        <v>1850</v>
      </c>
      <c r="C1539" s="1">
        <v>3.6</v>
      </c>
      <c r="D1539" s="1">
        <v>0</v>
      </c>
      <c r="F1539" s="2" t="s">
        <v>1851</v>
      </c>
    </row>
    <row r="1540" spans="1:6">
      <c r="A1540" s="56">
        <v>1562</v>
      </c>
      <c r="B1540" s="1" t="s">
        <v>1852</v>
      </c>
      <c r="C1540" s="1">
        <v>14</v>
      </c>
      <c r="D1540" s="1">
        <v>0</v>
      </c>
      <c r="F1540" s="2" t="s">
        <v>1853</v>
      </c>
    </row>
    <row r="1541" spans="1:6">
      <c r="A1541" s="56">
        <v>1563</v>
      </c>
      <c r="B1541" s="1" t="s">
        <v>1854</v>
      </c>
      <c r="C1541" s="1">
        <v>14</v>
      </c>
      <c r="D1541" s="1">
        <v>0</v>
      </c>
      <c r="F1541" s="2" t="s">
        <v>1853</v>
      </c>
    </row>
    <row r="1542" spans="1:6">
      <c r="A1542" s="56">
        <v>1564</v>
      </c>
      <c r="B1542" s="1" t="s">
        <v>1855</v>
      </c>
      <c r="C1542" s="1">
        <v>3.5</v>
      </c>
      <c r="D1542" s="1">
        <v>0</v>
      </c>
      <c r="F1542" s="2" t="s">
        <v>1856</v>
      </c>
    </row>
    <row r="1543" spans="1:6">
      <c r="A1543" s="56">
        <v>1565</v>
      </c>
      <c r="B1543" s="1" t="s">
        <v>1857</v>
      </c>
      <c r="C1543" s="1">
        <v>3.5</v>
      </c>
      <c r="D1543" s="1">
        <v>0</v>
      </c>
      <c r="F1543" s="2" t="s">
        <v>1856</v>
      </c>
    </row>
    <row r="1544" spans="1:6">
      <c r="A1544" s="56">
        <v>1566</v>
      </c>
      <c r="B1544" s="1" t="s">
        <v>1858</v>
      </c>
      <c r="C1544" s="1">
        <v>0</v>
      </c>
      <c r="D1544" s="1">
        <v>1</v>
      </c>
      <c r="F1544" s="2" t="s">
        <v>1859</v>
      </c>
    </row>
    <row r="1545" spans="1:6">
      <c r="A1545" s="56">
        <v>1567</v>
      </c>
      <c r="B1545" s="1" t="s">
        <v>1860</v>
      </c>
      <c r="C1545" s="1">
        <v>3</v>
      </c>
      <c r="D1545" s="1">
        <v>0</v>
      </c>
      <c r="F1545" s="2" t="s">
        <v>1861</v>
      </c>
    </row>
    <row r="1546" spans="1:6">
      <c r="A1546" s="56">
        <v>1568</v>
      </c>
      <c r="B1546" s="1" t="s">
        <v>1862</v>
      </c>
      <c r="C1546" s="1">
        <v>3</v>
      </c>
      <c r="D1546" s="1">
        <v>0</v>
      </c>
      <c r="F1546" s="2" t="s">
        <v>1863</v>
      </c>
    </row>
    <row r="1547" spans="1:6">
      <c r="A1547" s="56">
        <v>1569</v>
      </c>
      <c r="B1547" s="1" t="s">
        <v>1864</v>
      </c>
      <c r="C1547" s="1">
        <v>3</v>
      </c>
      <c r="D1547" s="1">
        <v>0</v>
      </c>
      <c r="F1547" s="2" t="s">
        <v>1649</v>
      </c>
    </row>
    <row r="1548" spans="1:4">
      <c r="A1548" s="56">
        <v>1570</v>
      </c>
      <c r="B1548" s="1" t="s">
        <v>1865</v>
      </c>
      <c r="C1548" s="1">
        <v>3</v>
      </c>
      <c r="D1548" s="1">
        <v>0</v>
      </c>
    </row>
    <row r="1549" spans="1:6">
      <c r="A1549" s="56">
        <v>1571</v>
      </c>
      <c r="B1549" s="1" t="s">
        <v>1866</v>
      </c>
      <c r="C1549" s="1">
        <v>2</v>
      </c>
      <c r="D1549" s="1">
        <v>0</v>
      </c>
      <c r="F1549" s="2" t="s">
        <v>1867</v>
      </c>
    </row>
    <row r="1550" spans="1:6">
      <c r="A1550" s="56">
        <v>1572</v>
      </c>
      <c r="B1550" s="1" t="s">
        <v>1868</v>
      </c>
      <c r="C1550" s="1">
        <v>2</v>
      </c>
      <c r="D1550" s="1">
        <v>0</v>
      </c>
      <c r="F1550" s="2" t="s">
        <v>1869</v>
      </c>
    </row>
    <row r="1551" spans="1:6">
      <c r="A1551" s="56">
        <v>1573</v>
      </c>
      <c r="B1551" s="1" t="s">
        <v>1870</v>
      </c>
      <c r="C1551" s="1">
        <v>0</v>
      </c>
      <c r="D1551" s="1">
        <v>1</v>
      </c>
      <c r="F1551" s="2" t="s">
        <v>1871</v>
      </c>
    </row>
    <row r="1552" spans="1:6">
      <c r="A1552" s="56">
        <v>1574</v>
      </c>
      <c r="B1552" s="1" t="s">
        <v>1872</v>
      </c>
      <c r="C1552" s="1">
        <v>0</v>
      </c>
      <c r="D1552" s="1">
        <v>1</v>
      </c>
      <c r="F1552" s="2" t="s">
        <v>1871</v>
      </c>
    </row>
    <row r="1553" spans="1:6">
      <c r="A1553" s="56">
        <v>1575</v>
      </c>
      <c r="B1553" s="1" t="s">
        <v>1873</v>
      </c>
      <c r="C1553" s="1">
        <v>0</v>
      </c>
      <c r="D1553" s="1">
        <v>1</v>
      </c>
      <c r="F1553" s="2" t="s">
        <v>1871</v>
      </c>
    </row>
    <row r="1554" spans="1:6">
      <c r="A1554" s="56">
        <v>1576</v>
      </c>
      <c r="B1554" s="1" t="s">
        <v>1874</v>
      </c>
      <c r="C1554" s="1">
        <v>5</v>
      </c>
      <c r="D1554" s="1">
        <v>0</v>
      </c>
      <c r="F1554" s="2" t="s">
        <v>1875</v>
      </c>
    </row>
    <row r="1555" spans="1:6">
      <c r="A1555" s="56">
        <v>1577</v>
      </c>
      <c r="B1555" s="1" t="s">
        <v>1876</v>
      </c>
      <c r="C1555" s="1">
        <v>1</v>
      </c>
      <c r="D1555" s="1">
        <v>1</v>
      </c>
      <c r="F1555" s="2" t="s">
        <v>1877</v>
      </c>
    </row>
    <row r="1556" spans="1:6">
      <c r="A1556" s="56">
        <v>1578</v>
      </c>
      <c r="B1556" s="1" t="s">
        <v>1878</v>
      </c>
      <c r="C1556" s="1">
        <f>515/30</f>
        <v>17.1666666666667</v>
      </c>
      <c r="D1556" s="1">
        <v>0</v>
      </c>
      <c r="F1556" s="5" t="s">
        <v>1879</v>
      </c>
    </row>
    <row r="1557" spans="1:6">
      <c r="A1557" s="56">
        <v>1579</v>
      </c>
      <c r="B1557" s="1" t="s">
        <v>1880</v>
      </c>
      <c r="C1557" s="1">
        <v>0</v>
      </c>
      <c r="D1557" s="1">
        <v>1</v>
      </c>
      <c r="F1557" s="2" t="s">
        <v>1881</v>
      </c>
    </row>
    <row r="1558" spans="1:6">
      <c r="A1558" s="56">
        <v>1580</v>
      </c>
      <c r="B1558" s="1" t="s">
        <v>1882</v>
      </c>
      <c r="C1558" s="1">
        <v>0</v>
      </c>
      <c r="D1558" s="1">
        <v>1</v>
      </c>
      <c r="F1558" s="2" t="s">
        <v>1883</v>
      </c>
    </row>
    <row r="1559" spans="1:6">
      <c r="A1559" s="56">
        <v>1581</v>
      </c>
      <c r="B1559" s="1" t="s">
        <v>1884</v>
      </c>
      <c r="C1559" s="1">
        <v>0</v>
      </c>
      <c r="D1559" s="1">
        <v>1</v>
      </c>
      <c r="F1559" s="2" t="s">
        <v>1885</v>
      </c>
    </row>
    <row r="1560" spans="1:6">
      <c r="A1560" s="56">
        <v>1582</v>
      </c>
      <c r="B1560" s="1" t="s">
        <v>1886</v>
      </c>
      <c r="C1560" s="1">
        <v>2.5</v>
      </c>
      <c r="D1560" s="1">
        <v>0</v>
      </c>
      <c r="F1560" s="2" t="s">
        <v>1887</v>
      </c>
    </row>
    <row r="1561" spans="1:6">
      <c r="A1561" s="56">
        <v>1583</v>
      </c>
      <c r="B1561" s="1" t="s">
        <v>1888</v>
      </c>
      <c r="C1561" s="1">
        <v>1</v>
      </c>
      <c r="D1561" s="1">
        <v>1</v>
      </c>
      <c r="F1561" s="2" t="s">
        <v>1889</v>
      </c>
    </row>
    <row r="1562" spans="1:6">
      <c r="A1562" s="56">
        <v>1584</v>
      </c>
      <c r="B1562" s="1" t="s">
        <v>1890</v>
      </c>
      <c r="C1562" s="1">
        <v>3.8</v>
      </c>
      <c r="D1562" s="1">
        <v>0</v>
      </c>
      <c r="F1562" s="2" t="s">
        <v>1891</v>
      </c>
    </row>
    <row r="1563" spans="1:6">
      <c r="A1563" s="56">
        <v>1585</v>
      </c>
      <c r="B1563" s="1" t="s">
        <v>1892</v>
      </c>
      <c r="C1563" s="1">
        <v>4</v>
      </c>
      <c r="D1563" s="1">
        <v>0</v>
      </c>
      <c r="F1563" s="2" t="s">
        <v>1893</v>
      </c>
    </row>
    <row r="1564" spans="1:6">
      <c r="A1564" s="56">
        <v>1586</v>
      </c>
      <c r="B1564" s="1" t="s">
        <v>1894</v>
      </c>
      <c r="C1564" s="1">
        <v>3.7</v>
      </c>
      <c r="D1564" s="1">
        <v>0</v>
      </c>
      <c r="F1564" s="2" t="s">
        <v>1895</v>
      </c>
    </row>
    <row r="1565" spans="1:6">
      <c r="A1565" s="56">
        <v>1587</v>
      </c>
      <c r="B1565" s="1" t="s">
        <v>1896</v>
      </c>
      <c r="C1565" s="1">
        <v>3.5</v>
      </c>
      <c r="D1565" s="1">
        <v>0</v>
      </c>
      <c r="F1565" s="2" t="s">
        <v>1897</v>
      </c>
    </row>
    <row r="1566" spans="1:6">
      <c r="A1566" s="56">
        <v>1588</v>
      </c>
      <c r="B1566" s="1" t="s">
        <v>1898</v>
      </c>
      <c r="C1566" s="1">
        <v>5</v>
      </c>
      <c r="D1566" s="1">
        <v>0</v>
      </c>
      <c r="F1566" s="2" t="s">
        <v>1899</v>
      </c>
    </row>
    <row r="1567" spans="1:6">
      <c r="A1567" s="56">
        <v>1589</v>
      </c>
      <c r="B1567" s="1" t="s">
        <v>1900</v>
      </c>
      <c r="C1567" s="1">
        <v>9.5</v>
      </c>
      <c r="D1567" s="1">
        <v>0</v>
      </c>
      <c r="F1567" s="2" t="s">
        <v>1901</v>
      </c>
    </row>
    <row r="1568" spans="1:6">
      <c r="A1568" s="56">
        <v>1590</v>
      </c>
      <c r="B1568" s="1" t="s">
        <v>1902</v>
      </c>
      <c r="C1568" s="1">
        <f>220/30</f>
        <v>7.33333333333333</v>
      </c>
      <c r="D1568" s="1">
        <v>0</v>
      </c>
      <c r="F1568" s="2" t="s">
        <v>1903</v>
      </c>
    </row>
    <row r="1569" spans="1:6">
      <c r="A1569" s="56">
        <v>1591</v>
      </c>
      <c r="B1569" s="1" t="s">
        <v>1904</v>
      </c>
      <c r="C1569" s="1">
        <f>290/30</f>
        <v>9.66666666666667</v>
      </c>
      <c r="D1569" s="1">
        <v>0</v>
      </c>
      <c r="F1569" s="2" t="s">
        <v>1905</v>
      </c>
    </row>
    <row r="1570" spans="1:6">
      <c r="A1570" s="56">
        <v>1592</v>
      </c>
      <c r="B1570" s="1" t="s">
        <v>1906</v>
      </c>
      <c r="C1570" s="1">
        <v>0</v>
      </c>
      <c r="D1570" s="1">
        <v>1</v>
      </c>
      <c r="F1570" s="2" t="s">
        <v>1907</v>
      </c>
    </row>
    <row r="1571" spans="1:4">
      <c r="A1571" s="56">
        <v>1593</v>
      </c>
      <c r="B1571" s="1" t="s">
        <v>1908</v>
      </c>
      <c r="C1571" s="1">
        <v>1</v>
      </c>
      <c r="D1571" s="1">
        <v>0</v>
      </c>
    </row>
    <row r="1572" spans="1:4">
      <c r="A1572" s="56">
        <v>1594</v>
      </c>
      <c r="B1572" s="1" t="s">
        <v>1909</v>
      </c>
      <c r="C1572" s="1">
        <v>1</v>
      </c>
      <c r="D1572" s="1">
        <v>0</v>
      </c>
    </row>
    <row r="1573" spans="1:4">
      <c r="A1573" s="56">
        <v>1595</v>
      </c>
      <c r="B1573" s="1" t="s">
        <v>1910</v>
      </c>
      <c r="C1573" s="1">
        <v>1</v>
      </c>
      <c r="D1573" s="1">
        <v>0</v>
      </c>
    </row>
    <row r="1574" spans="1:4">
      <c r="A1574" s="56">
        <v>1596</v>
      </c>
      <c r="B1574" s="1" t="s">
        <v>1911</v>
      </c>
      <c r="C1574" s="1">
        <v>2</v>
      </c>
      <c r="D1574" s="1">
        <v>0</v>
      </c>
    </row>
    <row r="1575" spans="1:7">
      <c r="A1575" s="56">
        <v>1597</v>
      </c>
      <c r="B1575" s="1" t="s">
        <v>1912</v>
      </c>
      <c r="C1575" s="1">
        <v>5.5</v>
      </c>
      <c r="D1575" s="1">
        <v>0</v>
      </c>
      <c r="F1575" s="2" t="s">
        <v>1913</v>
      </c>
      <c r="G1575" s="113"/>
    </row>
    <row r="1576" spans="1:7">
      <c r="A1576" s="56">
        <v>1598</v>
      </c>
      <c r="B1576" s="1" t="s">
        <v>1914</v>
      </c>
      <c r="C1576" s="1">
        <v>7.8</v>
      </c>
      <c r="D1576" s="1">
        <v>0</v>
      </c>
      <c r="F1576" s="2" t="s">
        <v>1915</v>
      </c>
      <c r="G1576" s="113"/>
    </row>
    <row r="1577" spans="1:7">
      <c r="A1577" s="56">
        <v>1599</v>
      </c>
      <c r="B1577" s="1" t="s">
        <v>1916</v>
      </c>
      <c r="C1577" s="1">
        <v>3</v>
      </c>
      <c r="D1577" s="1">
        <v>0</v>
      </c>
      <c r="F1577" s="2" t="s">
        <v>1917</v>
      </c>
      <c r="G1577" s="113"/>
    </row>
    <row r="1578" spans="1:7">
      <c r="A1578" s="56">
        <v>1600</v>
      </c>
      <c r="B1578" s="1" t="s">
        <v>1918</v>
      </c>
      <c r="C1578" s="1">
        <v>3</v>
      </c>
      <c r="D1578" s="1">
        <v>0</v>
      </c>
      <c r="F1578" s="2" t="s">
        <v>1919</v>
      </c>
      <c r="G1578" s="113"/>
    </row>
    <row r="1579" spans="1:7">
      <c r="A1579" s="56">
        <v>1601</v>
      </c>
      <c r="B1579" s="1" t="s">
        <v>1920</v>
      </c>
      <c r="C1579" s="1">
        <v>3</v>
      </c>
      <c r="D1579" s="1">
        <v>0</v>
      </c>
      <c r="F1579" s="2" t="s">
        <v>1921</v>
      </c>
      <c r="G1579" s="113"/>
    </row>
    <row r="1580" spans="1:7">
      <c r="A1580" s="56">
        <v>1602</v>
      </c>
      <c r="B1580" s="1" t="s">
        <v>1922</v>
      </c>
      <c r="C1580" s="1">
        <v>2.8</v>
      </c>
      <c r="D1580" s="1">
        <v>0</v>
      </c>
      <c r="G1580" s="113"/>
    </row>
    <row r="1581" spans="1:7">
      <c r="A1581" s="56">
        <v>1603</v>
      </c>
      <c r="B1581" s="1" t="s">
        <v>1923</v>
      </c>
      <c r="C1581" s="1">
        <v>10.5</v>
      </c>
      <c r="D1581" s="1">
        <v>0</v>
      </c>
      <c r="F1581" s="2" t="s">
        <v>1924</v>
      </c>
      <c r="G1581" s="113"/>
    </row>
    <row r="1582" spans="1:7">
      <c r="A1582" s="56">
        <v>1604</v>
      </c>
      <c r="B1582" s="1" t="s">
        <v>1925</v>
      </c>
      <c r="C1582" s="1">
        <v>4</v>
      </c>
      <c r="D1582" s="1">
        <v>0</v>
      </c>
      <c r="F1582" s="2" t="s">
        <v>1926</v>
      </c>
      <c r="G1582" s="113"/>
    </row>
    <row r="1583" spans="1:7">
      <c r="A1583" s="56">
        <v>1605</v>
      </c>
      <c r="B1583" s="1" t="s">
        <v>1927</v>
      </c>
      <c r="C1583" s="1">
        <v>10</v>
      </c>
      <c r="D1583" s="1">
        <v>0</v>
      </c>
      <c r="F1583" s="2" t="s">
        <v>1928</v>
      </c>
      <c r="G1583" s="113"/>
    </row>
    <row r="1584" spans="1:7">
      <c r="A1584" s="56">
        <v>1606</v>
      </c>
      <c r="B1584" s="1" t="s">
        <v>1929</v>
      </c>
      <c r="C1584" s="1">
        <v>4</v>
      </c>
      <c r="D1584" s="1">
        <v>0</v>
      </c>
      <c r="F1584" s="2" t="s">
        <v>1930</v>
      </c>
      <c r="G1584" s="113"/>
    </row>
    <row r="1585" spans="1:7">
      <c r="A1585" s="56">
        <v>1607</v>
      </c>
      <c r="B1585" s="1" t="s">
        <v>1931</v>
      </c>
      <c r="C1585" s="1">
        <v>3</v>
      </c>
      <c r="D1585" s="1">
        <v>0</v>
      </c>
      <c r="F1585" s="2" t="s">
        <v>1932</v>
      </c>
      <c r="G1585" s="113"/>
    </row>
    <row r="1586" spans="1:7">
      <c r="A1586" s="56">
        <v>1608</v>
      </c>
      <c r="B1586" s="1" t="s">
        <v>1933</v>
      </c>
      <c r="C1586" s="1">
        <v>3</v>
      </c>
      <c r="D1586" s="1">
        <v>0</v>
      </c>
      <c r="F1586" s="2" t="s">
        <v>1934</v>
      </c>
      <c r="G1586" s="113"/>
    </row>
    <row r="1587" spans="1:7">
      <c r="A1587" s="56">
        <v>1609</v>
      </c>
      <c r="B1587" s="1" t="s">
        <v>1935</v>
      </c>
      <c r="C1587" s="1">
        <v>2.5</v>
      </c>
      <c r="D1587" s="1">
        <v>0</v>
      </c>
      <c r="F1587" s="2" t="s">
        <v>1936</v>
      </c>
      <c r="G1587" s="113"/>
    </row>
    <row r="1588" spans="1:7">
      <c r="A1588" s="56">
        <v>1610</v>
      </c>
      <c r="B1588" s="1" t="s">
        <v>1937</v>
      </c>
      <c r="C1588" s="1">
        <v>2.7</v>
      </c>
      <c r="D1588" s="1">
        <v>0</v>
      </c>
      <c r="F1588" s="2" t="s">
        <v>1938</v>
      </c>
      <c r="G1588" s="113"/>
    </row>
    <row r="1589" spans="1:7">
      <c r="A1589" s="56">
        <v>1611</v>
      </c>
      <c r="B1589" s="1" t="s">
        <v>1939</v>
      </c>
      <c r="C1589" s="1">
        <v>3.5</v>
      </c>
      <c r="D1589" s="1">
        <v>0</v>
      </c>
      <c r="F1589" s="2" t="s">
        <v>1940</v>
      </c>
      <c r="G1589" s="113"/>
    </row>
    <row r="1590" spans="1:7">
      <c r="A1590" s="56">
        <v>1612</v>
      </c>
      <c r="B1590" s="1" t="s">
        <v>1941</v>
      </c>
      <c r="C1590" s="1">
        <v>3</v>
      </c>
      <c r="D1590" s="1">
        <v>0</v>
      </c>
      <c r="F1590" s="2" t="s">
        <v>1942</v>
      </c>
      <c r="G1590" s="113"/>
    </row>
    <row r="1591" spans="1:7">
      <c r="A1591" s="56">
        <v>1613</v>
      </c>
      <c r="B1591" s="1" t="s">
        <v>1943</v>
      </c>
      <c r="C1591" s="1">
        <v>3</v>
      </c>
      <c r="D1591" s="1">
        <v>0</v>
      </c>
      <c r="F1591" s="2" t="s">
        <v>1944</v>
      </c>
      <c r="G1591" s="113"/>
    </row>
    <row r="1592" spans="1:7">
      <c r="A1592" s="56">
        <v>1614</v>
      </c>
      <c r="B1592" s="1" t="s">
        <v>1945</v>
      </c>
      <c r="C1592" s="1">
        <v>0</v>
      </c>
      <c r="D1592" s="1">
        <v>1</v>
      </c>
      <c r="F1592" s="2" t="s">
        <v>1946</v>
      </c>
      <c r="G1592" s="113"/>
    </row>
    <row r="1593" spans="1:7">
      <c r="A1593" s="56">
        <v>1615</v>
      </c>
      <c r="B1593" s="1" t="s">
        <v>1947</v>
      </c>
      <c r="C1593" s="1">
        <v>2.35</v>
      </c>
      <c r="D1593" s="1">
        <v>0</v>
      </c>
      <c r="F1593" s="2" t="s">
        <v>1948</v>
      </c>
      <c r="G1593" s="113"/>
    </row>
    <row r="1594" spans="1:7">
      <c r="A1594" s="56">
        <v>1616</v>
      </c>
      <c r="B1594" s="1" t="s">
        <v>1949</v>
      </c>
      <c r="C1594" s="1">
        <v>1.5</v>
      </c>
      <c r="D1594" s="1">
        <v>0</v>
      </c>
      <c r="F1594" s="2" t="s">
        <v>1948</v>
      </c>
      <c r="G1594" s="113"/>
    </row>
    <row r="1595" spans="1:7">
      <c r="A1595" s="56">
        <v>1617</v>
      </c>
      <c r="B1595" s="1" t="s">
        <v>1950</v>
      </c>
      <c r="C1595" s="1">
        <v>2.3</v>
      </c>
      <c r="D1595" s="1">
        <v>0</v>
      </c>
      <c r="F1595" s="2" t="s">
        <v>1948</v>
      </c>
      <c r="G1595" s="113"/>
    </row>
    <row r="1596" spans="1:7">
      <c r="A1596" s="56">
        <v>1618</v>
      </c>
      <c r="B1596" s="1" t="s">
        <v>1951</v>
      </c>
      <c r="C1596" s="1">
        <v>1.9</v>
      </c>
      <c r="D1596" s="1">
        <v>0</v>
      </c>
      <c r="F1596" s="2" t="s">
        <v>1948</v>
      </c>
      <c r="G1596" s="113"/>
    </row>
    <row r="1597" spans="1:7">
      <c r="A1597" s="56">
        <v>1619</v>
      </c>
      <c r="B1597" s="1" t="s">
        <v>1952</v>
      </c>
      <c r="C1597" s="1">
        <v>1.5</v>
      </c>
      <c r="D1597" s="1">
        <v>0</v>
      </c>
      <c r="F1597" s="2" t="s">
        <v>1948</v>
      </c>
      <c r="G1597" s="113"/>
    </row>
    <row r="1598" spans="1:7">
      <c r="A1598" s="56">
        <v>1620</v>
      </c>
      <c r="B1598" s="1" t="s">
        <v>1953</v>
      </c>
      <c r="C1598" s="1">
        <v>4.35</v>
      </c>
      <c r="D1598" s="1">
        <v>0</v>
      </c>
      <c r="F1598" s="2" t="s">
        <v>1948</v>
      </c>
      <c r="G1598" s="113"/>
    </row>
    <row r="1599" spans="1:7">
      <c r="A1599" s="56">
        <v>1621</v>
      </c>
      <c r="B1599" s="1" t="s">
        <v>1954</v>
      </c>
      <c r="C1599" s="1">
        <v>3.9</v>
      </c>
      <c r="D1599" s="1">
        <v>0</v>
      </c>
      <c r="F1599" s="2" t="s">
        <v>1948</v>
      </c>
      <c r="G1599" s="113"/>
    </row>
    <row r="1600" spans="1:7">
      <c r="A1600" s="56">
        <v>1622</v>
      </c>
      <c r="B1600" s="1" t="s">
        <v>1955</v>
      </c>
      <c r="C1600" s="1">
        <v>5.2</v>
      </c>
      <c r="D1600" s="1">
        <v>0</v>
      </c>
      <c r="F1600" s="2" t="s">
        <v>1948</v>
      </c>
      <c r="G1600" s="113"/>
    </row>
    <row r="1601" spans="1:7">
      <c r="A1601" s="56">
        <v>1623</v>
      </c>
      <c r="B1601" s="1" t="s">
        <v>1956</v>
      </c>
      <c r="C1601" s="1">
        <v>1.5</v>
      </c>
      <c r="D1601" s="1">
        <v>0</v>
      </c>
      <c r="F1601" s="2" t="s">
        <v>1948</v>
      </c>
      <c r="G1601" s="113"/>
    </row>
    <row r="1602" spans="1:7">
      <c r="A1602" s="56">
        <v>1624</v>
      </c>
      <c r="B1602" s="1" t="s">
        <v>1957</v>
      </c>
      <c r="C1602" s="1">
        <v>5.55</v>
      </c>
      <c r="D1602" s="1">
        <v>0</v>
      </c>
      <c r="F1602" s="2" t="s">
        <v>1948</v>
      </c>
      <c r="G1602" s="113"/>
    </row>
    <row r="1603" spans="1:7">
      <c r="A1603" s="56">
        <v>1625</v>
      </c>
      <c r="B1603" s="1" t="s">
        <v>1958</v>
      </c>
      <c r="C1603" s="1">
        <v>4.19</v>
      </c>
      <c r="D1603" s="1">
        <v>0</v>
      </c>
      <c r="F1603" s="2" t="s">
        <v>1948</v>
      </c>
      <c r="G1603" s="113"/>
    </row>
    <row r="1604" spans="1:7">
      <c r="A1604" s="56">
        <v>1626</v>
      </c>
      <c r="B1604" s="1" t="s">
        <v>1959</v>
      </c>
      <c r="C1604" s="1">
        <v>1.5</v>
      </c>
      <c r="D1604" s="1">
        <v>0</v>
      </c>
      <c r="F1604" s="2" t="s">
        <v>1948</v>
      </c>
      <c r="G1604" s="113"/>
    </row>
    <row r="1605" spans="1:7">
      <c r="A1605" s="56">
        <v>1627</v>
      </c>
      <c r="B1605" s="1" t="s">
        <v>1960</v>
      </c>
      <c r="C1605" s="1">
        <v>3</v>
      </c>
      <c r="D1605" s="1">
        <v>0</v>
      </c>
      <c r="F1605" s="2" t="s">
        <v>1961</v>
      </c>
      <c r="G1605" s="113"/>
    </row>
    <row r="1606" spans="1:7">
      <c r="A1606" s="56">
        <v>1628</v>
      </c>
      <c r="B1606" s="1" t="s">
        <v>1962</v>
      </c>
      <c r="C1606" s="1">
        <v>1.5</v>
      </c>
      <c r="D1606" s="1">
        <v>0</v>
      </c>
      <c r="F1606" s="2" t="s">
        <v>1963</v>
      </c>
      <c r="G1606" s="113"/>
    </row>
    <row r="1607" spans="1:7">
      <c r="A1607" s="56">
        <v>1629</v>
      </c>
      <c r="B1607" s="1" t="s">
        <v>1964</v>
      </c>
      <c r="C1607" s="1">
        <v>1.5</v>
      </c>
      <c r="D1607" s="1">
        <v>0</v>
      </c>
      <c r="F1607" s="2" t="s">
        <v>1965</v>
      </c>
      <c r="G1607" s="113"/>
    </row>
    <row r="1608" spans="1:7">
      <c r="A1608" s="56">
        <v>1630</v>
      </c>
      <c r="B1608" s="1" t="s">
        <v>1966</v>
      </c>
      <c r="C1608" s="1">
        <v>1.5</v>
      </c>
      <c r="D1608" s="1">
        <v>0</v>
      </c>
      <c r="F1608" s="2" t="s">
        <v>1967</v>
      </c>
      <c r="G1608" s="113"/>
    </row>
    <row r="1609" spans="1:7">
      <c r="A1609" s="56">
        <v>1632</v>
      </c>
      <c r="B1609" s="1" t="s">
        <v>1968</v>
      </c>
      <c r="C1609" s="1">
        <v>2.4</v>
      </c>
      <c r="D1609" s="1">
        <v>0</v>
      </c>
      <c r="F1609" s="2" t="s">
        <v>1969</v>
      </c>
      <c r="G1609" s="113"/>
    </row>
    <row r="1610" spans="1:7">
      <c r="A1610" s="56">
        <v>1633</v>
      </c>
      <c r="B1610" s="1" t="s">
        <v>1970</v>
      </c>
      <c r="C1610" s="1">
        <v>4</v>
      </c>
      <c r="D1610" s="1">
        <v>0</v>
      </c>
      <c r="F1610" s="2" t="s">
        <v>1971</v>
      </c>
      <c r="G1610" s="113"/>
    </row>
    <row r="1611" spans="1:7">
      <c r="A1611" s="56">
        <v>1634</v>
      </c>
      <c r="B1611" s="1" t="s">
        <v>1972</v>
      </c>
      <c r="C1611" s="1">
        <v>4</v>
      </c>
      <c r="D1611" s="1">
        <v>0</v>
      </c>
      <c r="F1611" s="2" t="s">
        <v>1971</v>
      </c>
      <c r="G1611" s="113"/>
    </row>
    <row r="1612" spans="1:7">
      <c r="A1612" s="56">
        <v>1635</v>
      </c>
      <c r="B1612" s="1" t="s">
        <v>1973</v>
      </c>
      <c r="C1612" s="1">
        <v>3.2</v>
      </c>
      <c r="D1612" s="1">
        <v>0</v>
      </c>
      <c r="F1612" s="2" t="s">
        <v>1971</v>
      </c>
      <c r="G1612" s="113"/>
    </row>
    <row r="1613" spans="1:7">
      <c r="A1613" s="56">
        <v>1636</v>
      </c>
      <c r="B1613" s="1" t="s">
        <v>1974</v>
      </c>
      <c r="C1613" s="1">
        <v>9</v>
      </c>
      <c r="D1613" s="1">
        <v>0</v>
      </c>
      <c r="F1613" s="2" t="s">
        <v>1971</v>
      </c>
      <c r="G1613" s="113"/>
    </row>
    <row r="1614" spans="1:7">
      <c r="A1614" s="56">
        <v>1637</v>
      </c>
      <c r="B1614" s="1" t="s">
        <v>1975</v>
      </c>
      <c r="C1614" s="1">
        <v>9.16666666666667</v>
      </c>
      <c r="D1614" s="1">
        <v>0</v>
      </c>
      <c r="F1614" s="2" t="s">
        <v>1971</v>
      </c>
      <c r="G1614" s="113"/>
    </row>
    <row r="1615" spans="1:7">
      <c r="A1615" s="56">
        <v>1638</v>
      </c>
      <c r="B1615" s="1" t="s">
        <v>1976</v>
      </c>
      <c r="C1615" s="1">
        <v>10.9</v>
      </c>
      <c r="D1615" s="1">
        <v>0</v>
      </c>
      <c r="F1615" s="2" t="s">
        <v>1971</v>
      </c>
      <c r="G1615" s="113"/>
    </row>
    <row r="1616" spans="1:7">
      <c r="A1616" s="56">
        <v>1639</v>
      </c>
      <c r="B1616" s="1" t="s">
        <v>1977</v>
      </c>
      <c r="C1616" s="1">
        <v>1</v>
      </c>
      <c r="D1616" s="1">
        <v>0</v>
      </c>
      <c r="F1616" s="2" t="s">
        <v>1978</v>
      </c>
      <c r="G1616" s="113"/>
    </row>
    <row r="1617" spans="1:7">
      <c r="A1617" s="56">
        <v>1640</v>
      </c>
      <c r="B1617" s="1" t="s">
        <v>1979</v>
      </c>
      <c r="C1617" s="1">
        <v>0</v>
      </c>
      <c r="D1617" s="1">
        <v>1</v>
      </c>
      <c r="F1617" s="2" t="s">
        <v>1980</v>
      </c>
      <c r="G1617" s="113"/>
    </row>
    <row r="1618" spans="1:7">
      <c r="A1618" s="56">
        <v>1641</v>
      </c>
      <c r="B1618" s="1" t="s">
        <v>1981</v>
      </c>
      <c r="C1618" s="1">
        <v>0</v>
      </c>
      <c r="D1618" s="1">
        <v>1</v>
      </c>
      <c r="F1618" s="2" t="s">
        <v>1982</v>
      </c>
      <c r="G1618" s="113"/>
    </row>
    <row r="1619" spans="1:7">
      <c r="A1619" s="56">
        <v>1642</v>
      </c>
      <c r="B1619" s="1" t="s">
        <v>1983</v>
      </c>
      <c r="C1619" s="1">
        <v>0</v>
      </c>
      <c r="D1619" s="1">
        <v>1</v>
      </c>
      <c r="F1619" s="2" t="s">
        <v>1984</v>
      </c>
      <c r="G1619" s="113"/>
    </row>
    <row r="1620" spans="1:7">
      <c r="A1620" s="56">
        <v>1643</v>
      </c>
      <c r="B1620" s="1" t="s">
        <v>1985</v>
      </c>
      <c r="C1620" s="1">
        <v>0</v>
      </c>
      <c r="D1620" s="1">
        <v>1</v>
      </c>
      <c r="F1620" s="2" t="s">
        <v>1986</v>
      </c>
      <c r="G1620" s="113"/>
    </row>
    <row r="1621" spans="1:7">
      <c r="A1621" s="56">
        <v>1644</v>
      </c>
      <c r="B1621" s="1" t="s">
        <v>1987</v>
      </c>
      <c r="C1621" s="1">
        <v>0</v>
      </c>
      <c r="D1621" s="1">
        <v>1</v>
      </c>
      <c r="F1621" s="2" t="s">
        <v>1988</v>
      </c>
      <c r="G1621" s="113"/>
    </row>
    <row r="1622" spans="1:7">
      <c r="A1622" s="56">
        <v>1645</v>
      </c>
      <c r="B1622" s="1" t="s">
        <v>1989</v>
      </c>
      <c r="C1622" s="1">
        <v>1</v>
      </c>
      <c r="D1622" s="1">
        <v>0</v>
      </c>
      <c r="F1622" s="2" t="s">
        <v>1990</v>
      </c>
      <c r="G1622" s="113"/>
    </row>
    <row r="1623" spans="1:7">
      <c r="A1623" s="56">
        <v>1646</v>
      </c>
      <c r="B1623" s="1" t="s">
        <v>1991</v>
      </c>
      <c r="C1623" s="1">
        <v>1</v>
      </c>
      <c r="D1623" s="1">
        <v>0</v>
      </c>
      <c r="F1623" s="2" t="s">
        <v>1992</v>
      </c>
      <c r="G1623" s="113"/>
    </row>
    <row r="1624" spans="1:7">
      <c r="A1624" s="56">
        <v>1647</v>
      </c>
      <c r="B1624" s="1" t="s">
        <v>1993</v>
      </c>
      <c r="C1624" s="1">
        <v>1</v>
      </c>
      <c r="D1624" s="1">
        <v>0</v>
      </c>
      <c r="F1624" s="2" t="s">
        <v>1994</v>
      </c>
      <c r="G1624" s="113"/>
    </row>
    <row r="1625" spans="1:7">
      <c r="A1625" s="56">
        <v>1648</v>
      </c>
      <c r="B1625" s="1" t="s">
        <v>1995</v>
      </c>
      <c r="C1625" s="1">
        <v>1.5</v>
      </c>
      <c r="D1625" s="1">
        <v>0</v>
      </c>
      <c r="F1625" s="2" t="s">
        <v>1996</v>
      </c>
      <c r="G1625" s="113"/>
    </row>
    <row r="1626" spans="1:7">
      <c r="A1626" s="56">
        <v>1649</v>
      </c>
      <c r="B1626" s="1" t="s">
        <v>1997</v>
      </c>
      <c r="C1626" s="1">
        <v>2.4</v>
      </c>
      <c r="D1626" s="1">
        <v>0</v>
      </c>
      <c r="F1626" s="2" t="s">
        <v>1998</v>
      </c>
      <c r="G1626" s="113"/>
    </row>
    <row r="1627" spans="1:7">
      <c r="A1627" s="56">
        <v>1650</v>
      </c>
      <c r="B1627" s="1" t="s">
        <v>1999</v>
      </c>
      <c r="C1627" s="1">
        <v>4.3</v>
      </c>
      <c r="D1627" s="1">
        <v>0</v>
      </c>
      <c r="G1627" s="113"/>
    </row>
    <row r="1628" spans="1:7">
      <c r="A1628" s="56">
        <v>1651</v>
      </c>
      <c r="B1628" s="1" t="s">
        <v>2000</v>
      </c>
      <c r="C1628" s="1">
        <v>2.9</v>
      </c>
      <c r="D1628" s="1">
        <v>0</v>
      </c>
      <c r="G1628" s="113"/>
    </row>
    <row r="1629" spans="1:7">
      <c r="A1629" s="56">
        <v>1652</v>
      </c>
      <c r="B1629" s="1" t="s">
        <v>2001</v>
      </c>
      <c r="C1629" s="1">
        <v>2.6</v>
      </c>
      <c r="D1629" s="1">
        <v>0</v>
      </c>
      <c r="G1629" s="113"/>
    </row>
    <row r="1630" spans="1:7">
      <c r="A1630" s="56">
        <v>1653</v>
      </c>
      <c r="B1630" s="1" t="s">
        <v>2002</v>
      </c>
      <c r="C1630" s="1">
        <v>4.8</v>
      </c>
      <c r="D1630" s="1">
        <v>0</v>
      </c>
      <c r="G1630" s="113"/>
    </row>
    <row r="1631" spans="1:7">
      <c r="A1631" s="56">
        <v>1654</v>
      </c>
      <c r="B1631" s="1" t="s">
        <v>2003</v>
      </c>
      <c r="C1631" s="1">
        <v>1.5</v>
      </c>
      <c r="D1631" s="1">
        <v>0</v>
      </c>
      <c r="G1631" s="113"/>
    </row>
    <row r="1632" spans="1:7">
      <c r="A1632" s="56">
        <v>1655</v>
      </c>
      <c r="B1632" s="1" t="s">
        <v>2004</v>
      </c>
      <c r="C1632" s="1">
        <v>3.4</v>
      </c>
      <c r="D1632" s="1">
        <v>0</v>
      </c>
      <c r="F1632" s="2" t="s">
        <v>2005</v>
      </c>
      <c r="G1632" s="113"/>
    </row>
    <row r="1633" spans="1:7">
      <c r="A1633" s="56">
        <v>1656</v>
      </c>
      <c r="B1633" s="1" t="s">
        <v>2006</v>
      </c>
      <c r="C1633" s="1">
        <v>3.1</v>
      </c>
      <c r="D1633" s="1">
        <v>0</v>
      </c>
      <c r="G1633" s="113"/>
    </row>
    <row r="1634" spans="1:7">
      <c r="A1634" s="56">
        <v>1657</v>
      </c>
      <c r="B1634" s="1" t="s">
        <v>2007</v>
      </c>
      <c r="C1634" s="1">
        <v>3</v>
      </c>
      <c r="D1634" s="1">
        <v>0</v>
      </c>
      <c r="G1634" s="113"/>
    </row>
    <row r="1635" spans="1:7">
      <c r="A1635" s="56">
        <v>1658</v>
      </c>
      <c r="B1635" s="1" t="s">
        <v>2008</v>
      </c>
      <c r="C1635" s="1">
        <v>4.15</v>
      </c>
      <c r="D1635" s="1">
        <v>0</v>
      </c>
      <c r="G1635" s="113"/>
    </row>
    <row r="1636" spans="1:7">
      <c r="A1636" s="56">
        <v>1659</v>
      </c>
      <c r="B1636" s="1" t="s">
        <v>2009</v>
      </c>
      <c r="C1636" s="1">
        <v>2.2</v>
      </c>
      <c r="D1636" s="1">
        <v>0</v>
      </c>
      <c r="G1636" s="113"/>
    </row>
    <row r="1637" spans="1:7">
      <c r="A1637" s="56">
        <v>1660</v>
      </c>
      <c r="B1637" s="1" t="s">
        <v>2010</v>
      </c>
      <c r="C1637" s="1">
        <v>2.25</v>
      </c>
      <c r="D1637" s="1">
        <v>0</v>
      </c>
      <c r="G1637" s="113"/>
    </row>
    <row r="1638" spans="1:7">
      <c r="A1638" s="56">
        <v>1661</v>
      </c>
      <c r="B1638" s="1" t="s">
        <v>2011</v>
      </c>
      <c r="C1638" s="1">
        <v>2.5</v>
      </c>
      <c r="D1638" s="1">
        <v>0</v>
      </c>
      <c r="G1638" s="113"/>
    </row>
    <row r="1639" spans="1:7">
      <c r="A1639" s="56">
        <v>1662</v>
      </c>
      <c r="B1639" s="1" t="s">
        <v>2012</v>
      </c>
      <c r="C1639" s="1">
        <v>2</v>
      </c>
      <c r="D1639" s="1">
        <v>0</v>
      </c>
      <c r="F1639" s="2" t="s">
        <v>2013</v>
      </c>
      <c r="G1639" s="113"/>
    </row>
    <row r="1640" spans="1:7">
      <c r="A1640" s="56">
        <v>1663</v>
      </c>
      <c r="B1640" s="1" t="s">
        <v>2014</v>
      </c>
      <c r="C1640" s="1">
        <v>1.8</v>
      </c>
      <c r="D1640" s="1">
        <v>0</v>
      </c>
      <c r="G1640" s="113"/>
    </row>
    <row r="1641" spans="1:7">
      <c r="A1641" s="56">
        <v>1664</v>
      </c>
      <c r="B1641" s="1" t="s">
        <v>2015</v>
      </c>
      <c r="C1641" s="1">
        <v>8</v>
      </c>
      <c r="D1641" s="1">
        <v>0</v>
      </c>
      <c r="G1641" s="113"/>
    </row>
    <row r="1642" spans="1:7">
      <c r="A1642" s="56">
        <v>1665</v>
      </c>
      <c r="B1642" s="1" t="s">
        <v>2016</v>
      </c>
      <c r="C1642" s="1">
        <v>6.3</v>
      </c>
      <c r="D1642" s="1">
        <v>0</v>
      </c>
      <c r="G1642" s="113"/>
    </row>
    <row r="1643" spans="1:7">
      <c r="A1643" s="56">
        <v>1666</v>
      </c>
      <c r="B1643" s="1" t="s">
        <v>2017</v>
      </c>
      <c r="C1643" s="1">
        <v>1</v>
      </c>
      <c r="D1643" s="1">
        <v>0</v>
      </c>
      <c r="F1643" s="2" t="s">
        <v>2018</v>
      </c>
      <c r="G1643" s="113"/>
    </row>
    <row r="1644" spans="1:7">
      <c r="A1644" s="56">
        <v>1667</v>
      </c>
      <c r="B1644" s="1" t="s">
        <v>2019</v>
      </c>
      <c r="C1644" s="1">
        <v>5</v>
      </c>
      <c r="D1644" s="1">
        <v>0</v>
      </c>
      <c r="G1644" s="113"/>
    </row>
    <row r="1645" spans="1:7">
      <c r="A1645" s="56">
        <v>1668</v>
      </c>
      <c r="B1645" s="1" t="s">
        <v>2020</v>
      </c>
      <c r="C1645" s="1">
        <v>11</v>
      </c>
      <c r="D1645" s="1">
        <v>0</v>
      </c>
      <c r="G1645" s="113"/>
    </row>
    <row r="1646" spans="1:7">
      <c r="A1646" s="56">
        <v>1669</v>
      </c>
      <c r="B1646" s="1" t="s">
        <v>2021</v>
      </c>
      <c r="C1646" s="1">
        <v>1.5</v>
      </c>
      <c r="D1646" s="1">
        <v>0</v>
      </c>
      <c r="G1646" s="113"/>
    </row>
    <row r="1647" spans="1:7">
      <c r="A1647" s="56">
        <v>1670</v>
      </c>
      <c r="B1647" s="1" t="s">
        <v>2022</v>
      </c>
      <c r="C1647" s="1">
        <v>1.5</v>
      </c>
      <c r="D1647" s="1">
        <v>0</v>
      </c>
      <c r="G1647" s="113"/>
    </row>
    <row r="1648" spans="1:7">
      <c r="A1648" s="56">
        <v>1671</v>
      </c>
      <c r="B1648" s="1" t="s">
        <v>2023</v>
      </c>
      <c r="C1648" s="1">
        <v>2</v>
      </c>
      <c r="D1648" s="1">
        <v>0</v>
      </c>
      <c r="G1648" s="113"/>
    </row>
    <row r="1649" spans="1:7">
      <c r="A1649" s="56">
        <v>1672</v>
      </c>
      <c r="B1649" s="1" t="s">
        <v>2024</v>
      </c>
      <c r="C1649" s="1">
        <v>1</v>
      </c>
      <c r="D1649" s="1">
        <v>0</v>
      </c>
      <c r="G1649" s="113"/>
    </row>
    <row r="1650" spans="1:7">
      <c r="A1650" s="56">
        <v>1673</v>
      </c>
      <c r="B1650" s="1" t="s">
        <v>2025</v>
      </c>
      <c r="C1650" s="1">
        <v>1.55</v>
      </c>
      <c r="D1650" s="1">
        <v>0</v>
      </c>
      <c r="F1650" s="2" t="s">
        <v>2026</v>
      </c>
      <c r="G1650" s="113"/>
    </row>
    <row r="1651" spans="1:7">
      <c r="A1651" s="56">
        <v>1674</v>
      </c>
      <c r="B1651" s="1" t="s">
        <v>2027</v>
      </c>
      <c r="C1651" s="1">
        <v>9</v>
      </c>
      <c r="D1651" s="1">
        <v>0</v>
      </c>
      <c r="F1651" s="2" t="s">
        <v>2028</v>
      </c>
      <c r="G1651" s="113"/>
    </row>
    <row r="1652" spans="1:7">
      <c r="A1652" s="56">
        <v>1675</v>
      </c>
      <c r="B1652" s="1" t="s">
        <v>2029</v>
      </c>
      <c r="C1652" s="1">
        <v>0</v>
      </c>
      <c r="D1652" s="1">
        <v>1</v>
      </c>
      <c r="G1652" s="113"/>
    </row>
    <row r="1653" spans="1:7">
      <c r="A1653" s="56">
        <v>1676</v>
      </c>
      <c r="B1653" s="1" t="s">
        <v>2030</v>
      </c>
      <c r="C1653" s="1">
        <v>0</v>
      </c>
      <c r="D1653" s="1">
        <v>1</v>
      </c>
      <c r="G1653" s="113"/>
    </row>
    <row r="1654" spans="1:7">
      <c r="A1654" s="56">
        <v>1677</v>
      </c>
      <c r="B1654" s="1" t="s">
        <v>2031</v>
      </c>
      <c r="C1654" s="1">
        <v>0</v>
      </c>
      <c r="D1654" s="1">
        <v>1</v>
      </c>
      <c r="G1654" s="113"/>
    </row>
    <row r="1655" spans="1:7">
      <c r="A1655" s="56">
        <v>1678</v>
      </c>
      <c r="B1655" s="1" t="s">
        <v>2032</v>
      </c>
      <c r="C1655" s="1">
        <v>0</v>
      </c>
      <c r="D1655" s="1">
        <v>1</v>
      </c>
      <c r="G1655" s="113"/>
    </row>
    <row r="1656" spans="1:7">
      <c r="A1656" s="56">
        <v>1679</v>
      </c>
      <c r="B1656" s="1" t="s">
        <v>2033</v>
      </c>
      <c r="C1656" s="1">
        <v>0</v>
      </c>
      <c r="D1656" s="1">
        <v>1</v>
      </c>
      <c r="F1656" s="114" t="s">
        <v>2034</v>
      </c>
      <c r="G1656" s="113"/>
    </row>
    <row r="1657" spans="1:7">
      <c r="A1657" s="56">
        <v>1680</v>
      </c>
      <c r="B1657" s="1" t="s">
        <v>2035</v>
      </c>
      <c r="C1657" s="1">
        <v>0</v>
      </c>
      <c r="D1657" s="1">
        <v>1</v>
      </c>
      <c r="F1657" s="114" t="s">
        <v>2034</v>
      </c>
      <c r="G1657" s="113"/>
    </row>
    <row r="1658" spans="1:7">
      <c r="A1658" s="56">
        <v>1681</v>
      </c>
      <c r="B1658" s="1" t="s">
        <v>2036</v>
      </c>
      <c r="C1658" s="1">
        <v>0</v>
      </c>
      <c r="D1658" s="1">
        <v>1</v>
      </c>
      <c r="F1658" s="114" t="s">
        <v>2037</v>
      </c>
      <c r="G1658" s="113"/>
    </row>
    <row r="1659" spans="1:7">
      <c r="A1659" s="56">
        <v>1682</v>
      </c>
      <c r="B1659" s="1" t="s">
        <v>2038</v>
      </c>
      <c r="C1659" s="1">
        <v>0</v>
      </c>
      <c r="D1659" s="1">
        <v>1</v>
      </c>
      <c r="F1659" s="114" t="s">
        <v>2039</v>
      </c>
      <c r="G1659" s="113"/>
    </row>
    <row r="1660" spans="1:7">
      <c r="A1660" s="56">
        <v>1683</v>
      </c>
      <c r="B1660" s="1" t="s">
        <v>2040</v>
      </c>
      <c r="C1660" s="1">
        <v>35</v>
      </c>
      <c r="D1660" s="1">
        <v>0</v>
      </c>
      <c r="F1660" s="114" t="s">
        <v>2041</v>
      </c>
      <c r="G1660" s="113"/>
    </row>
    <row r="1661" spans="1:7">
      <c r="A1661" s="56">
        <v>1684</v>
      </c>
      <c r="B1661" s="1" t="s">
        <v>2042</v>
      </c>
      <c r="C1661" s="1">
        <v>0</v>
      </c>
      <c r="D1661" s="1">
        <v>1</v>
      </c>
      <c r="F1661" s="114" t="s">
        <v>2043</v>
      </c>
      <c r="G1661" s="113"/>
    </row>
    <row r="1662" spans="1:7">
      <c r="A1662" s="56">
        <v>1685</v>
      </c>
      <c r="B1662" s="1" t="s">
        <v>2044</v>
      </c>
      <c r="C1662" s="1">
        <f>170/30</f>
        <v>5.66666666666667</v>
      </c>
      <c r="D1662" s="1">
        <v>0</v>
      </c>
      <c r="F1662" s="2" t="s">
        <v>2045</v>
      </c>
      <c r="G1662" s="113"/>
    </row>
    <row r="1663" spans="1:7">
      <c r="A1663" s="56">
        <v>1686</v>
      </c>
      <c r="B1663" s="1" t="s">
        <v>2046</v>
      </c>
      <c r="C1663" s="1">
        <f>170/30</f>
        <v>5.66666666666667</v>
      </c>
      <c r="D1663" s="1">
        <v>0</v>
      </c>
      <c r="F1663" s="2" t="s">
        <v>2047</v>
      </c>
      <c r="G1663" s="113"/>
    </row>
    <row r="1664" spans="1:7">
      <c r="A1664" s="56">
        <v>1687</v>
      </c>
      <c r="B1664" s="1" t="s">
        <v>2048</v>
      </c>
      <c r="C1664" s="1">
        <v>1</v>
      </c>
      <c r="D1664" s="1">
        <v>0</v>
      </c>
      <c r="F1664" s="2" t="s">
        <v>2049</v>
      </c>
      <c r="G1664" s="113"/>
    </row>
    <row r="1665" spans="1:7">
      <c r="A1665" s="56">
        <v>1688</v>
      </c>
      <c r="B1665" s="1" t="s">
        <v>2050</v>
      </c>
      <c r="C1665" s="1">
        <v>1</v>
      </c>
      <c r="D1665" s="1">
        <v>0</v>
      </c>
      <c r="F1665" s="2" t="s">
        <v>2051</v>
      </c>
      <c r="G1665" s="113"/>
    </row>
    <row r="1666" spans="1:7">
      <c r="A1666" s="56">
        <v>1689</v>
      </c>
      <c r="B1666" s="1" t="s">
        <v>2052</v>
      </c>
      <c r="C1666" s="1">
        <v>2.1</v>
      </c>
      <c r="D1666" s="1">
        <v>0</v>
      </c>
      <c r="F1666" s="2" t="s">
        <v>2053</v>
      </c>
      <c r="G1666" s="113"/>
    </row>
    <row r="1667" spans="1:7">
      <c r="A1667" s="56">
        <v>1690</v>
      </c>
      <c r="B1667" s="1" t="s">
        <v>2054</v>
      </c>
      <c r="C1667" s="1">
        <v>3.8</v>
      </c>
      <c r="D1667" s="1">
        <v>0</v>
      </c>
      <c r="F1667" s="2" t="s">
        <v>2055</v>
      </c>
      <c r="G1667" s="113"/>
    </row>
    <row r="1668" spans="1:7">
      <c r="A1668" s="56">
        <v>1691</v>
      </c>
      <c r="B1668" s="1" t="s">
        <v>2056</v>
      </c>
      <c r="C1668" s="1">
        <v>4</v>
      </c>
      <c r="D1668" s="1">
        <v>0</v>
      </c>
      <c r="F1668" s="2" t="s">
        <v>2057</v>
      </c>
      <c r="G1668" s="113"/>
    </row>
    <row r="1669" spans="1:7">
      <c r="A1669" s="56">
        <v>1692</v>
      </c>
      <c r="B1669" s="1" t="s">
        <v>2058</v>
      </c>
      <c r="C1669" s="1">
        <v>3.5</v>
      </c>
      <c r="D1669" s="1">
        <v>0</v>
      </c>
      <c r="F1669" s="2" t="s">
        <v>2059</v>
      </c>
      <c r="G1669" s="113"/>
    </row>
    <row r="1670" spans="1:7">
      <c r="A1670" s="56">
        <v>1693</v>
      </c>
      <c r="B1670" s="1" t="s">
        <v>2060</v>
      </c>
      <c r="C1670" s="1">
        <v>5</v>
      </c>
      <c r="D1670" s="1">
        <v>0</v>
      </c>
      <c r="F1670" s="2" t="s">
        <v>2061</v>
      </c>
      <c r="G1670" s="113"/>
    </row>
    <row r="1671" spans="1:7">
      <c r="A1671" s="56">
        <v>1694</v>
      </c>
      <c r="B1671" s="1" t="s">
        <v>2062</v>
      </c>
      <c r="C1671" s="1">
        <f t="shared" ref="C1671:C1677" si="1">400/30</f>
        <v>13.3333333333333</v>
      </c>
      <c r="D1671" s="1">
        <v>0</v>
      </c>
      <c r="F1671" s="2" t="s">
        <v>2063</v>
      </c>
      <c r="G1671" s="113"/>
    </row>
    <row r="1672" spans="1:7">
      <c r="A1672" s="56">
        <v>1695</v>
      </c>
      <c r="B1672" s="1" t="s">
        <v>2064</v>
      </c>
      <c r="C1672" s="1">
        <f>245/30</f>
        <v>8.16666666666667</v>
      </c>
      <c r="D1672" s="1">
        <v>0</v>
      </c>
      <c r="F1672" s="2" t="s">
        <v>2065</v>
      </c>
      <c r="G1672" s="113"/>
    </row>
    <row r="1673" spans="1:7">
      <c r="A1673" s="56">
        <v>1696</v>
      </c>
      <c r="B1673" s="1" t="s">
        <v>2066</v>
      </c>
      <c r="C1673" s="1">
        <f>340/30</f>
        <v>11.3333333333333</v>
      </c>
      <c r="D1673" s="1">
        <v>0</v>
      </c>
      <c r="F1673" s="2" t="s">
        <v>2067</v>
      </c>
      <c r="G1673" s="113"/>
    </row>
    <row r="1674" spans="1:7">
      <c r="A1674" s="56">
        <v>1697</v>
      </c>
      <c r="B1674" s="1" t="s">
        <v>2068</v>
      </c>
      <c r="C1674" s="1">
        <f t="shared" si="1"/>
        <v>13.3333333333333</v>
      </c>
      <c r="D1674" s="1">
        <v>0</v>
      </c>
      <c r="F1674" s="2" t="s">
        <v>2069</v>
      </c>
      <c r="G1674" s="113"/>
    </row>
    <row r="1675" spans="1:7">
      <c r="A1675" s="56">
        <v>1698</v>
      </c>
      <c r="B1675" s="1" t="s">
        <v>2070</v>
      </c>
      <c r="C1675" s="1">
        <f t="shared" si="1"/>
        <v>13.3333333333333</v>
      </c>
      <c r="D1675" s="1">
        <v>0</v>
      </c>
      <c r="F1675" s="2" t="s">
        <v>2071</v>
      </c>
      <c r="G1675" s="113"/>
    </row>
    <row r="1676" spans="1:7">
      <c r="A1676" s="56">
        <v>1699</v>
      </c>
      <c r="B1676" s="1" t="s">
        <v>2072</v>
      </c>
      <c r="C1676" s="1">
        <f t="shared" si="1"/>
        <v>13.3333333333333</v>
      </c>
      <c r="D1676" s="1">
        <v>0</v>
      </c>
      <c r="F1676" s="2" t="s">
        <v>2071</v>
      </c>
      <c r="G1676" s="113"/>
    </row>
    <row r="1677" spans="1:7">
      <c r="A1677" s="56">
        <v>1700</v>
      </c>
      <c r="B1677" s="1" t="s">
        <v>2073</v>
      </c>
      <c r="C1677" s="1">
        <f t="shared" si="1"/>
        <v>13.3333333333333</v>
      </c>
      <c r="D1677" s="1">
        <v>0</v>
      </c>
      <c r="F1677" s="2" t="s">
        <v>2071</v>
      </c>
      <c r="G1677" s="113"/>
    </row>
    <row r="1678" spans="1:7">
      <c r="A1678" s="56">
        <v>1701</v>
      </c>
      <c r="B1678" s="1" t="s">
        <v>2074</v>
      </c>
      <c r="C1678" s="1">
        <f>245/30</f>
        <v>8.16666666666667</v>
      </c>
      <c r="D1678" s="1">
        <v>0</v>
      </c>
      <c r="F1678" s="2" t="s">
        <v>2075</v>
      </c>
      <c r="G1678" s="113"/>
    </row>
    <row r="1679" spans="1:7">
      <c r="A1679" s="56">
        <v>1702</v>
      </c>
      <c r="B1679" s="1" t="s">
        <v>2076</v>
      </c>
      <c r="C1679" s="1">
        <v>1</v>
      </c>
      <c r="D1679" s="1">
        <v>0</v>
      </c>
      <c r="G1679" s="113"/>
    </row>
    <row r="1680" spans="1:7">
      <c r="A1680" s="56">
        <v>1703</v>
      </c>
      <c r="B1680" s="1" t="s">
        <v>2077</v>
      </c>
      <c r="C1680" s="1">
        <v>1</v>
      </c>
      <c r="D1680" s="1">
        <v>0</v>
      </c>
      <c r="G1680" s="113"/>
    </row>
    <row r="1681" spans="1:7">
      <c r="A1681" s="56">
        <v>1704</v>
      </c>
      <c r="B1681" s="1" t="s">
        <v>2078</v>
      </c>
      <c r="C1681" s="1">
        <v>0</v>
      </c>
      <c r="D1681" s="1">
        <v>1</v>
      </c>
      <c r="F1681" s="2" t="s">
        <v>2079</v>
      </c>
      <c r="G1681" s="113"/>
    </row>
    <row r="1682" spans="1:7">
      <c r="A1682" s="56">
        <v>1705</v>
      </c>
      <c r="B1682" s="1" t="s">
        <v>2080</v>
      </c>
      <c r="C1682" s="1">
        <v>3</v>
      </c>
      <c r="D1682" s="1">
        <v>0</v>
      </c>
      <c r="F1682" s="2" t="s">
        <v>2081</v>
      </c>
      <c r="G1682" s="113"/>
    </row>
    <row r="1683" spans="1:7">
      <c r="A1683" s="56">
        <v>1706</v>
      </c>
      <c r="B1683" s="1" t="s">
        <v>2082</v>
      </c>
      <c r="C1683" s="1">
        <v>0</v>
      </c>
      <c r="D1683" s="1">
        <v>1</v>
      </c>
      <c r="F1683" s="2" t="s">
        <v>2081</v>
      </c>
      <c r="G1683" s="113"/>
    </row>
    <row r="1684" spans="1:7">
      <c r="A1684" s="56">
        <v>1707</v>
      </c>
      <c r="B1684" s="1" t="s">
        <v>2083</v>
      </c>
      <c r="C1684" s="1">
        <v>4.5</v>
      </c>
      <c r="D1684" s="1">
        <v>0</v>
      </c>
      <c r="F1684" s="2" t="s">
        <v>2084</v>
      </c>
      <c r="G1684" s="113"/>
    </row>
    <row r="1685" spans="1:7">
      <c r="A1685" s="56">
        <v>1708</v>
      </c>
      <c r="B1685" s="1" t="s">
        <v>2085</v>
      </c>
      <c r="C1685" s="1">
        <v>0</v>
      </c>
      <c r="D1685" s="1">
        <v>1</v>
      </c>
      <c r="F1685" s="2" t="s">
        <v>2084</v>
      </c>
      <c r="G1685" s="113"/>
    </row>
    <row r="1686" spans="1:7">
      <c r="A1686" s="56">
        <v>1709</v>
      </c>
      <c r="B1686" s="1" t="s">
        <v>2086</v>
      </c>
      <c r="C1686" s="1">
        <f>340/30</f>
        <v>11.3333333333333</v>
      </c>
      <c r="D1686" s="1">
        <v>0</v>
      </c>
      <c r="F1686" s="2" t="s">
        <v>2087</v>
      </c>
      <c r="G1686" s="113"/>
    </row>
    <row r="1687" spans="1:7">
      <c r="A1687" s="56">
        <v>1710</v>
      </c>
      <c r="B1687" s="1" t="s">
        <v>2088</v>
      </c>
      <c r="C1687" s="1">
        <v>0</v>
      </c>
      <c r="D1687" s="1">
        <v>1</v>
      </c>
      <c r="F1687" s="2" t="s">
        <v>2089</v>
      </c>
      <c r="G1687" s="113"/>
    </row>
    <row r="1688" spans="1:7">
      <c r="A1688" s="56">
        <v>1711</v>
      </c>
      <c r="B1688" s="1" t="s">
        <v>2090</v>
      </c>
      <c r="C1688" s="1">
        <v>0</v>
      </c>
      <c r="D1688" s="1">
        <v>1</v>
      </c>
      <c r="F1688" s="2" t="s">
        <v>2091</v>
      </c>
      <c r="G1688" s="113"/>
    </row>
    <row r="1689" spans="1:7">
      <c r="A1689" s="56">
        <v>1712</v>
      </c>
      <c r="B1689" s="1" t="s">
        <v>2092</v>
      </c>
      <c r="C1689" s="1">
        <v>0</v>
      </c>
      <c r="D1689" s="1">
        <v>1</v>
      </c>
      <c r="F1689" s="2" t="s">
        <v>2093</v>
      </c>
      <c r="G1689" s="113"/>
    </row>
    <row r="1690" spans="1:7">
      <c r="A1690" s="56">
        <v>1713</v>
      </c>
      <c r="B1690" s="1" t="s">
        <v>2094</v>
      </c>
      <c r="C1690" s="1">
        <v>1.5</v>
      </c>
      <c r="D1690" s="1">
        <v>0</v>
      </c>
      <c r="F1690" s="2" t="s">
        <v>2095</v>
      </c>
      <c r="G1690" s="113"/>
    </row>
    <row r="1691" spans="1:7">
      <c r="A1691" s="56">
        <v>1714</v>
      </c>
      <c r="B1691" s="1" t="s">
        <v>2096</v>
      </c>
      <c r="C1691" s="1">
        <v>4.5</v>
      </c>
      <c r="D1691" s="1">
        <v>0</v>
      </c>
      <c r="F1691" s="2" t="s">
        <v>2097</v>
      </c>
      <c r="G1691" s="113"/>
    </row>
    <row r="1692" spans="1:7">
      <c r="A1692" s="56">
        <v>1715</v>
      </c>
      <c r="B1692" s="1" t="s">
        <v>2098</v>
      </c>
      <c r="C1692" s="1">
        <v>1</v>
      </c>
      <c r="D1692" s="1">
        <v>0</v>
      </c>
      <c r="F1692" s="2" t="s">
        <v>2097</v>
      </c>
      <c r="G1692" s="113"/>
    </row>
    <row r="1693" spans="1:7">
      <c r="A1693" s="56">
        <v>1716</v>
      </c>
      <c r="B1693" s="1" t="s">
        <v>2099</v>
      </c>
      <c r="C1693" s="1">
        <v>2</v>
      </c>
      <c r="D1693" s="1">
        <v>0</v>
      </c>
      <c r="F1693" s="2" t="s">
        <v>2097</v>
      </c>
      <c r="G1693" s="113"/>
    </row>
    <row r="1694" spans="1:7">
      <c r="A1694" s="56">
        <v>1717</v>
      </c>
      <c r="B1694" s="1" t="s">
        <v>2100</v>
      </c>
      <c r="C1694" s="1">
        <v>2</v>
      </c>
      <c r="D1694" s="1">
        <v>0</v>
      </c>
      <c r="F1694" s="2" t="s">
        <v>2097</v>
      </c>
      <c r="G1694" s="113"/>
    </row>
    <row r="1695" spans="1:7">
      <c r="A1695" s="56">
        <v>1718</v>
      </c>
      <c r="B1695" s="1" t="s">
        <v>2101</v>
      </c>
      <c r="C1695" s="1">
        <v>0</v>
      </c>
      <c r="D1695" s="1">
        <v>1</v>
      </c>
      <c r="F1695" s="2" t="s">
        <v>2097</v>
      </c>
      <c r="G1695" s="113"/>
    </row>
    <row r="1696" spans="1:7">
      <c r="A1696" s="56">
        <v>1719</v>
      </c>
      <c r="B1696" s="1" t="s">
        <v>2102</v>
      </c>
      <c r="C1696" s="1">
        <v>0</v>
      </c>
      <c r="D1696" s="1">
        <v>1</v>
      </c>
      <c r="F1696" s="2" t="s">
        <v>2097</v>
      </c>
      <c r="G1696" s="113"/>
    </row>
    <row r="1697" spans="1:7">
      <c r="A1697" s="56">
        <v>1720</v>
      </c>
      <c r="B1697" s="1" t="s">
        <v>2103</v>
      </c>
      <c r="C1697" s="1">
        <v>0</v>
      </c>
      <c r="D1697" s="1">
        <v>1</v>
      </c>
      <c r="F1697" s="2" t="s">
        <v>2097</v>
      </c>
      <c r="G1697" s="113"/>
    </row>
    <row r="1698" spans="1:7">
      <c r="A1698" s="56">
        <v>1721</v>
      </c>
      <c r="B1698" s="1" t="s">
        <v>2104</v>
      </c>
      <c r="C1698" s="1">
        <v>2</v>
      </c>
      <c r="D1698" s="1">
        <v>0</v>
      </c>
      <c r="F1698" s="2" t="s">
        <v>2097</v>
      </c>
      <c r="G1698" s="113"/>
    </row>
    <row r="1699" spans="1:7">
      <c r="A1699" s="56">
        <v>1722</v>
      </c>
      <c r="B1699" s="1" t="s">
        <v>2105</v>
      </c>
      <c r="C1699" s="1">
        <v>5</v>
      </c>
      <c r="D1699" s="1">
        <v>0</v>
      </c>
      <c r="F1699" s="2" t="s">
        <v>2097</v>
      </c>
      <c r="G1699" s="113"/>
    </row>
    <row r="1700" spans="1:7">
      <c r="A1700" s="56">
        <v>1723</v>
      </c>
      <c r="B1700" s="1" t="s">
        <v>2106</v>
      </c>
      <c r="C1700" s="1">
        <v>2</v>
      </c>
      <c r="D1700" s="1">
        <v>0</v>
      </c>
      <c r="F1700" s="2" t="s">
        <v>2097</v>
      </c>
      <c r="G1700" s="113"/>
    </row>
    <row r="1701" spans="1:7">
      <c r="A1701" s="56">
        <v>1724</v>
      </c>
      <c r="B1701" s="1" t="s">
        <v>2107</v>
      </c>
      <c r="C1701" s="1">
        <v>5</v>
      </c>
      <c r="D1701" s="1">
        <v>0</v>
      </c>
      <c r="F1701" s="2" t="s">
        <v>2097</v>
      </c>
      <c r="G1701" s="113"/>
    </row>
    <row r="1702" spans="1:7">
      <c r="A1702" s="56">
        <v>1725</v>
      </c>
      <c r="B1702" s="1" t="s">
        <v>2108</v>
      </c>
      <c r="C1702" s="1">
        <v>2</v>
      </c>
      <c r="D1702" s="1">
        <v>0</v>
      </c>
      <c r="F1702" s="2" t="s">
        <v>2097</v>
      </c>
      <c r="G1702" s="113"/>
    </row>
    <row r="1703" spans="1:7">
      <c r="A1703" s="56">
        <v>1726</v>
      </c>
      <c r="B1703" s="1" t="s">
        <v>2109</v>
      </c>
      <c r="C1703" s="1">
        <f>415/30</f>
        <v>13.8333333333333</v>
      </c>
      <c r="D1703" s="1">
        <v>0</v>
      </c>
      <c r="F1703" s="2" t="s">
        <v>2097</v>
      </c>
      <c r="G1703" s="113"/>
    </row>
    <row r="1704" spans="1:7">
      <c r="A1704" s="56">
        <v>1727</v>
      </c>
      <c r="B1704" s="1" t="s">
        <v>2110</v>
      </c>
      <c r="C1704" s="1">
        <f>235/30</f>
        <v>7.83333333333333</v>
      </c>
      <c r="D1704" s="1">
        <v>0</v>
      </c>
      <c r="F1704" s="2" t="s">
        <v>2097</v>
      </c>
      <c r="G1704" s="113"/>
    </row>
    <row r="1705" spans="1:7">
      <c r="A1705" s="56">
        <v>1728</v>
      </c>
      <c r="B1705" s="1" t="s">
        <v>2111</v>
      </c>
      <c r="C1705" s="1">
        <f>235/30</f>
        <v>7.83333333333333</v>
      </c>
      <c r="D1705" s="1">
        <v>0</v>
      </c>
      <c r="F1705" s="2" t="s">
        <v>2097</v>
      </c>
      <c r="G1705" s="113"/>
    </row>
    <row r="1706" spans="1:7">
      <c r="A1706" s="56">
        <v>1729</v>
      </c>
      <c r="B1706" s="1" t="s">
        <v>2112</v>
      </c>
      <c r="C1706" s="1">
        <v>2</v>
      </c>
      <c r="D1706" s="1">
        <v>0</v>
      </c>
      <c r="F1706" s="2" t="s">
        <v>2097</v>
      </c>
      <c r="G1706" s="113"/>
    </row>
    <row r="1707" spans="1:7">
      <c r="A1707" s="56">
        <v>1730</v>
      </c>
      <c r="B1707" s="1" t="s">
        <v>2113</v>
      </c>
      <c r="C1707" s="1">
        <v>1</v>
      </c>
      <c r="D1707" s="1">
        <v>0</v>
      </c>
      <c r="F1707" s="2" t="s">
        <v>2114</v>
      </c>
      <c r="G1707" s="113"/>
    </row>
    <row r="1708" spans="1:7">
      <c r="A1708" s="56">
        <v>1731</v>
      </c>
      <c r="B1708" s="1" t="s">
        <v>2115</v>
      </c>
      <c r="C1708" s="1">
        <v>2</v>
      </c>
      <c r="D1708" s="1">
        <v>0</v>
      </c>
      <c r="F1708" s="2" t="s">
        <v>2114</v>
      </c>
      <c r="G1708" s="113"/>
    </row>
    <row r="1709" spans="1:7">
      <c r="A1709" s="56">
        <v>1732</v>
      </c>
      <c r="B1709" s="1" t="s">
        <v>2116</v>
      </c>
      <c r="C1709" s="1">
        <v>5.8</v>
      </c>
      <c r="D1709" s="1">
        <v>0</v>
      </c>
      <c r="F1709" s="2" t="s">
        <v>2114</v>
      </c>
      <c r="G1709" s="113"/>
    </row>
    <row r="1710" spans="1:7">
      <c r="A1710" s="56">
        <v>1733</v>
      </c>
      <c r="B1710" s="1" t="s">
        <v>2117</v>
      </c>
      <c r="C1710" s="1">
        <v>5.8</v>
      </c>
      <c r="D1710" s="1">
        <v>0</v>
      </c>
      <c r="F1710" s="2" t="s">
        <v>2114</v>
      </c>
      <c r="G1710" s="113"/>
    </row>
    <row r="1711" spans="1:7">
      <c r="A1711" s="56">
        <v>1734</v>
      </c>
      <c r="B1711" s="1" t="s">
        <v>2118</v>
      </c>
      <c r="C1711" s="1">
        <v>1.5</v>
      </c>
      <c r="D1711" s="1">
        <v>0</v>
      </c>
      <c r="F1711" s="2" t="s">
        <v>2119</v>
      </c>
      <c r="G1711" s="113"/>
    </row>
    <row r="1712" spans="1:7">
      <c r="A1712" s="56">
        <v>1735</v>
      </c>
      <c r="B1712" s="1" t="s">
        <v>2120</v>
      </c>
      <c r="C1712" s="1">
        <v>1.2</v>
      </c>
      <c r="D1712" s="1">
        <v>0</v>
      </c>
      <c r="F1712" s="2" t="s">
        <v>2119</v>
      </c>
      <c r="G1712" s="113"/>
    </row>
    <row r="1713" spans="1:7">
      <c r="A1713" s="56">
        <v>1736</v>
      </c>
      <c r="B1713" s="1" t="s">
        <v>2121</v>
      </c>
      <c r="C1713" s="1">
        <v>3</v>
      </c>
      <c r="D1713" s="1">
        <v>0</v>
      </c>
      <c r="F1713" s="2" t="s">
        <v>2119</v>
      </c>
      <c r="G1713" s="113"/>
    </row>
    <row r="1714" spans="1:7">
      <c r="A1714" s="56">
        <v>1737</v>
      </c>
      <c r="B1714" s="1" t="s">
        <v>2122</v>
      </c>
      <c r="C1714" s="1">
        <v>0</v>
      </c>
      <c r="D1714" s="1">
        <v>1</v>
      </c>
      <c r="F1714" s="2" t="s">
        <v>2119</v>
      </c>
      <c r="G1714" s="113"/>
    </row>
    <row r="1715" spans="1:7">
      <c r="A1715" s="56">
        <v>1738</v>
      </c>
      <c r="B1715" s="1" t="s">
        <v>2123</v>
      </c>
      <c r="C1715" s="1">
        <v>7</v>
      </c>
      <c r="D1715" s="1">
        <v>0</v>
      </c>
      <c r="F1715" s="2" t="s">
        <v>2119</v>
      </c>
      <c r="G1715" s="113"/>
    </row>
    <row r="1716" spans="1:7">
      <c r="A1716" s="56">
        <v>1739</v>
      </c>
      <c r="B1716" s="1" t="s">
        <v>2124</v>
      </c>
      <c r="C1716" s="1">
        <v>1.6</v>
      </c>
      <c r="D1716" s="1">
        <v>0</v>
      </c>
      <c r="F1716" s="2" t="s">
        <v>2125</v>
      </c>
      <c r="G1716" s="113"/>
    </row>
    <row r="1717" spans="1:7">
      <c r="A1717" s="56">
        <v>1740</v>
      </c>
      <c r="B1717" s="1" t="s">
        <v>2126</v>
      </c>
      <c r="C1717" s="1">
        <v>1</v>
      </c>
      <c r="D1717" s="1">
        <v>0</v>
      </c>
      <c r="F1717" s="2" t="s">
        <v>2125</v>
      </c>
      <c r="G1717" s="113"/>
    </row>
    <row r="1718" spans="1:7">
      <c r="A1718" s="56">
        <v>1741</v>
      </c>
      <c r="B1718" s="1" t="s">
        <v>2127</v>
      </c>
      <c r="C1718" s="1">
        <v>1</v>
      </c>
      <c r="D1718" s="1">
        <v>0</v>
      </c>
      <c r="F1718" s="2" t="s">
        <v>2125</v>
      </c>
      <c r="G1718" s="113"/>
    </row>
    <row r="1719" spans="1:7">
      <c r="A1719" s="56">
        <v>1742</v>
      </c>
      <c r="B1719" s="1" t="s">
        <v>2128</v>
      </c>
      <c r="C1719" s="1">
        <v>0</v>
      </c>
      <c r="D1719" s="1">
        <v>1</v>
      </c>
      <c r="F1719" s="2" t="s">
        <v>2125</v>
      </c>
      <c r="G1719" s="113"/>
    </row>
    <row r="1720" spans="1:7">
      <c r="A1720" s="56">
        <v>1743</v>
      </c>
      <c r="B1720" s="1" t="s">
        <v>2129</v>
      </c>
      <c r="C1720" s="1">
        <v>4</v>
      </c>
      <c r="D1720" s="1">
        <v>0</v>
      </c>
      <c r="F1720" s="2" t="s">
        <v>2125</v>
      </c>
      <c r="G1720" s="113"/>
    </row>
    <row r="1721" spans="1:7">
      <c r="A1721" s="56">
        <v>1744</v>
      </c>
      <c r="B1721" s="1" t="s">
        <v>2130</v>
      </c>
      <c r="C1721" s="1">
        <v>2</v>
      </c>
      <c r="D1721" s="1">
        <v>0</v>
      </c>
      <c r="F1721" s="2" t="s">
        <v>2131</v>
      </c>
      <c r="G1721" s="113"/>
    </row>
    <row r="1722" spans="1:7">
      <c r="A1722" s="56">
        <v>1745</v>
      </c>
      <c r="B1722" s="1" t="s">
        <v>2132</v>
      </c>
      <c r="C1722" s="1">
        <v>2</v>
      </c>
      <c r="D1722" s="1">
        <v>0</v>
      </c>
      <c r="G1722" s="113"/>
    </row>
    <row r="1723" spans="1:7">
      <c r="A1723" s="56">
        <v>1746</v>
      </c>
      <c r="B1723" s="1" t="s">
        <v>2133</v>
      </c>
      <c r="C1723" s="1">
        <v>2</v>
      </c>
      <c r="D1723" s="1">
        <v>0</v>
      </c>
      <c r="G1723" s="113"/>
    </row>
    <row r="1724" spans="1:7">
      <c r="A1724" s="56">
        <v>1747</v>
      </c>
      <c r="B1724" s="1" t="s">
        <v>2134</v>
      </c>
      <c r="C1724" s="1">
        <v>4</v>
      </c>
      <c r="D1724" s="1">
        <v>0</v>
      </c>
      <c r="G1724" s="113"/>
    </row>
    <row r="1725" spans="1:7">
      <c r="A1725" s="56">
        <v>1748</v>
      </c>
      <c r="B1725" s="1" t="s">
        <v>2135</v>
      </c>
      <c r="C1725" s="1">
        <v>0</v>
      </c>
      <c r="D1725" s="1">
        <v>1</v>
      </c>
      <c r="G1725" s="113"/>
    </row>
    <row r="1726" spans="1:7">
      <c r="A1726" s="56">
        <v>1749</v>
      </c>
      <c r="B1726" s="1" t="s">
        <v>2136</v>
      </c>
      <c r="C1726" s="1">
        <v>0</v>
      </c>
      <c r="D1726" s="1">
        <v>1</v>
      </c>
      <c r="G1726" s="113"/>
    </row>
    <row r="1727" spans="1:7">
      <c r="A1727" s="56">
        <v>1750</v>
      </c>
      <c r="B1727" s="1" t="s">
        <v>2137</v>
      </c>
      <c r="C1727" s="1">
        <f>342/30</f>
        <v>11.4</v>
      </c>
      <c r="D1727" s="1">
        <v>0</v>
      </c>
      <c r="G1727" s="113"/>
    </row>
    <row r="1728" spans="1:7">
      <c r="A1728" s="56">
        <v>1751</v>
      </c>
      <c r="B1728" s="1" t="s">
        <v>2138</v>
      </c>
      <c r="C1728" s="1">
        <v>10</v>
      </c>
      <c r="D1728" s="1">
        <v>0</v>
      </c>
      <c r="G1728" s="113"/>
    </row>
    <row r="1729" spans="1:7">
      <c r="A1729" s="56">
        <v>1752</v>
      </c>
      <c r="B1729" s="1" t="s">
        <v>2139</v>
      </c>
      <c r="C1729" s="1">
        <v>0</v>
      </c>
      <c r="D1729" s="1">
        <v>1</v>
      </c>
      <c r="G1729" s="113"/>
    </row>
    <row r="1730" spans="1:7">
      <c r="A1730" s="56">
        <v>1753</v>
      </c>
      <c r="B1730" s="1" t="s">
        <v>2140</v>
      </c>
      <c r="C1730" s="1">
        <v>5</v>
      </c>
      <c r="D1730" s="1">
        <v>0</v>
      </c>
      <c r="G1730" s="113"/>
    </row>
    <row r="1731" spans="1:7">
      <c r="A1731" s="56">
        <v>1754</v>
      </c>
      <c r="B1731" s="1" t="s">
        <v>2141</v>
      </c>
      <c r="C1731" s="1">
        <v>2</v>
      </c>
      <c r="D1731" s="1">
        <v>0</v>
      </c>
      <c r="G1731" s="113"/>
    </row>
    <row r="1732" spans="1:7">
      <c r="A1732" s="56">
        <v>1755</v>
      </c>
      <c r="B1732" s="1" t="s">
        <v>2142</v>
      </c>
      <c r="C1732" s="1">
        <v>2</v>
      </c>
      <c r="D1732" s="1">
        <v>0</v>
      </c>
      <c r="G1732" s="113"/>
    </row>
    <row r="1733" spans="1:7">
      <c r="A1733" s="56">
        <v>1756</v>
      </c>
      <c r="B1733" s="1" t="s">
        <v>2143</v>
      </c>
      <c r="C1733" s="1">
        <v>0</v>
      </c>
      <c r="D1733" s="1">
        <v>1</v>
      </c>
      <c r="F1733" s="2" t="s">
        <v>2144</v>
      </c>
      <c r="G1733" s="113"/>
    </row>
    <row r="1734" spans="1:7">
      <c r="A1734" s="56">
        <v>1757</v>
      </c>
      <c r="B1734" s="1" t="s">
        <v>2145</v>
      </c>
      <c r="C1734" s="1">
        <v>0</v>
      </c>
      <c r="D1734" s="1">
        <v>1</v>
      </c>
      <c r="F1734" s="2" t="s">
        <v>2146</v>
      </c>
      <c r="G1734" s="113"/>
    </row>
    <row r="1735" spans="1:7">
      <c r="A1735" s="56">
        <v>1758</v>
      </c>
      <c r="B1735" s="1" t="s">
        <v>2147</v>
      </c>
      <c r="C1735" s="1">
        <v>0</v>
      </c>
      <c r="D1735" s="1">
        <v>1</v>
      </c>
      <c r="F1735" s="2" t="s">
        <v>2148</v>
      </c>
      <c r="G1735" s="113"/>
    </row>
    <row r="1736" spans="1:7">
      <c r="A1736" s="56">
        <v>1759</v>
      </c>
      <c r="B1736" s="1" t="s">
        <v>2149</v>
      </c>
      <c r="C1736" s="1">
        <v>2.7</v>
      </c>
      <c r="D1736" s="1">
        <v>0</v>
      </c>
      <c r="G1736" s="113"/>
    </row>
    <row r="1737" spans="1:7">
      <c r="A1737" s="56">
        <v>1760</v>
      </c>
      <c r="B1737" s="1" t="s">
        <v>2150</v>
      </c>
      <c r="C1737" s="1">
        <v>1</v>
      </c>
      <c r="D1737" s="1">
        <v>0</v>
      </c>
      <c r="G1737" s="113"/>
    </row>
    <row r="1738" spans="1:7">
      <c r="A1738" s="56">
        <v>1761</v>
      </c>
      <c r="B1738" s="1" t="s">
        <v>2151</v>
      </c>
      <c r="C1738" s="1">
        <v>1</v>
      </c>
      <c r="D1738" s="1">
        <v>0</v>
      </c>
      <c r="G1738" s="113"/>
    </row>
    <row r="1739" spans="1:7">
      <c r="A1739" s="56">
        <v>1762</v>
      </c>
      <c r="B1739" s="1" t="s">
        <v>2152</v>
      </c>
      <c r="C1739" s="1">
        <v>7</v>
      </c>
      <c r="D1739" s="1">
        <v>0</v>
      </c>
      <c r="G1739" s="113"/>
    </row>
    <row r="1740" spans="1:7">
      <c r="A1740" s="56">
        <v>1763</v>
      </c>
      <c r="B1740" s="1" t="s">
        <v>2153</v>
      </c>
      <c r="C1740" s="1">
        <v>6.2</v>
      </c>
      <c r="D1740" s="1">
        <v>0</v>
      </c>
      <c r="G1740" s="113"/>
    </row>
    <row r="1741" spans="1:7">
      <c r="A1741" s="56">
        <v>1764</v>
      </c>
      <c r="B1741" s="1" t="s">
        <v>2154</v>
      </c>
      <c r="C1741" s="1">
        <v>6.2</v>
      </c>
      <c r="D1741" s="1">
        <v>0</v>
      </c>
      <c r="G1741" s="113"/>
    </row>
    <row r="1742" spans="1:7">
      <c r="A1742" s="56">
        <v>1765</v>
      </c>
      <c r="B1742" s="1" t="s">
        <v>2155</v>
      </c>
      <c r="C1742" s="1">
        <v>6.2</v>
      </c>
      <c r="D1742" s="1">
        <v>0</v>
      </c>
      <c r="G1742" s="113"/>
    </row>
    <row r="1743" spans="1:7">
      <c r="A1743" s="56">
        <v>1766</v>
      </c>
      <c r="B1743" s="1" t="s">
        <v>2156</v>
      </c>
      <c r="C1743" s="1">
        <v>5.5</v>
      </c>
      <c r="D1743" s="1">
        <v>0</v>
      </c>
      <c r="G1743" s="113"/>
    </row>
    <row r="1744" spans="1:7">
      <c r="A1744" s="56">
        <v>1767</v>
      </c>
      <c r="B1744" s="1" t="s">
        <v>2157</v>
      </c>
      <c r="C1744" s="1">
        <v>2.5</v>
      </c>
      <c r="D1744" s="1">
        <v>0</v>
      </c>
      <c r="G1744" s="113"/>
    </row>
    <row r="1745" spans="1:7">
      <c r="A1745" s="56">
        <v>1768</v>
      </c>
      <c r="B1745" s="1" t="s">
        <v>2158</v>
      </c>
      <c r="C1745" s="1">
        <v>2.3</v>
      </c>
      <c r="D1745" s="1">
        <v>0</v>
      </c>
      <c r="G1745" s="113"/>
    </row>
    <row r="1746" spans="1:7">
      <c r="A1746" s="56">
        <v>1769</v>
      </c>
      <c r="B1746" s="1" t="s">
        <v>2159</v>
      </c>
      <c r="C1746" s="1">
        <v>2.3</v>
      </c>
      <c r="D1746" s="1">
        <v>0</v>
      </c>
      <c r="G1746" s="113"/>
    </row>
    <row r="1747" spans="1:7">
      <c r="A1747" s="56">
        <v>1770</v>
      </c>
      <c r="B1747" s="1" t="s">
        <v>2160</v>
      </c>
      <c r="C1747" s="1">
        <v>5.5</v>
      </c>
      <c r="D1747" s="1">
        <v>0</v>
      </c>
      <c r="G1747" s="113"/>
    </row>
    <row r="1748" spans="1:7">
      <c r="A1748" s="56">
        <v>1771</v>
      </c>
      <c r="B1748" s="1" t="s">
        <v>2161</v>
      </c>
      <c r="C1748" s="1">
        <v>7</v>
      </c>
      <c r="D1748" s="1">
        <v>0</v>
      </c>
      <c r="G1748" s="113"/>
    </row>
    <row r="1749" spans="1:7">
      <c r="A1749" s="56">
        <v>1772</v>
      </c>
      <c r="B1749" s="1" t="s">
        <v>2162</v>
      </c>
      <c r="C1749" s="1">
        <v>7.33333333333333</v>
      </c>
      <c r="D1749" s="1">
        <v>0</v>
      </c>
      <c r="G1749" s="113"/>
    </row>
    <row r="1750" spans="1:7">
      <c r="A1750" s="56">
        <v>1773</v>
      </c>
      <c r="B1750" s="1" t="s">
        <v>2163</v>
      </c>
      <c r="C1750" s="1">
        <v>14</v>
      </c>
      <c r="D1750" s="1">
        <v>0</v>
      </c>
      <c r="G1750" s="113"/>
    </row>
    <row r="1751" spans="1:7">
      <c r="A1751" s="56">
        <v>1774</v>
      </c>
      <c r="B1751" s="1" t="s">
        <v>2164</v>
      </c>
      <c r="C1751" s="1">
        <v>14</v>
      </c>
      <c r="D1751" s="1">
        <v>0</v>
      </c>
      <c r="G1751" s="113"/>
    </row>
    <row r="1752" spans="1:7">
      <c r="A1752" s="56">
        <v>1775</v>
      </c>
      <c r="B1752" s="1" t="s">
        <v>2165</v>
      </c>
      <c r="C1752" s="1">
        <v>1.55</v>
      </c>
      <c r="D1752" s="1">
        <v>0</v>
      </c>
      <c r="G1752" s="113"/>
    </row>
    <row r="1753" spans="1:7">
      <c r="A1753" s="56">
        <v>1776</v>
      </c>
      <c r="B1753" s="1" t="s">
        <v>2166</v>
      </c>
      <c r="C1753" s="1">
        <v>3</v>
      </c>
      <c r="D1753" s="1">
        <v>0</v>
      </c>
      <c r="G1753" s="113"/>
    </row>
    <row r="1754" spans="1:7">
      <c r="A1754" s="56">
        <v>1777</v>
      </c>
      <c r="B1754" s="1" t="s">
        <v>2167</v>
      </c>
      <c r="C1754" s="1">
        <v>1</v>
      </c>
      <c r="D1754" s="1">
        <v>1</v>
      </c>
      <c r="G1754" s="113"/>
    </row>
    <row r="1755" spans="1:7">
      <c r="A1755" s="56">
        <v>1778</v>
      </c>
      <c r="B1755" s="1" t="s">
        <v>2168</v>
      </c>
      <c r="C1755" s="2">
        <v>1</v>
      </c>
      <c r="D1755" s="1">
        <v>1</v>
      </c>
      <c r="G1755" s="113"/>
    </row>
    <row r="1756" spans="1:7">
      <c r="A1756" s="56">
        <v>1779</v>
      </c>
      <c r="B1756" s="1" t="s">
        <v>2169</v>
      </c>
      <c r="C1756" s="2">
        <v>1</v>
      </c>
      <c r="D1756" s="1">
        <v>1</v>
      </c>
      <c r="G1756" s="113"/>
    </row>
    <row r="1757" spans="1:7">
      <c r="A1757" s="56">
        <v>1780</v>
      </c>
      <c r="B1757" s="1" t="s">
        <v>2170</v>
      </c>
      <c r="C1757" s="2">
        <v>3</v>
      </c>
      <c r="D1757" s="1">
        <v>0</v>
      </c>
      <c r="G1757" s="113"/>
    </row>
    <row r="1758" spans="1:7">
      <c r="A1758" s="56">
        <v>1781</v>
      </c>
      <c r="B1758" s="1" t="s">
        <v>2171</v>
      </c>
      <c r="C1758" s="1">
        <v>7.33333333333333</v>
      </c>
      <c r="D1758" s="1">
        <v>0</v>
      </c>
      <c r="G1758" s="113"/>
    </row>
    <row r="1759" spans="1:7">
      <c r="A1759" s="56">
        <v>1782</v>
      </c>
      <c r="B1759" s="1" t="s">
        <v>2172</v>
      </c>
      <c r="C1759" s="1">
        <v>0</v>
      </c>
      <c r="D1759" s="1">
        <v>1</v>
      </c>
      <c r="G1759" s="113"/>
    </row>
    <row r="1760" spans="1:7">
      <c r="A1760" s="56">
        <v>1783</v>
      </c>
      <c r="B1760" s="1" t="s">
        <v>2173</v>
      </c>
      <c r="C1760" s="1">
        <v>0</v>
      </c>
      <c r="D1760" s="1">
        <v>1</v>
      </c>
      <c r="F1760" s="2" t="s">
        <v>2174</v>
      </c>
      <c r="G1760" s="113"/>
    </row>
    <row r="1761" spans="1:7">
      <c r="A1761" s="56">
        <v>1784</v>
      </c>
      <c r="B1761" s="1" t="s">
        <v>2175</v>
      </c>
      <c r="C1761" s="1">
        <v>2</v>
      </c>
      <c r="D1761" s="1">
        <v>0</v>
      </c>
      <c r="F1761" s="2" t="s">
        <v>2176</v>
      </c>
      <c r="G1761" s="113"/>
    </row>
    <row r="1762" spans="1:7">
      <c r="A1762" s="56">
        <v>1785</v>
      </c>
      <c r="B1762" s="1" t="s">
        <v>2177</v>
      </c>
      <c r="C1762" s="1">
        <v>2</v>
      </c>
      <c r="D1762" s="1">
        <v>0</v>
      </c>
      <c r="F1762" s="2" t="s">
        <v>2178</v>
      </c>
      <c r="G1762" s="113"/>
    </row>
    <row r="1763" spans="1:7">
      <c r="A1763" s="56">
        <v>1786</v>
      </c>
      <c r="B1763" s="1" t="s">
        <v>2179</v>
      </c>
      <c r="C1763" s="1">
        <v>5</v>
      </c>
      <c r="D1763" s="1">
        <v>0</v>
      </c>
      <c r="F1763" s="2" t="s">
        <v>2180</v>
      </c>
      <c r="G1763" s="113"/>
    </row>
    <row r="1764" spans="1:7">
      <c r="A1764" s="56">
        <v>1787</v>
      </c>
      <c r="B1764" s="1" t="s">
        <v>2181</v>
      </c>
      <c r="C1764" s="1">
        <v>2</v>
      </c>
      <c r="D1764" s="1">
        <v>0</v>
      </c>
      <c r="F1764" s="2" t="s">
        <v>2182</v>
      </c>
      <c r="G1764" s="113"/>
    </row>
    <row r="1765" spans="1:7">
      <c r="A1765" s="56">
        <v>1788</v>
      </c>
      <c r="B1765" s="1" t="s">
        <v>2183</v>
      </c>
      <c r="C1765" s="1">
        <v>2</v>
      </c>
      <c r="D1765" s="1">
        <v>0</v>
      </c>
      <c r="F1765" s="2" t="s">
        <v>2184</v>
      </c>
      <c r="G1765" s="113"/>
    </row>
    <row r="1766" spans="1:7">
      <c r="A1766" s="56">
        <v>1789</v>
      </c>
      <c r="B1766" s="1" t="s">
        <v>2185</v>
      </c>
      <c r="C1766" s="1">
        <v>5</v>
      </c>
      <c r="D1766" s="1">
        <v>0</v>
      </c>
      <c r="F1766" s="2" t="s">
        <v>2186</v>
      </c>
      <c r="G1766" s="113"/>
    </row>
    <row r="1767" spans="1:7">
      <c r="A1767" s="56">
        <v>1790</v>
      </c>
      <c r="B1767" s="1" t="s">
        <v>2187</v>
      </c>
      <c r="C1767" s="1">
        <v>0</v>
      </c>
      <c r="D1767" s="1">
        <v>1</v>
      </c>
      <c r="F1767" s="2" t="s">
        <v>2188</v>
      </c>
      <c r="G1767" s="113"/>
    </row>
    <row r="1768" spans="1:7">
      <c r="A1768" s="56">
        <v>1791</v>
      </c>
      <c r="B1768" s="1" t="s">
        <v>2189</v>
      </c>
      <c r="C1768" s="1">
        <v>5.35</v>
      </c>
      <c r="D1768" s="1">
        <v>0</v>
      </c>
      <c r="F1768" s="2" t="s">
        <v>2190</v>
      </c>
      <c r="G1768" s="113"/>
    </row>
    <row r="1769" spans="1:7">
      <c r="A1769" s="56">
        <v>1792</v>
      </c>
      <c r="B1769" s="1" t="s">
        <v>2191</v>
      </c>
      <c r="C1769" s="1">
        <v>5</v>
      </c>
      <c r="D1769" s="1">
        <v>0</v>
      </c>
      <c r="F1769" s="2" t="s">
        <v>2186</v>
      </c>
      <c r="G1769" s="113"/>
    </row>
    <row r="1770" spans="1:7">
      <c r="A1770" s="56">
        <v>1793</v>
      </c>
      <c r="B1770" s="1" t="s">
        <v>2192</v>
      </c>
      <c r="C1770" s="1">
        <v>1.4</v>
      </c>
      <c r="D1770" s="1">
        <v>0</v>
      </c>
      <c r="F1770" s="2" t="s">
        <v>2193</v>
      </c>
      <c r="G1770" s="113"/>
    </row>
    <row r="1771" spans="1:7">
      <c r="A1771" s="56">
        <v>1794</v>
      </c>
      <c r="B1771" s="1" t="s">
        <v>2194</v>
      </c>
      <c r="C1771" s="1">
        <v>1.5</v>
      </c>
      <c r="D1771" s="1">
        <v>0</v>
      </c>
      <c r="F1771" s="2" t="s">
        <v>2195</v>
      </c>
      <c r="G1771" s="113"/>
    </row>
    <row r="1772" spans="1:7">
      <c r="A1772" s="56">
        <v>1795</v>
      </c>
      <c r="B1772" s="1" t="s">
        <v>2196</v>
      </c>
      <c r="C1772" s="1">
        <v>3</v>
      </c>
      <c r="D1772" s="1">
        <v>0</v>
      </c>
      <c r="F1772" s="2" t="s">
        <v>2197</v>
      </c>
      <c r="G1772" s="113"/>
    </row>
    <row r="1773" spans="1:7">
      <c r="A1773" s="56">
        <v>1796</v>
      </c>
      <c r="B1773" s="1" t="s">
        <v>2198</v>
      </c>
      <c r="C1773" s="1">
        <v>6</v>
      </c>
      <c r="D1773" s="1">
        <v>0</v>
      </c>
      <c r="F1773" s="2" t="s">
        <v>2199</v>
      </c>
      <c r="G1773" s="113"/>
    </row>
    <row r="1774" spans="1:7">
      <c r="A1774" s="56">
        <v>1797</v>
      </c>
      <c r="B1774" s="1" t="s">
        <v>2200</v>
      </c>
      <c r="C1774" s="1">
        <v>0</v>
      </c>
      <c r="D1774" s="1">
        <v>1</v>
      </c>
      <c r="F1774" s="2" t="s">
        <v>2201</v>
      </c>
      <c r="G1774" s="113"/>
    </row>
    <row r="1775" spans="1:7">
      <c r="A1775" s="56">
        <v>1798</v>
      </c>
      <c r="B1775" s="1" t="s">
        <v>2202</v>
      </c>
      <c r="C1775" s="1">
        <v>0</v>
      </c>
      <c r="D1775" s="1">
        <v>1</v>
      </c>
      <c r="F1775" s="2" t="s">
        <v>2203</v>
      </c>
      <c r="G1775" s="113"/>
    </row>
    <row r="1776" spans="1:7">
      <c r="A1776" s="56">
        <v>1799</v>
      </c>
      <c r="B1776" s="1" t="s">
        <v>2204</v>
      </c>
      <c r="C1776" s="1">
        <v>1.5</v>
      </c>
      <c r="D1776" s="1">
        <v>0</v>
      </c>
      <c r="F1776" s="2" t="s">
        <v>2205</v>
      </c>
      <c r="G1776" s="113"/>
    </row>
    <row r="1777" spans="1:7">
      <c r="A1777" s="56">
        <v>1800</v>
      </c>
      <c r="B1777" s="1" t="s">
        <v>2206</v>
      </c>
      <c r="C1777" s="1">
        <v>0.8</v>
      </c>
      <c r="D1777" s="1">
        <v>0</v>
      </c>
      <c r="F1777" s="2" t="s">
        <v>2207</v>
      </c>
      <c r="G1777" s="113"/>
    </row>
    <row r="1778" spans="1:7">
      <c r="A1778" s="56">
        <v>1801</v>
      </c>
      <c r="B1778" s="1" t="s">
        <v>2208</v>
      </c>
      <c r="C1778" s="1">
        <v>0</v>
      </c>
      <c r="D1778" s="1">
        <v>1</v>
      </c>
      <c r="F1778" s="2" t="s">
        <v>2209</v>
      </c>
      <c r="G1778" s="113"/>
    </row>
    <row r="1779" spans="1:7">
      <c r="A1779" s="56">
        <v>1802</v>
      </c>
      <c r="B1779" s="1" t="s">
        <v>2210</v>
      </c>
      <c r="C1779" s="1">
        <v>0</v>
      </c>
      <c r="D1779" s="1">
        <v>1</v>
      </c>
      <c r="F1779" s="2" t="s">
        <v>2211</v>
      </c>
      <c r="G1779" s="113"/>
    </row>
    <row r="1780" spans="1:7">
      <c r="A1780" s="56">
        <v>1803</v>
      </c>
      <c r="B1780" s="1" t="s">
        <v>2212</v>
      </c>
      <c r="C1780" s="1">
        <v>0</v>
      </c>
      <c r="D1780" s="1">
        <v>1</v>
      </c>
      <c r="F1780" s="2" t="s">
        <v>2213</v>
      </c>
      <c r="G1780" s="113"/>
    </row>
    <row r="1781" spans="1:7">
      <c r="A1781" s="56">
        <v>1804</v>
      </c>
      <c r="B1781" s="1" t="s">
        <v>2214</v>
      </c>
      <c r="C1781" s="1">
        <v>0</v>
      </c>
      <c r="D1781" s="1">
        <v>1</v>
      </c>
      <c r="F1781" s="2" t="s">
        <v>2215</v>
      </c>
      <c r="G1781" s="113"/>
    </row>
    <row r="1782" spans="1:7">
      <c r="A1782" s="56">
        <v>1805</v>
      </c>
      <c r="B1782" s="1" t="s">
        <v>2216</v>
      </c>
      <c r="C1782" s="1">
        <v>2</v>
      </c>
      <c r="D1782" s="1">
        <v>0</v>
      </c>
      <c r="F1782" s="2" t="s">
        <v>2217</v>
      </c>
      <c r="G1782" s="113"/>
    </row>
    <row r="1783" spans="1:7">
      <c r="A1783" s="56">
        <v>1806</v>
      </c>
      <c r="B1783" s="1" t="s">
        <v>2218</v>
      </c>
      <c r="C1783" s="1">
        <v>2.5</v>
      </c>
      <c r="D1783" s="1">
        <v>0</v>
      </c>
      <c r="G1783" s="113"/>
    </row>
    <row r="1784" spans="1:7">
      <c r="A1784" s="56">
        <v>1807</v>
      </c>
      <c r="B1784" s="1" t="s">
        <v>2219</v>
      </c>
      <c r="C1784" s="1">
        <v>1</v>
      </c>
      <c r="D1784" s="1">
        <v>0</v>
      </c>
      <c r="G1784" s="113"/>
    </row>
    <row r="1785" spans="1:7">
      <c r="A1785" s="56">
        <v>1808</v>
      </c>
      <c r="B1785" s="1" t="s">
        <v>2220</v>
      </c>
      <c r="C1785" s="1">
        <v>3</v>
      </c>
      <c r="D1785" s="1">
        <v>0</v>
      </c>
      <c r="G1785" s="113"/>
    </row>
    <row r="1786" spans="1:7">
      <c r="A1786" s="56">
        <v>1809</v>
      </c>
      <c r="B1786" s="1" t="s">
        <v>2221</v>
      </c>
      <c r="C1786" s="1">
        <v>3</v>
      </c>
      <c r="D1786" s="1">
        <v>0</v>
      </c>
      <c r="G1786" s="113"/>
    </row>
    <row r="1787" spans="1:7">
      <c r="A1787" s="56">
        <v>1810</v>
      </c>
      <c r="B1787" s="1" t="s">
        <v>2222</v>
      </c>
      <c r="C1787" s="1">
        <f>120/30</f>
        <v>4</v>
      </c>
      <c r="D1787" s="1">
        <v>0</v>
      </c>
      <c r="G1787" s="113"/>
    </row>
    <row r="1788" spans="1:7">
      <c r="A1788" s="56">
        <v>1811</v>
      </c>
      <c r="B1788" s="1" t="s">
        <v>2223</v>
      </c>
      <c r="C1788" s="1">
        <v>1.5</v>
      </c>
      <c r="D1788" s="1">
        <v>0</v>
      </c>
      <c r="G1788" s="113"/>
    </row>
    <row r="1789" spans="1:7">
      <c r="A1789" s="56">
        <v>1812</v>
      </c>
      <c r="B1789" s="1" t="s">
        <v>2224</v>
      </c>
      <c r="C1789" s="1">
        <v>6</v>
      </c>
      <c r="D1789" s="1">
        <v>0</v>
      </c>
      <c r="G1789" s="113"/>
    </row>
    <row r="1790" spans="1:7">
      <c r="A1790" s="56">
        <v>1813</v>
      </c>
      <c r="B1790" s="1" t="s">
        <v>2225</v>
      </c>
      <c r="C1790" s="1">
        <v>9.3333333333</v>
      </c>
      <c r="D1790" s="1">
        <v>0</v>
      </c>
      <c r="G1790" s="113"/>
    </row>
    <row r="1791" spans="1:7">
      <c r="A1791" s="56">
        <v>1814</v>
      </c>
      <c r="B1791" s="1" t="s">
        <v>2226</v>
      </c>
      <c r="C1791" s="1">
        <v>9.3333333333</v>
      </c>
      <c r="D1791" s="1">
        <v>0</v>
      </c>
      <c r="G1791" s="113"/>
    </row>
    <row r="1792" spans="1:7">
      <c r="A1792" s="56">
        <v>1815</v>
      </c>
      <c r="B1792" s="1" t="s">
        <v>2227</v>
      </c>
      <c r="C1792" s="1">
        <v>8</v>
      </c>
      <c r="D1792" s="1">
        <v>0</v>
      </c>
      <c r="G1792" s="113"/>
    </row>
    <row r="1793" spans="1:7">
      <c r="A1793" s="56">
        <v>1816</v>
      </c>
      <c r="B1793" s="1" t="s">
        <v>2228</v>
      </c>
      <c r="C1793" s="1">
        <v>8</v>
      </c>
      <c r="D1793" s="1">
        <v>0</v>
      </c>
      <c r="G1793" s="113"/>
    </row>
    <row r="1794" spans="1:7">
      <c r="A1794" s="56">
        <v>1817</v>
      </c>
      <c r="B1794" s="1" t="s">
        <v>2229</v>
      </c>
      <c r="C1794" s="1">
        <v>8</v>
      </c>
      <c r="D1794" s="1">
        <v>0</v>
      </c>
      <c r="G1794" s="113"/>
    </row>
    <row r="1795" spans="1:7">
      <c r="A1795" s="56">
        <v>1818</v>
      </c>
      <c r="B1795" s="1" t="s">
        <v>2230</v>
      </c>
      <c r="C1795" s="1">
        <v>0</v>
      </c>
      <c r="D1795" s="1">
        <v>1</v>
      </c>
      <c r="G1795" s="113"/>
    </row>
    <row r="1796" spans="1:7">
      <c r="A1796" s="56">
        <v>1819</v>
      </c>
      <c r="B1796" s="1" t="s">
        <v>2231</v>
      </c>
      <c r="C1796" s="1">
        <v>2</v>
      </c>
      <c r="D1796" s="1">
        <v>0</v>
      </c>
      <c r="G1796" s="113"/>
    </row>
    <row r="1797" spans="1:7">
      <c r="A1797" s="56">
        <v>1820</v>
      </c>
      <c r="B1797" s="1" t="s">
        <v>2232</v>
      </c>
      <c r="C1797" s="1">
        <v>0</v>
      </c>
      <c r="D1797" s="1">
        <v>1</v>
      </c>
      <c r="F1797" s="2" t="s">
        <v>2233</v>
      </c>
      <c r="G1797" s="113"/>
    </row>
    <row r="1798" spans="1:7">
      <c r="A1798" s="56">
        <v>1821</v>
      </c>
      <c r="B1798" s="1" t="s">
        <v>2234</v>
      </c>
      <c r="C1798" s="1">
        <v>0</v>
      </c>
      <c r="D1798" s="1">
        <v>1</v>
      </c>
      <c r="F1798" s="2" t="s">
        <v>2235</v>
      </c>
      <c r="G1798" s="113"/>
    </row>
    <row r="1799" spans="1:7">
      <c r="A1799" s="56">
        <v>1822</v>
      </c>
      <c r="B1799" s="1" t="s">
        <v>2236</v>
      </c>
      <c r="C1799" s="1">
        <v>1.5</v>
      </c>
      <c r="D1799" s="1">
        <v>1</v>
      </c>
      <c r="F1799" s="2" t="s">
        <v>2237</v>
      </c>
      <c r="G1799" s="113"/>
    </row>
    <row r="1800" spans="1:7">
      <c r="A1800" s="56">
        <v>1823</v>
      </c>
      <c r="B1800" s="1" t="s">
        <v>2238</v>
      </c>
      <c r="C1800" s="1">
        <v>0</v>
      </c>
      <c r="D1800" s="1">
        <v>1</v>
      </c>
      <c r="F1800" s="2" t="s">
        <v>2239</v>
      </c>
      <c r="G1800" s="113"/>
    </row>
    <row r="1801" spans="1:7">
      <c r="A1801" s="56">
        <v>1824</v>
      </c>
      <c r="B1801" s="1" t="s">
        <v>2240</v>
      </c>
      <c r="C1801" s="1">
        <v>0</v>
      </c>
      <c r="D1801" s="1">
        <v>1</v>
      </c>
      <c r="G1801" s="113"/>
    </row>
    <row r="1802" spans="1:7">
      <c r="A1802" s="56">
        <v>1825</v>
      </c>
      <c r="B1802" s="1" t="s">
        <v>2241</v>
      </c>
      <c r="C1802" s="1">
        <v>0</v>
      </c>
      <c r="D1802" s="1">
        <v>1</v>
      </c>
      <c r="G1802" s="113"/>
    </row>
    <row r="1803" spans="1:7">
      <c r="A1803" s="56">
        <v>1826</v>
      </c>
      <c r="B1803" s="1" t="s">
        <v>2242</v>
      </c>
      <c r="C1803" s="1">
        <v>0</v>
      </c>
      <c r="D1803" s="1">
        <v>1</v>
      </c>
      <c r="G1803" s="113"/>
    </row>
    <row r="1804" spans="1:7">
      <c r="A1804" s="56">
        <v>1827</v>
      </c>
      <c r="B1804" s="1" t="s">
        <v>2243</v>
      </c>
      <c r="C1804" s="1">
        <v>0</v>
      </c>
      <c r="D1804" s="1">
        <v>1</v>
      </c>
      <c r="G1804" s="113"/>
    </row>
    <row r="1805" spans="1:7">
      <c r="A1805" s="56">
        <v>1828</v>
      </c>
      <c r="B1805" s="1" t="s">
        <v>2244</v>
      </c>
      <c r="C1805" s="1">
        <v>0</v>
      </c>
      <c r="D1805" s="1">
        <v>1</v>
      </c>
      <c r="G1805" s="113"/>
    </row>
    <row r="1806" spans="1:7">
      <c r="A1806" s="56">
        <v>1829</v>
      </c>
      <c r="B1806" s="1" t="s">
        <v>2245</v>
      </c>
      <c r="C1806" s="1">
        <v>0</v>
      </c>
      <c r="D1806" s="1">
        <v>1</v>
      </c>
      <c r="G1806" s="113"/>
    </row>
    <row r="1807" spans="1:7">
      <c r="A1807" s="56">
        <v>1830</v>
      </c>
      <c r="B1807" s="1" t="s">
        <v>2246</v>
      </c>
      <c r="C1807" s="1">
        <v>2</v>
      </c>
      <c r="D1807" s="1">
        <v>0</v>
      </c>
      <c r="F1807" s="2" t="s">
        <v>2247</v>
      </c>
      <c r="G1807" s="113"/>
    </row>
    <row r="1808" spans="1:7">
      <c r="A1808" s="56">
        <v>1831</v>
      </c>
      <c r="B1808" s="1" t="s">
        <v>2248</v>
      </c>
      <c r="C1808" s="1">
        <v>4</v>
      </c>
      <c r="D1808" s="1">
        <v>0</v>
      </c>
      <c r="F1808" s="2" t="s">
        <v>2247</v>
      </c>
      <c r="G1808" s="113"/>
    </row>
    <row r="1809" spans="1:7">
      <c r="A1809" s="56">
        <v>1832</v>
      </c>
      <c r="B1809" s="1" t="s">
        <v>2249</v>
      </c>
      <c r="C1809" s="1">
        <v>4.4</v>
      </c>
      <c r="D1809" s="1">
        <v>0</v>
      </c>
      <c r="F1809" s="2" t="s">
        <v>2247</v>
      </c>
      <c r="G1809" s="113"/>
    </row>
    <row r="1810" spans="1:7">
      <c r="A1810" s="56">
        <v>1833</v>
      </c>
      <c r="B1810" s="1" t="s">
        <v>2250</v>
      </c>
      <c r="C1810" s="1">
        <v>2.7</v>
      </c>
      <c r="D1810" s="1">
        <v>0</v>
      </c>
      <c r="F1810" s="2" t="s">
        <v>2247</v>
      </c>
      <c r="G1810" s="113"/>
    </row>
    <row r="1811" spans="1:7">
      <c r="A1811" s="56">
        <v>1834</v>
      </c>
      <c r="B1811" s="1" t="s">
        <v>2251</v>
      </c>
      <c r="C1811" s="1">
        <v>5</v>
      </c>
      <c r="D1811" s="1">
        <v>0</v>
      </c>
      <c r="F1811" s="2" t="s">
        <v>2247</v>
      </c>
      <c r="G1811" s="113"/>
    </row>
    <row r="1812" spans="1:7">
      <c r="A1812" s="56">
        <v>1835</v>
      </c>
      <c r="B1812" s="1" t="s">
        <v>2252</v>
      </c>
      <c r="C1812" s="1">
        <v>0</v>
      </c>
      <c r="D1812" s="1">
        <v>1</v>
      </c>
      <c r="G1812" s="113"/>
    </row>
    <row r="1813" spans="1:7">
      <c r="A1813" s="56">
        <v>1836</v>
      </c>
      <c r="B1813" s="1" t="s">
        <v>2253</v>
      </c>
      <c r="C1813" s="1">
        <v>3</v>
      </c>
      <c r="D1813" s="1">
        <v>0</v>
      </c>
      <c r="G1813" s="113"/>
    </row>
    <row r="1814" spans="1:7">
      <c r="A1814" s="56">
        <v>1837</v>
      </c>
      <c r="B1814" s="1" t="s">
        <v>2254</v>
      </c>
      <c r="C1814" s="1">
        <v>5</v>
      </c>
      <c r="D1814" s="1">
        <v>0</v>
      </c>
      <c r="F1814" s="2" t="s">
        <v>2255</v>
      </c>
      <c r="G1814" s="113"/>
    </row>
    <row r="1815" spans="1:7">
      <c r="A1815" s="56">
        <v>1838</v>
      </c>
      <c r="B1815" s="1" t="s">
        <v>2256</v>
      </c>
      <c r="C1815" s="1">
        <v>14</v>
      </c>
      <c r="D1815" s="1">
        <v>0</v>
      </c>
      <c r="G1815" s="113"/>
    </row>
    <row r="1816" spans="1:7">
      <c r="A1816" s="56">
        <v>1839</v>
      </c>
      <c r="B1816" s="1" t="s">
        <v>2257</v>
      </c>
      <c r="C1816" s="1">
        <v>3</v>
      </c>
      <c r="D1816" s="1">
        <v>0</v>
      </c>
      <c r="F1816" s="2" t="s">
        <v>2258</v>
      </c>
      <c r="G1816" s="113"/>
    </row>
    <row r="1817" spans="1:7">
      <c r="A1817" s="56">
        <v>1840</v>
      </c>
      <c r="B1817" s="1" t="s">
        <v>2259</v>
      </c>
      <c r="C1817" s="1">
        <v>2.4</v>
      </c>
      <c r="D1817" s="1">
        <v>0</v>
      </c>
      <c r="F1817" s="2" t="s">
        <v>2260</v>
      </c>
      <c r="G1817" s="113"/>
    </row>
    <row r="1818" spans="1:7">
      <c r="A1818" s="56">
        <v>1841</v>
      </c>
      <c r="B1818" s="1" t="s">
        <v>2261</v>
      </c>
      <c r="C1818" s="1">
        <v>6</v>
      </c>
      <c r="D1818" s="1">
        <v>0</v>
      </c>
      <c r="F1818" s="2" t="s">
        <v>2262</v>
      </c>
      <c r="G1818" s="113"/>
    </row>
    <row r="1819" spans="1:7">
      <c r="A1819" s="56">
        <v>1842</v>
      </c>
      <c r="B1819" s="1" t="s">
        <v>2263</v>
      </c>
      <c r="C1819" s="1">
        <v>3</v>
      </c>
      <c r="D1819" s="1">
        <v>0</v>
      </c>
      <c r="F1819" s="2" t="s">
        <v>2264</v>
      </c>
      <c r="G1819" s="113"/>
    </row>
    <row r="1820" spans="1:7">
      <c r="A1820" s="56">
        <v>1843</v>
      </c>
      <c r="B1820" s="1" t="s">
        <v>2265</v>
      </c>
      <c r="C1820" s="1">
        <v>5.666666666667</v>
      </c>
      <c r="D1820" s="1">
        <v>0</v>
      </c>
      <c r="F1820" s="2" t="s">
        <v>2266</v>
      </c>
      <c r="G1820" s="113"/>
    </row>
    <row r="1821" spans="1:7">
      <c r="A1821" s="56">
        <v>1844</v>
      </c>
      <c r="B1821" s="1" t="s">
        <v>2267</v>
      </c>
      <c r="C1821" s="1">
        <v>2.5</v>
      </c>
      <c r="D1821" s="1">
        <v>0</v>
      </c>
      <c r="F1821" s="2" t="s">
        <v>2268</v>
      </c>
      <c r="G1821" s="113"/>
    </row>
    <row r="1822" spans="1:7">
      <c r="A1822" s="56">
        <v>1845</v>
      </c>
      <c r="B1822" s="1" t="s">
        <v>2269</v>
      </c>
      <c r="C1822" s="1">
        <v>2.5</v>
      </c>
      <c r="D1822" s="1">
        <v>0</v>
      </c>
      <c r="F1822" s="2" t="s">
        <v>2270</v>
      </c>
      <c r="G1822" s="113"/>
    </row>
    <row r="1823" spans="1:7">
      <c r="A1823" s="56">
        <v>1846</v>
      </c>
      <c r="B1823" s="1" t="s">
        <v>2271</v>
      </c>
      <c r="C1823" s="1">
        <v>3</v>
      </c>
      <c r="D1823" s="1">
        <v>0</v>
      </c>
      <c r="F1823" s="2" t="s">
        <v>2272</v>
      </c>
      <c r="G1823" s="113"/>
    </row>
    <row r="1824" spans="1:7">
      <c r="A1824" s="56">
        <v>1847</v>
      </c>
      <c r="B1824" s="1" t="s">
        <v>2273</v>
      </c>
      <c r="C1824" s="1">
        <v>2.5</v>
      </c>
      <c r="D1824" s="1">
        <v>0</v>
      </c>
      <c r="F1824" s="2" t="s">
        <v>2274</v>
      </c>
      <c r="G1824" s="113"/>
    </row>
    <row r="1825" spans="1:7">
      <c r="A1825" s="56">
        <v>1848</v>
      </c>
      <c r="B1825" s="1" t="s">
        <v>2275</v>
      </c>
      <c r="C1825" s="1">
        <v>0</v>
      </c>
      <c r="D1825" s="1">
        <v>1</v>
      </c>
      <c r="F1825" s="2" t="s">
        <v>2276</v>
      </c>
      <c r="G1825" s="113"/>
    </row>
    <row r="1826" spans="1:7">
      <c r="A1826" s="56">
        <v>1849</v>
      </c>
      <c r="B1826" s="1" t="s">
        <v>2277</v>
      </c>
      <c r="C1826" s="1">
        <v>3</v>
      </c>
      <c r="D1826" s="1">
        <v>0</v>
      </c>
      <c r="F1826" s="2" t="s">
        <v>2278</v>
      </c>
      <c r="G1826" s="113"/>
    </row>
    <row r="1827" spans="1:7">
      <c r="A1827" s="56">
        <v>1850</v>
      </c>
      <c r="B1827" s="1" t="s">
        <v>2279</v>
      </c>
      <c r="C1827" s="1">
        <v>0</v>
      </c>
      <c r="D1827" s="1">
        <v>1</v>
      </c>
      <c r="F1827" s="2" t="s">
        <v>2280</v>
      </c>
      <c r="G1827" s="113"/>
    </row>
    <row r="1828" spans="1:7">
      <c r="A1828" s="56">
        <v>1851</v>
      </c>
      <c r="B1828" s="1" t="s">
        <v>2281</v>
      </c>
      <c r="C1828" s="1">
        <v>0</v>
      </c>
      <c r="D1828" s="1">
        <v>1</v>
      </c>
      <c r="F1828" s="2" t="s">
        <v>2282</v>
      </c>
      <c r="G1828" s="113"/>
    </row>
    <row r="1829" spans="1:7">
      <c r="A1829" s="56">
        <v>1852</v>
      </c>
      <c r="B1829" s="1" t="s">
        <v>2283</v>
      </c>
      <c r="C1829" s="1">
        <v>0</v>
      </c>
      <c r="D1829" s="1">
        <v>1</v>
      </c>
      <c r="F1829" s="2" t="s">
        <v>2284</v>
      </c>
      <c r="G1829" s="113"/>
    </row>
    <row r="1830" spans="1:7">
      <c r="A1830" s="56">
        <v>1853</v>
      </c>
      <c r="B1830" s="1" t="s">
        <v>2285</v>
      </c>
      <c r="C1830" s="1">
        <v>9.66666666666667</v>
      </c>
      <c r="D1830" s="1">
        <v>0</v>
      </c>
      <c r="F1830" s="2" t="s">
        <v>2286</v>
      </c>
      <c r="G1830" s="113"/>
    </row>
    <row r="1831" spans="1:7">
      <c r="A1831" s="56">
        <v>1854</v>
      </c>
      <c r="B1831" s="1" t="s">
        <v>2287</v>
      </c>
      <c r="C1831" s="1">
        <v>6</v>
      </c>
      <c r="D1831" s="1">
        <v>0</v>
      </c>
      <c r="F1831" s="2" t="s">
        <v>2288</v>
      </c>
      <c r="G1831" s="113"/>
    </row>
    <row r="1832" spans="1:7">
      <c r="A1832" s="56">
        <v>1855</v>
      </c>
      <c r="B1832" s="1" t="s">
        <v>2289</v>
      </c>
      <c r="C1832" s="1">
        <v>6</v>
      </c>
      <c r="D1832" s="1">
        <v>0</v>
      </c>
      <c r="F1832" s="2" t="s">
        <v>2290</v>
      </c>
      <c r="G1832" s="113"/>
    </row>
    <row r="1833" spans="1:7">
      <c r="A1833" s="56">
        <v>1856</v>
      </c>
      <c r="B1833" s="1" t="s">
        <v>2291</v>
      </c>
      <c r="C1833" s="1">
        <v>4</v>
      </c>
      <c r="D1833" s="1">
        <v>0</v>
      </c>
      <c r="G1833" s="113"/>
    </row>
    <row r="1834" spans="1:7">
      <c r="A1834" s="56">
        <v>1857</v>
      </c>
      <c r="B1834" s="1" t="s">
        <v>2292</v>
      </c>
      <c r="C1834" s="1">
        <v>2</v>
      </c>
      <c r="D1834" s="1">
        <v>0</v>
      </c>
      <c r="G1834" s="113"/>
    </row>
    <row r="1835" spans="1:7">
      <c r="A1835" s="56">
        <v>1858</v>
      </c>
      <c r="B1835" s="1" t="s">
        <v>2293</v>
      </c>
      <c r="C1835" s="1">
        <v>0</v>
      </c>
      <c r="D1835" s="1">
        <v>1</v>
      </c>
      <c r="G1835" s="113"/>
    </row>
    <row r="1836" spans="1:7">
      <c r="A1836" s="56">
        <v>1859</v>
      </c>
      <c r="B1836" s="1" t="s">
        <v>2294</v>
      </c>
      <c r="C1836" s="1">
        <v>4</v>
      </c>
      <c r="D1836" s="1">
        <v>0</v>
      </c>
      <c r="G1836" s="113"/>
    </row>
    <row r="1837" spans="1:7">
      <c r="A1837" s="56">
        <v>1860</v>
      </c>
      <c r="B1837" s="1" t="s">
        <v>2295</v>
      </c>
      <c r="C1837" s="1">
        <v>3</v>
      </c>
      <c r="D1837" s="1">
        <v>0</v>
      </c>
      <c r="G1837" s="113"/>
    </row>
    <row r="1838" spans="1:7">
      <c r="A1838" s="56">
        <v>1861</v>
      </c>
      <c r="B1838" s="1" t="s">
        <v>2296</v>
      </c>
      <c r="C1838" s="1">
        <v>4</v>
      </c>
      <c r="D1838" s="1">
        <v>0</v>
      </c>
      <c r="G1838" s="113"/>
    </row>
    <row r="1839" spans="1:7">
      <c r="A1839" s="56">
        <v>1862</v>
      </c>
      <c r="B1839" s="1" t="s">
        <v>2297</v>
      </c>
      <c r="C1839" s="1">
        <v>0</v>
      </c>
      <c r="D1839" s="1">
        <v>1</v>
      </c>
      <c r="G1839" s="113"/>
    </row>
    <row r="1840" spans="1:7">
      <c r="A1840" s="56">
        <v>1863</v>
      </c>
      <c r="B1840" s="1" t="s">
        <v>2298</v>
      </c>
      <c r="C1840" s="1">
        <v>4</v>
      </c>
      <c r="D1840" s="1">
        <v>0</v>
      </c>
      <c r="G1840" s="113"/>
    </row>
    <row r="1841" spans="1:7">
      <c r="A1841" s="56">
        <v>1864</v>
      </c>
      <c r="B1841" s="1" t="s">
        <v>2299</v>
      </c>
      <c r="C1841" s="1">
        <v>3.5</v>
      </c>
      <c r="D1841" s="1">
        <v>0</v>
      </c>
      <c r="G1841" s="113"/>
    </row>
    <row r="1842" spans="1:7">
      <c r="A1842" s="56">
        <v>1865</v>
      </c>
      <c r="B1842" s="1" t="s">
        <v>2300</v>
      </c>
      <c r="C1842" s="1">
        <v>3.5</v>
      </c>
      <c r="D1842" s="1">
        <v>0</v>
      </c>
      <c r="G1842" s="113"/>
    </row>
    <row r="1843" spans="1:7">
      <c r="A1843" s="56">
        <v>1866</v>
      </c>
      <c r="B1843" s="1" t="s">
        <v>2301</v>
      </c>
      <c r="C1843" s="1">
        <f>145/30</f>
        <v>4.83333333333333</v>
      </c>
      <c r="D1843" s="1">
        <v>0</v>
      </c>
      <c r="G1843" s="113"/>
    </row>
    <row r="1844" spans="1:7">
      <c r="A1844" s="56">
        <v>1867</v>
      </c>
      <c r="B1844" s="1" t="s">
        <v>2302</v>
      </c>
      <c r="C1844" s="1">
        <f>229/30</f>
        <v>7.63333333333333</v>
      </c>
      <c r="D1844" s="1">
        <v>0</v>
      </c>
      <c r="G1844" s="113"/>
    </row>
    <row r="1845" spans="1:7">
      <c r="A1845" s="56">
        <v>1868</v>
      </c>
      <c r="B1845" s="1" t="s">
        <v>2303</v>
      </c>
      <c r="C1845" s="1">
        <f>229/30</f>
        <v>7.63333333333333</v>
      </c>
      <c r="D1845" s="1">
        <v>0</v>
      </c>
      <c r="G1845" s="113"/>
    </row>
    <row r="1846" spans="1:7">
      <c r="A1846" s="56">
        <v>1869</v>
      </c>
      <c r="B1846" s="1" t="s">
        <v>2304</v>
      </c>
      <c r="C1846" s="1">
        <f t="shared" ref="C1846:C1848" si="2">221/30</f>
        <v>7.36666666666667</v>
      </c>
      <c r="D1846" s="1">
        <v>0</v>
      </c>
      <c r="G1846" s="113"/>
    </row>
    <row r="1847" spans="1:7">
      <c r="A1847" s="56">
        <v>1870</v>
      </c>
      <c r="B1847" s="1" t="s">
        <v>2305</v>
      </c>
      <c r="C1847" s="1">
        <f t="shared" si="2"/>
        <v>7.36666666666667</v>
      </c>
      <c r="D1847" s="1">
        <v>0</v>
      </c>
      <c r="G1847" s="113"/>
    </row>
    <row r="1848" spans="1:7">
      <c r="A1848" s="56">
        <v>1871</v>
      </c>
      <c r="B1848" s="1" t="s">
        <v>2306</v>
      </c>
      <c r="C1848" s="1">
        <f t="shared" si="2"/>
        <v>7.36666666666667</v>
      </c>
      <c r="D1848" s="1">
        <v>0</v>
      </c>
      <c r="G1848" s="113"/>
    </row>
    <row r="1849" spans="1:7">
      <c r="A1849" s="56">
        <v>1872</v>
      </c>
      <c r="B1849" s="1" t="s">
        <v>2307</v>
      </c>
      <c r="C1849" s="1">
        <v>3</v>
      </c>
      <c r="D1849" s="1">
        <v>0</v>
      </c>
      <c r="G1849" s="113"/>
    </row>
    <row r="1850" spans="1:7">
      <c r="A1850" s="56">
        <v>1873</v>
      </c>
      <c r="B1850" s="1" t="s">
        <v>2308</v>
      </c>
      <c r="C1850" s="1">
        <v>2</v>
      </c>
      <c r="D1850" s="1">
        <v>0</v>
      </c>
      <c r="G1850" s="113"/>
    </row>
    <row r="1851" spans="1:7">
      <c r="A1851" s="56">
        <v>1874</v>
      </c>
      <c r="B1851" s="1" t="s">
        <v>2309</v>
      </c>
      <c r="C1851" s="1">
        <v>2</v>
      </c>
      <c r="D1851" s="1">
        <v>0</v>
      </c>
      <c r="G1851" s="113"/>
    </row>
    <row r="1852" spans="1:7">
      <c r="A1852" s="56">
        <v>1875</v>
      </c>
      <c r="B1852" s="1" t="s">
        <v>2310</v>
      </c>
      <c r="C1852" s="1">
        <v>2</v>
      </c>
      <c r="D1852" s="1">
        <v>0</v>
      </c>
      <c r="G1852" s="113"/>
    </row>
    <row r="1853" spans="1:7">
      <c r="A1853" s="56">
        <v>1876</v>
      </c>
      <c r="B1853" s="1" t="s">
        <v>2311</v>
      </c>
      <c r="C1853" s="1">
        <v>5.4</v>
      </c>
      <c r="D1853" s="1">
        <v>0</v>
      </c>
      <c r="G1853" s="113"/>
    </row>
    <row r="1854" spans="1:7">
      <c r="A1854" s="56">
        <v>1877</v>
      </c>
      <c r="B1854" s="1" t="s">
        <v>2312</v>
      </c>
      <c r="C1854" s="1">
        <v>5.4</v>
      </c>
      <c r="D1854" s="1">
        <v>0</v>
      </c>
      <c r="G1854" s="113"/>
    </row>
    <row r="1855" spans="1:7">
      <c r="A1855" s="56">
        <v>1878</v>
      </c>
      <c r="B1855" s="1" t="s">
        <v>2313</v>
      </c>
      <c r="C1855" s="1">
        <v>2.8</v>
      </c>
      <c r="D1855" s="1">
        <v>0</v>
      </c>
      <c r="G1855" s="113"/>
    </row>
    <row r="1856" spans="1:7">
      <c r="A1856" s="56">
        <v>1879</v>
      </c>
      <c r="B1856" s="1" t="s">
        <v>2314</v>
      </c>
      <c r="C1856" s="1">
        <f t="shared" ref="C1856:C1864" si="3">255/30</f>
        <v>8.5</v>
      </c>
      <c r="D1856" s="1">
        <v>0</v>
      </c>
      <c r="G1856" s="113"/>
    </row>
    <row r="1857" spans="1:7">
      <c r="A1857" s="56">
        <v>1880</v>
      </c>
      <c r="B1857" s="1" t="s">
        <v>2315</v>
      </c>
      <c r="C1857" s="1">
        <f t="shared" si="3"/>
        <v>8.5</v>
      </c>
      <c r="D1857" s="1">
        <v>0</v>
      </c>
      <c r="G1857" s="113"/>
    </row>
    <row r="1858" spans="1:7">
      <c r="A1858" s="56">
        <v>1881</v>
      </c>
      <c r="B1858" s="1" t="s">
        <v>2316</v>
      </c>
      <c r="C1858" s="1">
        <f t="shared" si="3"/>
        <v>8.5</v>
      </c>
      <c r="D1858" s="1">
        <v>0</v>
      </c>
      <c r="G1858" s="113"/>
    </row>
    <row r="1859" spans="1:7">
      <c r="A1859" s="56">
        <v>1882</v>
      </c>
      <c r="B1859" s="1" t="s">
        <v>2317</v>
      </c>
      <c r="C1859" s="1">
        <f t="shared" si="3"/>
        <v>8.5</v>
      </c>
      <c r="D1859" s="1">
        <v>0</v>
      </c>
      <c r="G1859" s="113"/>
    </row>
    <row r="1860" spans="1:7">
      <c r="A1860" s="56">
        <v>1883</v>
      </c>
      <c r="B1860" s="1" t="s">
        <v>2318</v>
      </c>
      <c r="C1860" s="1">
        <f t="shared" si="3"/>
        <v>8.5</v>
      </c>
      <c r="D1860" s="1">
        <v>0</v>
      </c>
      <c r="G1860" s="113"/>
    </row>
    <row r="1861" spans="1:7">
      <c r="A1861" s="56">
        <v>1884</v>
      </c>
      <c r="B1861" s="1" t="s">
        <v>2319</v>
      </c>
      <c r="C1861" s="1">
        <f t="shared" si="3"/>
        <v>8.5</v>
      </c>
      <c r="D1861" s="1">
        <v>0</v>
      </c>
      <c r="G1861" s="113"/>
    </row>
    <row r="1862" spans="1:7">
      <c r="A1862" s="56">
        <v>1885</v>
      </c>
      <c r="B1862" s="1" t="s">
        <v>2320</v>
      </c>
      <c r="C1862" s="1">
        <f t="shared" si="3"/>
        <v>8.5</v>
      </c>
      <c r="D1862" s="1">
        <v>0</v>
      </c>
      <c r="G1862" s="113"/>
    </row>
    <row r="1863" spans="1:7">
      <c r="A1863" s="56">
        <v>1886</v>
      </c>
      <c r="B1863" s="1" t="s">
        <v>2321</v>
      </c>
      <c r="C1863" s="1">
        <f t="shared" si="3"/>
        <v>8.5</v>
      </c>
      <c r="D1863" s="1">
        <v>0</v>
      </c>
      <c r="G1863" s="113"/>
    </row>
    <row r="1864" spans="1:7">
      <c r="A1864" s="56">
        <v>1887</v>
      </c>
      <c r="B1864" s="1" t="s">
        <v>2322</v>
      </c>
      <c r="C1864" s="1">
        <f t="shared" si="3"/>
        <v>8.5</v>
      </c>
      <c r="D1864" s="1">
        <v>0</v>
      </c>
      <c r="G1864" s="113"/>
    </row>
    <row r="1865" spans="1:7">
      <c r="A1865" s="56">
        <v>1888</v>
      </c>
      <c r="B1865" s="1" t="s">
        <v>2323</v>
      </c>
      <c r="C1865" s="1">
        <v>2</v>
      </c>
      <c r="D1865" s="1">
        <v>0</v>
      </c>
      <c r="G1865" s="113"/>
    </row>
    <row r="1866" spans="1:7">
      <c r="A1866" s="56">
        <v>1889</v>
      </c>
      <c r="B1866" s="1" t="s">
        <v>2324</v>
      </c>
      <c r="C1866" s="1">
        <v>0</v>
      </c>
      <c r="D1866" s="1">
        <v>1</v>
      </c>
      <c r="G1866" s="113"/>
    </row>
    <row r="1867" spans="1:7">
      <c r="A1867" s="56">
        <v>1890</v>
      </c>
      <c r="B1867" s="1" t="s">
        <v>2325</v>
      </c>
      <c r="C1867" s="1">
        <v>2</v>
      </c>
      <c r="D1867" s="1">
        <v>0</v>
      </c>
      <c r="G1867" s="113"/>
    </row>
    <row r="1868" spans="1:7">
      <c r="A1868" s="56">
        <v>1891</v>
      </c>
      <c r="B1868" s="1" t="s">
        <v>2326</v>
      </c>
      <c r="C1868" s="1">
        <v>3</v>
      </c>
      <c r="D1868" s="1">
        <v>0</v>
      </c>
      <c r="G1868" s="113"/>
    </row>
    <row r="1869" spans="1:7">
      <c r="A1869" s="56">
        <v>1892</v>
      </c>
      <c r="B1869" s="1" t="s">
        <v>2327</v>
      </c>
      <c r="C1869" s="1">
        <v>4</v>
      </c>
      <c r="D1869" s="1">
        <v>0</v>
      </c>
      <c r="G1869" s="113"/>
    </row>
    <row r="1870" spans="1:7">
      <c r="A1870" s="56">
        <v>1893</v>
      </c>
      <c r="B1870" s="1" t="s">
        <v>2328</v>
      </c>
      <c r="C1870" s="1">
        <f>400/30</f>
        <v>13.3333333333333</v>
      </c>
      <c r="D1870" s="1">
        <v>0</v>
      </c>
      <c r="G1870" s="113"/>
    </row>
    <row r="1871" spans="1:7">
      <c r="A1871" s="56">
        <v>1894</v>
      </c>
      <c r="B1871" s="1" t="s">
        <v>2329</v>
      </c>
      <c r="C1871" s="1">
        <f>308/30</f>
        <v>10.2666666666667</v>
      </c>
      <c r="D1871" s="1">
        <v>0</v>
      </c>
      <c r="G1871" s="113"/>
    </row>
    <row r="1872" spans="1:7">
      <c r="A1872" s="56">
        <v>1895</v>
      </c>
      <c r="B1872" s="1" t="s">
        <v>2330</v>
      </c>
      <c r="C1872" s="1">
        <v>3</v>
      </c>
      <c r="D1872" s="1">
        <v>0</v>
      </c>
      <c r="G1872" s="113"/>
    </row>
    <row r="1873" spans="1:7">
      <c r="A1873" s="56">
        <v>1896</v>
      </c>
      <c r="B1873" s="1" t="s">
        <v>2331</v>
      </c>
      <c r="C1873" s="1">
        <v>3</v>
      </c>
      <c r="D1873" s="1">
        <v>0</v>
      </c>
      <c r="G1873" s="113"/>
    </row>
    <row r="1874" spans="1:7">
      <c r="A1874" s="56">
        <v>1897</v>
      </c>
      <c r="B1874" s="1" t="s">
        <v>2332</v>
      </c>
      <c r="C1874" s="1">
        <v>1.5</v>
      </c>
      <c r="D1874" s="1">
        <v>0</v>
      </c>
      <c r="G1874" s="113"/>
    </row>
    <row r="1875" spans="1:7">
      <c r="A1875" s="56">
        <v>1898</v>
      </c>
      <c r="B1875" s="1" t="s">
        <v>2333</v>
      </c>
      <c r="C1875" s="1">
        <v>3</v>
      </c>
      <c r="D1875" s="1">
        <v>0</v>
      </c>
      <c r="G1875" s="113"/>
    </row>
    <row r="1876" spans="1:7">
      <c r="A1876" s="56">
        <v>1899</v>
      </c>
      <c r="B1876" s="1" t="s">
        <v>2334</v>
      </c>
      <c r="C1876" s="1">
        <v>3</v>
      </c>
      <c r="D1876" s="1">
        <v>0</v>
      </c>
      <c r="G1876" s="113"/>
    </row>
    <row r="1877" spans="1:7">
      <c r="A1877" s="56">
        <v>1900</v>
      </c>
      <c r="B1877" s="1" t="s">
        <v>2335</v>
      </c>
      <c r="C1877" s="1">
        <v>1.5</v>
      </c>
      <c r="D1877" s="1">
        <v>0</v>
      </c>
      <c r="G1877" s="113"/>
    </row>
    <row r="1878" spans="1:7">
      <c r="A1878" s="56">
        <v>1901</v>
      </c>
      <c r="B1878" s="1" t="s">
        <v>2336</v>
      </c>
      <c r="C1878" s="1">
        <v>1.5</v>
      </c>
      <c r="D1878" s="1">
        <v>0</v>
      </c>
      <c r="G1878" s="113"/>
    </row>
    <row r="1879" spans="1:7">
      <c r="A1879" s="56">
        <v>1902</v>
      </c>
      <c r="B1879" s="1" t="s">
        <v>2337</v>
      </c>
      <c r="C1879" s="1">
        <v>0</v>
      </c>
      <c r="D1879" s="1">
        <v>1</v>
      </c>
      <c r="G1879" s="113"/>
    </row>
    <row r="1880" spans="1:7">
      <c r="A1880" s="56">
        <v>1903</v>
      </c>
      <c r="B1880" s="1" t="s">
        <v>2338</v>
      </c>
      <c r="C1880" s="1">
        <v>1.5</v>
      </c>
      <c r="D1880" s="1">
        <v>0</v>
      </c>
      <c r="G1880" s="113"/>
    </row>
    <row r="1881" spans="1:7">
      <c r="A1881" s="56">
        <v>1904</v>
      </c>
      <c r="B1881" s="1" t="s">
        <v>2339</v>
      </c>
      <c r="C1881" s="1">
        <v>1.5</v>
      </c>
      <c r="D1881" s="1">
        <v>0</v>
      </c>
      <c r="G1881" s="113"/>
    </row>
    <row r="1882" spans="1:7">
      <c r="A1882" s="56">
        <v>1905</v>
      </c>
      <c r="B1882" s="1" t="s">
        <v>2340</v>
      </c>
      <c r="C1882" s="1">
        <v>3</v>
      </c>
      <c r="D1882" s="1">
        <v>0</v>
      </c>
      <c r="G1882" s="113"/>
    </row>
    <row r="1883" spans="1:7">
      <c r="A1883" s="56">
        <v>1906</v>
      </c>
      <c r="B1883" s="1" t="s">
        <v>2341</v>
      </c>
      <c r="C1883" s="1">
        <v>2</v>
      </c>
      <c r="D1883" s="1">
        <v>0</v>
      </c>
      <c r="G1883" s="113"/>
    </row>
    <row r="1884" spans="1:7">
      <c r="A1884" s="56">
        <v>1907</v>
      </c>
      <c r="B1884" s="1" t="s">
        <v>2342</v>
      </c>
      <c r="C1884" s="1">
        <v>2</v>
      </c>
      <c r="D1884" s="1">
        <v>0</v>
      </c>
      <c r="G1884" s="113"/>
    </row>
    <row r="1885" spans="1:7">
      <c r="A1885" s="56">
        <v>1908</v>
      </c>
      <c r="B1885" s="1" t="s">
        <v>2343</v>
      </c>
      <c r="C1885" s="1">
        <v>4</v>
      </c>
      <c r="D1885" s="1">
        <v>0</v>
      </c>
      <c r="G1885" s="113"/>
    </row>
    <row r="1886" spans="1:7">
      <c r="A1886" s="56">
        <v>1909</v>
      </c>
      <c r="B1886" s="1" t="s">
        <v>2344</v>
      </c>
      <c r="C1886" s="1">
        <v>4</v>
      </c>
      <c r="D1886" s="1">
        <v>0</v>
      </c>
      <c r="G1886" s="113"/>
    </row>
    <row r="1887" spans="1:7">
      <c r="A1887" s="56">
        <v>1910</v>
      </c>
      <c r="B1887" s="1" t="s">
        <v>2345</v>
      </c>
      <c r="C1887" s="1">
        <v>4</v>
      </c>
      <c r="D1887" s="1">
        <v>0</v>
      </c>
      <c r="G1887" s="113"/>
    </row>
    <row r="1888" spans="1:7">
      <c r="A1888" s="56">
        <v>1911</v>
      </c>
      <c r="B1888" s="1" t="s">
        <v>2346</v>
      </c>
      <c r="C1888" s="1">
        <v>2</v>
      </c>
      <c r="D1888" s="1">
        <v>0</v>
      </c>
      <c r="G1888" s="113"/>
    </row>
    <row r="1889" spans="1:7">
      <c r="A1889" s="56">
        <v>1912</v>
      </c>
      <c r="B1889" s="1" t="s">
        <v>2347</v>
      </c>
      <c r="C1889" s="1">
        <v>4</v>
      </c>
      <c r="D1889" s="1">
        <v>0</v>
      </c>
      <c r="G1889" s="113"/>
    </row>
    <row r="1890" spans="1:7">
      <c r="A1890" s="56">
        <v>1913</v>
      </c>
      <c r="B1890" s="1" t="s">
        <v>2348</v>
      </c>
      <c r="C1890" s="1">
        <v>4</v>
      </c>
      <c r="D1890" s="1">
        <v>0</v>
      </c>
      <c r="G1890" s="113"/>
    </row>
    <row r="1891" spans="1:7">
      <c r="A1891" s="56">
        <v>1914</v>
      </c>
      <c r="B1891" s="1" t="s">
        <v>2349</v>
      </c>
      <c r="C1891" s="1">
        <v>4</v>
      </c>
      <c r="D1891" s="1">
        <v>0</v>
      </c>
      <c r="G1891" s="113"/>
    </row>
    <row r="1892" spans="1:7">
      <c r="A1892" s="56">
        <v>1915</v>
      </c>
      <c r="B1892" s="1" t="s">
        <v>2350</v>
      </c>
      <c r="C1892" s="1">
        <v>4</v>
      </c>
      <c r="D1892" s="1">
        <v>0</v>
      </c>
      <c r="G1892" s="113"/>
    </row>
    <row r="1893" spans="1:7">
      <c r="A1893" s="56">
        <v>1916</v>
      </c>
      <c r="B1893" s="1" t="s">
        <v>2351</v>
      </c>
      <c r="C1893" s="1">
        <v>4</v>
      </c>
      <c r="D1893" s="1">
        <v>0</v>
      </c>
      <c r="G1893" s="113"/>
    </row>
    <row r="1894" spans="1:7">
      <c r="A1894" s="56">
        <v>1917</v>
      </c>
      <c r="B1894" s="1" t="s">
        <v>2352</v>
      </c>
      <c r="C1894" s="1">
        <v>4</v>
      </c>
      <c r="D1894" s="1">
        <v>0</v>
      </c>
      <c r="G1894" s="113"/>
    </row>
    <row r="1895" spans="1:7">
      <c r="A1895" s="56">
        <v>1918</v>
      </c>
      <c r="B1895" s="1" t="s">
        <v>2353</v>
      </c>
      <c r="C1895" s="1">
        <v>10</v>
      </c>
      <c r="D1895" s="1">
        <v>0</v>
      </c>
      <c r="G1895" s="113"/>
    </row>
    <row r="1896" spans="1:7">
      <c r="A1896" s="56">
        <v>1919</v>
      </c>
      <c r="B1896" s="1" t="s">
        <v>2354</v>
      </c>
      <c r="C1896" s="1">
        <v>9</v>
      </c>
      <c r="D1896" s="1">
        <v>0</v>
      </c>
      <c r="G1896" s="113"/>
    </row>
    <row r="1897" spans="1:7">
      <c r="A1897" s="56">
        <v>1920</v>
      </c>
      <c r="B1897" s="1" t="s">
        <v>2355</v>
      </c>
      <c r="C1897" s="1">
        <v>2</v>
      </c>
      <c r="D1897" s="1">
        <v>0</v>
      </c>
      <c r="G1897" s="113"/>
    </row>
    <row r="1898" spans="1:7">
      <c r="A1898" s="56">
        <v>1921</v>
      </c>
      <c r="B1898" s="1" t="s">
        <v>2356</v>
      </c>
      <c r="C1898" s="1">
        <v>7.666667</v>
      </c>
      <c r="D1898" s="1">
        <v>0</v>
      </c>
      <c r="G1898" s="113"/>
    </row>
    <row r="1899" spans="1:7">
      <c r="A1899" s="56">
        <v>1922</v>
      </c>
      <c r="B1899" s="1" t="s">
        <v>2357</v>
      </c>
      <c r="C1899" s="1">
        <v>4</v>
      </c>
      <c r="D1899" s="1">
        <v>0</v>
      </c>
      <c r="G1899" s="113"/>
    </row>
    <row r="1900" spans="1:7">
      <c r="A1900" s="56">
        <v>1923</v>
      </c>
      <c r="B1900" s="1" t="s">
        <v>2358</v>
      </c>
      <c r="C1900" s="1">
        <v>2</v>
      </c>
      <c r="D1900" s="1">
        <v>0</v>
      </c>
      <c r="G1900" s="113"/>
    </row>
    <row r="1901" spans="1:7">
      <c r="A1901" s="56">
        <v>1924</v>
      </c>
      <c r="B1901" s="1" t="s">
        <v>2359</v>
      </c>
      <c r="C1901" s="1">
        <v>4</v>
      </c>
      <c r="D1901" s="1">
        <v>0</v>
      </c>
      <c r="G1901" s="113"/>
    </row>
    <row r="1902" spans="1:7">
      <c r="A1902" s="56">
        <v>1925</v>
      </c>
      <c r="B1902" s="1" t="s">
        <v>2360</v>
      </c>
      <c r="C1902" s="1">
        <v>13.3333333</v>
      </c>
      <c r="D1902" s="1">
        <v>0</v>
      </c>
      <c r="G1902" s="113"/>
    </row>
    <row r="1903" spans="1:7">
      <c r="A1903" s="56">
        <v>1926</v>
      </c>
      <c r="B1903" s="1" t="s">
        <v>2361</v>
      </c>
      <c r="C1903" s="1">
        <v>3</v>
      </c>
      <c r="D1903" s="1">
        <v>0</v>
      </c>
      <c r="G1903" s="113"/>
    </row>
    <row r="1904" spans="1:7">
      <c r="A1904" s="56">
        <v>1927</v>
      </c>
      <c r="B1904" s="1" t="s">
        <v>2362</v>
      </c>
      <c r="C1904" s="1">
        <v>13.3333333</v>
      </c>
      <c r="D1904" s="1">
        <v>0</v>
      </c>
      <c r="G1904" s="113"/>
    </row>
    <row r="1905" spans="1:7">
      <c r="A1905" s="56">
        <v>1928</v>
      </c>
      <c r="B1905" s="1" t="s">
        <v>2363</v>
      </c>
      <c r="C1905" s="1">
        <v>4</v>
      </c>
      <c r="D1905" s="1">
        <v>0</v>
      </c>
      <c r="G1905" s="113"/>
    </row>
    <row r="1906" spans="1:7">
      <c r="A1906" s="56">
        <v>1929</v>
      </c>
      <c r="B1906" s="1" t="s">
        <v>2364</v>
      </c>
      <c r="C1906" s="1">
        <v>4</v>
      </c>
      <c r="D1906" s="1">
        <v>0</v>
      </c>
      <c r="G1906" s="113"/>
    </row>
    <row r="1907" spans="1:7">
      <c r="A1907" s="56">
        <v>1930</v>
      </c>
      <c r="B1907" s="1" t="s">
        <v>2365</v>
      </c>
      <c r="C1907" s="1">
        <f>105/30</f>
        <v>3.5</v>
      </c>
      <c r="D1907" s="1">
        <v>0</v>
      </c>
      <c r="G1907" s="113"/>
    </row>
    <row r="1908" spans="1:7">
      <c r="A1908" s="56">
        <v>1931</v>
      </c>
      <c r="B1908" s="1" t="s">
        <v>2366</v>
      </c>
      <c r="C1908" s="1">
        <v>0</v>
      </c>
      <c r="D1908" s="1">
        <v>1</v>
      </c>
      <c r="G1908" s="113"/>
    </row>
    <row r="1909" spans="1:7">
      <c r="A1909" s="56">
        <v>1932</v>
      </c>
      <c r="B1909" s="1" t="s">
        <v>2367</v>
      </c>
      <c r="C1909" s="1">
        <v>4</v>
      </c>
      <c r="D1909" s="1">
        <v>0</v>
      </c>
      <c r="G1909" s="113"/>
    </row>
    <row r="1910" spans="1:7">
      <c r="A1910" s="56">
        <v>1933</v>
      </c>
      <c r="B1910" s="1" t="s">
        <v>2368</v>
      </c>
      <c r="C1910" s="1">
        <v>0</v>
      </c>
      <c r="D1910" s="1">
        <v>1</v>
      </c>
      <c r="G1910" s="113"/>
    </row>
    <row r="1911" spans="1:7">
      <c r="A1911" s="56">
        <v>1934</v>
      </c>
      <c r="B1911" s="1" t="s">
        <v>2369</v>
      </c>
      <c r="C1911" s="1">
        <v>4</v>
      </c>
      <c r="D1911" s="1">
        <v>0</v>
      </c>
      <c r="G1911" s="113"/>
    </row>
    <row r="1912" spans="1:7">
      <c r="A1912" s="56">
        <v>1935</v>
      </c>
      <c r="B1912" s="1" t="s">
        <v>2370</v>
      </c>
      <c r="C1912" s="1">
        <v>0</v>
      </c>
      <c r="D1912" s="1">
        <v>1</v>
      </c>
      <c r="G1912" s="113"/>
    </row>
    <row r="1913" spans="1:7">
      <c r="A1913" s="56">
        <v>1936</v>
      </c>
      <c r="B1913" s="1" t="s">
        <v>2371</v>
      </c>
      <c r="C1913" s="1">
        <v>2</v>
      </c>
      <c r="D1913" s="1">
        <v>0</v>
      </c>
      <c r="G1913" s="113"/>
    </row>
    <row r="1914" spans="1:7">
      <c r="A1914" s="56">
        <v>1937</v>
      </c>
      <c r="B1914" s="1" t="s">
        <v>2372</v>
      </c>
      <c r="C1914" s="1">
        <v>4</v>
      </c>
      <c r="D1914" s="1">
        <v>0</v>
      </c>
      <c r="G1914" s="113"/>
    </row>
    <row r="1915" spans="1:7">
      <c r="A1915" s="56">
        <v>1938</v>
      </c>
      <c r="B1915" s="1" t="s">
        <v>2373</v>
      </c>
      <c r="C1915" s="1">
        <v>9</v>
      </c>
      <c r="D1915" s="1">
        <v>0</v>
      </c>
      <c r="G1915" s="113"/>
    </row>
    <row r="1916" spans="1:7">
      <c r="A1916" s="56">
        <v>1939</v>
      </c>
      <c r="B1916" s="1" t="s">
        <v>2374</v>
      </c>
      <c r="C1916" s="1">
        <v>5</v>
      </c>
      <c r="D1916" s="1">
        <v>0</v>
      </c>
      <c r="G1916" s="113"/>
    </row>
    <row r="1917" spans="1:7">
      <c r="A1917" s="56">
        <v>1940</v>
      </c>
      <c r="B1917" s="1" t="s">
        <v>2375</v>
      </c>
      <c r="C1917" s="1">
        <v>2</v>
      </c>
      <c r="D1917" s="1">
        <v>0</v>
      </c>
      <c r="G1917" s="113"/>
    </row>
    <row r="1918" spans="1:7">
      <c r="A1918" s="56">
        <v>1941</v>
      </c>
      <c r="B1918" s="1" t="s">
        <v>2376</v>
      </c>
      <c r="C1918" s="1">
        <v>3.2</v>
      </c>
      <c r="D1918" s="1">
        <v>0</v>
      </c>
      <c r="G1918" s="113"/>
    </row>
    <row r="1919" spans="1:7">
      <c r="A1919" s="56">
        <v>1942</v>
      </c>
      <c r="B1919" s="1" t="s">
        <v>2377</v>
      </c>
      <c r="C1919" s="1">
        <v>3.2</v>
      </c>
      <c r="D1919" s="1">
        <v>0</v>
      </c>
      <c r="G1919" s="113"/>
    </row>
    <row r="1920" spans="1:7">
      <c r="A1920" s="56">
        <v>1943</v>
      </c>
      <c r="B1920" s="1" t="s">
        <v>2378</v>
      </c>
      <c r="C1920" s="1">
        <v>1.2</v>
      </c>
      <c r="D1920" s="1">
        <v>0</v>
      </c>
      <c r="G1920" s="113"/>
    </row>
    <row r="1921" spans="1:7">
      <c r="A1921" s="56">
        <v>1944</v>
      </c>
      <c r="B1921" s="1" t="s">
        <v>2379</v>
      </c>
      <c r="C1921" s="1">
        <v>1.2</v>
      </c>
      <c r="D1921" s="1">
        <v>0</v>
      </c>
      <c r="G1921" s="113"/>
    </row>
    <row r="1922" spans="1:7">
      <c r="A1922" s="56">
        <v>1945</v>
      </c>
      <c r="B1922" s="1" t="s">
        <v>2380</v>
      </c>
      <c r="C1922" s="1">
        <v>4.5</v>
      </c>
      <c r="D1922" s="1">
        <v>0</v>
      </c>
      <c r="G1922" s="113"/>
    </row>
    <row r="1923" spans="1:7">
      <c r="A1923" s="56">
        <v>1946</v>
      </c>
      <c r="B1923" s="1" t="s">
        <v>2381</v>
      </c>
      <c r="C1923" s="1">
        <v>4.5</v>
      </c>
      <c r="D1923" s="1">
        <v>0</v>
      </c>
      <c r="G1923" s="113"/>
    </row>
    <row r="1924" spans="1:7">
      <c r="A1924" s="56">
        <v>1947</v>
      </c>
      <c r="B1924" s="1" t="s">
        <v>2382</v>
      </c>
      <c r="C1924" s="1">
        <v>3.2</v>
      </c>
      <c r="D1924" s="1">
        <v>0</v>
      </c>
      <c r="G1924" s="113"/>
    </row>
    <row r="1925" spans="1:7">
      <c r="A1925" s="56">
        <v>1948</v>
      </c>
      <c r="B1925" s="1" t="s">
        <v>2383</v>
      </c>
      <c r="C1925" s="1">
        <v>1.2</v>
      </c>
      <c r="D1925" s="1">
        <v>0</v>
      </c>
      <c r="G1925" s="113"/>
    </row>
    <row r="1926" spans="1:7">
      <c r="A1926" s="56">
        <v>1949</v>
      </c>
      <c r="B1926" s="1" t="s">
        <v>2384</v>
      </c>
      <c r="C1926" s="1">
        <v>2.5</v>
      </c>
      <c r="D1926" s="1">
        <v>0</v>
      </c>
      <c r="G1926" s="113"/>
    </row>
    <row r="1927" spans="1:7">
      <c r="A1927" s="56">
        <v>1950</v>
      </c>
      <c r="B1927" s="1" t="s">
        <v>2385</v>
      </c>
      <c r="C1927" s="1">
        <v>2.5</v>
      </c>
      <c r="D1927" s="1">
        <v>0</v>
      </c>
      <c r="G1927" s="113"/>
    </row>
    <row r="1928" spans="1:7">
      <c r="A1928" s="56">
        <v>1951</v>
      </c>
      <c r="B1928" s="1" t="s">
        <v>2386</v>
      </c>
      <c r="C1928" s="1">
        <v>4.3</v>
      </c>
      <c r="D1928" s="1">
        <v>0</v>
      </c>
      <c r="G1928" s="113"/>
    </row>
    <row r="1929" spans="1:7">
      <c r="A1929" s="56">
        <v>1952</v>
      </c>
      <c r="B1929" s="1" t="s">
        <v>2387</v>
      </c>
      <c r="C1929" s="1">
        <v>4.3</v>
      </c>
      <c r="D1929" s="1">
        <v>0</v>
      </c>
      <c r="G1929" s="113"/>
    </row>
    <row r="1930" spans="1:7">
      <c r="A1930" s="56">
        <v>1953</v>
      </c>
      <c r="B1930" s="1" t="s">
        <v>2388</v>
      </c>
      <c r="C1930" s="1">
        <v>1.2</v>
      </c>
      <c r="D1930" s="1">
        <v>0</v>
      </c>
      <c r="G1930" s="113"/>
    </row>
    <row r="1931" spans="1:7">
      <c r="A1931" s="56">
        <v>1954</v>
      </c>
      <c r="B1931" s="1" t="s">
        <v>2389</v>
      </c>
      <c r="C1931" s="1">
        <v>9.5</v>
      </c>
      <c r="D1931" s="1">
        <v>0</v>
      </c>
      <c r="G1931" s="113"/>
    </row>
    <row r="1932" spans="1:7">
      <c r="A1932" s="56">
        <v>1955</v>
      </c>
      <c r="B1932" s="1" t="s">
        <v>2390</v>
      </c>
      <c r="C1932" s="1">
        <v>11.9</v>
      </c>
      <c r="D1932" s="1">
        <v>0</v>
      </c>
      <c r="G1932" s="113"/>
    </row>
    <row r="1933" spans="1:7">
      <c r="A1933" s="56">
        <v>1956</v>
      </c>
      <c r="B1933" s="1" t="s">
        <v>2391</v>
      </c>
      <c r="C1933" s="1">
        <v>3.3</v>
      </c>
      <c r="D1933" s="1">
        <v>0</v>
      </c>
      <c r="G1933" s="113"/>
    </row>
    <row r="1934" spans="1:7">
      <c r="A1934" s="56">
        <v>1957</v>
      </c>
      <c r="B1934" s="1" t="s">
        <v>2392</v>
      </c>
      <c r="C1934" s="1">
        <v>3</v>
      </c>
      <c r="D1934" s="1">
        <v>0</v>
      </c>
      <c r="G1934" s="113"/>
    </row>
    <row r="1935" spans="1:7">
      <c r="A1935" s="56">
        <v>1958</v>
      </c>
      <c r="B1935" s="1" t="s">
        <v>2356</v>
      </c>
      <c r="C1935" s="1">
        <f>230/30</f>
        <v>7.66666666666667</v>
      </c>
      <c r="D1935" s="1">
        <v>0</v>
      </c>
      <c r="G1935" s="113"/>
    </row>
    <row r="1936" spans="1:7">
      <c r="A1936" s="56">
        <v>1959</v>
      </c>
      <c r="B1936" s="1" t="s">
        <v>2393</v>
      </c>
      <c r="C1936" s="1">
        <v>2</v>
      </c>
      <c r="D1936" s="1">
        <v>0</v>
      </c>
      <c r="G1936" s="113"/>
    </row>
    <row r="1937" spans="1:7">
      <c r="A1937" s="56">
        <v>1960</v>
      </c>
      <c r="B1937" s="1" t="s">
        <v>2394</v>
      </c>
      <c r="C1937" s="1">
        <v>0</v>
      </c>
      <c r="D1937" s="1">
        <v>1</v>
      </c>
      <c r="G1937" s="113"/>
    </row>
    <row r="1938" spans="1:7">
      <c r="A1938" s="56">
        <v>1961</v>
      </c>
      <c r="B1938" s="1" t="s">
        <v>2395</v>
      </c>
      <c r="C1938" s="1">
        <v>0</v>
      </c>
      <c r="D1938" s="1">
        <v>1</v>
      </c>
      <c r="G1938" s="113"/>
    </row>
    <row r="1939" spans="1:7">
      <c r="A1939" s="56">
        <v>1962</v>
      </c>
      <c r="B1939" s="1" t="s">
        <v>2396</v>
      </c>
      <c r="C1939" s="1">
        <v>0</v>
      </c>
      <c r="D1939" s="1">
        <v>1</v>
      </c>
      <c r="G1939" s="113"/>
    </row>
    <row r="1940" spans="1:7">
      <c r="A1940" s="56">
        <v>1963</v>
      </c>
      <c r="B1940" s="1" t="s">
        <v>2397</v>
      </c>
      <c r="C1940" s="1">
        <v>2.5</v>
      </c>
      <c r="D1940" s="1">
        <v>0</v>
      </c>
      <c r="G1940" s="113"/>
    </row>
    <row r="1941" spans="1:7">
      <c r="A1941" s="56">
        <v>1964</v>
      </c>
      <c r="B1941" s="1" t="s">
        <v>2398</v>
      </c>
      <c r="C1941" s="1">
        <v>0</v>
      </c>
      <c r="D1941" s="1">
        <v>1</v>
      </c>
      <c r="G1941" s="113"/>
    </row>
    <row r="1942" spans="1:7">
      <c r="A1942" s="56">
        <v>1965</v>
      </c>
      <c r="B1942" s="1" t="s">
        <v>2399</v>
      </c>
      <c r="C1942" s="1">
        <v>5</v>
      </c>
      <c r="D1942" s="1">
        <v>0</v>
      </c>
      <c r="G1942" s="113"/>
    </row>
    <row r="1943" spans="1:7">
      <c r="A1943" s="56">
        <v>1966</v>
      </c>
      <c r="B1943" s="1" t="s">
        <v>2400</v>
      </c>
      <c r="C1943" s="1">
        <v>5</v>
      </c>
      <c r="D1943" s="1">
        <v>0</v>
      </c>
      <c r="G1943" s="113"/>
    </row>
    <row r="1944" spans="1:7">
      <c r="A1944" s="56">
        <v>1967</v>
      </c>
      <c r="B1944" s="1" t="s">
        <v>2401</v>
      </c>
      <c r="C1944" s="1">
        <v>5</v>
      </c>
      <c r="D1944" s="1">
        <v>0</v>
      </c>
      <c r="G1944" s="113"/>
    </row>
    <row r="1945" spans="1:7">
      <c r="A1945" s="56">
        <v>1968</v>
      </c>
      <c r="B1945" s="1" t="s">
        <v>2402</v>
      </c>
      <c r="C1945" s="1">
        <v>5</v>
      </c>
      <c r="D1945" s="1">
        <v>0</v>
      </c>
      <c r="G1945" s="113"/>
    </row>
    <row r="1946" spans="1:7">
      <c r="A1946" s="56">
        <v>1969</v>
      </c>
      <c r="B1946" s="1" t="s">
        <v>2403</v>
      </c>
      <c r="C1946" s="1">
        <v>5</v>
      </c>
      <c r="D1946" s="1">
        <v>0</v>
      </c>
      <c r="G1946" s="113"/>
    </row>
    <row r="1947" spans="1:7">
      <c r="A1947" s="56">
        <v>1970</v>
      </c>
      <c r="B1947" s="1" t="s">
        <v>2404</v>
      </c>
      <c r="C1947" s="1">
        <v>4</v>
      </c>
      <c r="D1947" s="1">
        <v>0</v>
      </c>
      <c r="G1947" s="113"/>
    </row>
    <row r="1948" spans="1:7">
      <c r="A1948" s="56">
        <v>1971</v>
      </c>
      <c r="B1948" s="1" t="s">
        <v>2405</v>
      </c>
      <c r="C1948" s="1">
        <v>4</v>
      </c>
      <c r="D1948" s="1">
        <v>0</v>
      </c>
      <c r="G1948" s="113"/>
    </row>
    <row r="1949" spans="1:7">
      <c r="A1949" s="56">
        <v>1972</v>
      </c>
      <c r="B1949" s="1" t="s">
        <v>2406</v>
      </c>
      <c r="C1949" s="1">
        <v>4</v>
      </c>
      <c r="D1949" s="1">
        <v>0</v>
      </c>
      <c r="G1949" s="113"/>
    </row>
    <row r="1950" spans="1:7">
      <c r="A1950" s="56">
        <v>1973</v>
      </c>
      <c r="B1950" s="1" t="s">
        <v>2407</v>
      </c>
      <c r="C1950" s="1">
        <v>4</v>
      </c>
      <c r="D1950" s="1">
        <v>0</v>
      </c>
      <c r="G1950" s="113"/>
    </row>
    <row r="1951" spans="1:7">
      <c r="A1951" s="56">
        <v>1974</v>
      </c>
      <c r="B1951" s="1" t="s">
        <v>2408</v>
      </c>
      <c r="C1951" s="1">
        <f>220/30</f>
        <v>7.33333333333333</v>
      </c>
      <c r="D1951" s="1">
        <v>0</v>
      </c>
      <c r="G1951" s="113"/>
    </row>
    <row r="1952" spans="1:7">
      <c r="A1952" s="56">
        <v>1975</v>
      </c>
      <c r="B1952" s="1" t="s">
        <v>2409</v>
      </c>
      <c r="C1952" s="1">
        <v>4</v>
      </c>
      <c r="D1952" s="1">
        <v>0</v>
      </c>
      <c r="G1952" s="113"/>
    </row>
    <row r="1953" spans="1:7">
      <c r="A1953" s="56">
        <v>1976</v>
      </c>
      <c r="B1953" s="1" t="s">
        <v>2410</v>
      </c>
      <c r="C1953" s="1">
        <v>4</v>
      </c>
      <c r="D1953" s="1">
        <v>0</v>
      </c>
      <c r="G1953" s="113"/>
    </row>
    <row r="1954" spans="1:7">
      <c r="A1954" s="56">
        <v>1977</v>
      </c>
      <c r="B1954" s="1" t="s">
        <v>2411</v>
      </c>
      <c r="C1954" s="1">
        <v>4</v>
      </c>
      <c r="D1954" s="1">
        <v>0</v>
      </c>
      <c r="G1954" s="113"/>
    </row>
    <row r="1955" spans="1:7">
      <c r="A1955" s="56">
        <v>1978</v>
      </c>
      <c r="B1955" s="1" t="s">
        <v>2412</v>
      </c>
      <c r="C1955" s="1">
        <v>3.6</v>
      </c>
      <c r="D1955" s="1">
        <v>0</v>
      </c>
      <c r="G1955" s="113"/>
    </row>
    <row r="1956" spans="1:7">
      <c r="A1956" s="56">
        <v>1979</v>
      </c>
      <c r="B1956" s="1" t="s">
        <v>2413</v>
      </c>
      <c r="C1956" s="1">
        <v>4</v>
      </c>
      <c r="D1956" s="1">
        <v>0</v>
      </c>
      <c r="G1956" s="113"/>
    </row>
    <row r="1957" spans="1:7">
      <c r="A1957" s="56">
        <v>1980</v>
      </c>
      <c r="B1957" s="1" t="s">
        <v>2414</v>
      </c>
      <c r="C1957" s="1">
        <v>4</v>
      </c>
      <c r="D1957" s="1">
        <v>0</v>
      </c>
      <c r="G1957" s="113"/>
    </row>
    <row r="1958" spans="1:7">
      <c r="A1958" s="56">
        <v>1981</v>
      </c>
      <c r="B1958" s="1" t="s">
        <v>2415</v>
      </c>
      <c r="C1958" s="1">
        <v>4</v>
      </c>
      <c r="D1958" s="1">
        <v>0</v>
      </c>
      <c r="G1958" s="113"/>
    </row>
    <row r="1959" spans="1:7">
      <c r="A1959" s="56">
        <v>1982</v>
      </c>
      <c r="B1959" s="1" t="s">
        <v>2416</v>
      </c>
      <c r="C1959" s="1">
        <v>5.7</v>
      </c>
      <c r="D1959" s="1">
        <v>0</v>
      </c>
      <c r="G1959" s="113"/>
    </row>
    <row r="1960" spans="1:7">
      <c r="A1960" s="56">
        <v>1983</v>
      </c>
      <c r="B1960" s="1" t="s">
        <v>2417</v>
      </c>
      <c r="C1960" s="1">
        <v>4</v>
      </c>
      <c r="D1960" s="1">
        <v>0</v>
      </c>
      <c r="G1960" s="113"/>
    </row>
    <row r="1961" spans="1:7">
      <c r="A1961" s="56">
        <v>1984</v>
      </c>
      <c r="B1961" s="1" t="s">
        <v>2418</v>
      </c>
      <c r="C1961" s="1">
        <v>4</v>
      </c>
      <c r="D1961" s="1">
        <v>0</v>
      </c>
      <c r="G1961" s="113"/>
    </row>
    <row r="1962" spans="1:7">
      <c r="A1962" s="56">
        <v>1985</v>
      </c>
      <c r="B1962" s="1" t="s">
        <v>2419</v>
      </c>
      <c r="C1962" s="1">
        <v>4</v>
      </c>
      <c r="D1962" s="1">
        <v>0</v>
      </c>
      <c r="G1962" s="113"/>
    </row>
    <row r="1963" spans="1:7">
      <c r="A1963" s="56">
        <v>1986</v>
      </c>
      <c r="B1963" s="1" t="s">
        <v>2420</v>
      </c>
      <c r="C1963" s="1">
        <v>4</v>
      </c>
      <c r="D1963" s="1">
        <v>0</v>
      </c>
      <c r="G1963" s="113"/>
    </row>
    <row r="1964" spans="1:7">
      <c r="A1964" s="56">
        <v>1987</v>
      </c>
      <c r="B1964" s="1" t="s">
        <v>2421</v>
      </c>
      <c r="C1964" s="1">
        <v>12</v>
      </c>
      <c r="D1964" s="1">
        <v>0</v>
      </c>
      <c r="G1964" s="113"/>
    </row>
    <row r="1965" spans="1:7">
      <c r="A1965" s="56">
        <v>1988</v>
      </c>
      <c r="B1965" s="1" t="s">
        <v>2422</v>
      </c>
      <c r="C1965" s="1">
        <v>4</v>
      </c>
      <c r="D1965" s="1">
        <v>0</v>
      </c>
      <c r="G1965" s="113"/>
    </row>
    <row r="1966" spans="1:7">
      <c r="A1966" s="56">
        <v>1989</v>
      </c>
      <c r="B1966" s="1" t="s">
        <v>2423</v>
      </c>
      <c r="C1966" s="1">
        <v>1.5</v>
      </c>
      <c r="D1966" s="1">
        <v>0</v>
      </c>
      <c r="F1966" s="2" t="s">
        <v>2424</v>
      </c>
      <c r="G1966" s="113"/>
    </row>
    <row r="1967" spans="1:7">
      <c r="A1967" s="56">
        <v>1990</v>
      </c>
      <c r="B1967" s="1" t="s">
        <v>2425</v>
      </c>
      <c r="C1967" s="1">
        <v>1.5</v>
      </c>
      <c r="D1967" s="1">
        <v>0</v>
      </c>
      <c r="F1967" s="2" t="s">
        <v>2426</v>
      </c>
      <c r="G1967" s="113"/>
    </row>
    <row r="1968" spans="1:7">
      <c r="A1968" s="56">
        <v>1991</v>
      </c>
      <c r="B1968" s="1" t="s">
        <v>2427</v>
      </c>
      <c r="C1968" s="1">
        <v>0</v>
      </c>
      <c r="D1968" s="1">
        <v>1</v>
      </c>
      <c r="F1968" s="2" t="s">
        <v>2428</v>
      </c>
      <c r="G1968" s="113"/>
    </row>
    <row r="1969" spans="1:7">
      <c r="A1969" s="56">
        <v>1992</v>
      </c>
      <c r="B1969" s="1" t="s">
        <v>2429</v>
      </c>
      <c r="C1969" s="1">
        <v>0</v>
      </c>
      <c r="D1969" s="1">
        <v>1</v>
      </c>
      <c r="F1969" s="2" t="s">
        <v>2430</v>
      </c>
      <c r="G1969" s="113"/>
    </row>
    <row r="1970" spans="1:7">
      <c r="A1970" s="56">
        <v>1993</v>
      </c>
      <c r="B1970" s="1" t="s">
        <v>2431</v>
      </c>
      <c r="C1970" s="1">
        <v>9.66666666666667</v>
      </c>
      <c r="D1970" s="1">
        <v>0</v>
      </c>
      <c r="F1970" s="2" t="s">
        <v>2432</v>
      </c>
      <c r="G1970" s="113"/>
    </row>
    <row r="1971" spans="1:7">
      <c r="A1971" s="56">
        <v>1994</v>
      </c>
      <c r="B1971" s="1" t="s">
        <v>2433</v>
      </c>
      <c r="C1971" s="1">
        <v>0</v>
      </c>
      <c r="D1971" s="1">
        <v>1</v>
      </c>
      <c r="F1971" s="2" t="s">
        <v>2434</v>
      </c>
      <c r="G1971" s="113"/>
    </row>
    <row r="1972" spans="1:7">
      <c r="A1972" s="56">
        <v>1995</v>
      </c>
      <c r="B1972" s="1" t="s">
        <v>2435</v>
      </c>
      <c r="C1972" s="1">
        <v>0</v>
      </c>
      <c r="D1972" s="1">
        <v>1</v>
      </c>
      <c r="F1972" s="2" t="s">
        <v>2436</v>
      </c>
      <c r="G1972" s="113"/>
    </row>
    <row r="1973" spans="1:7">
      <c r="A1973" s="56">
        <v>1996</v>
      </c>
      <c r="B1973" s="1" t="s">
        <v>2437</v>
      </c>
      <c r="C1973" s="1">
        <v>0</v>
      </c>
      <c r="D1973" s="1">
        <v>1</v>
      </c>
      <c r="F1973" s="2" t="s">
        <v>2438</v>
      </c>
      <c r="G1973" s="113"/>
    </row>
    <row r="1974" spans="1:7">
      <c r="A1974" s="56">
        <v>1997</v>
      </c>
      <c r="B1974" s="1" t="s">
        <v>2439</v>
      </c>
      <c r="C1974" s="1">
        <v>0</v>
      </c>
      <c r="D1974" s="1">
        <v>1</v>
      </c>
      <c r="F1974" s="2" t="s">
        <v>2440</v>
      </c>
      <c r="G1974" s="113"/>
    </row>
    <row r="1975" spans="1:7">
      <c r="A1975" s="56">
        <v>1998</v>
      </c>
      <c r="B1975" s="1" t="s">
        <v>2441</v>
      </c>
      <c r="C1975" s="1">
        <v>0</v>
      </c>
      <c r="D1975" s="1">
        <v>1</v>
      </c>
      <c r="F1975" s="2" t="s">
        <v>2442</v>
      </c>
      <c r="G1975" s="113"/>
    </row>
    <row r="1976" spans="1:7">
      <c r="A1976" s="56">
        <v>1999</v>
      </c>
      <c r="B1976" s="1" t="s">
        <v>2443</v>
      </c>
      <c r="C1976" s="1">
        <v>0</v>
      </c>
      <c r="D1976" s="1">
        <v>1</v>
      </c>
      <c r="F1976" s="2" t="s">
        <v>2444</v>
      </c>
      <c r="G1976" s="113"/>
    </row>
    <row r="1977" spans="1:7">
      <c r="A1977" s="56">
        <v>2000</v>
      </c>
      <c r="B1977" s="1" t="s">
        <v>2445</v>
      </c>
      <c r="C1977" s="1">
        <v>0</v>
      </c>
      <c r="D1977" s="1">
        <v>1</v>
      </c>
      <c r="F1977" s="2" t="s">
        <v>2446</v>
      </c>
      <c r="G1977" s="113"/>
    </row>
    <row r="1978" spans="1:7">
      <c r="A1978" s="56">
        <v>2001</v>
      </c>
      <c r="B1978" s="1" t="s">
        <v>2447</v>
      </c>
      <c r="C1978" s="1">
        <v>0</v>
      </c>
      <c r="D1978" s="1">
        <v>1</v>
      </c>
      <c r="F1978" s="2" t="s">
        <v>2448</v>
      </c>
      <c r="G1978" s="115"/>
    </row>
    <row r="1979" spans="1:7">
      <c r="A1979" s="56">
        <v>2002</v>
      </c>
      <c r="B1979" s="1" t="s">
        <v>2449</v>
      </c>
      <c r="C1979" s="1">
        <v>0</v>
      </c>
      <c r="D1979" s="1">
        <v>1</v>
      </c>
      <c r="F1979" s="2" t="s">
        <v>2450</v>
      </c>
      <c r="G1979" s="113"/>
    </row>
    <row r="1980" spans="1:7">
      <c r="A1980" s="56">
        <v>2003</v>
      </c>
      <c r="B1980" s="1" t="s">
        <v>2451</v>
      </c>
      <c r="C1980" s="1">
        <v>3.5</v>
      </c>
      <c r="D1980" s="1">
        <v>0</v>
      </c>
      <c r="G1980" s="113"/>
    </row>
    <row r="1981" spans="1:7">
      <c r="A1981" s="56">
        <v>2004</v>
      </c>
      <c r="B1981" s="1" t="s">
        <v>2452</v>
      </c>
      <c r="C1981" s="1">
        <v>1</v>
      </c>
      <c r="D1981" s="1">
        <v>0</v>
      </c>
      <c r="G1981" s="113"/>
    </row>
    <row r="1982" spans="1:7">
      <c r="A1982" s="56">
        <v>2005</v>
      </c>
      <c r="B1982" s="1" t="s">
        <v>2453</v>
      </c>
      <c r="C1982" s="1">
        <v>1</v>
      </c>
      <c r="D1982" s="1">
        <v>0</v>
      </c>
      <c r="G1982" s="113"/>
    </row>
    <row r="1983" spans="1:7">
      <c r="A1983" s="56">
        <v>2006</v>
      </c>
      <c r="B1983" s="1" t="s">
        <v>2454</v>
      </c>
      <c r="C1983" s="1">
        <v>3</v>
      </c>
      <c r="D1983" s="1">
        <v>0</v>
      </c>
      <c r="G1983" s="113"/>
    </row>
    <row r="1984" spans="1:7">
      <c r="A1984" s="56">
        <v>2007</v>
      </c>
      <c r="B1984" s="1" t="s">
        <v>2455</v>
      </c>
      <c r="C1984" s="1">
        <v>2</v>
      </c>
      <c r="D1984" s="1">
        <v>0</v>
      </c>
      <c r="G1984" s="113"/>
    </row>
    <row r="1985" spans="1:7">
      <c r="A1985" s="56">
        <v>2008</v>
      </c>
      <c r="B1985" s="1" t="s">
        <v>2456</v>
      </c>
      <c r="C1985" s="1">
        <v>3</v>
      </c>
      <c r="D1985" s="1">
        <v>0</v>
      </c>
      <c r="G1985" s="113"/>
    </row>
    <row r="1986" spans="1:7">
      <c r="A1986" s="56">
        <v>2009</v>
      </c>
      <c r="B1986" s="1" t="s">
        <v>2457</v>
      </c>
      <c r="C1986" s="1">
        <v>3</v>
      </c>
      <c r="D1986" s="1">
        <v>0</v>
      </c>
      <c r="G1986" s="113"/>
    </row>
    <row r="1987" spans="1:7">
      <c r="A1987" s="56">
        <v>2010</v>
      </c>
      <c r="B1987" s="1" t="s">
        <v>2458</v>
      </c>
      <c r="C1987" s="1">
        <v>1</v>
      </c>
      <c r="D1987" s="1">
        <v>0</v>
      </c>
      <c r="G1987" s="113"/>
    </row>
    <row r="1988" spans="1:7">
      <c r="A1988" s="56">
        <v>2011</v>
      </c>
      <c r="B1988" s="1" t="s">
        <v>2459</v>
      </c>
      <c r="C1988" s="1">
        <v>4</v>
      </c>
      <c r="D1988" s="1">
        <v>0</v>
      </c>
      <c r="G1988" s="113"/>
    </row>
    <row r="1989" spans="1:7">
      <c r="A1989" s="56">
        <v>2012</v>
      </c>
      <c r="B1989" s="1" t="s">
        <v>2460</v>
      </c>
      <c r="C1989" s="1">
        <v>3.3</v>
      </c>
      <c r="D1989" s="1">
        <v>0</v>
      </c>
      <c r="G1989" s="113"/>
    </row>
    <row r="1990" spans="1:7">
      <c r="A1990" s="56">
        <v>2013</v>
      </c>
      <c r="B1990" s="1" t="s">
        <v>2461</v>
      </c>
      <c r="C1990" s="1">
        <v>2</v>
      </c>
      <c r="D1990" s="1">
        <v>0</v>
      </c>
      <c r="G1990" s="113"/>
    </row>
    <row r="1991" spans="1:7">
      <c r="A1991" s="56">
        <v>2014</v>
      </c>
      <c r="B1991" s="1" t="s">
        <v>2462</v>
      </c>
      <c r="C1991" s="1">
        <v>2</v>
      </c>
      <c r="D1991" s="1">
        <v>0</v>
      </c>
      <c r="G1991" s="113"/>
    </row>
    <row r="1992" spans="1:7">
      <c r="A1992" s="56">
        <v>2015</v>
      </c>
      <c r="B1992" s="1" t="s">
        <v>2463</v>
      </c>
      <c r="C1992" s="1">
        <v>2</v>
      </c>
      <c r="D1992" s="1">
        <v>0</v>
      </c>
      <c r="G1992" s="113"/>
    </row>
    <row r="1993" spans="1:7">
      <c r="A1993" s="56">
        <v>2016</v>
      </c>
      <c r="B1993" s="1" t="s">
        <v>2464</v>
      </c>
      <c r="C1993" s="1">
        <v>2</v>
      </c>
      <c r="D1993" s="1">
        <v>0</v>
      </c>
      <c r="G1993" s="113"/>
    </row>
    <row r="1994" spans="1:7">
      <c r="A1994" s="56">
        <v>2017</v>
      </c>
      <c r="B1994" s="1" t="s">
        <v>2465</v>
      </c>
      <c r="C1994" s="1">
        <v>2</v>
      </c>
      <c r="D1994" s="1">
        <v>0</v>
      </c>
      <c r="G1994" s="113"/>
    </row>
    <row r="1995" spans="1:7">
      <c r="A1995" s="56">
        <v>2018</v>
      </c>
      <c r="B1995" s="1" t="s">
        <v>2466</v>
      </c>
      <c r="C1995" s="1">
        <v>2</v>
      </c>
      <c r="D1995" s="1">
        <v>0</v>
      </c>
      <c r="G1995" s="113"/>
    </row>
    <row r="1996" spans="1:7">
      <c r="A1996" s="56">
        <v>2019</v>
      </c>
      <c r="B1996" s="1" t="s">
        <v>2467</v>
      </c>
      <c r="C1996" s="1">
        <v>4</v>
      </c>
      <c r="D1996" s="1">
        <v>0</v>
      </c>
      <c r="G1996" s="113"/>
    </row>
    <row r="1997" spans="1:7">
      <c r="A1997" s="56">
        <v>2020</v>
      </c>
      <c r="B1997" s="1" t="s">
        <v>2468</v>
      </c>
      <c r="C1997" s="1">
        <v>2</v>
      </c>
      <c r="D1997" s="1">
        <v>0</v>
      </c>
      <c r="G1997" s="113"/>
    </row>
    <row r="1998" spans="1:7">
      <c r="A1998" s="56">
        <v>2021</v>
      </c>
      <c r="B1998" s="1" t="s">
        <v>2469</v>
      </c>
      <c r="C1998" s="1">
        <v>6.16666666666667</v>
      </c>
      <c r="D1998" s="1">
        <v>0</v>
      </c>
      <c r="G1998" s="113"/>
    </row>
    <row r="1999" spans="1:7">
      <c r="A1999" s="56">
        <v>2022</v>
      </c>
      <c r="B1999" s="1" t="s">
        <v>2470</v>
      </c>
      <c r="C1999" s="1">
        <v>8.36666666666667</v>
      </c>
      <c r="D1999" s="1">
        <v>0</v>
      </c>
      <c r="G1999" s="113"/>
    </row>
    <row r="2000" spans="1:7">
      <c r="A2000" s="56">
        <v>2031</v>
      </c>
      <c r="B2000" s="1" t="s">
        <v>2471</v>
      </c>
      <c r="C2000" s="1">
        <v>4</v>
      </c>
      <c r="D2000" s="1">
        <v>0</v>
      </c>
      <c r="G2000" s="113"/>
    </row>
    <row r="2001" spans="1:7">
      <c r="A2001" s="56">
        <v>2032</v>
      </c>
      <c r="B2001" s="1" t="s">
        <v>2472</v>
      </c>
      <c r="C2001" s="1">
        <v>1</v>
      </c>
      <c r="D2001" s="1">
        <v>0</v>
      </c>
      <c r="G2001" s="113"/>
    </row>
    <row r="2002" spans="1:7">
      <c r="A2002" s="56">
        <v>2033</v>
      </c>
      <c r="B2002" s="1" t="s">
        <v>2473</v>
      </c>
      <c r="C2002" s="1">
        <v>4.5</v>
      </c>
      <c r="D2002" s="1">
        <v>0</v>
      </c>
      <c r="G2002" s="113"/>
    </row>
    <row r="2003" spans="1:7">
      <c r="A2003" s="56">
        <v>2034</v>
      </c>
      <c r="B2003" s="1" t="s">
        <v>2474</v>
      </c>
      <c r="C2003" s="1">
        <v>2.5</v>
      </c>
      <c r="D2003" s="1">
        <v>0</v>
      </c>
      <c r="G2003" s="113"/>
    </row>
    <row r="2004" spans="1:7">
      <c r="A2004" s="56">
        <v>2035</v>
      </c>
      <c r="B2004" s="1" t="s">
        <v>2475</v>
      </c>
      <c r="C2004" s="1">
        <v>2</v>
      </c>
      <c r="D2004" s="1">
        <v>0</v>
      </c>
      <c r="G2004" s="113"/>
    </row>
    <row r="2005" spans="1:7">
      <c r="A2005" s="56">
        <v>2036</v>
      </c>
      <c r="B2005" s="1" t="s">
        <v>2476</v>
      </c>
      <c r="C2005" s="1">
        <v>4</v>
      </c>
      <c r="D2005" s="1">
        <v>0</v>
      </c>
      <c r="G2005" s="113"/>
    </row>
    <row r="2006" spans="1:7">
      <c r="A2006" s="56">
        <v>2037</v>
      </c>
      <c r="B2006" s="1" t="s">
        <v>2477</v>
      </c>
      <c r="C2006" s="1">
        <v>2</v>
      </c>
      <c r="D2006" s="1">
        <v>0</v>
      </c>
      <c r="G2006" s="113"/>
    </row>
    <row r="2007" spans="1:7">
      <c r="A2007" s="56">
        <v>2038</v>
      </c>
      <c r="B2007" s="1" t="s">
        <v>2478</v>
      </c>
      <c r="C2007" s="1">
        <v>2</v>
      </c>
      <c r="D2007" s="1">
        <v>0</v>
      </c>
      <c r="G2007" s="113"/>
    </row>
    <row r="2008" spans="1:7">
      <c r="A2008" s="56">
        <v>2039</v>
      </c>
      <c r="B2008" s="1" t="s">
        <v>2479</v>
      </c>
      <c r="C2008" s="1">
        <v>0</v>
      </c>
      <c r="D2008" s="1">
        <v>1</v>
      </c>
      <c r="G2008" s="113"/>
    </row>
    <row r="2009" spans="1:7">
      <c r="A2009" s="56">
        <v>2040</v>
      </c>
      <c r="B2009" s="1" t="s">
        <v>2480</v>
      </c>
      <c r="C2009" s="1">
        <v>0</v>
      </c>
      <c r="D2009" s="1">
        <v>1</v>
      </c>
      <c r="G2009" s="113"/>
    </row>
    <row r="2010" spans="1:7">
      <c r="A2010" s="56">
        <v>2041</v>
      </c>
      <c r="B2010" s="1" t="s">
        <v>2481</v>
      </c>
      <c r="C2010" s="1">
        <v>0</v>
      </c>
      <c r="D2010" s="1">
        <v>1</v>
      </c>
      <c r="G2010" s="113"/>
    </row>
    <row r="2011" spans="1:7">
      <c r="A2011" s="56">
        <v>2042</v>
      </c>
      <c r="B2011" s="1" t="s">
        <v>2482</v>
      </c>
      <c r="C2011" s="1">
        <v>0</v>
      </c>
      <c r="D2011" s="1">
        <v>1</v>
      </c>
      <c r="G2011" s="113"/>
    </row>
    <row r="2012" spans="1:7">
      <c r="A2012" s="56">
        <v>2043</v>
      </c>
      <c r="B2012" s="1" t="s">
        <v>2483</v>
      </c>
      <c r="C2012" s="1">
        <v>0</v>
      </c>
      <c r="D2012" s="1">
        <v>1</v>
      </c>
      <c r="G2012" s="113"/>
    </row>
    <row r="2013" spans="1:7">
      <c r="A2013" s="56">
        <v>2044</v>
      </c>
      <c r="B2013" s="1" t="s">
        <v>2484</v>
      </c>
      <c r="C2013" s="1">
        <v>0</v>
      </c>
      <c r="D2013" s="1">
        <v>1</v>
      </c>
      <c r="G2013" s="113"/>
    </row>
    <row r="2014" spans="1:7">
      <c r="A2014" s="56">
        <v>2045</v>
      </c>
      <c r="B2014" s="1" t="s">
        <v>2485</v>
      </c>
      <c r="C2014" s="1">
        <v>0</v>
      </c>
      <c r="D2014" s="1">
        <v>1</v>
      </c>
      <c r="G2014" s="113"/>
    </row>
    <row r="2015" spans="1:7">
      <c r="A2015" s="56">
        <v>2046</v>
      </c>
      <c r="B2015" s="1" t="s">
        <v>2486</v>
      </c>
      <c r="C2015" s="1">
        <v>0</v>
      </c>
      <c r="D2015" s="1">
        <v>1</v>
      </c>
      <c r="G2015" s="113"/>
    </row>
    <row r="2016" spans="1:7">
      <c r="A2016" s="56">
        <v>2047</v>
      </c>
      <c r="B2016" s="1" t="s">
        <v>2487</v>
      </c>
      <c r="C2016" s="1">
        <v>0</v>
      </c>
      <c r="D2016" s="1">
        <v>1</v>
      </c>
      <c r="G2016" s="113"/>
    </row>
    <row r="2017" spans="1:7">
      <c r="A2017" s="56">
        <v>2048</v>
      </c>
      <c r="B2017" s="1" t="s">
        <v>2488</v>
      </c>
      <c r="C2017" s="1">
        <v>11</v>
      </c>
      <c r="D2017" s="1">
        <v>0</v>
      </c>
      <c r="G2017" s="113"/>
    </row>
    <row r="2018" spans="1:7">
      <c r="A2018" s="56">
        <v>2049</v>
      </c>
      <c r="B2018" s="1" t="s">
        <v>2489</v>
      </c>
      <c r="C2018" s="1">
        <v>11</v>
      </c>
      <c r="D2018" s="1">
        <v>0</v>
      </c>
      <c r="G2018" s="113"/>
    </row>
    <row r="2019" spans="1:7">
      <c r="A2019" s="56">
        <v>2050</v>
      </c>
      <c r="B2019" s="1" t="s">
        <v>2490</v>
      </c>
      <c r="C2019" s="1">
        <v>0</v>
      </c>
      <c r="D2019" s="1">
        <v>1</v>
      </c>
      <c r="F2019" s="2" t="s">
        <v>2491</v>
      </c>
      <c r="G2019" s="113"/>
    </row>
    <row r="2020" spans="1:7">
      <c r="A2020" s="56">
        <v>2051</v>
      </c>
      <c r="B2020" s="1" t="s">
        <v>2492</v>
      </c>
      <c r="C2020" s="1">
        <v>0</v>
      </c>
      <c r="D2020" s="1">
        <v>1</v>
      </c>
      <c r="F2020" s="2" t="s">
        <v>2493</v>
      </c>
      <c r="G2020" s="113"/>
    </row>
    <row r="2021" spans="1:7">
      <c r="A2021" s="56">
        <v>2052</v>
      </c>
      <c r="B2021" s="1" t="s">
        <v>2494</v>
      </c>
      <c r="C2021" s="1">
        <v>0</v>
      </c>
      <c r="D2021" s="1">
        <v>1</v>
      </c>
      <c r="F2021" s="2" t="s">
        <v>2495</v>
      </c>
      <c r="G2021" s="113"/>
    </row>
    <row r="2022" spans="1:7">
      <c r="A2022" s="56">
        <v>2053</v>
      </c>
      <c r="B2022" s="1" t="s">
        <v>2496</v>
      </c>
      <c r="C2022" s="1">
        <v>0</v>
      </c>
      <c r="D2022" s="1">
        <v>1</v>
      </c>
      <c r="F2022" s="2" t="s">
        <v>2497</v>
      </c>
      <c r="G2022" s="113"/>
    </row>
    <row r="2023" spans="1:7">
      <c r="A2023" s="56">
        <v>2054</v>
      </c>
      <c r="B2023" s="1" t="s">
        <v>2498</v>
      </c>
      <c r="C2023" s="1">
        <v>2</v>
      </c>
      <c r="D2023" s="1">
        <v>0</v>
      </c>
      <c r="F2023" s="2" t="s">
        <v>2499</v>
      </c>
      <c r="G2023" s="113"/>
    </row>
    <row r="2024" spans="1:7">
      <c r="A2024" s="56">
        <v>2055</v>
      </c>
      <c r="B2024" s="1" t="s">
        <v>2500</v>
      </c>
      <c r="C2024" s="1">
        <v>0</v>
      </c>
      <c r="D2024" s="1">
        <v>1</v>
      </c>
      <c r="F2024" s="2" t="s">
        <v>2501</v>
      </c>
      <c r="G2024" s="113"/>
    </row>
    <row r="2025" spans="1:7">
      <c r="A2025" s="56">
        <v>2056</v>
      </c>
      <c r="B2025" s="56" t="s">
        <v>575</v>
      </c>
      <c r="C2025" s="2">
        <v>2</v>
      </c>
      <c r="D2025" s="2">
        <v>0</v>
      </c>
      <c r="F2025" s="2" t="s">
        <v>2502</v>
      </c>
      <c r="G2025" s="116"/>
    </row>
    <row r="2026" spans="1:7">
      <c r="A2026" s="56">
        <v>2058</v>
      </c>
      <c r="B2026" s="1" t="s">
        <v>2503</v>
      </c>
      <c r="C2026" s="1">
        <v>2</v>
      </c>
      <c r="D2026" s="1">
        <v>0</v>
      </c>
      <c r="G2026" s="116"/>
    </row>
    <row r="2027" spans="1:7">
      <c r="A2027" s="56">
        <v>2059</v>
      </c>
      <c r="B2027" s="1" t="s">
        <v>2504</v>
      </c>
      <c r="C2027" s="1">
        <v>3</v>
      </c>
      <c r="D2027" s="1">
        <v>0</v>
      </c>
      <c r="F2027" s="2" t="s">
        <v>2505</v>
      </c>
      <c r="G2027" s="116"/>
    </row>
    <row r="2028" spans="1:7">
      <c r="A2028" s="56">
        <v>2060</v>
      </c>
      <c r="B2028" s="1" t="s">
        <v>2506</v>
      </c>
      <c r="C2028" s="1">
        <v>0</v>
      </c>
      <c r="D2028" s="1">
        <v>1</v>
      </c>
      <c r="F2028" s="2" t="s">
        <v>2507</v>
      </c>
      <c r="G2028" s="116"/>
    </row>
    <row r="2029" spans="1:7">
      <c r="A2029" s="56">
        <v>2062</v>
      </c>
      <c r="B2029" s="1" t="s">
        <v>2508</v>
      </c>
      <c r="C2029" s="1">
        <v>2</v>
      </c>
      <c r="D2029" s="1">
        <v>0</v>
      </c>
      <c r="G2029" s="116"/>
    </row>
    <row r="2030" spans="1:7">
      <c r="A2030" s="56">
        <v>2063</v>
      </c>
      <c r="B2030" s="1" t="s">
        <v>2509</v>
      </c>
      <c r="C2030" s="1">
        <v>4</v>
      </c>
      <c r="D2030" s="1">
        <v>0</v>
      </c>
      <c r="G2030" s="116"/>
    </row>
    <row r="2031" spans="1:7">
      <c r="A2031" s="56">
        <v>2064</v>
      </c>
      <c r="B2031" s="1" t="s">
        <v>2510</v>
      </c>
      <c r="C2031" s="1">
        <v>2</v>
      </c>
      <c r="D2031" s="1">
        <v>0</v>
      </c>
      <c r="G2031" s="116"/>
    </row>
    <row r="2032" spans="1:7">
      <c r="A2032" s="56">
        <v>2065</v>
      </c>
      <c r="B2032" s="1" t="s">
        <v>2511</v>
      </c>
      <c r="C2032" s="1">
        <v>2</v>
      </c>
      <c r="D2032" s="1">
        <v>0</v>
      </c>
      <c r="G2032" s="116"/>
    </row>
    <row r="2033" spans="1:7">
      <c r="A2033" s="56">
        <v>2066</v>
      </c>
      <c r="B2033" s="1" t="s">
        <v>2512</v>
      </c>
      <c r="C2033" s="1">
        <v>4</v>
      </c>
      <c r="D2033" s="1">
        <v>0</v>
      </c>
      <c r="G2033" s="116"/>
    </row>
    <row r="2034" spans="1:7">
      <c r="A2034" s="56">
        <v>2067</v>
      </c>
      <c r="B2034" s="1" t="s">
        <v>2513</v>
      </c>
      <c r="C2034" s="1">
        <v>2</v>
      </c>
      <c r="D2034" s="1">
        <v>0</v>
      </c>
      <c r="G2034" s="116"/>
    </row>
    <row r="2035" spans="1:7">
      <c r="A2035" s="56">
        <v>2068</v>
      </c>
      <c r="B2035" s="1" t="s">
        <v>2514</v>
      </c>
      <c r="C2035" s="1">
        <v>4</v>
      </c>
      <c r="D2035" s="1">
        <v>0</v>
      </c>
      <c r="G2035" s="116"/>
    </row>
    <row r="2036" spans="1:7">
      <c r="A2036" s="56">
        <v>2069</v>
      </c>
      <c r="B2036" s="1" t="s">
        <v>2515</v>
      </c>
      <c r="C2036" s="1">
        <v>2</v>
      </c>
      <c r="D2036" s="1">
        <v>0</v>
      </c>
      <c r="G2036" s="116"/>
    </row>
    <row r="2037" spans="1:7">
      <c r="A2037" s="56">
        <v>2070</v>
      </c>
      <c r="B2037" s="1" t="s">
        <v>2516</v>
      </c>
      <c r="C2037" s="1">
        <v>2</v>
      </c>
      <c r="D2037" s="1">
        <v>0</v>
      </c>
      <c r="G2037" s="116"/>
    </row>
    <row r="2038" spans="1:7">
      <c r="A2038" s="56">
        <v>2071</v>
      </c>
      <c r="B2038" s="1" t="s">
        <v>2517</v>
      </c>
      <c r="C2038" s="1">
        <v>4</v>
      </c>
      <c r="D2038" s="1">
        <v>0</v>
      </c>
      <c r="G2038" s="116"/>
    </row>
    <row r="2039" spans="1:7">
      <c r="A2039" s="56">
        <v>2072</v>
      </c>
      <c r="B2039" s="1" t="s">
        <v>2518</v>
      </c>
      <c r="C2039" s="1">
        <v>4</v>
      </c>
      <c r="D2039" s="1">
        <v>0</v>
      </c>
      <c r="G2039" s="116"/>
    </row>
    <row r="2040" spans="1:7">
      <c r="A2040" s="56">
        <v>2073</v>
      </c>
      <c r="B2040" s="1" t="s">
        <v>2519</v>
      </c>
      <c r="C2040" s="1">
        <v>4</v>
      </c>
      <c r="D2040" s="1">
        <v>0</v>
      </c>
      <c r="G2040" s="116"/>
    </row>
    <row r="2041" spans="1:7">
      <c r="A2041" s="56">
        <v>2074</v>
      </c>
      <c r="B2041" s="1" t="s">
        <v>2520</v>
      </c>
      <c r="C2041" s="1">
        <v>4</v>
      </c>
      <c r="D2041" s="1">
        <v>0</v>
      </c>
      <c r="G2041" s="116"/>
    </row>
    <row r="2042" spans="1:7">
      <c r="A2042" s="56">
        <v>2075</v>
      </c>
      <c r="B2042" s="1" t="s">
        <v>2521</v>
      </c>
      <c r="C2042" s="1">
        <v>2</v>
      </c>
      <c r="D2042" s="1">
        <v>0</v>
      </c>
      <c r="G2042" s="116"/>
    </row>
    <row r="2043" spans="1:7">
      <c r="A2043" s="56">
        <v>2076</v>
      </c>
      <c r="B2043" s="1" t="s">
        <v>2522</v>
      </c>
      <c r="C2043" s="1">
        <f>193/30</f>
        <v>6.43333333333333</v>
      </c>
      <c r="D2043" s="1">
        <v>0</v>
      </c>
      <c r="G2043" s="116"/>
    </row>
    <row r="2044" spans="1:7">
      <c r="A2044" s="56">
        <v>2077</v>
      </c>
      <c r="B2044" s="1" t="s">
        <v>2523</v>
      </c>
      <c r="C2044" s="1">
        <f>193/30</f>
        <v>6.43333333333333</v>
      </c>
      <c r="D2044" s="1">
        <v>0</v>
      </c>
      <c r="G2044" s="116"/>
    </row>
    <row r="2045" spans="1:7">
      <c r="A2045" s="56">
        <v>2078</v>
      </c>
      <c r="B2045" s="1" t="s">
        <v>2524</v>
      </c>
      <c r="C2045" s="1">
        <f t="shared" ref="C2045:C2048" si="4">286/30</f>
        <v>9.53333333333333</v>
      </c>
      <c r="D2045" s="1">
        <v>0</v>
      </c>
      <c r="G2045" s="116"/>
    </row>
    <row r="2046" spans="1:7">
      <c r="A2046" s="56">
        <v>2079</v>
      </c>
      <c r="B2046" s="1" t="s">
        <v>2525</v>
      </c>
      <c r="C2046" s="1">
        <f t="shared" si="4"/>
        <v>9.53333333333333</v>
      </c>
      <c r="D2046" s="1">
        <v>0</v>
      </c>
      <c r="G2046" s="116"/>
    </row>
    <row r="2047" spans="1:7">
      <c r="A2047" s="56">
        <v>2080</v>
      </c>
      <c r="B2047" s="1" t="s">
        <v>2526</v>
      </c>
      <c r="C2047" s="1">
        <f t="shared" si="4"/>
        <v>9.53333333333333</v>
      </c>
      <c r="D2047" s="1">
        <v>0</v>
      </c>
      <c r="G2047" s="116"/>
    </row>
    <row r="2048" spans="1:7">
      <c r="A2048" s="56">
        <v>2081</v>
      </c>
      <c r="B2048" s="1" t="s">
        <v>2527</v>
      </c>
      <c r="C2048" s="1">
        <f t="shared" si="4"/>
        <v>9.53333333333333</v>
      </c>
      <c r="D2048" s="1">
        <v>0</v>
      </c>
      <c r="G2048" s="116"/>
    </row>
    <row r="2049" spans="1:7">
      <c r="A2049" s="56">
        <v>2082</v>
      </c>
      <c r="B2049" s="1" t="s">
        <v>2528</v>
      </c>
      <c r="C2049" s="1">
        <f t="shared" ref="C2049:C2051" si="5">233/30</f>
        <v>7.76666666666667</v>
      </c>
      <c r="D2049" s="1">
        <v>0</v>
      </c>
      <c r="G2049" s="116"/>
    </row>
    <row r="2050" spans="1:7">
      <c r="A2050" s="56">
        <v>2083</v>
      </c>
      <c r="B2050" s="1" t="s">
        <v>2529</v>
      </c>
      <c r="C2050" s="1">
        <f t="shared" si="5"/>
        <v>7.76666666666667</v>
      </c>
      <c r="D2050" s="1">
        <v>0</v>
      </c>
      <c r="G2050" s="116"/>
    </row>
    <row r="2051" spans="1:7">
      <c r="A2051" s="56">
        <v>2084</v>
      </c>
      <c r="B2051" s="1" t="s">
        <v>2530</v>
      </c>
      <c r="C2051" s="1">
        <f t="shared" si="5"/>
        <v>7.76666666666667</v>
      </c>
      <c r="D2051" s="1">
        <v>0</v>
      </c>
      <c r="G2051" s="116"/>
    </row>
    <row r="2052" spans="1:7">
      <c r="A2052" s="56">
        <v>2085</v>
      </c>
      <c r="B2052" s="1" t="s">
        <v>2531</v>
      </c>
      <c r="C2052" s="1">
        <v>3.4</v>
      </c>
      <c r="D2052" s="1">
        <v>0</v>
      </c>
      <c r="F2052" s="2" t="s">
        <v>2532</v>
      </c>
      <c r="G2052" s="116"/>
    </row>
    <row r="2053" spans="1:7">
      <c r="A2053" s="56">
        <v>2086</v>
      </c>
      <c r="B2053" s="1" t="s">
        <v>2533</v>
      </c>
      <c r="C2053" s="1">
        <v>2</v>
      </c>
      <c r="D2053" s="1">
        <v>0</v>
      </c>
      <c r="G2053" s="116"/>
    </row>
    <row r="2054" spans="1:7">
      <c r="A2054" s="56">
        <v>2087</v>
      </c>
      <c r="B2054" s="1" t="s">
        <v>2534</v>
      </c>
      <c r="C2054" s="1">
        <v>2</v>
      </c>
      <c r="D2054" s="1">
        <v>0</v>
      </c>
      <c r="G2054" s="116"/>
    </row>
    <row r="2055" spans="1:7">
      <c r="A2055" s="56">
        <v>2088</v>
      </c>
      <c r="B2055" s="1" t="s">
        <v>2535</v>
      </c>
      <c r="C2055" s="1">
        <v>3.4</v>
      </c>
      <c r="D2055" s="1">
        <v>0</v>
      </c>
      <c r="G2055" s="116"/>
    </row>
    <row r="2056" spans="1:7">
      <c r="A2056" s="56">
        <v>2089</v>
      </c>
      <c r="B2056" s="1" t="s">
        <v>2536</v>
      </c>
      <c r="C2056" s="1">
        <v>2</v>
      </c>
      <c r="D2056" s="1">
        <v>0</v>
      </c>
      <c r="G2056" s="116"/>
    </row>
    <row r="2057" spans="1:7">
      <c r="A2057" s="56">
        <v>2090</v>
      </c>
      <c r="B2057" s="1" t="s">
        <v>2537</v>
      </c>
      <c r="C2057" s="1">
        <v>4.5</v>
      </c>
      <c r="D2057" s="1">
        <v>0</v>
      </c>
      <c r="G2057" s="116"/>
    </row>
    <row r="2058" spans="1:7">
      <c r="A2058" s="56">
        <v>2091</v>
      </c>
      <c r="B2058" s="1" t="s">
        <v>2538</v>
      </c>
      <c r="C2058" s="1">
        <v>2</v>
      </c>
      <c r="D2058" s="1">
        <v>0</v>
      </c>
      <c r="G2058" s="116"/>
    </row>
    <row r="2059" spans="1:7">
      <c r="A2059" s="56">
        <v>2092</v>
      </c>
      <c r="B2059" s="1" t="s">
        <v>2539</v>
      </c>
      <c r="C2059" s="1">
        <v>2</v>
      </c>
      <c r="D2059" s="1">
        <v>0</v>
      </c>
      <c r="G2059" s="116"/>
    </row>
    <row r="2060" spans="1:7">
      <c r="A2060" s="56">
        <v>2093</v>
      </c>
      <c r="B2060" s="1" t="s">
        <v>2540</v>
      </c>
      <c r="C2060" s="1">
        <v>3.5</v>
      </c>
      <c r="D2060" s="1">
        <v>0</v>
      </c>
      <c r="G2060" s="116"/>
    </row>
    <row r="2061" spans="1:7">
      <c r="A2061" s="56">
        <v>2094</v>
      </c>
      <c r="B2061" s="1" t="s">
        <v>2541</v>
      </c>
      <c r="C2061" s="1">
        <v>2</v>
      </c>
      <c r="D2061" s="1">
        <v>0</v>
      </c>
      <c r="G2061" s="116"/>
    </row>
    <row r="2062" spans="1:7">
      <c r="A2062" s="56">
        <v>2095</v>
      </c>
      <c r="B2062" s="1" t="s">
        <v>2542</v>
      </c>
      <c r="C2062" s="1">
        <v>4.5</v>
      </c>
      <c r="D2062" s="1">
        <v>0</v>
      </c>
      <c r="G2062" s="116"/>
    </row>
    <row r="2063" spans="1:7">
      <c r="A2063" s="56">
        <v>2096</v>
      </c>
      <c r="B2063" s="1" t="s">
        <v>2543</v>
      </c>
      <c r="C2063" s="1">
        <v>2</v>
      </c>
      <c r="D2063" s="1">
        <v>0</v>
      </c>
      <c r="G2063" s="116"/>
    </row>
    <row r="2064" spans="1:7">
      <c r="A2064" s="56">
        <v>2097</v>
      </c>
      <c r="B2064" s="1" t="s">
        <v>2544</v>
      </c>
      <c r="C2064" s="1">
        <f>209/30</f>
        <v>6.96666666666667</v>
      </c>
      <c r="D2064" s="1">
        <v>0</v>
      </c>
      <c r="G2064" s="116"/>
    </row>
    <row r="2065" spans="1:7">
      <c r="A2065" s="56">
        <v>2098</v>
      </c>
      <c r="B2065" s="1" t="s">
        <v>2545</v>
      </c>
      <c r="C2065" s="1">
        <v>6.96666666666667</v>
      </c>
      <c r="D2065" s="1">
        <v>0</v>
      </c>
      <c r="G2065" s="116"/>
    </row>
    <row r="2066" spans="1:7">
      <c r="A2066" s="56">
        <v>2099</v>
      </c>
      <c r="B2066" s="1" t="s">
        <v>2546</v>
      </c>
      <c r="C2066" s="1">
        <v>7.66666666666667</v>
      </c>
      <c r="D2066" s="1">
        <v>0</v>
      </c>
      <c r="G2066" s="116"/>
    </row>
    <row r="2067" spans="1:7">
      <c r="A2067" s="56">
        <v>2100</v>
      </c>
      <c r="B2067" s="1" t="s">
        <v>2547</v>
      </c>
      <c r="C2067" s="1">
        <v>0</v>
      </c>
      <c r="D2067" s="1">
        <v>1</v>
      </c>
      <c r="F2067" s="2" t="s">
        <v>2548</v>
      </c>
      <c r="G2067" s="116"/>
    </row>
    <row r="2068" spans="1:7">
      <c r="A2068" s="56">
        <v>2101</v>
      </c>
      <c r="B2068" s="1" t="s">
        <v>2549</v>
      </c>
      <c r="C2068" s="1">
        <v>0</v>
      </c>
      <c r="D2068" s="1">
        <v>1</v>
      </c>
      <c r="F2068" s="2" t="s">
        <v>2550</v>
      </c>
      <c r="G2068" s="116"/>
    </row>
    <row r="2069" spans="1:4">
      <c r="A2069" s="56">
        <v>2102</v>
      </c>
      <c r="B2069" s="1" t="s">
        <v>2551</v>
      </c>
      <c r="C2069" s="1">
        <v>2</v>
      </c>
      <c r="D2069" s="1">
        <v>0</v>
      </c>
    </row>
    <row r="2070" spans="1:4">
      <c r="A2070" s="56">
        <v>2103</v>
      </c>
      <c r="B2070" s="1" t="s">
        <v>2552</v>
      </c>
      <c r="C2070" s="1">
        <v>4.5</v>
      </c>
      <c r="D2070" s="1">
        <v>0</v>
      </c>
    </row>
    <row r="2071" spans="1:4">
      <c r="A2071" s="56">
        <v>2104</v>
      </c>
      <c r="B2071" s="1" t="s">
        <v>2553</v>
      </c>
      <c r="C2071" s="1">
        <v>4.5</v>
      </c>
      <c r="D2071" s="1">
        <v>0</v>
      </c>
    </row>
    <row r="2072" spans="1:4">
      <c r="A2072" s="56">
        <v>2105</v>
      </c>
      <c r="B2072" s="1" t="s">
        <v>2554</v>
      </c>
      <c r="C2072" s="1">
        <v>4.5</v>
      </c>
      <c r="D2072" s="1">
        <v>0</v>
      </c>
    </row>
    <row r="2073" spans="1:4">
      <c r="A2073" s="56">
        <v>2106</v>
      </c>
      <c r="B2073" s="1" t="s">
        <v>2555</v>
      </c>
      <c r="C2073" s="1">
        <v>4.5</v>
      </c>
      <c r="D2073" s="1">
        <v>0</v>
      </c>
    </row>
    <row r="2074" spans="1:4">
      <c r="A2074" s="56">
        <v>2107</v>
      </c>
      <c r="B2074" s="1" t="s">
        <v>2556</v>
      </c>
      <c r="C2074" s="1">
        <v>3</v>
      </c>
      <c r="D2074" s="1">
        <v>0</v>
      </c>
    </row>
    <row r="2075" spans="1:6">
      <c r="A2075" s="56">
        <v>2108</v>
      </c>
      <c r="B2075" s="1" t="s">
        <v>2557</v>
      </c>
      <c r="C2075" s="1">
        <v>0</v>
      </c>
      <c r="D2075" s="1">
        <v>1</v>
      </c>
      <c r="F2075" s="2" t="s">
        <v>2558</v>
      </c>
    </row>
    <row r="2076" spans="1:4">
      <c r="A2076" s="56">
        <v>2109</v>
      </c>
      <c r="B2076" s="1" t="s">
        <v>2559</v>
      </c>
      <c r="C2076" s="1">
        <v>4</v>
      </c>
      <c r="D2076" s="1">
        <v>0</v>
      </c>
    </row>
    <row r="2077" spans="1:4">
      <c r="A2077" s="56">
        <v>2110</v>
      </c>
      <c r="B2077" s="1" t="s">
        <v>2560</v>
      </c>
      <c r="C2077" s="1">
        <v>4</v>
      </c>
      <c r="D2077" s="1">
        <v>0</v>
      </c>
    </row>
    <row r="2078" spans="1:4">
      <c r="A2078" s="56">
        <v>2111</v>
      </c>
      <c r="B2078" s="1" t="s">
        <v>2561</v>
      </c>
      <c r="C2078" s="1">
        <v>4</v>
      </c>
      <c r="D2078" s="1">
        <v>0</v>
      </c>
    </row>
    <row r="2079" spans="1:4">
      <c r="A2079" s="56">
        <v>2112</v>
      </c>
      <c r="B2079" s="1" t="s">
        <v>2562</v>
      </c>
      <c r="C2079" s="1">
        <v>4</v>
      </c>
      <c r="D2079" s="1">
        <v>0</v>
      </c>
    </row>
    <row r="2080" spans="1:4">
      <c r="A2080" s="56">
        <v>2113</v>
      </c>
      <c r="B2080" s="1" t="s">
        <v>2563</v>
      </c>
      <c r="C2080" s="1">
        <v>4</v>
      </c>
      <c r="D2080" s="1">
        <v>0</v>
      </c>
    </row>
    <row r="2081" spans="1:4">
      <c r="A2081" s="56">
        <v>2114</v>
      </c>
      <c r="B2081" s="1" t="s">
        <v>2564</v>
      </c>
      <c r="C2081" s="1">
        <v>4</v>
      </c>
      <c r="D2081" s="1">
        <v>0</v>
      </c>
    </row>
    <row r="2082" spans="1:4">
      <c r="A2082" s="56">
        <v>2115</v>
      </c>
      <c r="B2082" s="1" t="s">
        <v>2565</v>
      </c>
      <c r="C2082" s="1">
        <v>4</v>
      </c>
      <c r="D2082" s="1">
        <v>0</v>
      </c>
    </row>
    <row r="2083" spans="1:4">
      <c r="A2083" s="56">
        <v>2116</v>
      </c>
      <c r="B2083" s="1" t="s">
        <v>2566</v>
      </c>
      <c r="C2083" s="1">
        <v>4</v>
      </c>
      <c r="D2083" s="1">
        <v>0</v>
      </c>
    </row>
    <row r="2084" spans="1:4">
      <c r="A2084" s="56">
        <v>2117</v>
      </c>
      <c r="B2084" s="1" t="s">
        <v>2567</v>
      </c>
      <c r="C2084" s="1">
        <v>4</v>
      </c>
      <c r="D2084" s="1">
        <v>0</v>
      </c>
    </row>
    <row r="2085" spans="1:4">
      <c r="A2085" s="56">
        <v>2118</v>
      </c>
      <c r="B2085" s="1" t="s">
        <v>2568</v>
      </c>
      <c r="C2085" s="1">
        <v>4</v>
      </c>
      <c r="D2085" s="1">
        <v>0</v>
      </c>
    </row>
    <row r="2086" spans="1:4">
      <c r="A2086" s="56">
        <v>2119</v>
      </c>
      <c r="B2086" s="1" t="s">
        <v>2569</v>
      </c>
      <c r="C2086" s="1">
        <v>4</v>
      </c>
      <c r="D2086" s="1">
        <v>0</v>
      </c>
    </row>
    <row r="2087" spans="1:4">
      <c r="A2087" s="56">
        <v>2120</v>
      </c>
      <c r="B2087" s="1" t="s">
        <v>2570</v>
      </c>
      <c r="C2087" s="1">
        <v>7</v>
      </c>
      <c r="D2087" s="1">
        <v>0</v>
      </c>
    </row>
    <row r="2088" spans="1:4">
      <c r="A2088" s="56">
        <v>2121</v>
      </c>
      <c r="B2088" s="1" t="s">
        <v>2571</v>
      </c>
      <c r="C2088" s="1">
        <v>7</v>
      </c>
      <c r="D2088" s="1">
        <v>0</v>
      </c>
    </row>
    <row r="2089" spans="1:4">
      <c r="A2089" s="56">
        <v>2122</v>
      </c>
      <c r="B2089" s="1" t="s">
        <v>2572</v>
      </c>
      <c r="C2089" s="1">
        <v>7</v>
      </c>
      <c r="D2089" s="1">
        <v>0</v>
      </c>
    </row>
    <row r="2090" spans="1:4">
      <c r="A2090" s="56">
        <v>2123</v>
      </c>
      <c r="B2090" s="1" t="s">
        <v>2573</v>
      </c>
      <c r="C2090" s="1">
        <v>8.66666666666667</v>
      </c>
      <c r="D2090" s="1">
        <v>0</v>
      </c>
    </row>
    <row r="2091" spans="1:4">
      <c r="A2091" s="56">
        <v>2124</v>
      </c>
      <c r="B2091" s="1" t="s">
        <v>2574</v>
      </c>
      <c r="C2091" s="1">
        <f>205/30</f>
        <v>6.83333333333333</v>
      </c>
      <c r="D2091" s="1">
        <v>0</v>
      </c>
    </row>
    <row r="2092" spans="1:6">
      <c r="A2092" s="56">
        <v>2125</v>
      </c>
      <c r="B2092" s="1" t="s">
        <v>2575</v>
      </c>
      <c r="C2092" s="1">
        <v>1.55</v>
      </c>
      <c r="D2092" s="1">
        <v>0</v>
      </c>
      <c r="F2092" s="2" t="s">
        <v>2576</v>
      </c>
    </row>
    <row r="2093" spans="1:4">
      <c r="A2093" s="56">
        <v>2126</v>
      </c>
      <c r="B2093" s="1" t="s">
        <v>2577</v>
      </c>
      <c r="C2093" s="1">
        <v>4</v>
      </c>
      <c r="D2093" s="1">
        <v>0</v>
      </c>
    </row>
    <row r="2094" spans="1:6">
      <c r="A2094" s="56">
        <v>2127</v>
      </c>
      <c r="B2094" s="1" t="s">
        <v>2578</v>
      </c>
      <c r="C2094" s="1">
        <v>0</v>
      </c>
      <c r="D2094" s="1">
        <v>1</v>
      </c>
      <c r="F2094" s="2" t="s">
        <v>2579</v>
      </c>
    </row>
    <row r="2095" spans="1:6">
      <c r="A2095" s="56">
        <v>2128</v>
      </c>
      <c r="B2095" s="1" t="s">
        <v>2580</v>
      </c>
      <c r="C2095" s="1">
        <v>5</v>
      </c>
      <c r="D2095" s="1">
        <v>0</v>
      </c>
      <c r="F2095" s="2" t="s">
        <v>2581</v>
      </c>
    </row>
    <row r="2096" spans="1:6">
      <c r="A2096" s="56">
        <v>2129</v>
      </c>
      <c r="B2096" s="1" t="s">
        <v>2582</v>
      </c>
      <c r="C2096" s="1">
        <v>1.55</v>
      </c>
      <c r="D2096" s="1">
        <v>0</v>
      </c>
      <c r="F2096" s="2" t="s">
        <v>2583</v>
      </c>
    </row>
    <row r="2097" spans="1:4">
      <c r="A2097" s="56">
        <v>2130</v>
      </c>
      <c r="B2097" s="1" t="s">
        <v>2584</v>
      </c>
      <c r="C2097" s="1">
        <v>0</v>
      </c>
      <c r="D2097" s="1">
        <v>1</v>
      </c>
    </row>
    <row r="2098" spans="1:4">
      <c r="A2098" s="56">
        <v>2131</v>
      </c>
      <c r="B2098" s="1" t="s">
        <v>2585</v>
      </c>
      <c r="C2098" s="1">
        <v>0</v>
      </c>
      <c r="D2098" s="1">
        <v>1</v>
      </c>
    </row>
    <row r="2099" spans="1:4">
      <c r="A2099" s="56">
        <v>2132</v>
      </c>
      <c r="B2099" s="1" t="s">
        <v>2586</v>
      </c>
      <c r="C2099" s="1">
        <v>0</v>
      </c>
      <c r="D2099" s="1">
        <v>1</v>
      </c>
    </row>
    <row r="2100" spans="1:4">
      <c r="A2100" s="56">
        <v>2133</v>
      </c>
      <c r="B2100" s="1" t="s">
        <v>2587</v>
      </c>
      <c r="C2100" s="1">
        <v>0</v>
      </c>
      <c r="D2100" s="1">
        <v>1</v>
      </c>
    </row>
    <row r="2101" spans="1:6">
      <c r="A2101" s="56">
        <v>2134</v>
      </c>
      <c r="B2101" s="1" t="s">
        <v>2588</v>
      </c>
      <c r="C2101" s="1">
        <v>0</v>
      </c>
      <c r="D2101" s="1">
        <v>1</v>
      </c>
      <c r="F2101" s="2" t="s">
        <v>2589</v>
      </c>
    </row>
    <row r="2102" spans="1:6">
      <c r="A2102" s="56">
        <v>2135</v>
      </c>
      <c r="B2102" s="1" t="s">
        <v>2590</v>
      </c>
      <c r="C2102" s="1">
        <v>1.5</v>
      </c>
      <c r="D2102" s="1">
        <v>0</v>
      </c>
      <c r="F2102" s="2" t="s">
        <v>2591</v>
      </c>
    </row>
    <row r="2103" spans="1:6">
      <c r="A2103" s="56">
        <v>2136</v>
      </c>
      <c r="B2103" s="1" t="s">
        <v>2577</v>
      </c>
      <c r="C2103" s="1">
        <v>4</v>
      </c>
      <c r="D2103" s="1">
        <v>0</v>
      </c>
      <c r="F2103" s="2" t="s">
        <v>2592</v>
      </c>
    </row>
    <row r="2104" spans="1:6">
      <c r="A2104" s="56">
        <v>2137</v>
      </c>
      <c r="B2104" s="1" t="s">
        <v>2593</v>
      </c>
      <c r="C2104" s="1">
        <v>2.06666666666667</v>
      </c>
      <c r="D2104" s="1">
        <v>0</v>
      </c>
      <c r="F2104" s="2" t="s">
        <v>2594</v>
      </c>
    </row>
    <row r="2105" spans="1:4">
      <c r="A2105" s="56">
        <v>2138</v>
      </c>
      <c r="B2105" s="1" t="s">
        <v>2595</v>
      </c>
      <c r="C2105" s="1">
        <v>5</v>
      </c>
      <c r="D2105" s="1">
        <v>0</v>
      </c>
    </row>
    <row r="2106" spans="1:4">
      <c r="A2106" s="56">
        <v>2139</v>
      </c>
      <c r="B2106" s="1" t="s">
        <v>2596</v>
      </c>
      <c r="C2106" s="1">
        <v>5</v>
      </c>
      <c r="D2106" s="1">
        <v>0</v>
      </c>
    </row>
    <row r="2107" spans="1:4">
      <c r="A2107" s="56">
        <v>2140</v>
      </c>
      <c r="B2107" s="1" t="s">
        <v>2597</v>
      </c>
      <c r="C2107" s="1">
        <v>8.66666666666667</v>
      </c>
      <c r="D2107" s="1">
        <v>0</v>
      </c>
    </row>
    <row r="2108" spans="1:4">
      <c r="A2108" s="56">
        <v>2141</v>
      </c>
      <c r="B2108" s="1" t="s">
        <v>2598</v>
      </c>
      <c r="C2108" s="1">
        <v>8.66666666666667</v>
      </c>
      <c r="D2108" s="1">
        <v>0</v>
      </c>
    </row>
    <row r="2109" spans="1:6">
      <c r="A2109" s="56">
        <v>2142</v>
      </c>
      <c r="B2109" s="1" t="s">
        <v>2599</v>
      </c>
      <c r="C2109" s="1">
        <v>2</v>
      </c>
      <c r="D2109" s="1">
        <v>0</v>
      </c>
      <c r="F2109" s="2" t="s">
        <v>2600</v>
      </c>
    </row>
    <row r="2110" spans="1:6">
      <c r="A2110" s="56">
        <v>2143</v>
      </c>
      <c r="B2110" s="1" t="s">
        <v>2601</v>
      </c>
      <c r="C2110" s="1">
        <v>3</v>
      </c>
      <c r="D2110" s="1">
        <v>0</v>
      </c>
      <c r="F2110" s="2" t="s">
        <v>2602</v>
      </c>
    </row>
    <row r="2111" spans="1:6">
      <c r="A2111" s="56">
        <v>2144</v>
      </c>
      <c r="B2111" s="1" t="s">
        <v>2603</v>
      </c>
      <c r="C2111" s="1">
        <v>1.55</v>
      </c>
      <c r="D2111" s="1">
        <v>0</v>
      </c>
      <c r="F2111" s="2" t="s">
        <v>2604</v>
      </c>
    </row>
    <row r="2112" spans="1:6">
      <c r="A2112" s="56">
        <v>2145</v>
      </c>
      <c r="B2112" s="1" t="s">
        <v>2605</v>
      </c>
      <c r="C2112" s="1">
        <v>1.55</v>
      </c>
      <c r="D2112" s="1">
        <v>0</v>
      </c>
      <c r="F2112" s="2" t="s">
        <v>2606</v>
      </c>
    </row>
    <row r="2113" spans="1:6">
      <c r="A2113" s="56">
        <v>2146</v>
      </c>
      <c r="B2113" s="1" t="s">
        <v>2607</v>
      </c>
      <c r="C2113" s="1">
        <v>6</v>
      </c>
      <c r="D2113" s="1">
        <v>0</v>
      </c>
      <c r="F2113" s="2" t="s">
        <v>2608</v>
      </c>
    </row>
    <row r="2114" spans="1:6">
      <c r="A2114" s="56">
        <v>2147</v>
      </c>
      <c r="B2114" s="1" t="s">
        <v>2609</v>
      </c>
      <c r="C2114" s="1">
        <v>1.5</v>
      </c>
      <c r="D2114" s="1">
        <v>0</v>
      </c>
      <c r="F2114" s="2" t="s">
        <v>2610</v>
      </c>
    </row>
    <row r="2115" spans="1:6">
      <c r="A2115" s="56">
        <v>2148</v>
      </c>
      <c r="B2115" s="1" t="s">
        <v>2611</v>
      </c>
      <c r="C2115" s="1">
        <v>3</v>
      </c>
      <c r="D2115" s="1">
        <v>0</v>
      </c>
      <c r="F2115" s="2" t="s">
        <v>2612</v>
      </c>
    </row>
    <row r="2116" spans="1:4">
      <c r="A2116" s="56">
        <v>2149</v>
      </c>
      <c r="B2116" s="1" t="s">
        <v>2613</v>
      </c>
      <c r="C2116" s="1">
        <v>5</v>
      </c>
      <c r="D2116" s="1">
        <v>0</v>
      </c>
    </row>
    <row r="2117" spans="1:4">
      <c r="A2117" s="56">
        <v>2150</v>
      </c>
      <c r="B2117" s="1" t="s">
        <v>2614</v>
      </c>
      <c r="C2117" s="1">
        <v>2</v>
      </c>
      <c r="D2117" s="1">
        <v>0</v>
      </c>
    </row>
    <row r="2118" spans="1:4">
      <c r="A2118" s="56">
        <v>2151</v>
      </c>
      <c r="B2118" s="1" t="s">
        <v>2615</v>
      </c>
      <c r="C2118" s="1">
        <v>5.5</v>
      </c>
      <c r="D2118" s="1">
        <v>0</v>
      </c>
    </row>
    <row r="2119" spans="1:4">
      <c r="A2119" s="56">
        <v>2152</v>
      </c>
      <c r="B2119" s="1" t="s">
        <v>2616</v>
      </c>
      <c r="C2119" s="1">
        <v>2</v>
      </c>
      <c r="D2119" s="1">
        <v>0</v>
      </c>
    </row>
    <row r="2120" spans="1:4">
      <c r="A2120" s="56">
        <v>2153</v>
      </c>
      <c r="B2120" s="1" t="s">
        <v>2617</v>
      </c>
      <c r="C2120" s="1">
        <f>290/30</f>
        <v>9.66666666666667</v>
      </c>
      <c r="D2120" s="1">
        <v>0</v>
      </c>
    </row>
    <row r="2121" spans="1:4">
      <c r="A2121" s="56">
        <v>2154</v>
      </c>
      <c r="B2121" s="1" t="s">
        <v>2618</v>
      </c>
      <c r="C2121" s="1">
        <f>290/30</f>
        <v>9.66666666666667</v>
      </c>
      <c r="D2121" s="1">
        <v>0</v>
      </c>
    </row>
    <row r="2122" spans="1:4">
      <c r="A2122" s="56">
        <v>2155</v>
      </c>
      <c r="B2122" s="1" t="s">
        <v>2619</v>
      </c>
      <c r="C2122" s="1">
        <f>220/30</f>
        <v>7.33333333333333</v>
      </c>
      <c r="D2122" s="1">
        <v>0</v>
      </c>
    </row>
    <row r="2123" spans="1:6">
      <c r="A2123" s="56">
        <v>2156</v>
      </c>
      <c r="B2123" s="1" t="s">
        <v>2620</v>
      </c>
      <c r="C2123" s="1">
        <v>0</v>
      </c>
      <c r="D2123" s="1">
        <v>1</v>
      </c>
      <c r="F2123" s="2" t="s">
        <v>2621</v>
      </c>
    </row>
    <row r="2124" spans="1:4">
      <c r="A2124" s="56">
        <v>2157</v>
      </c>
      <c r="B2124" s="1" t="s">
        <v>2622</v>
      </c>
      <c r="C2124" s="1">
        <f>220/30</f>
        <v>7.33333333333333</v>
      </c>
      <c r="D2124" s="1">
        <v>0</v>
      </c>
    </row>
    <row r="2125" spans="1:4">
      <c r="A2125" s="56">
        <v>2158</v>
      </c>
      <c r="B2125" s="1" t="s">
        <v>2623</v>
      </c>
      <c r="C2125" s="1">
        <f>230/30</f>
        <v>7.66666666666667</v>
      </c>
      <c r="D2125" s="1">
        <v>0</v>
      </c>
    </row>
    <row r="2126" spans="1:4">
      <c r="A2126" s="56">
        <v>2159</v>
      </c>
      <c r="B2126" s="1" t="s">
        <v>2624</v>
      </c>
      <c r="C2126" s="1">
        <f>290/30</f>
        <v>9.66666666666667</v>
      </c>
      <c r="D2126" s="1">
        <v>0</v>
      </c>
    </row>
    <row r="2127" spans="1:4">
      <c r="A2127" s="56">
        <v>2160</v>
      </c>
      <c r="B2127" s="1" t="s">
        <v>2625</v>
      </c>
      <c r="C2127" s="1">
        <v>5</v>
      </c>
      <c r="D2127" s="1">
        <v>0</v>
      </c>
    </row>
    <row r="2128" spans="1:4">
      <c r="A2128" s="56">
        <v>2161</v>
      </c>
      <c r="B2128" s="1" t="s">
        <v>2626</v>
      </c>
      <c r="C2128" s="1">
        <v>0</v>
      </c>
      <c r="D2128" s="1">
        <v>1</v>
      </c>
    </row>
    <row r="2129" spans="1:4">
      <c r="A2129" s="56">
        <v>2162</v>
      </c>
      <c r="B2129" s="1" t="s">
        <v>2627</v>
      </c>
      <c r="C2129" s="1">
        <v>4</v>
      </c>
      <c r="D2129" s="1">
        <v>0</v>
      </c>
    </row>
    <row r="2130" spans="1:4">
      <c r="A2130" s="56">
        <v>2163</v>
      </c>
      <c r="B2130" s="1" t="s">
        <v>2628</v>
      </c>
      <c r="C2130" s="1">
        <v>2</v>
      </c>
      <c r="D2130" s="1">
        <v>0</v>
      </c>
    </row>
    <row r="2131" spans="1:4">
      <c r="A2131" s="56">
        <v>2164</v>
      </c>
      <c r="B2131" s="1" t="s">
        <v>2629</v>
      </c>
      <c r="C2131" s="1">
        <v>4</v>
      </c>
      <c r="D2131" s="1">
        <v>0</v>
      </c>
    </row>
    <row r="2132" spans="1:4">
      <c r="A2132" s="56">
        <v>2165</v>
      </c>
      <c r="B2132" s="1" t="s">
        <v>2630</v>
      </c>
      <c r="C2132" s="1">
        <v>2</v>
      </c>
      <c r="D2132" s="1">
        <v>0</v>
      </c>
    </row>
    <row r="2133" spans="1:4">
      <c r="A2133" s="56">
        <v>2166</v>
      </c>
      <c r="B2133" s="1" t="s">
        <v>2631</v>
      </c>
      <c r="C2133" s="1">
        <v>2</v>
      </c>
      <c r="D2133" s="1">
        <v>0</v>
      </c>
    </row>
    <row r="2134" spans="1:4">
      <c r="A2134" s="56">
        <v>2167</v>
      </c>
      <c r="B2134" s="1" t="s">
        <v>2632</v>
      </c>
      <c r="C2134" s="1">
        <v>4</v>
      </c>
      <c r="D2134" s="1">
        <v>0</v>
      </c>
    </row>
    <row r="2135" spans="1:4">
      <c r="A2135" s="56">
        <v>2168</v>
      </c>
      <c r="B2135" s="1" t="s">
        <v>2633</v>
      </c>
      <c r="C2135" s="1">
        <v>2</v>
      </c>
      <c r="D2135" s="1">
        <v>0</v>
      </c>
    </row>
    <row r="2136" spans="1:6">
      <c r="A2136" s="56">
        <v>2169</v>
      </c>
      <c r="B2136" s="1" t="s">
        <v>2634</v>
      </c>
      <c r="C2136" s="1">
        <v>0</v>
      </c>
      <c r="D2136" s="1">
        <v>1</v>
      </c>
      <c r="F2136" s="2" t="s">
        <v>2635</v>
      </c>
    </row>
    <row r="2137" spans="1:6">
      <c r="A2137" s="56">
        <v>2170</v>
      </c>
      <c r="B2137" s="1" t="s">
        <v>2636</v>
      </c>
      <c r="C2137" s="1">
        <v>0</v>
      </c>
      <c r="D2137" s="1">
        <v>1</v>
      </c>
      <c r="F2137" s="2" t="s">
        <v>2637</v>
      </c>
    </row>
    <row r="2138" spans="1:6">
      <c r="A2138" s="56">
        <v>2171</v>
      </c>
      <c r="B2138" s="1" t="s">
        <v>2638</v>
      </c>
      <c r="C2138" s="1">
        <f>51/30</f>
        <v>1.7</v>
      </c>
      <c r="D2138" s="1">
        <v>0</v>
      </c>
      <c r="F2138" s="2" t="s">
        <v>2639</v>
      </c>
    </row>
    <row r="2139" spans="1:4">
      <c r="A2139" s="56">
        <v>2172</v>
      </c>
      <c r="B2139" s="1" t="s">
        <v>2640</v>
      </c>
      <c r="C2139" s="1">
        <f t="shared" ref="C2139:C2144" si="6">290/30</f>
        <v>9.66666666666667</v>
      </c>
      <c r="D2139" s="1">
        <v>0</v>
      </c>
    </row>
    <row r="2140" spans="1:6">
      <c r="A2140" s="56">
        <v>2173</v>
      </c>
      <c r="B2140" s="1" t="s">
        <v>2641</v>
      </c>
      <c r="C2140" s="1">
        <v>4</v>
      </c>
      <c r="D2140" s="1">
        <v>0</v>
      </c>
      <c r="F2140" s="2" t="s">
        <v>2642</v>
      </c>
    </row>
    <row r="2141" spans="1:4">
      <c r="A2141" s="56">
        <v>2174</v>
      </c>
      <c r="B2141" s="1" t="s">
        <v>2643</v>
      </c>
      <c r="C2141" s="1">
        <f>70/30</f>
        <v>2.33333333333333</v>
      </c>
      <c r="D2141" s="1">
        <v>0</v>
      </c>
    </row>
    <row r="2142" spans="1:6">
      <c r="A2142" s="56">
        <v>2175</v>
      </c>
      <c r="B2142" s="1" t="s">
        <v>2644</v>
      </c>
      <c r="C2142" s="1">
        <v>3</v>
      </c>
      <c r="D2142" s="1">
        <v>0</v>
      </c>
      <c r="F2142" s="2" t="s">
        <v>2645</v>
      </c>
    </row>
    <row r="2143" spans="1:6">
      <c r="A2143" s="56">
        <v>2176</v>
      </c>
      <c r="B2143" s="1" t="s">
        <v>2646</v>
      </c>
      <c r="C2143" s="1">
        <f t="shared" si="6"/>
        <v>9.66666666666667</v>
      </c>
      <c r="D2143" s="1">
        <v>0</v>
      </c>
      <c r="F2143" s="2" t="s">
        <v>2647</v>
      </c>
    </row>
    <row r="2144" spans="1:6">
      <c r="A2144" s="56">
        <v>2177</v>
      </c>
      <c r="B2144" s="1" t="s">
        <v>2648</v>
      </c>
      <c r="C2144" s="1">
        <f t="shared" si="6"/>
        <v>9.66666666666667</v>
      </c>
      <c r="D2144" s="1">
        <v>0</v>
      </c>
      <c r="F2144" s="2" t="s">
        <v>2649</v>
      </c>
    </row>
    <row r="2145" spans="1:6">
      <c r="A2145" s="56">
        <v>2178</v>
      </c>
      <c r="B2145" s="1" t="s">
        <v>2650</v>
      </c>
      <c r="C2145" s="1">
        <v>3</v>
      </c>
      <c r="D2145" s="1">
        <v>0</v>
      </c>
      <c r="F2145" s="2" t="s">
        <v>2651</v>
      </c>
    </row>
    <row r="2146" spans="1:4">
      <c r="A2146" s="56">
        <v>2179</v>
      </c>
      <c r="B2146" s="1" t="s">
        <v>2652</v>
      </c>
      <c r="C2146" s="1">
        <v>4</v>
      </c>
      <c r="D2146" s="1">
        <v>0</v>
      </c>
    </row>
    <row r="2147" spans="1:4">
      <c r="A2147" s="56">
        <v>2180</v>
      </c>
      <c r="B2147" s="1" t="s">
        <v>2653</v>
      </c>
      <c r="C2147" s="1">
        <v>0</v>
      </c>
      <c r="D2147" s="1">
        <v>1</v>
      </c>
    </row>
    <row r="2148" spans="1:4">
      <c r="A2148" s="56">
        <v>2181</v>
      </c>
      <c r="B2148" s="1" t="s">
        <v>2654</v>
      </c>
      <c r="C2148" s="1">
        <v>4</v>
      </c>
      <c r="D2148" s="1">
        <v>0</v>
      </c>
    </row>
    <row r="2149" spans="1:4">
      <c r="A2149" s="56">
        <v>2182</v>
      </c>
      <c r="B2149" s="1" t="s">
        <v>2655</v>
      </c>
      <c r="C2149" s="1">
        <v>4</v>
      </c>
      <c r="D2149" s="1">
        <v>0</v>
      </c>
    </row>
    <row r="2150" spans="1:4">
      <c r="A2150" s="56">
        <v>2183</v>
      </c>
      <c r="B2150" s="1" t="s">
        <v>2656</v>
      </c>
      <c r="C2150" s="1">
        <v>5</v>
      </c>
      <c r="D2150" s="1">
        <v>0</v>
      </c>
    </row>
    <row r="2151" spans="1:4">
      <c r="A2151" s="56">
        <v>2184</v>
      </c>
      <c r="B2151" s="1" t="s">
        <v>2657</v>
      </c>
      <c r="C2151" s="1">
        <v>5</v>
      </c>
      <c r="D2151" s="1">
        <v>0</v>
      </c>
    </row>
    <row r="2152" spans="1:4">
      <c r="A2152" s="56">
        <v>2185</v>
      </c>
      <c r="B2152" s="1" t="s">
        <v>2658</v>
      </c>
      <c r="C2152" s="1">
        <v>2</v>
      </c>
      <c r="D2152" s="1">
        <v>0</v>
      </c>
    </row>
    <row r="2153" spans="1:4">
      <c r="A2153" s="56">
        <v>2186</v>
      </c>
      <c r="B2153" s="1" t="s">
        <v>2659</v>
      </c>
      <c r="C2153" s="1">
        <v>5</v>
      </c>
      <c r="D2153" s="1">
        <v>0</v>
      </c>
    </row>
    <row r="2154" spans="1:4">
      <c r="A2154" s="56">
        <v>2187</v>
      </c>
      <c r="B2154" s="1" t="s">
        <v>2660</v>
      </c>
      <c r="C2154" s="1">
        <v>5</v>
      </c>
      <c r="D2154" s="1">
        <v>0</v>
      </c>
    </row>
    <row r="2155" spans="1:4">
      <c r="A2155" s="56">
        <v>2188</v>
      </c>
      <c r="B2155" s="1" t="s">
        <v>2661</v>
      </c>
      <c r="C2155" s="117">
        <v>1.6</v>
      </c>
      <c r="D2155" s="1">
        <v>0</v>
      </c>
    </row>
    <row r="2156" spans="1:4">
      <c r="A2156" s="56">
        <v>2189</v>
      </c>
      <c r="B2156" s="1" t="s">
        <v>2662</v>
      </c>
      <c r="C2156" s="1">
        <v>5</v>
      </c>
      <c r="D2156" s="1">
        <v>0</v>
      </c>
    </row>
    <row r="2157" spans="1:4">
      <c r="A2157" s="56">
        <v>2190</v>
      </c>
      <c r="B2157" s="1" t="s">
        <v>2663</v>
      </c>
      <c r="C2157" s="1">
        <v>5</v>
      </c>
      <c r="D2157" s="1">
        <v>0</v>
      </c>
    </row>
    <row r="2158" spans="1:4">
      <c r="A2158" s="56">
        <v>2191</v>
      </c>
      <c r="B2158" s="1" t="s">
        <v>2664</v>
      </c>
      <c r="C2158" s="1">
        <v>2</v>
      </c>
      <c r="D2158" s="1">
        <v>0</v>
      </c>
    </row>
    <row r="2159" spans="1:4">
      <c r="A2159" s="56">
        <v>2192</v>
      </c>
      <c r="B2159" s="1" t="s">
        <v>2665</v>
      </c>
      <c r="C2159" s="1">
        <v>2</v>
      </c>
      <c r="D2159" s="1">
        <v>0</v>
      </c>
    </row>
    <row r="2160" spans="1:4">
      <c r="A2160" s="56">
        <v>2193</v>
      </c>
      <c r="B2160" s="1" t="s">
        <v>2666</v>
      </c>
      <c r="C2160" s="1">
        <v>5</v>
      </c>
      <c r="D2160" s="1">
        <v>0</v>
      </c>
    </row>
    <row r="2161" spans="1:4">
      <c r="A2161" s="56">
        <v>2194</v>
      </c>
      <c r="B2161" s="1" t="s">
        <v>2667</v>
      </c>
      <c r="C2161" s="1">
        <f>245/30</f>
        <v>8.16666666666667</v>
      </c>
      <c r="D2161" s="1">
        <v>0</v>
      </c>
    </row>
    <row r="2162" spans="1:4">
      <c r="A2162" s="56">
        <v>2195</v>
      </c>
      <c r="B2162" s="1" t="s">
        <v>2668</v>
      </c>
      <c r="C2162" s="1">
        <f>245/30</f>
        <v>8.16666666666667</v>
      </c>
      <c r="D2162" s="1">
        <v>0</v>
      </c>
    </row>
    <row r="2163" spans="1:4">
      <c r="A2163" s="56">
        <v>2196</v>
      </c>
      <c r="B2163" s="1" t="s">
        <v>2669</v>
      </c>
      <c r="C2163" s="1">
        <f t="shared" ref="C2163:C2165" si="7">307/30</f>
        <v>10.2333333333333</v>
      </c>
      <c r="D2163" s="1">
        <v>0</v>
      </c>
    </row>
    <row r="2164" spans="1:4">
      <c r="A2164" s="56">
        <v>2197</v>
      </c>
      <c r="B2164" s="1" t="s">
        <v>2670</v>
      </c>
      <c r="C2164" s="1">
        <f t="shared" si="7"/>
        <v>10.2333333333333</v>
      </c>
      <c r="D2164" s="1">
        <v>0</v>
      </c>
    </row>
    <row r="2165" spans="1:4">
      <c r="A2165" s="56">
        <v>2198</v>
      </c>
      <c r="B2165" s="1" t="s">
        <v>2671</v>
      </c>
      <c r="C2165" s="1">
        <f t="shared" si="7"/>
        <v>10.2333333333333</v>
      </c>
      <c r="D2165" s="1">
        <v>0</v>
      </c>
    </row>
    <row r="2166" spans="1:4">
      <c r="A2166" s="56">
        <v>2199</v>
      </c>
      <c r="B2166" s="1" t="s">
        <v>2672</v>
      </c>
      <c r="C2166" s="1">
        <f t="shared" ref="C2166:C2169" si="8">260/30</f>
        <v>8.66666666666667</v>
      </c>
      <c r="D2166" s="1">
        <v>0</v>
      </c>
    </row>
    <row r="2167" spans="1:4">
      <c r="A2167" s="56">
        <v>2200</v>
      </c>
      <c r="B2167" s="1" t="s">
        <v>2673</v>
      </c>
      <c r="C2167" s="1">
        <f t="shared" si="8"/>
        <v>8.66666666666667</v>
      </c>
      <c r="D2167" s="1">
        <v>0</v>
      </c>
    </row>
    <row r="2168" spans="1:4">
      <c r="A2168" s="56">
        <v>2201</v>
      </c>
      <c r="B2168" s="1" t="s">
        <v>2674</v>
      </c>
      <c r="C2168" s="1">
        <f t="shared" si="8"/>
        <v>8.66666666666667</v>
      </c>
      <c r="D2168" s="1">
        <v>0</v>
      </c>
    </row>
    <row r="2169" spans="1:4">
      <c r="A2169" s="56">
        <v>2202</v>
      </c>
      <c r="B2169" s="1" t="s">
        <v>2675</v>
      </c>
      <c r="C2169" s="1">
        <f t="shared" si="8"/>
        <v>8.66666666666667</v>
      </c>
      <c r="D2169" s="1">
        <v>0</v>
      </c>
    </row>
    <row r="2170" spans="1:4">
      <c r="A2170" s="56">
        <v>2203</v>
      </c>
      <c r="B2170" s="1" t="s">
        <v>2676</v>
      </c>
      <c r="C2170" s="1">
        <v>10</v>
      </c>
      <c r="D2170" s="1">
        <v>0</v>
      </c>
    </row>
    <row r="2171" spans="1:4">
      <c r="A2171" s="56">
        <v>2204</v>
      </c>
      <c r="B2171" s="1" t="s">
        <v>2677</v>
      </c>
      <c r="C2171" s="1">
        <v>10</v>
      </c>
      <c r="D2171" s="1">
        <v>0</v>
      </c>
    </row>
    <row r="2172" spans="1:4">
      <c r="A2172" s="56">
        <v>2205</v>
      </c>
      <c r="B2172" s="1" t="s">
        <v>2678</v>
      </c>
      <c r="C2172" s="1">
        <v>14</v>
      </c>
      <c r="D2172" s="1">
        <v>0</v>
      </c>
    </row>
    <row r="2173" spans="1:4">
      <c r="A2173" s="56">
        <v>2206</v>
      </c>
      <c r="B2173" s="1" t="s">
        <v>2679</v>
      </c>
      <c r="C2173" s="1">
        <v>0</v>
      </c>
      <c r="D2173" s="1">
        <v>1</v>
      </c>
    </row>
    <row r="2174" spans="1:4">
      <c r="A2174" s="56">
        <v>2207</v>
      </c>
      <c r="B2174" s="1" t="s">
        <v>2680</v>
      </c>
      <c r="C2174" s="1">
        <v>5</v>
      </c>
      <c r="D2174" s="1">
        <v>0</v>
      </c>
    </row>
    <row r="2175" spans="1:4">
      <c r="A2175" s="56">
        <v>2208</v>
      </c>
      <c r="B2175" s="1" t="s">
        <v>2681</v>
      </c>
      <c r="C2175" s="1">
        <v>5</v>
      </c>
      <c r="D2175" s="1">
        <v>0</v>
      </c>
    </row>
    <row r="2176" spans="1:4">
      <c r="A2176" s="56">
        <v>2209</v>
      </c>
      <c r="B2176" s="1" t="s">
        <v>2682</v>
      </c>
      <c r="C2176" s="1">
        <v>3.5</v>
      </c>
      <c r="D2176" s="1">
        <v>0</v>
      </c>
    </row>
    <row r="2177" spans="1:4">
      <c r="A2177" s="56">
        <v>2210</v>
      </c>
      <c r="B2177" s="1" t="s">
        <v>2683</v>
      </c>
      <c r="C2177" s="1">
        <v>1.5</v>
      </c>
      <c r="D2177" s="1">
        <v>0</v>
      </c>
    </row>
    <row r="2178" spans="1:4">
      <c r="A2178" s="56">
        <v>2211</v>
      </c>
      <c r="B2178" s="1" t="s">
        <v>2684</v>
      </c>
      <c r="C2178" s="1">
        <v>0</v>
      </c>
      <c r="D2178" s="1">
        <v>1</v>
      </c>
    </row>
    <row r="2179" spans="1:4">
      <c r="A2179" s="56">
        <v>2212</v>
      </c>
      <c r="B2179" s="1" t="s">
        <v>2685</v>
      </c>
      <c r="C2179" s="1">
        <v>2.5</v>
      </c>
      <c r="D2179" s="1">
        <v>0</v>
      </c>
    </row>
    <row r="2180" spans="1:4">
      <c r="A2180" s="56">
        <v>2213</v>
      </c>
      <c r="B2180" s="1" t="s">
        <v>2686</v>
      </c>
      <c r="C2180" s="1">
        <v>4</v>
      </c>
      <c r="D2180" s="1">
        <v>0</v>
      </c>
    </row>
    <row r="2181" spans="1:4">
      <c r="A2181" s="56">
        <v>2214</v>
      </c>
      <c r="B2181" s="1" t="s">
        <v>2687</v>
      </c>
      <c r="C2181" s="1">
        <v>2</v>
      </c>
      <c r="D2181" s="1">
        <v>0</v>
      </c>
    </row>
    <row r="2182" spans="1:4">
      <c r="A2182" s="56">
        <v>2215</v>
      </c>
      <c r="B2182" s="1" t="s">
        <v>2688</v>
      </c>
      <c r="C2182" s="1">
        <v>2</v>
      </c>
      <c r="D2182" s="1">
        <v>0</v>
      </c>
    </row>
    <row r="2183" spans="1:4">
      <c r="A2183" s="56">
        <v>2216</v>
      </c>
      <c r="B2183" s="1" t="s">
        <v>2689</v>
      </c>
      <c r="C2183" s="1">
        <v>2</v>
      </c>
      <c r="D2183" s="1">
        <v>0</v>
      </c>
    </row>
    <row r="2184" spans="1:4">
      <c r="A2184" s="56">
        <v>2217</v>
      </c>
      <c r="B2184" s="1" t="s">
        <v>2690</v>
      </c>
      <c r="C2184" s="1">
        <v>4.5</v>
      </c>
      <c r="D2184" s="1">
        <v>0</v>
      </c>
    </row>
    <row r="2185" spans="1:4">
      <c r="A2185" s="56">
        <v>2218</v>
      </c>
      <c r="B2185" s="1" t="s">
        <v>2691</v>
      </c>
      <c r="C2185" s="1">
        <v>4.2</v>
      </c>
      <c r="D2185" s="1">
        <v>0</v>
      </c>
    </row>
    <row r="2186" spans="1:4">
      <c r="A2186" s="56">
        <v>2219</v>
      </c>
      <c r="B2186" s="1" t="s">
        <v>2692</v>
      </c>
      <c r="C2186" s="1">
        <v>9.33333333333333</v>
      </c>
      <c r="D2186" s="1">
        <v>0</v>
      </c>
    </row>
    <row r="2187" spans="1:4">
      <c r="A2187" s="56">
        <v>2220</v>
      </c>
      <c r="B2187" s="1" t="s">
        <v>2693</v>
      </c>
      <c r="C2187" s="1">
        <v>8.3</v>
      </c>
      <c r="D2187" s="1">
        <v>0</v>
      </c>
    </row>
    <row r="2188" spans="1:4">
      <c r="A2188" s="56">
        <v>2221</v>
      </c>
      <c r="B2188" s="1" t="s">
        <v>2694</v>
      </c>
      <c r="C2188" s="1">
        <v>8.3</v>
      </c>
      <c r="D2188" s="1">
        <v>0</v>
      </c>
    </row>
    <row r="2189" spans="1:4">
      <c r="A2189" s="56">
        <v>2222</v>
      </c>
      <c r="B2189" s="1" t="s">
        <v>2695</v>
      </c>
      <c r="C2189" s="1">
        <v>3.5</v>
      </c>
      <c r="D2189" s="1">
        <v>0</v>
      </c>
    </row>
    <row r="2190" spans="1:4">
      <c r="A2190" s="56">
        <v>2223</v>
      </c>
      <c r="B2190" s="1" t="s">
        <v>2696</v>
      </c>
      <c r="C2190" s="1">
        <v>5</v>
      </c>
      <c r="D2190" s="1">
        <v>0</v>
      </c>
    </row>
    <row r="2191" spans="1:4">
      <c r="A2191" s="56">
        <v>2224</v>
      </c>
      <c r="B2191" s="1" t="s">
        <v>2697</v>
      </c>
      <c r="C2191" s="1">
        <v>3</v>
      </c>
      <c r="D2191" s="1">
        <v>0</v>
      </c>
    </row>
    <row r="2192" spans="1:4">
      <c r="A2192" s="56">
        <v>2225</v>
      </c>
      <c r="B2192" s="1" t="s">
        <v>2698</v>
      </c>
      <c r="C2192" s="1">
        <v>3</v>
      </c>
      <c r="D2192" s="1">
        <v>0</v>
      </c>
    </row>
    <row r="2193" spans="1:6">
      <c r="A2193" s="56">
        <v>2226</v>
      </c>
      <c r="B2193" s="1" t="s">
        <v>2699</v>
      </c>
      <c r="C2193" s="1">
        <v>0</v>
      </c>
      <c r="D2193" s="1">
        <v>1</v>
      </c>
      <c r="F2193" s="2" t="s">
        <v>2700</v>
      </c>
    </row>
    <row r="2194" spans="1:6">
      <c r="A2194" s="56">
        <v>2227</v>
      </c>
      <c r="B2194" s="1" t="s">
        <v>2701</v>
      </c>
      <c r="C2194" s="1">
        <v>0</v>
      </c>
      <c r="D2194" s="1">
        <v>1</v>
      </c>
      <c r="F2194" s="2" t="s">
        <v>2702</v>
      </c>
    </row>
    <row r="2195" spans="1:6">
      <c r="A2195" s="56">
        <v>2228</v>
      </c>
      <c r="B2195" s="1" t="s">
        <v>2703</v>
      </c>
      <c r="C2195" s="1">
        <v>0</v>
      </c>
      <c r="D2195" s="1">
        <v>1</v>
      </c>
      <c r="F2195" s="2" t="s">
        <v>2704</v>
      </c>
    </row>
    <row r="2196" spans="1:6">
      <c r="A2196" s="56">
        <v>2229</v>
      </c>
      <c r="B2196" s="1" t="s">
        <v>2705</v>
      </c>
      <c r="C2196" s="1">
        <v>0</v>
      </c>
      <c r="D2196" s="1">
        <v>1</v>
      </c>
      <c r="F2196" s="2" t="s">
        <v>2706</v>
      </c>
    </row>
    <row r="2197" spans="1:6">
      <c r="A2197" s="56">
        <v>2230</v>
      </c>
      <c r="B2197" s="1" t="s">
        <v>2707</v>
      </c>
      <c r="C2197" s="1">
        <v>0</v>
      </c>
      <c r="D2197" s="1">
        <v>1</v>
      </c>
      <c r="F2197" s="2" t="s">
        <v>2708</v>
      </c>
    </row>
    <row r="2198" spans="1:6">
      <c r="A2198" s="56">
        <v>2231</v>
      </c>
      <c r="B2198" s="1" t="s">
        <v>2709</v>
      </c>
      <c r="C2198" s="1">
        <v>5</v>
      </c>
      <c r="D2198" s="1">
        <v>0</v>
      </c>
      <c r="F2198" s="2" t="s">
        <v>2710</v>
      </c>
    </row>
    <row r="2199" spans="1:6">
      <c r="A2199" s="56">
        <v>2232</v>
      </c>
      <c r="B2199" s="1" t="s">
        <v>2711</v>
      </c>
      <c r="C2199" s="1">
        <v>5</v>
      </c>
      <c r="D2199" s="1">
        <v>0</v>
      </c>
      <c r="F2199" s="2" t="s">
        <v>2712</v>
      </c>
    </row>
    <row r="2200" spans="1:6">
      <c r="A2200" s="56">
        <v>2233</v>
      </c>
      <c r="B2200" s="1" t="s">
        <v>2713</v>
      </c>
      <c r="C2200" s="1">
        <v>2</v>
      </c>
      <c r="D2200" s="1">
        <v>0</v>
      </c>
      <c r="F2200" s="2" t="s">
        <v>2714</v>
      </c>
    </row>
    <row r="2201" spans="1:6">
      <c r="A2201" s="56">
        <v>2234</v>
      </c>
      <c r="B2201" s="1" t="s">
        <v>2715</v>
      </c>
      <c r="C2201" s="1">
        <v>2</v>
      </c>
      <c r="D2201" s="1">
        <v>0</v>
      </c>
      <c r="F2201" s="2" t="s">
        <v>2716</v>
      </c>
    </row>
    <row r="2202" spans="1:6">
      <c r="A2202" s="56">
        <v>2235</v>
      </c>
      <c r="B2202" s="1" t="s">
        <v>2717</v>
      </c>
      <c r="C2202" s="1">
        <v>2</v>
      </c>
      <c r="D2202" s="1">
        <v>0</v>
      </c>
      <c r="F2202" s="2" t="s">
        <v>2718</v>
      </c>
    </row>
    <row r="2203" spans="1:6">
      <c r="A2203" s="56">
        <v>2236</v>
      </c>
      <c r="B2203" s="1" t="s">
        <v>2719</v>
      </c>
      <c r="C2203" s="1">
        <v>2</v>
      </c>
      <c r="D2203" s="1">
        <v>0</v>
      </c>
      <c r="F2203" s="2" t="s">
        <v>2720</v>
      </c>
    </row>
    <row r="2204" spans="1:6">
      <c r="A2204" s="56">
        <v>2237</v>
      </c>
      <c r="B2204" s="1" t="s">
        <v>2721</v>
      </c>
      <c r="C2204" s="1">
        <v>6</v>
      </c>
      <c r="D2204" s="1">
        <v>0</v>
      </c>
      <c r="F2204" s="2" t="s">
        <v>2722</v>
      </c>
    </row>
    <row r="2205" spans="1:6">
      <c r="A2205" s="56">
        <v>2238</v>
      </c>
      <c r="B2205" s="1" t="s">
        <v>2723</v>
      </c>
      <c r="C2205" s="1">
        <v>6</v>
      </c>
      <c r="D2205" s="1">
        <v>0</v>
      </c>
      <c r="F2205" s="2" t="s">
        <v>2724</v>
      </c>
    </row>
    <row r="2206" spans="1:6">
      <c r="A2206" s="56">
        <v>2239</v>
      </c>
      <c r="B2206" s="1" t="s">
        <v>2725</v>
      </c>
      <c r="C2206" s="1">
        <v>4</v>
      </c>
      <c r="D2206" s="1">
        <v>0</v>
      </c>
      <c r="F2206" s="2" t="s">
        <v>2726</v>
      </c>
    </row>
    <row r="2207" spans="1:6">
      <c r="A2207" s="56">
        <v>2240</v>
      </c>
      <c r="B2207" s="1" t="s">
        <v>2727</v>
      </c>
      <c r="C2207" s="1">
        <v>4</v>
      </c>
      <c r="D2207" s="1">
        <v>0</v>
      </c>
      <c r="F2207" s="2" t="s">
        <v>2728</v>
      </c>
    </row>
    <row r="2208" spans="1:6">
      <c r="A2208" s="56">
        <v>2241</v>
      </c>
      <c r="B2208" s="1" t="s">
        <v>2729</v>
      </c>
      <c r="C2208" s="1">
        <v>4</v>
      </c>
      <c r="D2208" s="1">
        <v>0</v>
      </c>
      <c r="F2208" s="2" t="s">
        <v>2730</v>
      </c>
    </row>
    <row r="2209" spans="1:6">
      <c r="A2209" s="56">
        <v>2242</v>
      </c>
      <c r="B2209" s="1" t="s">
        <v>2731</v>
      </c>
      <c r="C2209" s="1">
        <v>3</v>
      </c>
      <c r="D2209" s="1">
        <v>0</v>
      </c>
      <c r="F2209" s="2" t="s">
        <v>2732</v>
      </c>
    </row>
    <row r="2210" spans="1:6">
      <c r="A2210" s="56">
        <v>2243</v>
      </c>
      <c r="B2210" s="1" t="s">
        <v>2733</v>
      </c>
      <c r="C2210" s="1">
        <v>3</v>
      </c>
      <c r="D2210" s="1">
        <v>0</v>
      </c>
      <c r="F2210" s="2" t="s">
        <v>2732</v>
      </c>
    </row>
    <row r="2211" spans="1:6">
      <c r="A2211" s="56">
        <v>2244</v>
      </c>
      <c r="B2211" s="1" t="s">
        <v>2734</v>
      </c>
      <c r="C2211" s="1">
        <v>3</v>
      </c>
      <c r="D2211" s="1">
        <v>0</v>
      </c>
      <c r="F2211" s="2" t="s">
        <v>2732</v>
      </c>
    </row>
    <row r="2212" spans="1:6">
      <c r="A2212" s="56">
        <v>2245</v>
      </c>
      <c r="B2212" s="1" t="s">
        <v>2735</v>
      </c>
      <c r="C2212" s="1">
        <v>3</v>
      </c>
      <c r="D2212" s="1">
        <v>0</v>
      </c>
      <c r="F2212" s="2" t="s">
        <v>2736</v>
      </c>
    </row>
    <row r="2213" spans="1:6">
      <c r="A2213" s="56">
        <v>2246</v>
      </c>
      <c r="B2213" s="1" t="s">
        <v>2737</v>
      </c>
      <c r="C2213" s="1">
        <v>3</v>
      </c>
      <c r="D2213" s="1">
        <v>0</v>
      </c>
      <c r="F2213" s="2" t="s">
        <v>2736</v>
      </c>
    </row>
    <row r="2214" spans="1:6">
      <c r="A2214" s="56">
        <v>2247</v>
      </c>
      <c r="B2214" s="1" t="s">
        <v>2738</v>
      </c>
      <c r="C2214" s="1">
        <v>3</v>
      </c>
      <c r="D2214" s="1">
        <v>0</v>
      </c>
      <c r="F2214" s="2" t="s">
        <v>2736</v>
      </c>
    </row>
    <row r="2215" spans="1:6">
      <c r="A2215" s="56">
        <v>2248</v>
      </c>
      <c r="B2215" s="1" t="s">
        <v>2739</v>
      </c>
      <c r="C2215" s="1">
        <v>3</v>
      </c>
      <c r="D2215" s="1">
        <v>0</v>
      </c>
      <c r="F2215" s="2" t="s">
        <v>2740</v>
      </c>
    </row>
    <row r="2216" spans="1:6">
      <c r="A2216" s="56">
        <v>2249</v>
      </c>
      <c r="B2216" s="1" t="s">
        <v>2741</v>
      </c>
      <c r="C2216" s="1">
        <v>3</v>
      </c>
      <c r="D2216" s="1">
        <v>0</v>
      </c>
      <c r="F2216" s="2" t="s">
        <v>2740</v>
      </c>
    </row>
    <row r="2217" spans="1:6">
      <c r="A2217" s="56">
        <v>2250</v>
      </c>
      <c r="B2217" s="1" t="s">
        <v>2742</v>
      </c>
      <c r="C2217" s="1">
        <v>5</v>
      </c>
      <c r="D2217" s="1">
        <v>0</v>
      </c>
      <c r="F2217" s="2" t="s">
        <v>2743</v>
      </c>
    </row>
    <row r="2218" spans="1:6">
      <c r="A2218" s="56">
        <v>2251</v>
      </c>
      <c r="B2218" s="1" t="s">
        <v>2744</v>
      </c>
      <c r="C2218" s="1">
        <v>5</v>
      </c>
      <c r="D2218" s="1">
        <v>0</v>
      </c>
      <c r="F2218" s="2" t="s">
        <v>2743</v>
      </c>
    </row>
    <row r="2219" spans="1:6">
      <c r="A2219" s="56">
        <v>2252</v>
      </c>
      <c r="B2219" s="1" t="s">
        <v>2745</v>
      </c>
      <c r="C2219" s="1">
        <v>5</v>
      </c>
      <c r="D2219" s="1">
        <v>0</v>
      </c>
      <c r="F2219" s="2" t="s">
        <v>2743</v>
      </c>
    </row>
    <row r="2220" spans="1:6">
      <c r="A2220" s="56">
        <v>2253</v>
      </c>
      <c r="B2220" s="1" t="s">
        <v>2746</v>
      </c>
      <c r="C2220" s="1">
        <v>5</v>
      </c>
      <c r="D2220" s="1">
        <v>0</v>
      </c>
      <c r="F2220" s="2" t="s">
        <v>2747</v>
      </c>
    </row>
    <row r="2221" spans="1:6">
      <c r="A2221" s="56">
        <v>2254</v>
      </c>
      <c r="B2221" s="1" t="s">
        <v>2748</v>
      </c>
      <c r="C2221" s="1">
        <v>5</v>
      </c>
      <c r="D2221" s="1">
        <v>0</v>
      </c>
      <c r="F2221" s="2" t="s">
        <v>2747</v>
      </c>
    </row>
    <row r="2222" spans="1:6">
      <c r="A2222" s="56">
        <v>2255</v>
      </c>
      <c r="B2222" s="1" t="s">
        <v>2749</v>
      </c>
      <c r="C2222" s="1">
        <v>5</v>
      </c>
      <c r="D2222" s="1">
        <v>0</v>
      </c>
      <c r="F2222" s="2" t="s">
        <v>2750</v>
      </c>
    </row>
    <row r="2223" spans="1:6">
      <c r="A2223" s="56">
        <v>2256</v>
      </c>
      <c r="B2223" s="1" t="s">
        <v>2751</v>
      </c>
      <c r="C2223" s="1">
        <v>5</v>
      </c>
      <c r="D2223" s="1">
        <v>0</v>
      </c>
      <c r="F2223" s="2" t="s">
        <v>2750</v>
      </c>
    </row>
    <row r="2224" spans="1:6">
      <c r="A2224" s="56">
        <v>2257</v>
      </c>
      <c r="B2224" s="1" t="s">
        <v>2752</v>
      </c>
      <c r="C2224" s="1">
        <v>3</v>
      </c>
      <c r="D2224" s="1">
        <v>0</v>
      </c>
      <c r="F2224" s="2" t="s">
        <v>2753</v>
      </c>
    </row>
    <row r="2225" spans="1:6">
      <c r="A2225" s="56">
        <v>2258</v>
      </c>
      <c r="B2225" s="1" t="s">
        <v>2754</v>
      </c>
      <c r="C2225" s="1">
        <v>3</v>
      </c>
      <c r="D2225" s="1">
        <v>0</v>
      </c>
      <c r="F2225" s="2" t="s">
        <v>2755</v>
      </c>
    </row>
    <row r="2226" spans="1:6">
      <c r="A2226" s="56">
        <v>2259</v>
      </c>
      <c r="B2226" s="1" t="s">
        <v>2756</v>
      </c>
      <c r="C2226" s="1">
        <v>3</v>
      </c>
      <c r="D2226" s="1">
        <v>0</v>
      </c>
      <c r="F2226" s="2" t="s">
        <v>2755</v>
      </c>
    </row>
    <row r="2227" spans="1:6">
      <c r="A2227" s="56">
        <v>2260</v>
      </c>
      <c r="B2227" s="1" t="s">
        <v>2757</v>
      </c>
      <c r="C2227" s="1">
        <v>3</v>
      </c>
      <c r="D2227" s="1">
        <v>0</v>
      </c>
      <c r="F2227" s="2" t="s">
        <v>2758</v>
      </c>
    </row>
    <row r="2228" spans="1:6">
      <c r="A2228" s="56">
        <v>2261</v>
      </c>
      <c r="B2228" s="1" t="s">
        <v>2759</v>
      </c>
      <c r="C2228" s="1">
        <v>3</v>
      </c>
      <c r="D2228" s="1">
        <v>0</v>
      </c>
      <c r="F2228" s="2" t="s">
        <v>2760</v>
      </c>
    </row>
    <row r="2229" spans="1:6">
      <c r="A2229" s="56">
        <v>2262</v>
      </c>
      <c r="B2229" s="1" t="s">
        <v>2761</v>
      </c>
      <c r="C2229" s="1">
        <v>3</v>
      </c>
      <c r="D2229" s="1">
        <v>0</v>
      </c>
      <c r="F2229" s="2" t="s">
        <v>2760</v>
      </c>
    </row>
    <row r="2230" spans="1:6">
      <c r="A2230" s="56">
        <v>2263</v>
      </c>
      <c r="B2230" s="1" t="s">
        <v>2762</v>
      </c>
      <c r="C2230" s="1">
        <v>3</v>
      </c>
      <c r="D2230" s="1">
        <v>0</v>
      </c>
      <c r="F2230" s="2" t="s">
        <v>2763</v>
      </c>
    </row>
    <row r="2231" spans="1:6">
      <c r="A2231" s="56">
        <v>2264</v>
      </c>
      <c r="B2231" s="1" t="s">
        <v>2764</v>
      </c>
      <c r="C2231" s="1">
        <v>3</v>
      </c>
      <c r="D2231" s="1">
        <v>0</v>
      </c>
      <c r="F2231" s="2" t="s">
        <v>2765</v>
      </c>
    </row>
    <row r="2232" spans="1:6">
      <c r="A2232" s="56">
        <v>2265</v>
      </c>
      <c r="B2232" s="1" t="s">
        <v>2766</v>
      </c>
      <c r="C2232" s="1">
        <v>3</v>
      </c>
      <c r="D2232" s="1">
        <v>0</v>
      </c>
      <c r="F2232" s="2" t="s">
        <v>2765</v>
      </c>
    </row>
    <row r="2233" spans="1:6">
      <c r="A2233" s="56">
        <v>2266</v>
      </c>
      <c r="B2233" s="1" t="s">
        <v>2767</v>
      </c>
      <c r="C2233" s="1">
        <v>2</v>
      </c>
      <c r="D2233" s="1">
        <v>0</v>
      </c>
      <c r="F2233" s="2" t="s">
        <v>2768</v>
      </c>
    </row>
    <row r="2234" spans="1:6">
      <c r="A2234" s="56">
        <v>2267</v>
      </c>
      <c r="B2234" s="1" t="s">
        <v>2769</v>
      </c>
      <c r="C2234" s="1">
        <v>3</v>
      </c>
      <c r="D2234" s="1">
        <v>0</v>
      </c>
      <c r="F2234" s="2" t="s">
        <v>2768</v>
      </c>
    </row>
    <row r="2235" spans="1:6">
      <c r="A2235" s="56">
        <v>2268</v>
      </c>
      <c r="B2235" s="1" t="s">
        <v>2770</v>
      </c>
      <c r="C2235" s="1">
        <v>3</v>
      </c>
      <c r="D2235" s="1">
        <v>0</v>
      </c>
      <c r="F2235" s="2" t="s">
        <v>2771</v>
      </c>
    </row>
    <row r="2236" spans="1:6">
      <c r="A2236" s="56">
        <v>2269</v>
      </c>
      <c r="B2236" s="1" t="s">
        <v>2772</v>
      </c>
      <c r="C2236" s="1">
        <v>6</v>
      </c>
      <c r="D2236" s="1">
        <v>0</v>
      </c>
      <c r="F2236" s="2" t="s">
        <v>2773</v>
      </c>
    </row>
    <row r="2237" spans="1:6">
      <c r="A2237" s="56">
        <v>2270</v>
      </c>
      <c r="B2237" s="1" t="s">
        <v>2774</v>
      </c>
      <c r="C2237" s="1">
        <v>4</v>
      </c>
      <c r="D2237" s="1">
        <v>0</v>
      </c>
      <c r="F2237" s="2" t="s">
        <v>2775</v>
      </c>
    </row>
    <row r="2238" spans="1:6">
      <c r="A2238" s="56">
        <v>2271</v>
      </c>
      <c r="B2238" s="1" t="s">
        <v>2776</v>
      </c>
      <c r="C2238" s="1">
        <v>4</v>
      </c>
      <c r="D2238" s="1">
        <v>0</v>
      </c>
      <c r="F2238" s="2" t="s">
        <v>2777</v>
      </c>
    </row>
    <row r="2239" spans="1:6">
      <c r="A2239" s="56">
        <v>2272</v>
      </c>
      <c r="B2239" s="1" t="s">
        <v>2778</v>
      </c>
      <c r="C2239" s="1">
        <v>4</v>
      </c>
      <c r="D2239" s="1">
        <v>0</v>
      </c>
      <c r="F2239" s="2" t="s">
        <v>2777</v>
      </c>
    </row>
    <row r="2240" spans="1:6">
      <c r="A2240" s="56">
        <v>2273</v>
      </c>
      <c r="B2240" s="1" t="s">
        <v>2779</v>
      </c>
      <c r="C2240" s="1">
        <v>4</v>
      </c>
      <c r="D2240" s="1">
        <v>0</v>
      </c>
      <c r="F2240" s="2" t="s">
        <v>2777</v>
      </c>
    </row>
    <row r="2241" spans="1:6">
      <c r="A2241" s="56">
        <v>2274</v>
      </c>
      <c r="B2241" s="1" t="s">
        <v>2780</v>
      </c>
      <c r="C2241" s="1">
        <v>3</v>
      </c>
      <c r="D2241" s="1">
        <v>0</v>
      </c>
      <c r="F2241" s="2" t="s">
        <v>2781</v>
      </c>
    </row>
    <row r="2242" spans="1:6">
      <c r="A2242" s="56">
        <v>2275</v>
      </c>
      <c r="B2242" s="1" t="s">
        <v>2782</v>
      </c>
      <c r="C2242" s="1">
        <v>0</v>
      </c>
      <c r="D2242" s="1">
        <v>1</v>
      </c>
      <c r="F2242" s="2" t="s">
        <v>2783</v>
      </c>
    </row>
    <row r="2243" spans="1:6">
      <c r="A2243" s="56">
        <v>2276</v>
      </c>
      <c r="B2243" s="1" t="s">
        <v>2784</v>
      </c>
      <c r="C2243" s="1">
        <v>0</v>
      </c>
      <c r="D2243" s="1">
        <v>1</v>
      </c>
      <c r="F2243" s="2" t="s">
        <v>2785</v>
      </c>
    </row>
    <row r="2244" spans="1:6">
      <c r="A2244" s="56">
        <v>2277</v>
      </c>
      <c r="B2244" s="1" t="s">
        <v>2786</v>
      </c>
      <c r="C2244" s="1">
        <v>0</v>
      </c>
      <c r="D2244" s="1">
        <v>1</v>
      </c>
      <c r="F2244" s="2" t="s">
        <v>2787</v>
      </c>
    </row>
    <row r="2245" spans="1:6">
      <c r="A2245" s="56">
        <v>2278</v>
      </c>
      <c r="B2245" s="1" t="s">
        <v>2788</v>
      </c>
      <c r="C2245" s="1">
        <v>0</v>
      </c>
      <c r="D2245" s="1">
        <v>1</v>
      </c>
      <c r="F2245" s="2" t="s">
        <v>2789</v>
      </c>
    </row>
    <row r="2246" spans="1:6">
      <c r="A2246" s="56">
        <v>2279</v>
      </c>
      <c r="B2246" s="1" t="s">
        <v>2790</v>
      </c>
      <c r="C2246" s="1">
        <v>3</v>
      </c>
      <c r="D2246" s="1">
        <v>0</v>
      </c>
      <c r="F2246" s="2" t="s">
        <v>2791</v>
      </c>
    </row>
    <row r="2247" spans="1:4">
      <c r="A2247" s="56">
        <v>2280</v>
      </c>
      <c r="B2247" s="1" t="s">
        <v>2792</v>
      </c>
      <c r="C2247" s="1">
        <v>1</v>
      </c>
      <c r="D2247" s="1">
        <v>0</v>
      </c>
    </row>
    <row r="2248" spans="1:4">
      <c r="A2248" s="56">
        <v>2281</v>
      </c>
      <c r="B2248" s="1" t="s">
        <v>2793</v>
      </c>
      <c r="C2248" s="1">
        <v>1</v>
      </c>
      <c r="D2248" s="1">
        <v>0</v>
      </c>
    </row>
    <row r="2249" spans="1:4">
      <c r="A2249" s="56">
        <v>2282</v>
      </c>
      <c r="B2249" s="1" t="s">
        <v>2794</v>
      </c>
      <c r="C2249" s="1">
        <v>1</v>
      </c>
      <c r="D2249" s="1">
        <v>0</v>
      </c>
    </row>
    <row r="2250" spans="1:4">
      <c r="A2250" s="56">
        <v>2283</v>
      </c>
      <c r="B2250" s="1" t="s">
        <v>2795</v>
      </c>
      <c r="C2250" s="1">
        <v>1</v>
      </c>
      <c r="D2250" s="1">
        <v>0</v>
      </c>
    </row>
    <row r="2251" spans="1:4">
      <c r="A2251" s="56">
        <v>2284</v>
      </c>
      <c r="B2251" s="1" t="s">
        <v>2796</v>
      </c>
      <c r="C2251" s="1">
        <v>3.6</v>
      </c>
      <c r="D2251" s="1">
        <v>0</v>
      </c>
    </row>
    <row r="2252" spans="1:4">
      <c r="A2252" s="56">
        <v>2285</v>
      </c>
      <c r="B2252" s="1" t="s">
        <v>2797</v>
      </c>
      <c r="C2252" s="1">
        <v>1.3</v>
      </c>
      <c r="D2252" s="1">
        <v>0</v>
      </c>
    </row>
    <row r="2253" spans="1:4">
      <c r="A2253" s="56">
        <v>2286</v>
      </c>
      <c r="B2253" s="1" t="s">
        <v>2798</v>
      </c>
      <c r="C2253" s="1">
        <v>4</v>
      </c>
      <c r="D2253" s="1">
        <v>0</v>
      </c>
    </row>
    <row r="2254" spans="1:4">
      <c r="A2254" s="56">
        <v>2287</v>
      </c>
      <c r="B2254" s="1" t="s">
        <v>2799</v>
      </c>
      <c r="C2254" s="1">
        <v>0.6</v>
      </c>
      <c r="D2254" s="1">
        <v>0</v>
      </c>
    </row>
    <row r="2255" spans="1:4">
      <c r="A2255" s="56">
        <v>2288</v>
      </c>
      <c r="B2255" s="1" t="s">
        <v>2800</v>
      </c>
      <c r="C2255" s="1">
        <v>4</v>
      </c>
      <c r="D2255" s="1">
        <v>0</v>
      </c>
    </row>
    <row r="2256" spans="1:4">
      <c r="A2256" s="56">
        <v>2289</v>
      </c>
      <c r="B2256" s="1" t="s">
        <v>2801</v>
      </c>
      <c r="C2256" s="1">
        <v>1</v>
      </c>
      <c r="D2256" s="1">
        <v>0</v>
      </c>
    </row>
    <row r="2257" spans="1:4">
      <c r="A2257" s="56">
        <v>2290</v>
      </c>
      <c r="B2257" s="1" t="s">
        <v>2802</v>
      </c>
      <c r="C2257" s="1">
        <v>1.3</v>
      </c>
      <c r="D2257" s="1">
        <v>0</v>
      </c>
    </row>
    <row r="2258" spans="1:4">
      <c r="A2258" s="56">
        <v>2291</v>
      </c>
      <c r="B2258" s="1" t="s">
        <v>2803</v>
      </c>
      <c r="C2258" s="1">
        <v>4.7</v>
      </c>
      <c r="D2258" s="1">
        <v>0</v>
      </c>
    </row>
    <row r="2259" spans="1:4">
      <c r="A2259" s="56">
        <v>2292</v>
      </c>
      <c r="B2259" s="1" t="s">
        <v>2804</v>
      </c>
      <c r="C2259" s="1">
        <v>4.7</v>
      </c>
      <c r="D2259" s="1">
        <v>0</v>
      </c>
    </row>
    <row r="2260" spans="1:4">
      <c r="A2260" s="56">
        <v>2293</v>
      </c>
      <c r="B2260" s="1" t="s">
        <v>2805</v>
      </c>
      <c r="C2260" s="1">
        <v>1.5</v>
      </c>
      <c r="D2260" s="1">
        <v>0</v>
      </c>
    </row>
    <row r="2261" spans="1:4">
      <c r="A2261" s="56">
        <v>2294</v>
      </c>
      <c r="B2261" s="1" t="s">
        <v>2806</v>
      </c>
      <c r="C2261" s="1">
        <f>155/30</f>
        <v>5.16666666666667</v>
      </c>
      <c r="D2261" s="1">
        <v>0</v>
      </c>
    </row>
    <row r="2262" spans="1:4">
      <c r="A2262" s="56">
        <v>2295</v>
      </c>
      <c r="B2262" s="1" t="s">
        <v>2807</v>
      </c>
      <c r="C2262" s="1">
        <f>155/30</f>
        <v>5.16666666666667</v>
      </c>
      <c r="D2262" s="1">
        <v>0</v>
      </c>
    </row>
    <row r="2263" spans="1:4">
      <c r="A2263" s="56">
        <v>2296</v>
      </c>
      <c r="B2263" s="1" t="s">
        <v>2808</v>
      </c>
      <c r="C2263" s="1">
        <f t="shared" ref="C2263:C2266" si="9">280/30</f>
        <v>9.33333333333333</v>
      </c>
      <c r="D2263" s="1">
        <v>0</v>
      </c>
    </row>
    <row r="2264" spans="1:4">
      <c r="A2264" s="56">
        <v>2297</v>
      </c>
      <c r="B2264" s="1" t="s">
        <v>2809</v>
      </c>
      <c r="C2264" s="1">
        <f t="shared" si="9"/>
        <v>9.33333333333333</v>
      </c>
      <c r="D2264" s="1">
        <v>0</v>
      </c>
    </row>
    <row r="2265" spans="1:4">
      <c r="A2265" s="56">
        <v>2298</v>
      </c>
      <c r="B2265" s="1" t="s">
        <v>2810</v>
      </c>
      <c r="C2265" s="1">
        <f t="shared" si="9"/>
        <v>9.33333333333333</v>
      </c>
      <c r="D2265" s="1">
        <v>0</v>
      </c>
    </row>
    <row r="2266" spans="1:4">
      <c r="A2266" s="56">
        <v>2299</v>
      </c>
      <c r="B2266" s="1" t="s">
        <v>2811</v>
      </c>
      <c r="C2266" s="1">
        <f t="shared" si="9"/>
        <v>9.33333333333333</v>
      </c>
      <c r="D2266" s="1">
        <v>0</v>
      </c>
    </row>
    <row r="2267" spans="1:4">
      <c r="A2267" s="56">
        <v>2300</v>
      </c>
      <c r="B2267" s="1" t="s">
        <v>2812</v>
      </c>
      <c r="C2267" s="1">
        <f>200/30</f>
        <v>6.66666666666667</v>
      </c>
      <c r="D2267" s="1">
        <v>0</v>
      </c>
    </row>
    <row r="2268" spans="1:4">
      <c r="A2268" s="56">
        <v>2301</v>
      </c>
      <c r="B2268" s="1" t="s">
        <v>2813</v>
      </c>
      <c r="C2268" s="1">
        <f>200/30</f>
        <v>6.66666666666667</v>
      </c>
      <c r="D2268" s="1">
        <v>0</v>
      </c>
    </row>
    <row r="2269" spans="1:4">
      <c r="A2269" s="56">
        <v>2302</v>
      </c>
      <c r="B2269" s="1" t="s">
        <v>2814</v>
      </c>
      <c r="C2269" s="1">
        <v>4.8</v>
      </c>
      <c r="D2269" s="1">
        <v>0</v>
      </c>
    </row>
    <row r="2270" spans="1:6">
      <c r="A2270" s="56">
        <v>2303</v>
      </c>
      <c r="B2270" s="1" t="s">
        <v>2815</v>
      </c>
      <c r="C2270" s="1">
        <v>0</v>
      </c>
      <c r="D2270" s="1">
        <v>1</v>
      </c>
      <c r="F2270" s="2" t="s">
        <v>2791</v>
      </c>
    </row>
    <row r="2271" spans="1:4">
      <c r="A2271" s="56">
        <v>2304</v>
      </c>
      <c r="B2271" s="1" t="s">
        <v>2816</v>
      </c>
      <c r="C2271" s="1">
        <v>1.6</v>
      </c>
      <c r="D2271" s="1">
        <v>0</v>
      </c>
    </row>
    <row r="2272" spans="1:6">
      <c r="A2272" s="56">
        <v>2305</v>
      </c>
      <c r="B2272" s="1" t="s">
        <v>2817</v>
      </c>
      <c r="C2272" s="1">
        <v>1.5</v>
      </c>
      <c r="D2272" s="1">
        <v>0</v>
      </c>
      <c r="F2272" s="2" t="s">
        <v>2818</v>
      </c>
    </row>
    <row r="2273" spans="1:6">
      <c r="A2273" s="56">
        <v>2306</v>
      </c>
      <c r="B2273" s="1" t="s">
        <v>2819</v>
      </c>
      <c r="C2273" s="1">
        <v>1.55</v>
      </c>
      <c r="D2273" s="1">
        <v>0</v>
      </c>
      <c r="F2273" s="2" t="s">
        <v>2820</v>
      </c>
    </row>
    <row r="2274" spans="1:4">
      <c r="A2274" s="56">
        <v>2307</v>
      </c>
      <c r="B2274" s="1" t="s">
        <v>2821</v>
      </c>
      <c r="C2274" s="1">
        <v>1.4</v>
      </c>
      <c r="D2274" s="1">
        <v>0</v>
      </c>
    </row>
    <row r="2275" spans="1:4">
      <c r="A2275" s="56">
        <v>2308</v>
      </c>
      <c r="B2275" s="1" t="s">
        <v>2822</v>
      </c>
      <c r="C2275" s="1">
        <v>1.41</v>
      </c>
      <c r="D2275" s="1">
        <v>0</v>
      </c>
    </row>
    <row r="2276" spans="1:4">
      <c r="A2276" s="56">
        <v>2309</v>
      </c>
      <c r="B2276" s="1" t="s">
        <v>2823</v>
      </c>
      <c r="C2276" s="1">
        <v>3.1</v>
      </c>
      <c r="D2276" s="1">
        <v>0</v>
      </c>
    </row>
    <row r="2277" spans="1:4">
      <c r="A2277" s="56">
        <v>2310</v>
      </c>
      <c r="B2277" s="1" t="s">
        <v>2824</v>
      </c>
      <c r="C2277" s="1">
        <v>3.1</v>
      </c>
      <c r="D2277" s="1">
        <v>0</v>
      </c>
    </row>
    <row r="2278" spans="1:4">
      <c r="A2278" s="56">
        <v>2311</v>
      </c>
      <c r="B2278" s="1" t="s">
        <v>2825</v>
      </c>
      <c r="C2278" s="1">
        <v>1.41</v>
      </c>
      <c r="D2278" s="1">
        <v>0</v>
      </c>
    </row>
    <row r="2279" spans="1:6">
      <c r="A2279" s="56">
        <v>2312</v>
      </c>
      <c r="B2279" s="1" t="s">
        <v>2826</v>
      </c>
      <c r="C2279" s="1">
        <v>0</v>
      </c>
      <c r="D2279" s="1">
        <v>1</v>
      </c>
      <c r="F2279" s="2" t="s">
        <v>2827</v>
      </c>
    </row>
    <row r="2280" spans="1:6">
      <c r="A2280" s="56">
        <v>2313</v>
      </c>
      <c r="B2280" s="1" t="s">
        <v>2828</v>
      </c>
      <c r="C2280" s="1">
        <v>3</v>
      </c>
      <c r="D2280" s="1">
        <v>0</v>
      </c>
      <c r="F2280" s="2" t="s">
        <v>2829</v>
      </c>
    </row>
    <row r="2281" spans="1:6">
      <c r="A2281" s="56">
        <v>2314</v>
      </c>
      <c r="B2281" s="1" t="s">
        <v>2830</v>
      </c>
      <c r="C2281" s="1">
        <v>0</v>
      </c>
      <c r="D2281" s="1">
        <v>1</v>
      </c>
      <c r="F2281" s="2" t="s">
        <v>2831</v>
      </c>
    </row>
    <row r="2282" spans="1:6">
      <c r="A2282" s="56">
        <v>2315</v>
      </c>
      <c r="B2282" s="1" t="s">
        <v>2832</v>
      </c>
      <c r="C2282" s="1">
        <v>9.33333333333333</v>
      </c>
      <c r="D2282" s="1">
        <v>0</v>
      </c>
      <c r="F2282" s="2" t="s">
        <v>2833</v>
      </c>
    </row>
    <row r="2283" spans="1:6">
      <c r="A2283" s="56">
        <v>2316</v>
      </c>
      <c r="B2283" s="1" t="s">
        <v>2834</v>
      </c>
      <c r="C2283" s="1">
        <v>9.33333333333333</v>
      </c>
      <c r="D2283" s="1">
        <v>0</v>
      </c>
      <c r="F2283" s="2" t="s">
        <v>2835</v>
      </c>
    </row>
    <row r="2284" spans="1:6">
      <c r="A2284" s="56">
        <v>2317</v>
      </c>
      <c r="B2284" s="1" t="s">
        <v>2836</v>
      </c>
      <c r="C2284" s="1">
        <v>1.5</v>
      </c>
      <c r="D2284" s="1">
        <v>0</v>
      </c>
      <c r="F2284" s="2" t="s">
        <v>2837</v>
      </c>
    </row>
    <row r="2285" spans="1:6">
      <c r="A2285" s="56">
        <v>2318</v>
      </c>
      <c r="B2285" s="1" t="s">
        <v>2838</v>
      </c>
      <c r="C2285" s="1">
        <v>2.33333333333333</v>
      </c>
      <c r="D2285" s="1">
        <v>0</v>
      </c>
      <c r="F2285" s="2" t="s">
        <v>2839</v>
      </c>
    </row>
    <row r="2286" spans="1:6">
      <c r="A2286" s="56">
        <v>2319</v>
      </c>
      <c r="B2286" s="1" t="s">
        <v>2840</v>
      </c>
      <c r="C2286" s="1">
        <v>1.1</v>
      </c>
      <c r="D2286" s="1">
        <v>0</v>
      </c>
      <c r="F2286" s="2" t="s">
        <v>2841</v>
      </c>
    </row>
    <row r="2287" spans="1:6">
      <c r="A2287" s="56">
        <v>2320</v>
      </c>
      <c r="B2287" s="1" t="s">
        <v>2842</v>
      </c>
      <c r="C2287" s="1">
        <v>2.66666666666667</v>
      </c>
      <c r="D2287" s="1">
        <v>0</v>
      </c>
      <c r="F2287" s="2" t="s">
        <v>2843</v>
      </c>
    </row>
    <row r="2288" spans="1:6">
      <c r="A2288" s="56">
        <v>2321</v>
      </c>
      <c r="B2288" s="1" t="s">
        <v>2844</v>
      </c>
      <c r="C2288" s="1">
        <v>0.91</v>
      </c>
      <c r="D2288" s="1">
        <v>0</v>
      </c>
      <c r="F2288" s="2" t="s">
        <v>2845</v>
      </c>
    </row>
    <row r="2289" spans="1:6">
      <c r="A2289" s="56">
        <v>2322</v>
      </c>
      <c r="B2289" s="1" t="s">
        <v>2846</v>
      </c>
      <c r="C2289" s="1">
        <v>3.5</v>
      </c>
      <c r="D2289" s="1">
        <v>0</v>
      </c>
      <c r="F2289" s="2" t="s">
        <v>2847</v>
      </c>
    </row>
    <row r="2290" spans="1:6">
      <c r="A2290" s="56">
        <v>2323</v>
      </c>
      <c r="B2290" s="1" t="s">
        <v>2848</v>
      </c>
      <c r="C2290" s="1">
        <v>5</v>
      </c>
      <c r="D2290" s="1">
        <v>0</v>
      </c>
      <c r="F2290" s="2" t="s">
        <v>2849</v>
      </c>
    </row>
    <row r="2291" spans="1:6">
      <c r="A2291" s="56">
        <v>2324</v>
      </c>
      <c r="B2291" s="1" t="s">
        <v>2850</v>
      </c>
      <c r="C2291" s="1">
        <v>1.5</v>
      </c>
      <c r="D2291" s="1">
        <v>0</v>
      </c>
      <c r="F2291" s="2" t="s">
        <v>2851</v>
      </c>
    </row>
    <row r="2292" spans="1:6">
      <c r="A2292" s="56">
        <v>2325</v>
      </c>
      <c r="B2292" s="1" t="s">
        <v>2852</v>
      </c>
      <c r="C2292" s="1">
        <v>1.5</v>
      </c>
      <c r="D2292" s="1">
        <v>0</v>
      </c>
      <c r="F2292" s="2" t="s">
        <v>2853</v>
      </c>
    </row>
    <row r="2293" spans="1:6">
      <c r="A2293" s="56">
        <v>2326</v>
      </c>
      <c r="B2293" s="1" t="s">
        <v>2854</v>
      </c>
      <c r="C2293" s="1">
        <v>1.5</v>
      </c>
      <c r="D2293" s="1">
        <v>0</v>
      </c>
      <c r="F2293" s="2" t="s">
        <v>2855</v>
      </c>
    </row>
    <row r="2294" spans="1:6">
      <c r="A2294" s="56">
        <v>2327</v>
      </c>
      <c r="B2294" s="1" t="s">
        <v>2856</v>
      </c>
      <c r="C2294" s="1">
        <v>3</v>
      </c>
      <c r="D2294" s="1">
        <v>0</v>
      </c>
      <c r="F2294" s="2" t="s">
        <v>2857</v>
      </c>
    </row>
    <row r="2295" spans="1:6">
      <c r="A2295" s="56">
        <v>2328</v>
      </c>
      <c r="B2295" s="1" t="s">
        <v>2858</v>
      </c>
      <c r="C2295" s="1">
        <v>0</v>
      </c>
      <c r="D2295" s="1">
        <v>1</v>
      </c>
      <c r="F2295" s="2" t="s">
        <v>2859</v>
      </c>
    </row>
    <row r="2296" spans="1:6">
      <c r="A2296" s="56">
        <v>2329</v>
      </c>
      <c r="B2296" s="1" t="s">
        <v>2860</v>
      </c>
      <c r="C2296" s="1">
        <v>0</v>
      </c>
      <c r="D2296" s="1">
        <v>1</v>
      </c>
      <c r="F2296" s="2" t="s">
        <v>2861</v>
      </c>
    </row>
    <row r="2297" ht="17" customHeight="1" spans="1:6">
      <c r="A2297" s="56">
        <v>2330</v>
      </c>
      <c r="B2297" s="89" t="s">
        <v>2862</v>
      </c>
      <c r="C2297" s="1">
        <v>0</v>
      </c>
      <c r="D2297" s="1">
        <v>1</v>
      </c>
      <c r="F2297" s="2" t="s">
        <v>2861</v>
      </c>
    </row>
    <row r="2298" ht="17" customHeight="1" spans="1:6">
      <c r="A2298" s="56">
        <v>2331</v>
      </c>
      <c r="B2298" s="89" t="s">
        <v>2863</v>
      </c>
      <c r="C2298" s="1">
        <v>3</v>
      </c>
      <c r="D2298" s="1">
        <v>0</v>
      </c>
      <c r="F2298" s="2" t="s">
        <v>2864</v>
      </c>
    </row>
    <row r="2299" ht="17" customHeight="1" spans="1:4">
      <c r="A2299" s="56">
        <v>2332</v>
      </c>
      <c r="B2299" s="89" t="s">
        <v>2865</v>
      </c>
      <c r="C2299" s="1">
        <v>1</v>
      </c>
      <c r="D2299" s="1">
        <v>0</v>
      </c>
    </row>
    <row r="2300" ht="17" customHeight="1" spans="1:4">
      <c r="A2300" s="56">
        <v>2333</v>
      </c>
      <c r="B2300" s="89" t="s">
        <v>2866</v>
      </c>
      <c r="C2300" s="1">
        <v>1</v>
      </c>
      <c r="D2300" s="1">
        <v>0</v>
      </c>
    </row>
    <row r="2301" ht="17" customHeight="1" spans="1:4">
      <c r="A2301" s="56">
        <v>2334</v>
      </c>
      <c r="B2301" s="89" t="s">
        <v>2867</v>
      </c>
      <c r="C2301" s="1">
        <v>2.5</v>
      </c>
      <c r="D2301" s="1">
        <v>0</v>
      </c>
    </row>
    <row r="2302" ht="17" customHeight="1" spans="1:4">
      <c r="A2302" s="56">
        <v>2335</v>
      </c>
      <c r="B2302" s="89" t="s">
        <v>2868</v>
      </c>
      <c r="C2302" s="1">
        <v>1</v>
      </c>
      <c r="D2302" s="1">
        <v>0</v>
      </c>
    </row>
    <row r="2303" ht="17" customHeight="1" spans="1:4">
      <c r="A2303" s="56">
        <v>2336</v>
      </c>
      <c r="B2303" s="89" t="s">
        <v>2869</v>
      </c>
      <c r="C2303" s="1">
        <v>3</v>
      </c>
      <c r="D2303" s="1">
        <v>0</v>
      </c>
    </row>
    <row r="2304" ht="17" customHeight="1" spans="1:4">
      <c r="A2304" s="56">
        <v>2337</v>
      </c>
      <c r="B2304" s="89" t="s">
        <v>2870</v>
      </c>
      <c r="C2304" s="1">
        <v>1</v>
      </c>
      <c r="D2304" s="1">
        <v>0</v>
      </c>
    </row>
    <row r="2305" ht="17" customHeight="1" spans="1:4">
      <c r="A2305" s="56">
        <v>2338</v>
      </c>
      <c r="B2305" s="89" t="s">
        <v>2871</v>
      </c>
      <c r="C2305" s="1">
        <v>3.5</v>
      </c>
      <c r="D2305" s="1">
        <v>0</v>
      </c>
    </row>
    <row r="2306" ht="17" customHeight="1" spans="1:4">
      <c r="A2306" s="56">
        <v>2339</v>
      </c>
      <c r="B2306" s="89" t="s">
        <v>2872</v>
      </c>
      <c r="C2306" s="1">
        <v>3.5</v>
      </c>
      <c r="D2306" s="1">
        <v>0</v>
      </c>
    </row>
    <row r="2307" ht="17" customHeight="1" spans="1:4">
      <c r="A2307" s="56">
        <v>2340</v>
      </c>
      <c r="B2307" s="89" t="s">
        <v>2873</v>
      </c>
      <c r="C2307" s="1">
        <v>3.5</v>
      </c>
      <c r="D2307" s="1">
        <v>0</v>
      </c>
    </row>
    <row r="2308" ht="17" customHeight="1" spans="1:4">
      <c r="A2308" s="56">
        <v>2341</v>
      </c>
      <c r="B2308" s="89" t="s">
        <v>2874</v>
      </c>
      <c r="C2308" s="1">
        <v>3.5</v>
      </c>
      <c r="D2308" s="1">
        <v>0</v>
      </c>
    </row>
    <row r="2309" ht="17" customHeight="1" spans="1:4">
      <c r="A2309" s="56">
        <v>2342</v>
      </c>
      <c r="B2309" s="89" t="s">
        <v>2875</v>
      </c>
      <c r="C2309" s="1">
        <v>1</v>
      </c>
      <c r="D2309" s="1">
        <v>0</v>
      </c>
    </row>
    <row r="2310" ht="17" customHeight="1" spans="1:4">
      <c r="A2310" s="56">
        <v>2343</v>
      </c>
      <c r="B2310" s="89" t="s">
        <v>2876</v>
      </c>
      <c r="C2310" s="1">
        <v>3</v>
      </c>
      <c r="D2310" s="1">
        <v>0</v>
      </c>
    </row>
    <row r="2311" ht="17" customHeight="1" spans="1:4">
      <c r="A2311" s="56">
        <v>2344</v>
      </c>
      <c r="B2311" s="89" t="s">
        <v>2877</v>
      </c>
      <c r="C2311" s="1">
        <v>3</v>
      </c>
      <c r="D2311" s="1">
        <v>0</v>
      </c>
    </row>
    <row r="2312" ht="17" customHeight="1" spans="1:4">
      <c r="A2312" s="56">
        <v>2345</v>
      </c>
      <c r="B2312" s="89" t="s">
        <v>2878</v>
      </c>
      <c r="C2312" s="1">
        <v>3</v>
      </c>
      <c r="D2312" s="1">
        <v>0</v>
      </c>
    </row>
    <row r="2313" ht="17" customHeight="1" spans="1:4">
      <c r="A2313" s="56">
        <v>2346</v>
      </c>
      <c r="B2313" s="89" t="s">
        <v>2879</v>
      </c>
      <c r="C2313" s="1">
        <v>1</v>
      </c>
      <c r="D2313" s="1">
        <v>0</v>
      </c>
    </row>
    <row r="2314" ht="17" customHeight="1" spans="1:4">
      <c r="A2314" s="56">
        <v>2347</v>
      </c>
      <c r="B2314" s="89" t="s">
        <v>2880</v>
      </c>
      <c r="C2314" s="1">
        <f t="shared" ref="C2314:C2316" si="10">215/30</f>
        <v>7.16666666666667</v>
      </c>
      <c r="D2314" s="1">
        <v>0</v>
      </c>
    </row>
    <row r="2315" ht="17" customHeight="1" spans="1:4">
      <c r="A2315" s="56">
        <v>2348</v>
      </c>
      <c r="B2315" s="89" t="s">
        <v>2881</v>
      </c>
      <c r="C2315" s="1">
        <f t="shared" si="10"/>
        <v>7.16666666666667</v>
      </c>
      <c r="D2315" s="1">
        <v>0</v>
      </c>
    </row>
    <row r="2316" ht="17" customHeight="1" spans="1:4">
      <c r="A2316" s="56">
        <v>2349</v>
      </c>
      <c r="B2316" s="89" t="s">
        <v>2882</v>
      </c>
      <c r="C2316" s="1">
        <f t="shared" si="10"/>
        <v>7.16666666666667</v>
      </c>
      <c r="D2316" s="1">
        <v>0</v>
      </c>
    </row>
    <row r="2317" ht="17" customHeight="1" spans="1:4">
      <c r="A2317" s="56">
        <v>2350</v>
      </c>
      <c r="B2317" s="89" t="s">
        <v>2883</v>
      </c>
      <c r="C2317" s="1">
        <f>172/30</f>
        <v>5.73333333333333</v>
      </c>
      <c r="D2317" s="1">
        <v>0</v>
      </c>
    </row>
    <row r="2318" ht="17" customHeight="1" spans="1:4">
      <c r="A2318" s="56">
        <v>2351</v>
      </c>
      <c r="B2318" s="89" t="s">
        <v>2884</v>
      </c>
      <c r="C2318" s="1">
        <f>172/30</f>
        <v>5.73333333333333</v>
      </c>
      <c r="D2318" s="1">
        <v>0</v>
      </c>
    </row>
    <row r="2319" ht="17" customHeight="1" spans="1:4">
      <c r="A2319" s="56">
        <v>2352</v>
      </c>
      <c r="B2319" s="89" t="s">
        <v>2885</v>
      </c>
      <c r="C2319" s="1">
        <f t="shared" ref="C2319:C2321" si="11">260/30</f>
        <v>8.66666666666667</v>
      </c>
      <c r="D2319" s="1">
        <v>0</v>
      </c>
    </row>
    <row r="2320" ht="17" customHeight="1" spans="1:4">
      <c r="A2320" s="56">
        <v>2353</v>
      </c>
      <c r="B2320" s="89" t="s">
        <v>2886</v>
      </c>
      <c r="C2320" s="1">
        <f t="shared" si="11"/>
        <v>8.66666666666667</v>
      </c>
      <c r="D2320" s="1">
        <v>0</v>
      </c>
    </row>
    <row r="2321" ht="17" customHeight="1" spans="1:6">
      <c r="A2321" s="56">
        <v>2354</v>
      </c>
      <c r="B2321" s="89" t="s">
        <v>2887</v>
      </c>
      <c r="C2321" s="1">
        <f t="shared" si="11"/>
        <v>8.66666666666667</v>
      </c>
      <c r="D2321" s="1">
        <v>0</v>
      </c>
      <c r="F2321" s="2" t="s">
        <v>2864</v>
      </c>
    </row>
    <row r="2322" ht="17" customHeight="1" spans="1:6">
      <c r="A2322" s="56">
        <v>2355</v>
      </c>
      <c r="B2322" s="89" t="s">
        <v>2888</v>
      </c>
      <c r="C2322" s="1">
        <v>1.2</v>
      </c>
      <c r="D2322" s="1">
        <v>0</v>
      </c>
      <c r="F2322" s="2" t="s">
        <v>2889</v>
      </c>
    </row>
    <row r="2323" ht="17" customHeight="1" spans="1:6">
      <c r="A2323" s="56">
        <v>2356</v>
      </c>
      <c r="B2323" s="89" t="s">
        <v>2890</v>
      </c>
      <c r="C2323" s="1">
        <v>0</v>
      </c>
      <c r="D2323" s="1">
        <v>1</v>
      </c>
      <c r="F2323" s="2" t="s">
        <v>2891</v>
      </c>
    </row>
    <row r="2324" ht="17" customHeight="1" spans="1:6">
      <c r="A2324" s="56">
        <v>2357</v>
      </c>
      <c r="B2324" s="89" t="s">
        <v>2892</v>
      </c>
      <c r="C2324" s="1">
        <v>1.5</v>
      </c>
      <c r="D2324" s="1">
        <v>0</v>
      </c>
      <c r="F2324" s="2" t="s">
        <v>2893</v>
      </c>
    </row>
    <row r="2325" ht="17" customHeight="1" spans="1:6">
      <c r="A2325" s="56">
        <v>2358</v>
      </c>
      <c r="B2325" s="89" t="s">
        <v>2894</v>
      </c>
      <c r="C2325" s="1">
        <v>1.5</v>
      </c>
      <c r="D2325" s="1">
        <v>0</v>
      </c>
      <c r="F2325" s="2" t="s">
        <v>2895</v>
      </c>
    </row>
    <row r="2326" ht="17" customHeight="1" spans="1:6">
      <c r="A2326" s="56">
        <v>2359</v>
      </c>
      <c r="B2326" s="89" t="s">
        <v>2896</v>
      </c>
      <c r="C2326" s="1">
        <v>0</v>
      </c>
      <c r="D2326" s="1">
        <v>1</v>
      </c>
      <c r="F2326" s="2" t="s">
        <v>2897</v>
      </c>
    </row>
    <row r="2327" ht="17" customHeight="1" spans="1:6">
      <c r="A2327" s="56">
        <v>2360</v>
      </c>
      <c r="B2327" s="89" t="s">
        <v>2898</v>
      </c>
      <c r="C2327" s="1">
        <v>0</v>
      </c>
      <c r="D2327" s="1">
        <v>1</v>
      </c>
      <c r="F2327" s="2" t="s">
        <v>2899</v>
      </c>
    </row>
    <row r="2328" ht="17" customHeight="1" spans="1:6">
      <c r="A2328" s="56">
        <v>2361</v>
      </c>
      <c r="B2328" s="89" t="s">
        <v>2900</v>
      </c>
      <c r="C2328" s="1">
        <v>0</v>
      </c>
      <c r="D2328" s="1">
        <v>1</v>
      </c>
      <c r="F2328" s="2" t="s">
        <v>2901</v>
      </c>
    </row>
    <row r="2329" ht="17" customHeight="1" spans="1:6">
      <c r="A2329" s="56">
        <v>2362</v>
      </c>
      <c r="B2329" s="89" t="s">
        <v>2902</v>
      </c>
      <c r="C2329" s="1">
        <v>3.5</v>
      </c>
      <c r="D2329" s="1">
        <v>0</v>
      </c>
      <c r="F2329" s="2" t="s">
        <v>2903</v>
      </c>
    </row>
    <row r="2330" ht="17" customHeight="1" spans="1:6">
      <c r="A2330" s="56">
        <v>2363</v>
      </c>
      <c r="B2330" s="89" t="s">
        <v>2904</v>
      </c>
      <c r="C2330" s="1">
        <v>3.5</v>
      </c>
      <c r="D2330" s="1">
        <v>0</v>
      </c>
      <c r="F2330" s="2" t="s">
        <v>2903</v>
      </c>
    </row>
    <row r="2331" ht="17" customHeight="1" spans="1:6">
      <c r="A2331" s="56">
        <v>2364</v>
      </c>
      <c r="B2331" s="89" t="s">
        <v>2905</v>
      </c>
      <c r="C2331" s="1">
        <v>3.5</v>
      </c>
      <c r="D2331" s="1">
        <v>0</v>
      </c>
      <c r="F2331" s="2" t="s">
        <v>2903</v>
      </c>
    </row>
    <row r="2332" ht="17" customHeight="1" spans="1:6">
      <c r="A2332" s="56">
        <v>2365</v>
      </c>
      <c r="B2332" s="89" t="s">
        <v>2906</v>
      </c>
      <c r="C2332" s="1">
        <v>1</v>
      </c>
      <c r="D2332" s="1">
        <v>0</v>
      </c>
      <c r="F2332" s="2" t="s">
        <v>2903</v>
      </c>
    </row>
    <row r="2333" ht="17" customHeight="1" spans="1:6">
      <c r="A2333" s="56">
        <v>2366</v>
      </c>
      <c r="B2333" s="89" t="s">
        <v>2907</v>
      </c>
      <c r="C2333" s="1">
        <f>87/30</f>
        <v>2.9</v>
      </c>
      <c r="D2333" s="1">
        <v>0</v>
      </c>
      <c r="F2333" s="2" t="s">
        <v>2903</v>
      </c>
    </row>
    <row r="2334" ht="17" customHeight="1" spans="1:6">
      <c r="A2334" s="56">
        <v>2367</v>
      </c>
      <c r="B2334" s="89" t="s">
        <v>2908</v>
      </c>
      <c r="C2334" s="1">
        <v>1.2</v>
      </c>
      <c r="D2334" s="1">
        <v>0</v>
      </c>
      <c r="F2334" s="2" t="s">
        <v>2903</v>
      </c>
    </row>
    <row r="2335" ht="17" customHeight="1" spans="1:6">
      <c r="A2335" s="56">
        <v>2368</v>
      </c>
      <c r="B2335" s="89" t="s">
        <v>2909</v>
      </c>
      <c r="C2335" s="1">
        <v>4.4</v>
      </c>
      <c r="D2335" s="1">
        <v>0</v>
      </c>
      <c r="F2335" s="2" t="s">
        <v>2903</v>
      </c>
    </row>
    <row r="2336" ht="17" customHeight="1" spans="1:6">
      <c r="A2336" s="56">
        <v>2369</v>
      </c>
      <c r="B2336" s="89" t="s">
        <v>2910</v>
      </c>
      <c r="C2336" s="1">
        <v>1.3</v>
      </c>
      <c r="D2336" s="1">
        <v>0</v>
      </c>
      <c r="F2336" s="2" t="s">
        <v>2903</v>
      </c>
    </row>
    <row r="2337" ht="17" customHeight="1" spans="1:6">
      <c r="A2337" s="56">
        <v>2370</v>
      </c>
      <c r="B2337" s="89" t="s">
        <v>2911</v>
      </c>
      <c r="C2337" s="1">
        <v>1.3</v>
      </c>
      <c r="D2337" s="1">
        <v>0</v>
      </c>
      <c r="F2337" s="2" t="s">
        <v>2903</v>
      </c>
    </row>
    <row r="2338" ht="17" customHeight="1" spans="1:6">
      <c r="A2338" s="56">
        <v>2371</v>
      </c>
      <c r="B2338" s="89" t="s">
        <v>2912</v>
      </c>
      <c r="C2338" s="1">
        <v>4.4</v>
      </c>
      <c r="D2338" s="1">
        <v>0</v>
      </c>
      <c r="F2338" s="2" t="s">
        <v>2903</v>
      </c>
    </row>
    <row r="2339" ht="17" customHeight="1" spans="1:6">
      <c r="A2339" s="56">
        <v>2372</v>
      </c>
      <c r="B2339" s="89" t="s">
        <v>2913</v>
      </c>
      <c r="C2339" s="1">
        <v>4.4</v>
      </c>
      <c r="D2339" s="1">
        <v>0</v>
      </c>
      <c r="F2339" s="2" t="s">
        <v>2903</v>
      </c>
    </row>
    <row r="2340" ht="17" customHeight="1" spans="1:6">
      <c r="A2340" s="56">
        <v>2373</v>
      </c>
      <c r="B2340" s="89" t="s">
        <v>2914</v>
      </c>
      <c r="C2340" s="1">
        <v>4.4</v>
      </c>
      <c r="D2340" s="1">
        <v>0</v>
      </c>
      <c r="F2340" s="2" t="s">
        <v>2903</v>
      </c>
    </row>
    <row r="2341" ht="17" customHeight="1" spans="1:6">
      <c r="A2341" s="56">
        <v>2374</v>
      </c>
      <c r="B2341" s="89" t="s">
        <v>2915</v>
      </c>
      <c r="C2341" s="118">
        <v>4</v>
      </c>
      <c r="D2341" s="1">
        <v>0</v>
      </c>
      <c r="F2341" s="2" t="s">
        <v>2903</v>
      </c>
    </row>
    <row r="2342" ht="17" customHeight="1" spans="1:6">
      <c r="A2342" s="56">
        <v>2375</v>
      </c>
      <c r="B2342" s="89" t="s">
        <v>2916</v>
      </c>
      <c r="C2342" s="118">
        <v>4</v>
      </c>
      <c r="D2342" s="1">
        <v>0</v>
      </c>
      <c r="F2342" s="2" t="s">
        <v>2903</v>
      </c>
    </row>
    <row r="2343" ht="17" customHeight="1" spans="1:6">
      <c r="A2343" s="56">
        <v>2376</v>
      </c>
      <c r="B2343" s="89" t="s">
        <v>2917</v>
      </c>
      <c r="C2343" s="118">
        <v>4</v>
      </c>
      <c r="D2343" s="1">
        <v>0</v>
      </c>
      <c r="F2343" s="2" t="s">
        <v>2903</v>
      </c>
    </row>
    <row r="2344" ht="17" customHeight="1" spans="1:6">
      <c r="A2344" s="56">
        <v>2377</v>
      </c>
      <c r="B2344" s="89" t="s">
        <v>2918</v>
      </c>
      <c r="C2344" s="1">
        <v>1.3</v>
      </c>
      <c r="D2344" s="1">
        <v>0</v>
      </c>
      <c r="F2344" s="2" t="s">
        <v>2903</v>
      </c>
    </row>
    <row r="2345" ht="17" customHeight="1" spans="1:6">
      <c r="A2345" s="56">
        <v>2378</v>
      </c>
      <c r="B2345" s="89" t="s">
        <v>2919</v>
      </c>
      <c r="C2345" s="1">
        <v>4.5</v>
      </c>
      <c r="D2345" s="1">
        <v>0</v>
      </c>
      <c r="F2345" s="2" t="s">
        <v>2903</v>
      </c>
    </row>
    <row r="2346" ht="17" customHeight="1" spans="1:6">
      <c r="A2346" s="56">
        <v>2382</v>
      </c>
      <c r="B2346" s="89" t="s">
        <v>2920</v>
      </c>
      <c r="C2346" s="1">
        <v>1.5</v>
      </c>
      <c r="D2346" s="1">
        <v>0</v>
      </c>
      <c r="F2346" s="2" t="s">
        <v>2903</v>
      </c>
    </row>
    <row r="2347" ht="17" customHeight="1" spans="1:6">
      <c r="A2347" s="56">
        <v>2383</v>
      </c>
      <c r="B2347" s="89" t="s">
        <v>2921</v>
      </c>
      <c r="C2347" s="1">
        <f t="shared" ref="C2347:C2349" si="12">305/30</f>
        <v>10.1666666666667</v>
      </c>
      <c r="D2347" s="1">
        <v>0</v>
      </c>
      <c r="F2347" s="2" t="s">
        <v>2903</v>
      </c>
    </row>
    <row r="2348" ht="17" customHeight="1" spans="1:6">
      <c r="A2348" s="56">
        <v>2384</v>
      </c>
      <c r="B2348" s="89" t="s">
        <v>2922</v>
      </c>
      <c r="C2348" s="1">
        <f t="shared" si="12"/>
        <v>10.1666666666667</v>
      </c>
      <c r="D2348" s="1">
        <v>0</v>
      </c>
      <c r="F2348" s="2" t="s">
        <v>2903</v>
      </c>
    </row>
    <row r="2349" ht="17" customHeight="1" spans="1:6">
      <c r="A2349" s="56">
        <v>2385</v>
      </c>
      <c r="B2349" s="89" t="s">
        <v>2923</v>
      </c>
      <c r="C2349" s="1">
        <f t="shared" si="12"/>
        <v>10.1666666666667</v>
      </c>
      <c r="D2349" s="1">
        <v>0</v>
      </c>
      <c r="F2349" s="2" t="s">
        <v>2903</v>
      </c>
    </row>
    <row r="2350" ht="17" customHeight="1" spans="1:6">
      <c r="A2350" s="56">
        <v>2386</v>
      </c>
      <c r="B2350" s="89" t="s">
        <v>2924</v>
      </c>
      <c r="C2350" s="1">
        <f t="shared" ref="C2350:C2352" si="13">315/30</f>
        <v>10.5</v>
      </c>
      <c r="D2350" s="1">
        <v>0</v>
      </c>
      <c r="F2350" s="2" t="s">
        <v>2903</v>
      </c>
    </row>
    <row r="2351" ht="17" customHeight="1" spans="1:6">
      <c r="A2351" s="56">
        <v>2387</v>
      </c>
      <c r="B2351" s="89" t="s">
        <v>2925</v>
      </c>
      <c r="C2351" s="1">
        <f t="shared" si="13"/>
        <v>10.5</v>
      </c>
      <c r="D2351" s="1">
        <v>0</v>
      </c>
      <c r="F2351" s="2" t="s">
        <v>2903</v>
      </c>
    </row>
    <row r="2352" ht="17" customHeight="1" spans="1:6">
      <c r="A2352" s="56">
        <v>2388</v>
      </c>
      <c r="B2352" s="89" t="s">
        <v>2926</v>
      </c>
      <c r="C2352" s="1">
        <f t="shared" si="13"/>
        <v>10.5</v>
      </c>
      <c r="D2352" s="1">
        <v>0</v>
      </c>
      <c r="F2352" s="2" t="s">
        <v>2903</v>
      </c>
    </row>
    <row r="2353" ht="17" customHeight="1" spans="1:6">
      <c r="A2353" s="56">
        <v>2389</v>
      </c>
      <c r="B2353" s="89" t="s">
        <v>2927</v>
      </c>
      <c r="C2353" s="1">
        <f>303/30</f>
        <v>10.1</v>
      </c>
      <c r="D2353" s="1">
        <v>0</v>
      </c>
      <c r="F2353" s="2" t="s">
        <v>2903</v>
      </c>
    </row>
    <row r="2354" ht="17" customHeight="1" spans="1:6">
      <c r="A2354" s="56">
        <v>2390</v>
      </c>
      <c r="B2354" s="89" t="s">
        <v>2928</v>
      </c>
      <c r="C2354" s="1">
        <f>150/30</f>
        <v>5</v>
      </c>
      <c r="D2354" s="1">
        <v>0</v>
      </c>
      <c r="F2354" s="2" t="s">
        <v>2903</v>
      </c>
    </row>
    <row r="2355" ht="17" customHeight="1" spans="1:6">
      <c r="A2355" s="56">
        <v>2391</v>
      </c>
      <c r="B2355" s="89" t="s">
        <v>2929</v>
      </c>
      <c r="C2355" s="1">
        <v>0</v>
      </c>
      <c r="D2355" s="1">
        <v>1</v>
      </c>
      <c r="F2355" s="2" t="s">
        <v>2903</v>
      </c>
    </row>
    <row r="2356" ht="17" customHeight="1" spans="1:6">
      <c r="A2356" s="56">
        <v>2392</v>
      </c>
      <c r="B2356" s="89" t="s">
        <v>2930</v>
      </c>
      <c r="C2356" s="1">
        <v>3.2</v>
      </c>
      <c r="D2356" s="1">
        <v>0</v>
      </c>
      <c r="F2356" s="2" t="s">
        <v>2931</v>
      </c>
    </row>
    <row r="2357" ht="17" customHeight="1" spans="1:6">
      <c r="A2357" s="56">
        <v>2393</v>
      </c>
      <c r="B2357" s="89" t="s">
        <v>2932</v>
      </c>
      <c r="C2357" s="1">
        <v>1</v>
      </c>
      <c r="D2357" s="1">
        <v>0</v>
      </c>
      <c r="F2357" s="2" t="s">
        <v>2931</v>
      </c>
    </row>
    <row r="2358" ht="17" customHeight="1" spans="1:6">
      <c r="A2358" s="56">
        <v>2394</v>
      </c>
      <c r="B2358" s="89" t="s">
        <v>2933</v>
      </c>
      <c r="C2358" s="1">
        <v>2</v>
      </c>
      <c r="D2358" s="1">
        <v>0</v>
      </c>
      <c r="F2358" s="2" t="s">
        <v>2931</v>
      </c>
    </row>
    <row r="2359" ht="17" customHeight="1" spans="1:6">
      <c r="A2359" s="56">
        <v>2395</v>
      </c>
      <c r="B2359" s="89" t="s">
        <v>2934</v>
      </c>
      <c r="C2359" s="1">
        <v>6</v>
      </c>
      <c r="D2359" s="1">
        <v>0</v>
      </c>
      <c r="F2359" s="2" t="s">
        <v>2931</v>
      </c>
    </row>
    <row r="2360" ht="17" customHeight="1" spans="1:6">
      <c r="A2360" s="56">
        <v>2396</v>
      </c>
      <c r="B2360" s="89" t="s">
        <v>2935</v>
      </c>
      <c r="C2360" s="1">
        <v>6</v>
      </c>
      <c r="D2360" s="1">
        <v>0</v>
      </c>
      <c r="F2360" s="2" t="s">
        <v>2931</v>
      </c>
    </row>
    <row r="2361" ht="17" customHeight="1" spans="1:6">
      <c r="A2361" s="56">
        <v>2397</v>
      </c>
      <c r="B2361" s="89" t="s">
        <v>2936</v>
      </c>
      <c r="C2361" s="1">
        <v>1.3</v>
      </c>
      <c r="D2361" s="1">
        <v>0</v>
      </c>
      <c r="F2361" s="2" t="s">
        <v>2931</v>
      </c>
    </row>
    <row r="2362" ht="17" customHeight="1" spans="1:6">
      <c r="A2362" s="56">
        <v>2398</v>
      </c>
      <c r="B2362" s="89" t="s">
        <v>2937</v>
      </c>
      <c r="C2362" s="1">
        <v>5</v>
      </c>
      <c r="D2362" s="1">
        <v>0</v>
      </c>
      <c r="F2362" s="2" t="s">
        <v>2931</v>
      </c>
    </row>
    <row r="2363" ht="17" customHeight="1" spans="1:6">
      <c r="A2363" s="56">
        <v>2399</v>
      </c>
      <c r="B2363" s="89" t="s">
        <v>2938</v>
      </c>
      <c r="C2363" s="1">
        <v>5</v>
      </c>
      <c r="D2363" s="1">
        <v>0</v>
      </c>
      <c r="F2363" s="2" t="s">
        <v>2931</v>
      </c>
    </row>
    <row r="2364" ht="17" customHeight="1" spans="1:6">
      <c r="A2364" s="56">
        <v>2400</v>
      </c>
      <c r="B2364" s="89" t="s">
        <v>2939</v>
      </c>
      <c r="C2364" s="1">
        <v>2</v>
      </c>
      <c r="D2364" s="1">
        <v>0</v>
      </c>
      <c r="F2364" s="2" t="s">
        <v>2931</v>
      </c>
    </row>
    <row r="2365" ht="17" customHeight="1" spans="1:6">
      <c r="A2365" s="56">
        <v>2401</v>
      </c>
      <c r="B2365" s="89" t="s">
        <v>2940</v>
      </c>
      <c r="C2365" s="1">
        <v>5</v>
      </c>
      <c r="D2365" s="1">
        <v>0</v>
      </c>
      <c r="F2365" s="2" t="s">
        <v>2931</v>
      </c>
    </row>
    <row r="2366" ht="17" customHeight="1" spans="1:6">
      <c r="A2366" s="56">
        <v>2402</v>
      </c>
      <c r="B2366" s="89" t="s">
        <v>2941</v>
      </c>
      <c r="C2366" s="1">
        <v>5</v>
      </c>
      <c r="D2366" s="1">
        <v>0</v>
      </c>
      <c r="F2366" s="2" t="s">
        <v>2931</v>
      </c>
    </row>
    <row r="2367" ht="17" customHeight="1" spans="1:6">
      <c r="A2367" s="56">
        <v>2403</v>
      </c>
      <c r="B2367" s="89" t="s">
        <v>2942</v>
      </c>
      <c r="C2367" s="1">
        <v>5</v>
      </c>
      <c r="D2367" s="1">
        <v>0</v>
      </c>
      <c r="F2367" s="2" t="s">
        <v>2931</v>
      </c>
    </row>
    <row r="2368" ht="17" customHeight="1" spans="1:6">
      <c r="A2368" s="56">
        <v>2404</v>
      </c>
      <c r="B2368" s="89" t="s">
        <v>2943</v>
      </c>
      <c r="C2368" s="1">
        <v>5</v>
      </c>
      <c r="D2368" s="1">
        <v>0</v>
      </c>
      <c r="F2368" s="2" t="s">
        <v>2931</v>
      </c>
    </row>
    <row r="2369" ht="17" customHeight="1" spans="1:6">
      <c r="A2369" s="56">
        <v>2405</v>
      </c>
      <c r="B2369" s="89" t="s">
        <v>2944</v>
      </c>
      <c r="C2369" s="1">
        <v>1</v>
      </c>
      <c r="D2369" s="1">
        <v>0</v>
      </c>
      <c r="F2369" s="2" t="s">
        <v>2931</v>
      </c>
    </row>
    <row r="2370" ht="17" customHeight="1" spans="1:6">
      <c r="A2370" s="56">
        <v>2406</v>
      </c>
      <c r="B2370" s="89" t="s">
        <v>2945</v>
      </c>
      <c r="C2370" s="1">
        <v>5</v>
      </c>
      <c r="D2370" s="1">
        <v>0</v>
      </c>
      <c r="F2370" s="2" t="s">
        <v>2931</v>
      </c>
    </row>
    <row r="2371" ht="17" customHeight="1" spans="1:6">
      <c r="A2371" s="56">
        <v>2407</v>
      </c>
      <c r="B2371" s="89" t="s">
        <v>2946</v>
      </c>
      <c r="C2371" s="1">
        <v>5</v>
      </c>
      <c r="D2371" s="1">
        <v>0</v>
      </c>
      <c r="F2371" s="2" t="s">
        <v>2931</v>
      </c>
    </row>
    <row r="2372" ht="17" customHeight="1" spans="1:6">
      <c r="A2372" s="56">
        <v>2408</v>
      </c>
      <c r="B2372" s="89" t="s">
        <v>2947</v>
      </c>
      <c r="C2372" s="1">
        <v>1</v>
      </c>
      <c r="D2372" s="1">
        <v>0</v>
      </c>
      <c r="F2372" s="2" t="s">
        <v>2931</v>
      </c>
    </row>
    <row r="2373" ht="17" customHeight="1" spans="1:6">
      <c r="A2373" s="56">
        <v>2409</v>
      </c>
      <c r="B2373" s="89" t="s">
        <v>2948</v>
      </c>
      <c r="C2373" s="1">
        <f t="shared" ref="C2373:C2376" si="14">274/30</f>
        <v>9.13333333333333</v>
      </c>
      <c r="D2373" s="1">
        <v>0</v>
      </c>
      <c r="F2373" s="2" t="s">
        <v>2931</v>
      </c>
    </row>
    <row r="2374" ht="17" customHeight="1" spans="1:6">
      <c r="A2374" s="56">
        <v>2410</v>
      </c>
      <c r="B2374" s="89" t="s">
        <v>2949</v>
      </c>
      <c r="C2374" s="1">
        <f t="shared" si="14"/>
        <v>9.13333333333333</v>
      </c>
      <c r="D2374" s="1">
        <v>0</v>
      </c>
      <c r="F2374" s="2" t="s">
        <v>2931</v>
      </c>
    </row>
    <row r="2375" ht="17" customHeight="1" spans="1:6">
      <c r="A2375" s="56">
        <v>2411</v>
      </c>
      <c r="B2375" s="89" t="s">
        <v>2950</v>
      </c>
      <c r="C2375" s="1">
        <f t="shared" si="14"/>
        <v>9.13333333333333</v>
      </c>
      <c r="D2375" s="1">
        <v>0</v>
      </c>
      <c r="F2375" s="2" t="s">
        <v>2931</v>
      </c>
    </row>
    <row r="2376" ht="17" customHeight="1" spans="1:6">
      <c r="A2376" s="56">
        <v>2412</v>
      </c>
      <c r="B2376" s="89" t="s">
        <v>2951</v>
      </c>
      <c r="C2376" s="1">
        <f t="shared" si="14"/>
        <v>9.13333333333333</v>
      </c>
      <c r="D2376" s="1">
        <v>0</v>
      </c>
      <c r="F2376" s="2" t="s">
        <v>2931</v>
      </c>
    </row>
    <row r="2377" ht="17" customHeight="1" spans="1:6">
      <c r="A2377" s="56">
        <v>2413</v>
      </c>
      <c r="B2377" s="89" t="s">
        <v>2952</v>
      </c>
      <c r="C2377" s="1">
        <f>270/30</f>
        <v>9</v>
      </c>
      <c r="D2377" s="1">
        <v>0</v>
      </c>
      <c r="F2377" s="2" t="s">
        <v>2931</v>
      </c>
    </row>
    <row r="2378" ht="17" customHeight="1" spans="1:6">
      <c r="A2378" s="56">
        <v>2414</v>
      </c>
      <c r="B2378" s="89" t="s">
        <v>2953</v>
      </c>
      <c r="C2378" s="1">
        <f t="shared" ref="C2378:C2379" si="15">390/30</f>
        <v>13</v>
      </c>
      <c r="D2378" s="1">
        <v>0</v>
      </c>
      <c r="F2378" s="2" t="s">
        <v>2931</v>
      </c>
    </row>
    <row r="2379" ht="17" customHeight="1" spans="1:6">
      <c r="A2379" s="56">
        <v>2415</v>
      </c>
      <c r="B2379" s="89" t="s">
        <v>2954</v>
      </c>
      <c r="C2379" s="1">
        <f t="shared" si="15"/>
        <v>13</v>
      </c>
      <c r="D2379" s="1">
        <v>0</v>
      </c>
      <c r="F2379" s="2" t="s">
        <v>2931</v>
      </c>
    </row>
    <row r="2380" ht="17" customHeight="1" spans="1:6">
      <c r="A2380" s="56">
        <v>2416</v>
      </c>
      <c r="B2380" s="89" t="s">
        <v>2955</v>
      </c>
      <c r="C2380" s="1">
        <v>5</v>
      </c>
      <c r="D2380" s="1">
        <v>0</v>
      </c>
      <c r="F2380" s="2" t="s">
        <v>2931</v>
      </c>
    </row>
    <row r="2381" ht="17" customHeight="1" spans="1:6">
      <c r="A2381" s="56">
        <v>2417</v>
      </c>
      <c r="B2381" s="89" t="s">
        <v>2956</v>
      </c>
      <c r="C2381" s="1">
        <v>0</v>
      </c>
      <c r="D2381" s="1">
        <v>1</v>
      </c>
      <c r="F2381" s="2" t="s">
        <v>2931</v>
      </c>
    </row>
    <row r="2382" ht="17" customHeight="1" spans="1:6">
      <c r="A2382" s="56">
        <v>2418</v>
      </c>
      <c r="B2382" s="89" t="s">
        <v>2957</v>
      </c>
      <c r="C2382" s="1">
        <v>1</v>
      </c>
      <c r="D2382" s="1">
        <v>0</v>
      </c>
      <c r="F2382" s="2" t="s">
        <v>2931</v>
      </c>
    </row>
    <row r="2383" ht="17" customHeight="1" spans="1:6">
      <c r="A2383" s="56">
        <v>2419</v>
      </c>
      <c r="B2383" s="89" t="s">
        <v>2958</v>
      </c>
      <c r="C2383" s="1">
        <v>1</v>
      </c>
      <c r="D2383" s="1">
        <v>0</v>
      </c>
      <c r="F2383" s="2" t="s">
        <v>2931</v>
      </c>
    </row>
    <row r="2384" ht="17" customHeight="1" spans="1:6">
      <c r="A2384" s="56">
        <v>2420</v>
      </c>
      <c r="B2384" s="89" t="s">
        <v>2959</v>
      </c>
      <c r="C2384" s="1">
        <v>1.2</v>
      </c>
      <c r="D2384" s="1">
        <v>0</v>
      </c>
      <c r="F2384" s="2" t="s">
        <v>2931</v>
      </c>
    </row>
    <row r="2385" ht="17" customHeight="1" spans="1:6">
      <c r="A2385" s="56">
        <v>2421</v>
      </c>
      <c r="B2385" s="89" t="s">
        <v>2960</v>
      </c>
      <c r="C2385" s="1">
        <v>1.2</v>
      </c>
      <c r="D2385" s="1">
        <v>0</v>
      </c>
      <c r="F2385" s="2" t="s">
        <v>2931</v>
      </c>
    </row>
    <row r="2386" ht="17" customHeight="1" spans="1:6">
      <c r="A2386" s="56">
        <v>2422</v>
      </c>
      <c r="B2386" s="89" t="s">
        <v>2961</v>
      </c>
      <c r="C2386" s="1">
        <v>3</v>
      </c>
      <c r="D2386" s="1">
        <v>0</v>
      </c>
      <c r="F2386" s="2" t="s">
        <v>2962</v>
      </c>
    </row>
    <row r="2387" ht="17" customHeight="1" spans="1:6">
      <c r="A2387" s="56">
        <v>2423</v>
      </c>
      <c r="B2387" s="89" t="s">
        <v>2963</v>
      </c>
      <c r="C2387" s="1">
        <v>3</v>
      </c>
      <c r="D2387" s="1">
        <v>0</v>
      </c>
      <c r="F2387" s="2" t="s">
        <v>2964</v>
      </c>
    </row>
    <row r="2388" ht="17" customHeight="1" spans="1:6">
      <c r="A2388" s="56">
        <v>2424</v>
      </c>
      <c r="B2388" s="89" t="s">
        <v>2965</v>
      </c>
      <c r="C2388" s="1">
        <f>9-(211/30)</f>
        <v>1.96666666666667</v>
      </c>
      <c r="D2388" s="1">
        <v>0</v>
      </c>
      <c r="F2388" s="2" t="s">
        <v>2931</v>
      </c>
    </row>
    <row r="2389" ht="17" customHeight="1" spans="1:6">
      <c r="A2389" s="56">
        <v>2425</v>
      </c>
      <c r="B2389" s="89" t="s">
        <v>2966</v>
      </c>
      <c r="C2389" s="1">
        <v>1.2</v>
      </c>
      <c r="D2389" s="1">
        <v>0</v>
      </c>
      <c r="F2389" s="2" t="s">
        <v>2931</v>
      </c>
    </row>
    <row r="2390" ht="17" customHeight="1" spans="1:6">
      <c r="A2390" s="56">
        <v>2426</v>
      </c>
      <c r="B2390" s="89" t="s">
        <v>2967</v>
      </c>
      <c r="C2390" s="1">
        <v>3.2</v>
      </c>
      <c r="D2390" s="1">
        <v>0</v>
      </c>
      <c r="F2390" s="2" t="s">
        <v>2968</v>
      </c>
    </row>
    <row r="2391" ht="17" customHeight="1" spans="1:6">
      <c r="A2391" s="56">
        <v>2427</v>
      </c>
      <c r="B2391" s="89" t="s">
        <v>2969</v>
      </c>
      <c r="C2391" s="1">
        <v>1</v>
      </c>
      <c r="D2391" s="1">
        <v>0</v>
      </c>
      <c r="F2391" s="2" t="s">
        <v>2968</v>
      </c>
    </row>
    <row r="2392" ht="17" customHeight="1" spans="1:6">
      <c r="A2392" s="56">
        <v>2428</v>
      </c>
      <c r="B2392" s="89" t="s">
        <v>2970</v>
      </c>
      <c r="C2392" s="1">
        <v>2</v>
      </c>
      <c r="D2392" s="1">
        <v>0</v>
      </c>
      <c r="F2392" s="2" t="s">
        <v>2968</v>
      </c>
    </row>
    <row r="2393" ht="17" customHeight="1" spans="1:6">
      <c r="A2393" s="56">
        <v>2429</v>
      </c>
      <c r="B2393" s="89" t="s">
        <v>2971</v>
      </c>
      <c r="C2393" s="1">
        <v>4.7</v>
      </c>
      <c r="D2393" s="1">
        <v>0</v>
      </c>
      <c r="F2393" s="2" t="s">
        <v>2968</v>
      </c>
    </row>
    <row r="2394" ht="17" customHeight="1" spans="1:6">
      <c r="A2394" s="56">
        <v>2430</v>
      </c>
      <c r="B2394" s="89" t="s">
        <v>2972</v>
      </c>
      <c r="C2394" s="1">
        <v>4.7</v>
      </c>
      <c r="D2394" s="1">
        <v>0</v>
      </c>
      <c r="F2394" s="2" t="s">
        <v>2968</v>
      </c>
    </row>
    <row r="2395" ht="17" customHeight="1" spans="1:6">
      <c r="A2395" s="56">
        <v>2431</v>
      </c>
      <c r="B2395" s="89" t="s">
        <v>2973</v>
      </c>
      <c r="C2395" s="1">
        <v>2</v>
      </c>
      <c r="D2395" s="1">
        <v>0</v>
      </c>
      <c r="F2395" s="2" t="s">
        <v>2968</v>
      </c>
    </row>
    <row r="2396" ht="17" customHeight="1" spans="1:6">
      <c r="A2396" s="56">
        <v>2432</v>
      </c>
      <c r="B2396" s="89" t="s">
        <v>2974</v>
      </c>
      <c r="C2396" s="1">
        <v>4.7</v>
      </c>
      <c r="D2396" s="1">
        <v>0</v>
      </c>
      <c r="F2396" s="2" t="s">
        <v>2968</v>
      </c>
    </row>
    <row r="2397" ht="17" customHeight="1" spans="1:6">
      <c r="A2397" s="56">
        <v>2433</v>
      </c>
      <c r="B2397" s="89" t="s">
        <v>2975</v>
      </c>
      <c r="C2397" s="1">
        <v>4.7</v>
      </c>
      <c r="D2397" s="1">
        <v>0</v>
      </c>
      <c r="F2397" s="2" t="s">
        <v>2968</v>
      </c>
    </row>
    <row r="2398" ht="17" customHeight="1" spans="1:6">
      <c r="A2398" s="56">
        <v>2434</v>
      </c>
      <c r="B2398" s="89" t="s">
        <v>2976</v>
      </c>
      <c r="C2398" s="1">
        <v>3</v>
      </c>
      <c r="D2398" s="1">
        <v>0</v>
      </c>
      <c r="F2398" s="2" t="s">
        <v>2968</v>
      </c>
    </row>
    <row r="2399" ht="17" customHeight="1" spans="1:6">
      <c r="A2399" s="56">
        <v>2435</v>
      </c>
      <c r="B2399" s="89" t="s">
        <v>2977</v>
      </c>
      <c r="C2399" s="1">
        <v>1</v>
      </c>
      <c r="D2399" s="1">
        <v>0</v>
      </c>
      <c r="F2399" s="2" t="s">
        <v>2968</v>
      </c>
    </row>
    <row r="2400" ht="17" customHeight="1" spans="1:6">
      <c r="A2400" s="56">
        <v>2436</v>
      </c>
      <c r="B2400" s="89" t="s">
        <v>2978</v>
      </c>
      <c r="C2400" s="1">
        <v>1</v>
      </c>
      <c r="D2400" s="1">
        <v>0</v>
      </c>
      <c r="F2400" s="2" t="s">
        <v>2968</v>
      </c>
    </row>
    <row r="2401" ht="17" customHeight="1" spans="1:6">
      <c r="A2401" s="56">
        <v>2437</v>
      </c>
      <c r="B2401" s="89" t="s">
        <v>2979</v>
      </c>
      <c r="C2401" s="1">
        <v>3</v>
      </c>
      <c r="D2401" s="1">
        <v>0</v>
      </c>
      <c r="F2401" s="2" t="s">
        <v>2968</v>
      </c>
    </row>
    <row r="2402" ht="17" customHeight="1" spans="1:6">
      <c r="A2402" s="56">
        <v>2438</v>
      </c>
      <c r="B2402" s="89" t="s">
        <v>2980</v>
      </c>
      <c r="C2402" s="1">
        <v>0</v>
      </c>
      <c r="D2402" s="1">
        <v>1</v>
      </c>
      <c r="F2402" s="2" t="s">
        <v>2981</v>
      </c>
    </row>
    <row r="2403" ht="17" customHeight="1" spans="1:6">
      <c r="A2403" s="56">
        <v>2439</v>
      </c>
      <c r="B2403" s="89" t="s">
        <v>2982</v>
      </c>
      <c r="C2403" s="1">
        <v>0</v>
      </c>
      <c r="D2403" s="1">
        <v>1</v>
      </c>
      <c r="F2403" s="2" t="s">
        <v>2981</v>
      </c>
    </row>
    <row r="2404" ht="17" customHeight="1" spans="1:4">
      <c r="A2404" s="56">
        <v>2440</v>
      </c>
      <c r="B2404" s="89" t="s">
        <v>2983</v>
      </c>
      <c r="C2404" s="1">
        <v>1.3</v>
      </c>
      <c r="D2404" s="1">
        <v>0</v>
      </c>
    </row>
    <row r="2405" ht="17" customHeight="1" spans="1:4">
      <c r="A2405" s="56">
        <v>2441</v>
      </c>
      <c r="B2405" s="89" t="s">
        <v>2984</v>
      </c>
      <c r="C2405" s="1">
        <v>1.3</v>
      </c>
      <c r="D2405" s="1">
        <v>0</v>
      </c>
    </row>
    <row r="2406" ht="17" customHeight="1" spans="1:6">
      <c r="A2406" s="56">
        <v>2442</v>
      </c>
      <c r="B2406" s="89" t="s">
        <v>2985</v>
      </c>
      <c r="C2406" s="1">
        <f>117/30</f>
        <v>3.9</v>
      </c>
      <c r="D2406" s="1">
        <v>0</v>
      </c>
      <c r="F2406" s="2" t="s">
        <v>2986</v>
      </c>
    </row>
    <row r="2407" ht="17" customHeight="1" spans="1:4">
      <c r="A2407" s="56">
        <v>2443</v>
      </c>
      <c r="B2407" s="89" t="s">
        <v>2987</v>
      </c>
      <c r="C2407" s="1">
        <v>11</v>
      </c>
      <c r="D2407" s="1">
        <v>0</v>
      </c>
    </row>
    <row r="2408" ht="17" customHeight="1" spans="1:6">
      <c r="A2408" s="56">
        <v>2444</v>
      </c>
      <c r="B2408" s="89" t="s">
        <v>2988</v>
      </c>
      <c r="C2408" s="1">
        <v>1.3</v>
      </c>
      <c r="D2408" s="1">
        <v>0</v>
      </c>
      <c r="F2408" s="2" t="s">
        <v>2989</v>
      </c>
    </row>
    <row r="2409" ht="17" customHeight="1" spans="1:6">
      <c r="A2409" s="56">
        <v>2445</v>
      </c>
      <c r="B2409" s="89" t="s">
        <v>2990</v>
      </c>
      <c r="C2409" s="1">
        <v>2</v>
      </c>
      <c r="D2409" s="1">
        <v>0</v>
      </c>
      <c r="F2409" s="119" t="s">
        <v>2991</v>
      </c>
    </row>
    <row r="2410" ht="17" customHeight="1" spans="1:6">
      <c r="A2410" s="56">
        <v>2446</v>
      </c>
      <c r="B2410" s="89" t="s">
        <v>2992</v>
      </c>
      <c r="C2410" s="1">
        <v>1.4</v>
      </c>
      <c r="D2410" s="1">
        <v>0</v>
      </c>
      <c r="F2410" s="119"/>
    </row>
    <row r="2411" ht="17" customHeight="1" spans="1:6">
      <c r="A2411" s="56">
        <v>2447</v>
      </c>
      <c r="B2411" s="89" t="s">
        <v>2993</v>
      </c>
      <c r="C2411" s="1">
        <v>1.4</v>
      </c>
      <c r="D2411" s="1">
        <v>0</v>
      </c>
      <c r="F2411" s="119"/>
    </row>
    <row r="2412" ht="17" customHeight="1" spans="1:6">
      <c r="A2412" s="56">
        <v>2448</v>
      </c>
      <c r="B2412" s="89" t="s">
        <v>2994</v>
      </c>
      <c r="C2412" s="1">
        <v>2</v>
      </c>
      <c r="D2412" s="1">
        <v>0</v>
      </c>
      <c r="F2412" s="119"/>
    </row>
    <row r="2413" ht="17" customHeight="1" spans="1:6">
      <c r="A2413" s="56">
        <v>2449</v>
      </c>
      <c r="B2413" s="89" t="s">
        <v>2995</v>
      </c>
      <c r="C2413" s="1">
        <v>0.3</v>
      </c>
      <c r="D2413" s="1">
        <v>0</v>
      </c>
      <c r="F2413" s="119"/>
    </row>
    <row r="2414" ht="17" customHeight="1" spans="1:6">
      <c r="A2414" s="56">
        <v>2450</v>
      </c>
      <c r="B2414" s="89" t="s">
        <v>2996</v>
      </c>
      <c r="C2414" s="1">
        <v>2.8</v>
      </c>
      <c r="D2414" s="1">
        <v>0</v>
      </c>
      <c r="F2414" s="119"/>
    </row>
    <row r="2415" ht="17" customHeight="1" spans="1:6">
      <c r="A2415" s="56">
        <v>2451</v>
      </c>
      <c r="B2415" s="89" t="s">
        <v>2997</v>
      </c>
      <c r="C2415" s="1">
        <v>1.85</v>
      </c>
      <c r="D2415" s="1">
        <v>0</v>
      </c>
      <c r="F2415" s="119"/>
    </row>
    <row r="2416" ht="17" customHeight="1" spans="1:6">
      <c r="A2416" s="56">
        <v>2452</v>
      </c>
      <c r="B2416" s="89" t="s">
        <v>2998</v>
      </c>
      <c r="C2416" s="1">
        <v>5.5</v>
      </c>
      <c r="D2416" s="1">
        <v>0</v>
      </c>
      <c r="F2416" s="119"/>
    </row>
    <row r="2417" ht="17" customHeight="1" spans="1:6">
      <c r="A2417" s="56">
        <v>2453</v>
      </c>
      <c r="B2417" s="89" t="s">
        <v>2999</v>
      </c>
      <c r="C2417" s="1">
        <v>3.5</v>
      </c>
      <c r="D2417" s="1">
        <v>0</v>
      </c>
      <c r="F2417" s="119"/>
    </row>
    <row r="2418" ht="17" customHeight="1" spans="1:6">
      <c r="A2418" s="56">
        <v>2454</v>
      </c>
      <c r="B2418" s="89" t="s">
        <v>3000</v>
      </c>
      <c r="C2418" s="1">
        <v>5.5</v>
      </c>
      <c r="D2418" s="1">
        <v>0</v>
      </c>
      <c r="F2418" s="119"/>
    </row>
    <row r="2419" ht="17" customHeight="1" spans="1:6">
      <c r="A2419" s="56">
        <v>2455</v>
      </c>
      <c r="B2419" s="89" t="s">
        <v>3001</v>
      </c>
      <c r="C2419" s="1">
        <v>4.5</v>
      </c>
      <c r="D2419" s="1">
        <v>0</v>
      </c>
      <c r="F2419" s="119"/>
    </row>
    <row r="2420" ht="17" customHeight="1" spans="1:6">
      <c r="A2420" s="56">
        <v>2456</v>
      </c>
      <c r="B2420" s="89" t="s">
        <v>3002</v>
      </c>
      <c r="C2420" s="1">
        <v>2.5</v>
      </c>
      <c r="D2420" s="1">
        <v>0</v>
      </c>
      <c r="F2420" s="119"/>
    </row>
    <row r="2421" ht="17" customHeight="1" spans="1:6">
      <c r="A2421" s="56">
        <v>2457</v>
      </c>
      <c r="B2421" s="89" t="s">
        <v>3003</v>
      </c>
      <c r="C2421" s="1">
        <v>3.5</v>
      </c>
      <c r="D2421" s="1">
        <v>0</v>
      </c>
      <c r="F2421" s="119"/>
    </row>
    <row r="2422" ht="17" customHeight="1" spans="1:6">
      <c r="A2422" s="56">
        <v>2458</v>
      </c>
      <c r="B2422" s="89" t="s">
        <v>3004</v>
      </c>
      <c r="C2422" s="1">
        <v>11.5</v>
      </c>
      <c r="D2422" s="1">
        <v>0</v>
      </c>
      <c r="F2422" s="119"/>
    </row>
    <row r="2423" ht="17" customHeight="1" spans="1:6">
      <c r="A2423" s="56">
        <v>2459</v>
      </c>
      <c r="B2423" s="89" t="s">
        <v>3005</v>
      </c>
      <c r="C2423" s="1">
        <v>10.3</v>
      </c>
      <c r="D2423" s="1">
        <v>0</v>
      </c>
      <c r="F2423" s="119"/>
    </row>
    <row r="2424" ht="17" customHeight="1" spans="1:6">
      <c r="A2424" s="56">
        <v>2460</v>
      </c>
      <c r="B2424" s="89" t="s">
        <v>3006</v>
      </c>
      <c r="C2424" s="1">
        <v>7</v>
      </c>
      <c r="D2424" s="1">
        <v>0</v>
      </c>
      <c r="F2424" s="119"/>
    </row>
    <row r="2425" ht="17" customHeight="1" spans="1:6">
      <c r="A2425" s="56">
        <v>2461</v>
      </c>
      <c r="B2425" s="89" t="s">
        <v>3007</v>
      </c>
      <c r="C2425" s="1">
        <v>7</v>
      </c>
      <c r="D2425" s="1">
        <v>0</v>
      </c>
      <c r="F2425" s="119" t="s">
        <v>2991</v>
      </c>
    </row>
    <row r="2426" ht="17" customHeight="1" spans="1:4">
      <c r="A2426" s="56">
        <v>2462</v>
      </c>
      <c r="B2426" s="89" t="s">
        <v>3008</v>
      </c>
      <c r="C2426" s="1">
        <v>1.3</v>
      </c>
      <c r="D2426" s="1">
        <v>0</v>
      </c>
    </row>
    <row r="2427" ht="17" customHeight="1" spans="1:6">
      <c r="A2427" s="56">
        <v>2463</v>
      </c>
      <c r="B2427" s="89" t="s">
        <v>3009</v>
      </c>
      <c r="C2427" s="1">
        <v>0</v>
      </c>
      <c r="D2427" s="1">
        <v>1</v>
      </c>
      <c r="F2427" s="2" t="s">
        <v>3010</v>
      </c>
    </row>
    <row r="2428" ht="17" customHeight="1" spans="1:6">
      <c r="A2428" s="56">
        <v>2464</v>
      </c>
      <c r="B2428" s="89" t="s">
        <v>3011</v>
      </c>
      <c r="C2428" s="1">
        <v>3</v>
      </c>
      <c r="D2428" s="1">
        <v>0</v>
      </c>
      <c r="F2428" s="2" t="s">
        <v>3012</v>
      </c>
    </row>
    <row r="2429" ht="17" customHeight="1" spans="1:6">
      <c r="A2429" s="56">
        <v>2465</v>
      </c>
      <c r="B2429" s="89" t="s">
        <v>3013</v>
      </c>
      <c r="C2429" s="1">
        <v>4.5</v>
      </c>
      <c r="D2429" s="1">
        <v>0</v>
      </c>
      <c r="F2429" s="2" t="s">
        <v>3014</v>
      </c>
    </row>
    <row r="2430" ht="17" customHeight="1" spans="1:6">
      <c r="A2430" s="56">
        <v>2466</v>
      </c>
      <c r="B2430" s="89" t="s">
        <v>3015</v>
      </c>
      <c r="C2430" s="1">
        <v>4.2</v>
      </c>
      <c r="D2430" s="1">
        <v>0</v>
      </c>
      <c r="F2430" s="2" t="s">
        <v>3016</v>
      </c>
    </row>
    <row r="2431" ht="17" customHeight="1" spans="1:6">
      <c r="A2431" s="56">
        <v>2467</v>
      </c>
      <c r="B2431" s="89" t="s">
        <v>3017</v>
      </c>
      <c r="C2431" s="1">
        <v>1</v>
      </c>
      <c r="D2431" s="1">
        <v>0</v>
      </c>
      <c r="F2431" s="2" t="s">
        <v>3016</v>
      </c>
    </row>
    <row r="2432" ht="17" customHeight="1" spans="1:6">
      <c r="A2432" s="56">
        <v>2468</v>
      </c>
      <c r="B2432" s="89" t="s">
        <v>3018</v>
      </c>
      <c r="C2432" s="1">
        <v>1</v>
      </c>
      <c r="D2432" s="1">
        <v>0</v>
      </c>
      <c r="F2432" s="2" t="s">
        <v>3016</v>
      </c>
    </row>
    <row r="2433" ht="17" customHeight="1" spans="1:6">
      <c r="A2433" s="56">
        <v>2469</v>
      </c>
      <c r="B2433" s="89" t="s">
        <v>3019</v>
      </c>
      <c r="C2433" s="1">
        <v>4.2</v>
      </c>
      <c r="D2433" s="1">
        <v>0</v>
      </c>
      <c r="F2433" s="2" t="s">
        <v>3016</v>
      </c>
    </row>
    <row r="2434" ht="17" customHeight="1" spans="1:6">
      <c r="A2434" s="56">
        <v>2470</v>
      </c>
      <c r="B2434" s="89" t="s">
        <v>3020</v>
      </c>
      <c r="C2434" s="1">
        <v>6</v>
      </c>
      <c r="D2434" s="1">
        <v>0</v>
      </c>
      <c r="F2434" s="2" t="s">
        <v>3016</v>
      </c>
    </row>
    <row r="2435" ht="17" customHeight="1" spans="1:6">
      <c r="A2435" s="56">
        <v>2471</v>
      </c>
      <c r="B2435" s="89" t="s">
        <v>3021</v>
      </c>
      <c r="C2435" s="1">
        <v>6</v>
      </c>
      <c r="D2435" s="1">
        <v>0</v>
      </c>
      <c r="F2435" s="2" t="s">
        <v>3016</v>
      </c>
    </row>
    <row r="2436" ht="17" customHeight="1" spans="1:6">
      <c r="A2436" s="56">
        <v>2472</v>
      </c>
      <c r="B2436" s="89" t="s">
        <v>3022</v>
      </c>
      <c r="C2436" s="1">
        <v>1</v>
      </c>
      <c r="D2436" s="1">
        <v>0</v>
      </c>
      <c r="F2436" s="2" t="s">
        <v>3016</v>
      </c>
    </row>
    <row r="2437" ht="17" customHeight="1" spans="1:6">
      <c r="A2437" s="56">
        <v>2473</v>
      </c>
      <c r="B2437" s="89" t="s">
        <v>3023</v>
      </c>
      <c r="C2437" s="1">
        <v>6</v>
      </c>
      <c r="D2437" s="1">
        <v>0</v>
      </c>
      <c r="F2437" s="2" t="s">
        <v>3016</v>
      </c>
    </row>
    <row r="2438" ht="17" customHeight="1" spans="1:6">
      <c r="A2438" s="56">
        <v>2474</v>
      </c>
      <c r="B2438" s="89" t="s">
        <v>3024</v>
      </c>
      <c r="C2438" s="1">
        <v>7</v>
      </c>
      <c r="D2438" s="1">
        <v>0</v>
      </c>
      <c r="F2438" s="2" t="s">
        <v>3016</v>
      </c>
    </row>
    <row r="2439" ht="17" customHeight="1" spans="1:6">
      <c r="A2439" s="56">
        <v>2475</v>
      </c>
      <c r="B2439" s="89" t="s">
        <v>3025</v>
      </c>
      <c r="C2439" s="1">
        <v>2.5</v>
      </c>
      <c r="D2439" s="1">
        <v>0</v>
      </c>
      <c r="F2439" s="2" t="s">
        <v>3016</v>
      </c>
    </row>
    <row r="2440" ht="17" customHeight="1" spans="1:6">
      <c r="A2440" s="56">
        <v>2476</v>
      </c>
      <c r="B2440" s="89" t="s">
        <v>3026</v>
      </c>
      <c r="C2440" s="1">
        <v>6</v>
      </c>
      <c r="D2440" s="1">
        <v>0</v>
      </c>
      <c r="F2440" s="2" t="s">
        <v>3016</v>
      </c>
    </row>
    <row r="2441" ht="17" customHeight="1" spans="1:6">
      <c r="A2441" s="56">
        <v>2477</v>
      </c>
      <c r="B2441" s="89" t="s">
        <v>3027</v>
      </c>
      <c r="C2441" s="1">
        <v>6</v>
      </c>
      <c r="D2441" s="1">
        <v>0</v>
      </c>
      <c r="F2441" s="2" t="s">
        <v>3016</v>
      </c>
    </row>
    <row r="2442" ht="17" customHeight="1" spans="1:6">
      <c r="A2442" s="56">
        <v>2478</v>
      </c>
      <c r="B2442" s="89" t="s">
        <v>3028</v>
      </c>
      <c r="C2442" s="1">
        <v>6</v>
      </c>
      <c r="D2442" s="1">
        <v>0</v>
      </c>
      <c r="F2442" s="2" t="s">
        <v>3016</v>
      </c>
    </row>
    <row r="2443" ht="17" customHeight="1" spans="1:6">
      <c r="A2443" s="56">
        <v>2479</v>
      </c>
      <c r="B2443" s="89" t="s">
        <v>3029</v>
      </c>
      <c r="C2443" s="1">
        <v>1</v>
      </c>
      <c r="D2443" s="1">
        <v>0</v>
      </c>
      <c r="F2443" s="2" t="s">
        <v>3016</v>
      </c>
    </row>
    <row r="2444" ht="17" customHeight="1" spans="1:6">
      <c r="A2444" s="56">
        <v>2480</v>
      </c>
      <c r="B2444" s="89" t="s">
        <v>3030</v>
      </c>
      <c r="C2444" s="1">
        <v>6</v>
      </c>
      <c r="D2444" s="1">
        <v>0</v>
      </c>
      <c r="F2444" s="2" t="s">
        <v>3016</v>
      </c>
    </row>
    <row r="2445" ht="17" customHeight="1" spans="1:6">
      <c r="A2445" s="56">
        <v>2481</v>
      </c>
      <c r="B2445" s="89" t="s">
        <v>3031</v>
      </c>
      <c r="C2445" s="1">
        <v>3</v>
      </c>
      <c r="D2445" s="1">
        <v>0</v>
      </c>
      <c r="F2445" s="2" t="s">
        <v>3016</v>
      </c>
    </row>
    <row r="2446" ht="17" customHeight="1" spans="1:6">
      <c r="A2446" s="56">
        <v>2482</v>
      </c>
      <c r="B2446" s="89" t="s">
        <v>3032</v>
      </c>
      <c r="C2446" s="1">
        <v>3</v>
      </c>
      <c r="D2446" s="1">
        <v>0</v>
      </c>
      <c r="F2446" s="2" t="s">
        <v>3016</v>
      </c>
    </row>
    <row r="2447" ht="17" customHeight="1" spans="1:6">
      <c r="A2447" s="56">
        <v>2483</v>
      </c>
      <c r="B2447" s="89" t="s">
        <v>3033</v>
      </c>
      <c r="C2447" s="1">
        <v>0</v>
      </c>
      <c r="D2447" s="1">
        <v>1</v>
      </c>
      <c r="F2447" s="2" t="s">
        <v>3016</v>
      </c>
    </row>
    <row r="2448" ht="17" customHeight="1" spans="1:6">
      <c r="A2448" s="56">
        <v>2484</v>
      </c>
      <c r="B2448" s="89" t="s">
        <v>3034</v>
      </c>
      <c r="C2448" s="1">
        <v>1</v>
      </c>
      <c r="D2448" s="1">
        <v>0</v>
      </c>
      <c r="F2448" s="2" t="s">
        <v>3016</v>
      </c>
    </row>
    <row r="2449" ht="17" customHeight="1" spans="1:6">
      <c r="A2449" s="56">
        <v>2485</v>
      </c>
      <c r="B2449" s="89" t="s">
        <v>3035</v>
      </c>
      <c r="C2449" s="1">
        <v>1</v>
      </c>
      <c r="D2449" s="1">
        <v>0</v>
      </c>
      <c r="F2449" s="2" t="s">
        <v>3016</v>
      </c>
    </row>
    <row r="2450" ht="17" customHeight="1" spans="1:6">
      <c r="A2450" s="56">
        <v>2486</v>
      </c>
      <c r="B2450" s="89" t="s">
        <v>3036</v>
      </c>
      <c r="C2450" s="1">
        <f t="shared" ref="C2450:C2451" si="16">250/30</f>
        <v>8.33333333333333</v>
      </c>
      <c r="D2450" s="1">
        <v>0</v>
      </c>
      <c r="F2450" s="2" t="s">
        <v>3016</v>
      </c>
    </row>
    <row r="2451" ht="17" customHeight="1" spans="1:6">
      <c r="A2451" s="56">
        <v>2487</v>
      </c>
      <c r="B2451" s="89" t="s">
        <v>3037</v>
      </c>
      <c r="C2451" s="1">
        <f t="shared" si="16"/>
        <v>8.33333333333333</v>
      </c>
      <c r="D2451" s="1">
        <v>0</v>
      </c>
      <c r="F2451" s="2" t="s">
        <v>3016</v>
      </c>
    </row>
    <row r="2452" ht="17" customHeight="1" spans="1:6">
      <c r="A2452" s="56">
        <v>2489</v>
      </c>
      <c r="B2452" s="89" t="s">
        <v>3038</v>
      </c>
      <c r="C2452" s="1">
        <v>3</v>
      </c>
      <c r="D2452" s="1">
        <v>0</v>
      </c>
      <c r="F2452" s="2" t="s">
        <v>3016</v>
      </c>
    </row>
    <row r="2453" ht="17" customHeight="1" spans="1:6">
      <c r="A2453" s="56">
        <v>2490</v>
      </c>
      <c r="B2453" s="89" t="s">
        <v>3039</v>
      </c>
      <c r="C2453" s="1">
        <f>361/30</f>
        <v>12.0333333333333</v>
      </c>
      <c r="D2453" s="1">
        <v>0</v>
      </c>
      <c r="F2453" s="2" t="s">
        <v>3016</v>
      </c>
    </row>
    <row r="2454" ht="17" customHeight="1" spans="1:6">
      <c r="A2454" s="56">
        <v>2492</v>
      </c>
      <c r="B2454" s="89" t="s">
        <v>3040</v>
      </c>
      <c r="C2454" s="1">
        <f>250/30</f>
        <v>8.33333333333333</v>
      </c>
      <c r="D2454" s="1">
        <v>0</v>
      </c>
      <c r="F2454" s="2" t="s">
        <v>3016</v>
      </c>
    </row>
    <row r="2455" ht="17" customHeight="1" spans="1:6">
      <c r="A2455" s="56">
        <v>2493</v>
      </c>
      <c r="B2455" s="89" t="s">
        <v>3041</v>
      </c>
      <c r="C2455" s="1">
        <v>4.5</v>
      </c>
      <c r="D2455" s="1">
        <v>0</v>
      </c>
      <c r="F2455" s="2" t="s">
        <v>3016</v>
      </c>
    </row>
    <row r="2456" ht="17" customHeight="1" spans="1:6">
      <c r="A2456" s="56">
        <v>2494</v>
      </c>
      <c r="B2456" s="89" t="s">
        <v>3042</v>
      </c>
      <c r="C2456" s="1">
        <v>5</v>
      </c>
      <c r="D2456" s="1">
        <v>0</v>
      </c>
      <c r="F2456" s="2" t="s">
        <v>3016</v>
      </c>
    </row>
    <row r="2457" ht="17" customHeight="1" spans="1:6">
      <c r="A2457" s="56">
        <v>2495</v>
      </c>
      <c r="B2457" s="89" t="s">
        <v>3043</v>
      </c>
      <c r="C2457" s="1">
        <v>0</v>
      </c>
      <c r="D2457" s="1">
        <v>1</v>
      </c>
      <c r="F2457" s="2" t="s">
        <v>3016</v>
      </c>
    </row>
    <row r="2458" ht="17" customHeight="1" spans="1:6">
      <c r="A2458" s="56">
        <v>2496</v>
      </c>
      <c r="B2458" s="89" t="s">
        <v>3044</v>
      </c>
      <c r="C2458" s="1">
        <v>0</v>
      </c>
      <c r="D2458" s="1">
        <v>1</v>
      </c>
      <c r="F2458" s="2" t="s">
        <v>3045</v>
      </c>
    </row>
    <row r="2459" ht="17" customHeight="1" spans="1:6">
      <c r="A2459" s="56">
        <v>2497</v>
      </c>
      <c r="B2459" s="89" t="s">
        <v>3046</v>
      </c>
      <c r="C2459" s="1">
        <v>0</v>
      </c>
      <c r="D2459" s="1">
        <v>1</v>
      </c>
      <c r="F2459" s="2" t="s">
        <v>3045</v>
      </c>
    </row>
    <row r="2460" ht="17" customHeight="1" spans="1:6">
      <c r="A2460" s="56">
        <v>2498</v>
      </c>
      <c r="B2460" s="89" t="s">
        <v>3047</v>
      </c>
      <c r="C2460" s="1">
        <v>0</v>
      </c>
      <c r="D2460" s="1">
        <v>1</v>
      </c>
      <c r="F2460" s="2" t="s">
        <v>3045</v>
      </c>
    </row>
    <row r="2461" ht="17" customHeight="1" spans="1:6">
      <c r="A2461" s="56">
        <v>2499</v>
      </c>
      <c r="B2461" s="89" t="s">
        <v>3048</v>
      </c>
      <c r="C2461" s="1">
        <f>313/30</f>
        <v>10.4333333333333</v>
      </c>
      <c r="D2461" s="1">
        <v>0</v>
      </c>
      <c r="F2461" s="2" t="s">
        <v>3016</v>
      </c>
    </row>
    <row r="2462" ht="17" customHeight="1" spans="1:6">
      <c r="A2462" s="56">
        <v>2500</v>
      </c>
      <c r="B2462" s="89" t="s">
        <v>3049</v>
      </c>
      <c r="C2462" s="1">
        <v>0</v>
      </c>
      <c r="D2462" s="1">
        <v>1</v>
      </c>
      <c r="F2462" s="2" t="s">
        <v>3050</v>
      </c>
    </row>
    <row r="2463" ht="17" customHeight="1" spans="1:6">
      <c r="A2463" s="56">
        <v>2501</v>
      </c>
      <c r="B2463" s="89" t="s">
        <v>3051</v>
      </c>
      <c r="C2463" s="1">
        <f>340/30</f>
        <v>11.3333333333333</v>
      </c>
      <c r="D2463" s="1">
        <v>0</v>
      </c>
      <c r="F2463" s="2" t="s">
        <v>3052</v>
      </c>
    </row>
    <row r="2464" ht="17" customHeight="1" spans="1:6">
      <c r="A2464" s="56">
        <v>2502</v>
      </c>
      <c r="B2464" s="89" t="s">
        <v>3053</v>
      </c>
      <c r="C2464" s="1">
        <f>92/30</f>
        <v>3.06666666666667</v>
      </c>
      <c r="D2464" s="1">
        <v>0</v>
      </c>
      <c r="F2464" s="2" t="s">
        <v>3054</v>
      </c>
    </row>
    <row r="2465" ht="17" customHeight="1" spans="1:6">
      <c r="A2465" s="56">
        <v>2503</v>
      </c>
      <c r="B2465" s="89" t="s">
        <v>3055</v>
      </c>
      <c r="C2465" s="1">
        <f>110/30</f>
        <v>3.66666666666667</v>
      </c>
      <c r="D2465" s="1">
        <v>0</v>
      </c>
      <c r="F2465" s="2" t="s">
        <v>3054</v>
      </c>
    </row>
    <row r="2466" ht="17" customHeight="1" spans="1:6">
      <c r="A2466" s="56">
        <v>2504</v>
      </c>
      <c r="B2466" s="89" t="s">
        <v>3056</v>
      </c>
      <c r="C2466" s="1">
        <f>84/30</f>
        <v>2.8</v>
      </c>
      <c r="D2466" s="1">
        <v>0</v>
      </c>
      <c r="F2466" s="2" t="s">
        <v>3054</v>
      </c>
    </row>
    <row r="2467" ht="17" customHeight="1" spans="1:6">
      <c r="A2467" s="56">
        <v>2505</v>
      </c>
      <c r="B2467" s="89" t="s">
        <v>3057</v>
      </c>
      <c r="C2467" s="1">
        <f>122/30</f>
        <v>4.06666666666667</v>
      </c>
      <c r="D2467" s="1">
        <v>0</v>
      </c>
      <c r="F2467" s="2" t="s">
        <v>3058</v>
      </c>
    </row>
    <row r="2468" ht="17" customHeight="1" spans="1:6">
      <c r="A2468" s="56">
        <v>2506</v>
      </c>
      <c r="B2468" s="89" t="s">
        <v>3059</v>
      </c>
      <c r="C2468" s="1">
        <v>2</v>
      </c>
      <c r="D2468" s="1">
        <v>0</v>
      </c>
      <c r="F2468" s="2" t="s">
        <v>3060</v>
      </c>
    </row>
    <row r="2469" ht="17" customHeight="1" spans="1:6">
      <c r="A2469" s="56">
        <v>2507</v>
      </c>
      <c r="B2469" s="89" t="s">
        <v>3061</v>
      </c>
      <c r="C2469" s="1">
        <v>0</v>
      </c>
      <c r="D2469" s="1">
        <v>1</v>
      </c>
      <c r="F2469" s="2" t="s">
        <v>3062</v>
      </c>
    </row>
    <row r="2470" ht="17" customHeight="1" spans="1:6">
      <c r="A2470" s="56">
        <v>2508</v>
      </c>
      <c r="B2470" s="89" t="s">
        <v>3063</v>
      </c>
      <c r="C2470" s="1">
        <v>1.5</v>
      </c>
      <c r="D2470" s="1">
        <v>0</v>
      </c>
      <c r="F2470" s="2" t="s">
        <v>3064</v>
      </c>
    </row>
    <row r="2471" ht="17" customHeight="1" spans="1:6">
      <c r="A2471" s="56">
        <v>2509</v>
      </c>
      <c r="B2471" s="89" t="s">
        <v>3065</v>
      </c>
      <c r="C2471" s="1">
        <v>0</v>
      </c>
      <c r="D2471" s="1">
        <v>1</v>
      </c>
      <c r="F2471" s="2" t="s">
        <v>3066</v>
      </c>
    </row>
    <row r="2472" ht="17" customHeight="1" spans="1:6">
      <c r="A2472" s="56">
        <v>2510</v>
      </c>
      <c r="B2472" s="89" t="s">
        <v>3067</v>
      </c>
      <c r="C2472" s="1">
        <v>3.5</v>
      </c>
      <c r="D2472" s="1">
        <v>0</v>
      </c>
      <c r="F2472" s="2" t="s">
        <v>3068</v>
      </c>
    </row>
    <row r="2473" ht="17" customHeight="1" spans="1:6">
      <c r="A2473" s="56">
        <v>2511</v>
      </c>
      <c r="B2473" s="89" t="s">
        <v>3069</v>
      </c>
      <c r="C2473" s="1">
        <f>109/30</f>
        <v>3.63333333333333</v>
      </c>
      <c r="D2473" s="1">
        <v>0</v>
      </c>
      <c r="F2473" s="2" t="s">
        <v>3070</v>
      </c>
    </row>
    <row r="2474" ht="17" customHeight="1" spans="1:6">
      <c r="A2474" s="56">
        <v>2512</v>
      </c>
      <c r="B2474" s="89" t="s">
        <v>3071</v>
      </c>
      <c r="C2474" s="1">
        <v>3.2</v>
      </c>
      <c r="D2474" s="1">
        <v>0</v>
      </c>
      <c r="F2474" s="2" t="s">
        <v>3072</v>
      </c>
    </row>
    <row r="2475" ht="17" customHeight="1" spans="1:6">
      <c r="A2475" s="56">
        <v>2513</v>
      </c>
      <c r="B2475" s="89" t="s">
        <v>3073</v>
      </c>
      <c r="C2475" s="1">
        <v>5.6</v>
      </c>
      <c r="D2475" s="1">
        <v>0</v>
      </c>
      <c r="F2475" s="2" t="s">
        <v>3074</v>
      </c>
    </row>
    <row r="2476" ht="17" customHeight="1" spans="1:6">
      <c r="A2476" s="56">
        <v>2514</v>
      </c>
      <c r="B2476" s="89" t="s">
        <v>3075</v>
      </c>
      <c r="C2476" s="1">
        <v>11.4</v>
      </c>
      <c r="D2476" s="1">
        <v>0</v>
      </c>
      <c r="F2476" s="2" t="s">
        <v>3076</v>
      </c>
    </row>
    <row r="2477" ht="17" customHeight="1" spans="1:6">
      <c r="A2477" s="56">
        <v>2515</v>
      </c>
      <c r="B2477" s="89" t="s">
        <v>3077</v>
      </c>
      <c r="C2477" s="1">
        <v>0</v>
      </c>
      <c r="D2477" s="1">
        <v>1</v>
      </c>
      <c r="F2477" s="2" t="s">
        <v>3078</v>
      </c>
    </row>
    <row r="2478" ht="17" customHeight="1" spans="1:6">
      <c r="A2478" s="56">
        <v>2516</v>
      </c>
      <c r="B2478" s="89" t="s">
        <v>3079</v>
      </c>
      <c r="C2478" s="1">
        <v>0</v>
      </c>
      <c r="D2478" s="1">
        <v>1</v>
      </c>
      <c r="F2478" s="2" t="s">
        <v>3080</v>
      </c>
    </row>
    <row r="2479" ht="17" customHeight="1" spans="1:6">
      <c r="A2479" s="56">
        <v>2517</v>
      </c>
      <c r="B2479" s="89" t="s">
        <v>3081</v>
      </c>
      <c r="C2479" s="1">
        <v>9.66666666666667</v>
      </c>
      <c r="D2479" s="1">
        <v>0</v>
      </c>
      <c r="F2479" s="2" t="s">
        <v>2286</v>
      </c>
    </row>
    <row r="2480" ht="17" customHeight="1" spans="1:6">
      <c r="A2480" s="56">
        <v>2518</v>
      </c>
      <c r="B2480" s="89" t="s">
        <v>3082</v>
      </c>
      <c r="C2480" s="1">
        <v>3.5</v>
      </c>
      <c r="D2480" s="1">
        <v>0</v>
      </c>
      <c r="F2480" s="2" t="s">
        <v>3083</v>
      </c>
    </row>
    <row r="2481" ht="17" customHeight="1" spans="1:6">
      <c r="A2481" s="56">
        <v>2519</v>
      </c>
      <c r="B2481" s="89" t="s">
        <v>3084</v>
      </c>
      <c r="C2481" s="1">
        <v>1.2</v>
      </c>
      <c r="D2481" s="1">
        <v>0</v>
      </c>
      <c r="F2481" s="2" t="s">
        <v>3083</v>
      </c>
    </row>
    <row r="2482" ht="17" customHeight="1" spans="1:6">
      <c r="A2482" s="56">
        <v>2520</v>
      </c>
      <c r="B2482" s="89" t="s">
        <v>3085</v>
      </c>
      <c r="C2482" s="1">
        <v>3.5</v>
      </c>
      <c r="D2482" s="1">
        <v>0</v>
      </c>
      <c r="F2482" s="2" t="s">
        <v>3083</v>
      </c>
    </row>
    <row r="2483" ht="17" customHeight="1" spans="1:6">
      <c r="A2483" s="56">
        <v>2521</v>
      </c>
      <c r="B2483" s="89" t="s">
        <v>3086</v>
      </c>
      <c r="C2483" s="1">
        <v>1.5</v>
      </c>
      <c r="D2483" s="1">
        <v>0</v>
      </c>
      <c r="F2483" s="2" t="s">
        <v>3083</v>
      </c>
    </row>
    <row r="2484" ht="17" customHeight="1" spans="1:6">
      <c r="A2484" s="56">
        <v>2522</v>
      </c>
      <c r="B2484" s="89" t="s">
        <v>3087</v>
      </c>
      <c r="C2484" s="1">
        <f t="shared" ref="C2484:C2486" si="17">198/30</f>
        <v>6.6</v>
      </c>
      <c r="D2484" s="1">
        <v>0</v>
      </c>
      <c r="F2484" s="2" t="s">
        <v>3083</v>
      </c>
    </row>
    <row r="2485" ht="17" customHeight="1" spans="1:6">
      <c r="A2485" s="56">
        <v>2523</v>
      </c>
      <c r="B2485" s="89" t="s">
        <v>3088</v>
      </c>
      <c r="C2485" s="1">
        <f t="shared" si="17"/>
        <v>6.6</v>
      </c>
      <c r="D2485" s="1">
        <v>0</v>
      </c>
      <c r="F2485" s="2" t="s">
        <v>3083</v>
      </c>
    </row>
    <row r="2486" ht="17" customHeight="1" spans="1:6">
      <c r="A2486" s="56">
        <v>2524</v>
      </c>
      <c r="B2486" s="89" t="s">
        <v>3089</v>
      </c>
      <c r="C2486" s="1">
        <f t="shared" si="17"/>
        <v>6.6</v>
      </c>
      <c r="D2486" s="1">
        <v>0</v>
      </c>
      <c r="F2486" s="2" t="s">
        <v>3083</v>
      </c>
    </row>
    <row r="2487" ht="17" customHeight="1" spans="1:6">
      <c r="A2487" s="56">
        <v>2525</v>
      </c>
      <c r="B2487" s="89" t="s">
        <v>3090</v>
      </c>
      <c r="C2487" s="1">
        <v>1.5</v>
      </c>
      <c r="D2487" s="1">
        <v>0</v>
      </c>
      <c r="F2487" s="2" t="s">
        <v>3083</v>
      </c>
    </row>
    <row r="2488" ht="17" customHeight="1" spans="1:6">
      <c r="A2488" s="56">
        <v>2526</v>
      </c>
      <c r="B2488" s="89" t="s">
        <v>3091</v>
      </c>
      <c r="C2488" s="1">
        <f>198/30</f>
        <v>6.6</v>
      </c>
      <c r="D2488" s="1">
        <v>0</v>
      </c>
      <c r="F2488" s="2" t="s">
        <v>3083</v>
      </c>
    </row>
    <row r="2489" ht="17" customHeight="1" spans="1:6">
      <c r="A2489" s="56">
        <v>2527</v>
      </c>
      <c r="B2489" s="89" t="s">
        <v>3092</v>
      </c>
      <c r="C2489" s="1">
        <f>198/30</f>
        <v>6.6</v>
      </c>
      <c r="D2489" s="1">
        <v>0</v>
      </c>
      <c r="F2489" s="2" t="s">
        <v>3083</v>
      </c>
    </row>
    <row r="2490" ht="17" customHeight="1" spans="1:6">
      <c r="A2490" s="56">
        <v>2528</v>
      </c>
      <c r="B2490" s="89" t="s">
        <v>3093</v>
      </c>
      <c r="C2490" s="1">
        <f>115/30</f>
        <v>3.83333333333333</v>
      </c>
      <c r="D2490" s="1">
        <v>0</v>
      </c>
      <c r="F2490" s="2" t="s">
        <v>3094</v>
      </c>
    </row>
    <row r="2491" ht="17" customHeight="1" spans="1:6">
      <c r="A2491" s="56">
        <v>2529</v>
      </c>
      <c r="B2491" s="89" t="s">
        <v>3095</v>
      </c>
      <c r="C2491" s="1">
        <f>75/30</f>
        <v>2.5</v>
      </c>
      <c r="D2491" s="1">
        <v>0</v>
      </c>
      <c r="F2491" s="2" t="s">
        <v>3094</v>
      </c>
    </row>
    <row r="2492" ht="17" customHeight="1" spans="1:6">
      <c r="A2492" s="56">
        <v>2530</v>
      </c>
      <c r="B2492" s="89" t="s">
        <v>3096</v>
      </c>
      <c r="C2492" s="1">
        <f>115/30</f>
        <v>3.83333333333333</v>
      </c>
      <c r="D2492" s="1">
        <v>0</v>
      </c>
      <c r="F2492" s="2" t="s">
        <v>3094</v>
      </c>
    </row>
    <row r="2493" ht="17" customHeight="1" spans="1:6">
      <c r="A2493" s="56">
        <v>2531</v>
      </c>
      <c r="B2493" s="89" t="s">
        <v>3097</v>
      </c>
      <c r="C2493" s="1">
        <v>3.5</v>
      </c>
      <c r="D2493" s="1">
        <v>0</v>
      </c>
      <c r="F2493" s="2" t="s">
        <v>3094</v>
      </c>
    </row>
    <row r="2494" ht="17" customHeight="1" spans="1:6">
      <c r="A2494" s="56">
        <v>2532</v>
      </c>
      <c r="B2494" s="89" t="s">
        <v>3098</v>
      </c>
      <c r="C2494" s="1">
        <v>2.5</v>
      </c>
      <c r="D2494" s="1">
        <v>0</v>
      </c>
      <c r="F2494" s="2" t="s">
        <v>3094</v>
      </c>
    </row>
    <row r="2495" ht="17" customHeight="1" spans="1:6">
      <c r="A2495" s="56">
        <v>2533</v>
      </c>
      <c r="B2495" s="89" t="s">
        <v>3099</v>
      </c>
      <c r="C2495" s="1">
        <v>3.5</v>
      </c>
      <c r="D2495" s="1">
        <v>0</v>
      </c>
      <c r="F2495" s="2" t="s">
        <v>3094</v>
      </c>
    </row>
    <row r="2496" ht="17" customHeight="1" spans="1:6">
      <c r="A2496" s="56">
        <v>2534</v>
      </c>
      <c r="B2496" s="89" t="s">
        <v>3100</v>
      </c>
      <c r="C2496" s="1">
        <f>70/30</f>
        <v>2.33333333333333</v>
      </c>
      <c r="D2496" s="1">
        <v>0</v>
      </c>
      <c r="F2496" s="2" t="s">
        <v>3101</v>
      </c>
    </row>
    <row r="2497" ht="17" customHeight="1" spans="1:6">
      <c r="A2497" s="56">
        <v>2535</v>
      </c>
      <c r="B2497" s="89" t="s">
        <v>3102</v>
      </c>
      <c r="C2497" s="1">
        <f>65/30</f>
        <v>2.16666666666667</v>
      </c>
      <c r="D2497" s="1">
        <v>0</v>
      </c>
      <c r="F2497" s="2" t="s">
        <v>3101</v>
      </c>
    </row>
    <row r="2498" ht="17" customHeight="1" spans="1:6">
      <c r="A2498" s="56">
        <v>2536</v>
      </c>
      <c r="B2498" s="89" t="s">
        <v>3103</v>
      </c>
      <c r="C2498" s="1">
        <f>100/30</f>
        <v>3.33333333333333</v>
      </c>
      <c r="D2498" s="1">
        <v>0</v>
      </c>
      <c r="F2498" s="2" t="s">
        <v>3101</v>
      </c>
    </row>
    <row r="2499" ht="17" customHeight="1" spans="1:6">
      <c r="A2499" s="56">
        <v>2537</v>
      </c>
      <c r="B2499" s="89" t="s">
        <v>3104</v>
      </c>
      <c r="C2499" s="1">
        <v>1.5</v>
      </c>
      <c r="D2499" s="1">
        <v>0</v>
      </c>
      <c r="F2499" s="2" t="s">
        <v>3101</v>
      </c>
    </row>
    <row r="2500" ht="17" customHeight="1" spans="1:6">
      <c r="A2500" s="56">
        <v>2538</v>
      </c>
      <c r="B2500" s="89" t="s">
        <v>3105</v>
      </c>
      <c r="C2500" s="1">
        <f>100/30</f>
        <v>3.33333333333333</v>
      </c>
      <c r="D2500" s="1">
        <v>0</v>
      </c>
      <c r="F2500" s="2" t="s">
        <v>3101</v>
      </c>
    </row>
    <row r="2501" ht="17" customHeight="1" spans="1:6">
      <c r="A2501" s="56">
        <v>2539</v>
      </c>
      <c r="B2501" s="89" t="s">
        <v>3106</v>
      </c>
      <c r="C2501" s="1">
        <f>150/30</f>
        <v>5</v>
      </c>
      <c r="D2501" s="1">
        <v>0</v>
      </c>
      <c r="F2501" s="2" t="s">
        <v>3101</v>
      </c>
    </row>
    <row r="2502" ht="17" customHeight="1" spans="1:6">
      <c r="A2502" s="56">
        <v>2540</v>
      </c>
      <c r="B2502" s="89" t="s">
        <v>3107</v>
      </c>
      <c r="C2502" s="1">
        <v>1.5</v>
      </c>
      <c r="D2502" s="1">
        <v>0</v>
      </c>
      <c r="F2502" s="2" t="s">
        <v>3101</v>
      </c>
    </row>
    <row r="2503" ht="17" customHeight="1" spans="1:6">
      <c r="A2503" s="56">
        <v>2541</v>
      </c>
      <c r="B2503" s="89" t="s">
        <v>3108</v>
      </c>
      <c r="C2503" s="1">
        <v>1.5</v>
      </c>
      <c r="D2503" s="1">
        <v>0</v>
      </c>
      <c r="F2503" s="2" t="s">
        <v>3101</v>
      </c>
    </row>
    <row r="2504" ht="17" customHeight="1" spans="1:6">
      <c r="A2504" s="56">
        <v>2542</v>
      </c>
      <c r="B2504" s="89" t="s">
        <v>3109</v>
      </c>
      <c r="C2504" s="1">
        <f>250/30</f>
        <v>8.33333333333333</v>
      </c>
      <c r="D2504" s="1">
        <v>0</v>
      </c>
      <c r="F2504" s="2" t="s">
        <v>3101</v>
      </c>
    </row>
    <row r="2505" ht="17" customHeight="1" spans="1:6">
      <c r="A2505" s="56">
        <v>2543</v>
      </c>
      <c r="B2505" s="89" t="s">
        <v>3110</v>
      </c>
      <c r="C2505" s="1">
        <v>2.5</v>
      </c>
      <c r="D2505" s="1">
        <v>0</v>
      </c>
      <c r="F2505" s="2" t="s">
        <v>3101</v>
      </c>
    </row>
    <row r="2506" ht="17" customHeight="1" spans="1:6">
      <c r="A2506" s="56">
        <v>2544</v>
      </c>
      <c r="B2506" s="89" t="s">
        <v>3111</v>
      </c>
      <c r="C2506" s="1">
        <v>2.5</v>
      </c>
      <c r="D2506" s="1">
        <v>0</v>
      </c>
      <c r="F2506" s="2" t="s">
        <v>3101</v>
      </c>
    </row>
    <row r="2507" ht="17" customHeight="1" spans="1:6">
      <c r="A2507" s="56">
        <v>2545</v>
      </c>
      <c r="B2507" s="89" t="s">
        <v>3112</v>
      </c>
      <c r="C2507" s="1">
        <v>2.5</v>
      </c>
      <c r="D2507" s="1">
        <v>0</v>
      </c>
      <c r="F2507" s="2" t="s">
        <v>3101</v>
      </c>
    </row>
    <row r="2508" ht="17" customHeight="1" spans="1:6">
      <c r="A2508" s="56">
        <v>2546</v>
      </c>
      <c r="B2508" s="89" t="s">
        <v>3113</v>
      </c>
      <c r="C2508" s="1">
        <v>0</v>
      </c>
      <c r="D2508" s="1">
        <v>1</v>
      </c>
      <c r="F2508" s="2" t="s">
        <v>3114</v>
      </c>
    </row>
    <row r="2509" ht="17" customHeight="1" spans="1:6">
      <c r="A2509" s="56">
        <v>2547</v>
      </c>
      <c r="B2509" s="89" t="s">
        <v>3115</v>
      </c>
      <c r="C2509" s="1">
        <v>0</v>
      </c>
      <c r="D2509" s="1">
        <v>1</v>
      </c>
      <c r="F2509" s="2" t="s">
        <v>3114</v>
      </c>
    </row>
    <row r="2510" ht="17" customHeight="1" spans="1:6">
      <c r="A2510" s="56">
        <v>2548</v>
      </c>
      <c r="B2510" s="89" t="s">
        <v>3116</v>
      </c>
      <c r="C2510" s="1">
        <v>0</v>
      </c>
      <c r="D2510" s="1">
        <v>1</v>
      </c>
      <c r="F2510" s="2" t="s">
        <v>3114</v>
      </c>
    </row>
    <row r="2511" ht="17" customHeight="1" spans="1:6">
      <c r="A2511" s="56">
        <v>2549</v>
      </c>
      <c r="B2511" s="89" t="s">
        <v>3117</v>
      </c>
      <c r="C2511" s="1">
        <v>0</v>
      </c>
      <c r="D2511" s="1">
        <v>1</v>
      </c>
      <c r="F2511" s="2" t="s">
        <v>3114</v>
      </c>
    </row>
    <row r="2512" ht="17" customHeight="1" spans="1:6">
      <c r="A2512" s="56">
        <v>2550</v>
      </c>
      <c r="B2512" s="89" t="s">
        <v>3118</v>
      </c>
      <c r="C2512" s="1">
        <v>0</v>
      </c>
      <c r="D2512" s="1">
        <v>1</v>
      </c>
      <c r="F2512" s="2" t="s">
        <v>3114</v>
      </c>
    </row>
    <row r="2513" ht="17" customHeight="1" spans="1:6">
      <c r="A2513" s="56">
        <v>2551</v>
      </c>
      <c r="B2513" s="89" t="s">
        <v>3119</v>
      </c>
      <c r="C2513" s="1">
        <v>0</v>
      </c>
      <c r="D2513" s="1">
        <v>1</v>
      </c>
      <c r="F2513" s="2" t="s">
        <v>3114</v>
      </c>
    </row>
    <row r="2514" ht="17" customHeight="1" spans="1:6">
      <c r="A2514" s="56">
        <v>2552</v>
      </c>
      <c r="B2514" s="89" t="s">
        <v>3120</v>
      </c>
      <c r="C2514" s="1">
        <v>0</v>
      </c>
      <c r="D2514" s="1">
        <v>1</v>
      </c>
      <c r="F2514" s="2" t="s">
        <v>3114</v>
      </c>
    </row>
    <row r="2515" ht="17" customHeight="1" spans="1:6">
      <c r="A2515" s="56">
        <v>2553</v>
      </c>
      <c r="B2515" s="89" t="s">
        <v>3121</v>
      </c>
      <c r="C2515" s="1">
        <v>0</v>
      </c>
      <c r="D2515" s="1">
        <v>1</v>
      </c>
      <c r="F2515" s="2" t="s">
        <v>3122</v>
      </c>
    </row>
    <row r="2516" ht="17" customHeight="1" spans="1:6">
      <c r="A2516" s="56">
        <v>2554</v>
      </c>
      <c r="B2516" s="89" t="s">
        <v>3123</v>
      </c>
      <c r="C2516" s="1">
        <v>0</v>
      </c>
      <c r="D2516" s="1">
        <v>1</v>
      </c>
      <c r="F2516" s="2" t="s">
        <v>3124</v>
      </c>
    </row>
    <row r="2517" ht="17" customHeight="1" spans="1:6">
      <c r="A2517" s="56">
        <v>2555</v>
      </c>
      <c r="B2517" s="89" t="s">
        <v>3125</v>
      </c>
      <c r="C2517" s="1">
        <v>0</v>
      </c>
      <c r="D2517" s="1">
        <v>1</v>
      </c>
      <c r="F2517" s="2" t="s">
        <v>3124</v>
      </c>
    </row>
    <row r="2518" ht="17" customHeight="1" spans="1:6">
      <c r="A2518" s="56">
        <v>2556</v>
      </c>
      <c r="B2518" s="89" t="s">
        <v>3126</v>
      </c>
      <c r="C2518" s="1">
        <v>0</v>
      </c>
      <c r="D2518" s="1">
        <v>1</v>
      </c>
      <c r="F2518" s="2" t="s">
        <v>3124</v>
      </c>
    </row>
    <row r="2519" ht="17" customHeight="1" spans="1:6">
      <c r="A2519" s="56">
        <v>2557</v>
      </c>
      <c r="B2519" s="89" t="s">
        <v>3127</v>
      </c>
      <c r="C2519" s="1">
        <v>0</v>
      </c>
      <c r="D2519" s="1">
        <v>1</v>
      </c>
      <c r="F2519" s="2" t="s">
        <v>3124</v>
      </c>
    </row>
    <row r="2520" ht="17" customHeight="1" spans="1:6">
      <c r="A2520" s="56">
        <v>2558</v>
      </c>
      <c r="B2520" s="89" t="s">
        <v>3128</v>
      </c>
      <c r="C2520" s="1">
        <v>6</v>
      </c>
      <c r="D2520" s="1">
        <v>0</v>
      </c>
      <c r="F2520" s="2" t="s">
        <v>3129</v>
      </c>
    </row>
    <row r="2521" ht="17" customHeight="1" spans="1:6">
      <c r="A2521" s="56">
        <v>2559</v>
      </c>
      <c r="B2521" s="89" t="s">
        <v>3130</v>
      </c>
      <c r="C2521" s="1">
        <f>280/30</f>
        <v>9.33333333333333</v>
      </c>
      <c r="D2521" s="1">
        <v>0</v>
      </c>
      <c r="F2521" s="2" t="s">
        <v>2968</v>
      </c>
    </row>
    <row r="2522" ht="17" customHeight="1" spans="1:6">
      <c r="A2522" s="56">
        <v>2560</v>
      </c>
      <c r="B2522" s="89" t="s">
        <v>3131</v>
      </c>
      <c r="C2522" s="1">
        <f>280/30</f>
        <v>9.33333333333333</v>
      </c>
      <c r="D2522" s="1">
        <v>0</v>
      </c>
      <c r="F2522" s="2" t="s">
        <v>2968</v>
      </c>
    </row>
    <row r="2523" ht="17" customHeight="1" spans="1:6">
      <c r="A2523" s="56">
        <v>2561</v>
      </c>
      <c r="B2523" s="89" t="s">
        <v>3132</v>
      </c>
      <c r="C2523" s="1">
        <f>280/30</f>
        <v>9.33333333333333</v>
      </c>
      <c r="D2523" s="1">
        <v>0</v>
      </c>
      <c r="F2523" s="2" t="s">
        <v>2968</v>
      </c>
    </row>
    <row r="2524" ht="17" customHeight="1" spans="1:6">
      <c r="A2524" s="56">
        <v>2562</v>
      </c>
      <c r="B2524" s="89" t="s">
        <v>3133</v>
      </c>
      <c r="C2524" s="1">
        <f>246/30</f>
        <v>8.2</v>
      </c>
      <c r="D2524" s="1">
        <v>0</v>
      </c>
      <c r="F2524" s="2" t="s">
        <v>2968</v>
      </c>
    </row>
    <row r="2525" ht="17" customHeight="1" spans="1:6">
      <c r="A2525" s="56">
        <v>2563</v>
      </c>
      <c r="B2525" s="89" t="s">
        <v>3134</v>
      </c>
      <c r="C2525" s="1">
        <v>4.5</v>
      </c>
      <c r="D2525" s="1">
        <v>0</v>
      </c>
      <c r="F2525" s="2" t="s">
        <v>2968</v>
      </c>
    </row>
    <row r="2526" ht="17" customHeight="1" spans="1:6">
      <c r="A2526" s="56">
        <v>2564</v>
      </c>
      <c r="B2526" s="89" t="s">
        <v>3135</v>
      </c>
      <c r="C2526" s="1">
        <v>1.5</v>
      </c>
      <c r="D2526" s="1">
        <v>0</v>
      </c>
      <c r="F2526" s="2" t="s">
        <v>2968</v>
      </c>
    </row>
    <row r="2527" ht="17" customHeight="1" spans="1:6">
      <c r="A2527" s="56">
        <v>2565</v>
      </c>
      <c r="B2527" s="89" t="s">
        <v>3136</v>
      </c>
      <c r="C2527" s="1">
        <f>138/30</f>
        <v>4.6</v>
      </c>
      <c r="D2527" s="1">
        <v>0</v>
      </c>
      <c r="F2527" s="2" t="s">
        <v>2968</v>
      </c>
    </row>
    <row r="2528" ht="17" customHeight="1" spans="1:6">
      <c r="A2528" s="56">
        <v>2566</v>
      </c>
      <c r="B2528" s="89" t="s">
        <v>3137</v>
      </c>
      <c r="C2528" s="1">
        <f>138/30</f>
        <v>4.6</v>
      </c>
      <c r="D2528" s="1">
        <v>0</v>
      </c>
      <c r="F2528" s="2" t="s">
        <v>2968</v>
      </c>
    </row>
    <row r="2529" ht="17" customHeight="1" spans="1:6">
      <c r="A2529" s="56">
        <v>2567</v>
      </c>
      <c r="B2529" s="89" t="s">
        <v>3138</v>
      </c>
      <c r="C2529" s="1">
        <f>138/30</f>
        <v>4.6</v>
      </c>
      <c r="D2529" s="1">
        <v>0</v>
      </c>
      <c r="F2529" s="2" t="s">
        <v>2968</v>
      </c>
    </row>
    <row r="2530" ht="17" customHeight="1" spans="1:6">
      <c r="A2530" s="56">
        <v>2568</v>
      </c>
      <c r="B2530" s="89" t="s">
        <v>3139</v>
      </c>
      <c r="C2530" s="1">
        <v>1</v>
      </c>
      <c r="D2530" s="1">
        <v>0</v>
      </c>
      <c r="F2530" s="2" t="s">
        <v>2968</v>
      </c>
    </row>
    <row r="2531" ht="17" customHeight="1" spans="1:6">
      <c r="A2531" s="56">
        <v>2569</v>
      </c>
      <c r="B2531" s="89" t="s">
        <v>3140</v>
      </c>
      <c r="C2531" s="1">
        <f>300/30</f>
        <v>10</v>
      </c>
      <c r="D2531" s="1">
        <v>0</v>
      </c>
      <c r="F2531" s="2" t="s">
        <v>2968</v>
      </c>
    </row>
    <row r="2532" ht="17" customHeight="1" spans="1:6">
      <c r="A2532" s="56">
        <v>2570</v>
      </c>
      <c r="B2532" s="89" t="s">
        <v>3141</v>
      </c>
      <c r="C2532" s="1">
        <f>110/30+0.5</f>
        <v>4.16666666666667</v>
      </c>
      <c r="D2532" s="1">
        <v>0</v>
      </c>
      <c r="F2532" s="2" t="s">
        <v>3142</v>
      </c>
    </row>
    <row r="2533" ht="17" customHeight="1" spans="1:6">
      <c r="A2533" s="56">
        <v>2571</v>
      </c>
      <c r="B2533" s="89" t="s">
        <v>3143</v>
      </c>
      <c r="C2533" s="1">
        <v>2</v>
      </c>
      <c r="D2533" s="1">
        <v>0</v>
      </c>
      <c r="F2533" s="2" t="s">
        <v>3142</v>
      </c>
    </row>
    <row r="2534" ht="17" customHeight="1" spans="1:6">
      <c r="A2534" s="56">
        <v>2572</v>
      </c>
      <c r="B2534" s="89" t="s">
        <v>3144</v>
      </c>
      <c r="C2534" s="1">
        <f>130/30</f>
        <v>4.33333333333333</v>
      </c>
      <c r="D2534" s="1">
        <v>0</v>
      </c>
      <c r="F2534" s="2" t="s">
        <v>3142</v>
      </c>
    </row>
    <row r="2535" ht="17" customHeight="1" spans="1:6">
      <c r="A2535" s="56">
        <v>2573</v>
      </c>
      <c r="B2535" s="89" t="s">
        <v>3145</v>
      </c>
      <c r="C2535" s="1">
        <f t="shared" ref="C2535:C2537" si="18">200/30</f>
        <v>6.66666666666667</v>
      </c>
      <c r="D2535" s="1">
        <v>0</v>
      </c>
      <c r="F2535" s="2" t="s">
        <v>3142</v>
      </c>
    </row>
    <row r="2536" ht="17" customHeight="1" spans="1:6">
      <c r="A2536" s="56">
        <v>2574</v>
      </c>
      <c r="B2536" s="89" t="s">
        <v>3146</v>
      </c>
      <c r="C2536" s="1">
        <f t="shared" si="18"/>
        <v>6.66666666666667</v>
      </c>
      <c r="D2536" s="1">
        <v>0</v>
      </c>
      <c r="F2536" s="2" t="s">
        <v>3142</v>
      </c>
    </row>
    <row r="2537" ht="17" customHeight="1" spans="1:6">
      <c r="A2537" s="56">
        <v>2575</v>
      </c>
      <c r="B2537" s="89" t="s">
        <v>3147</v>
      </c>
      <c r="C2537" s="1">
        <f t="shared" si="18"/>
        <v>6.66666666666667</v>
      </c>
      <c r="D2537" s="1">
        <v>0</v>
      </c>
      <c r="F2537" s="2" t="s">
        <v>3142</v>
      </c>
    </row>
    <row r="2538" ht="17" customHeight="1" spans="1:6">
      <c r="A2538" s="56">
        <v>2576</v>
      </c>
      <c r="B2538" s="89" t="s">
        <v>3148</v>
      </c>
      <c r="C2538" s="1">
        <v>4.7</v>
      </c>
      <c r="D2538" s="1">
        <v>0</v>
      </c>
      <c r="F2538" s="2" t="s">
        <v>3142</v>
      </c>
    </row>
    <row r="2539" ht="17" customHeight="1" spans="1:6">
      <c r="A2539" s="56">
        <v>2577</v>
      </c>
      <c r="B2539" s="89" t="s">
        <v>3149</v>
      </c>
      <c r="C2539" s="118">
        <v>0</v>
      </c>
      <c r="D2539" s="118">
        <v>1</v>
      </c>
      <c r="F2539" s="2" t="s">
        <v>3150</v>
      </c>
    </row>
    <row r="2540" ht="17" customHeight="1" spans="1:6">
      <c r="A2540" s="56">
        <v>2578</v>
      </c>
      <c r="B2540" s="89" t="s">
        <v>3151</v>
      </c>
      <c r="C2540" s="1">
        <v>1.2</v>
      </c>
      <c r="D2540" s="1">
        <v>0</v>
      </c>
      <c r="F2540" s="2" t="s">
        <v>3142</v>
      </c>
    </row>
    <row r="2541" ht="17" customHeight="1" spans="1:6">
      <c r="A2541" s="56">
        <v>2579</v>
      </c>
      <c r="B2541" s="89" t="s">
        <v>3152</v>
      </c>
      <c r="C2541" s="118">
        <v>0</v>
      </c>
      <c r="D2541" s="118">
        <v>1</v>
      </c>
      <c r="F2541" s="2" t="s">
        <v>3150</v>
      </c>
    </row>
    <row r="2542" ht="17" customHeight="1" spans="1:6">
      <c r="A2542" s="56">
        <v>2580</v>
      </c>
      <c r="B2542" s="89" t="s">
        <v>3153</v>
      </c>
      <c r="C2542" s="1">
        <f>265/30</f>
        <v>8.83333333333333</v>
      </c>
      <c r="D2542" s="1">
        <v>0</v>
      </c>
      <c r="F2542" s="2" t="s">
        <v>3142</v>
      </c>
    </row>
    <row r="2543" ht="17" customHeight="1" spans="1:6">
      <c r="A2543" s="56">
        <v>2581</v>
      </c>
      <c r="B2543" s="89" t="s">
        <v>3154</v>
      </c>
      <c r="C2543" s="1">
        <v>0</v>
      </c>
      <c r="D2543" s="1">
        <v>1</v>
      </c>
      <c r="F2543" s="2" t="s">
        <v>3155</v>
      </c>
    </row>
    <row r="2544" ht="17" customHeight="1" spans="1:6">
      <c r="A2544" s="56">
        <v>2582</v>
      </c>
      <c r="B2544" s="89" t="s">
        <v>3156</v>
      </c>
      <c r="C2544" s="1">
        <f>125/30</f>
        <v>4.16666666666667</v>
      </c>
      <c r="D2544" s="1">
        <v>0</v>
      </c>
      <c r="F2544" s="2" t="s">
        <v>3142</v>
      </c>
    </row>
    <row r="2545" ht="17" customHeight="1" spans="1:6">
      <c r="A2545" s="56">
        <v>2583</v>
      </c>
      <c r="B2545" s="89" t="s">
        <v>3157</v>
      </c>
      <c r="C2545" s="1">
        <v>2</v>
      </c>
      <c r="D2545" s="1">
        <v>0</v>
      </c>
      <c r="F2545" s="2" t="s">
        <v>3142</v>
      </c>
    </row>
    <row r="2546" ht="17" customHeight="1" spans="1:6">
      <c r="A2546" s="56">
        <v>2584</v>
      </c>
      <c r="B2546" s="89" t="s">
        <v>3158</v>
      </c>
      <c r="C2546" s="1">
        <v>5</v>
      </c>
      <c r="D2546" s="1">
        <v>0</v>
      </c>
      <c r="F2546" s="2" t="s">
        <v>3142</v>
      </c>
    </row>
    <row r="2547" ht="17" customHeight="1" spans="1:6">
      <c r="A2547" s="56">
        <v>2585</v>
      </c>
      <c r="B2547" s="89" t="s">
        <v>3159</v>
      </c>
      <c r="C2547" s="1">
        <v>5</v>
      </c>
      <c r="D2547" s="1">
        <v>0</v>
      </c>
      <c r="F2547" s="2" t="s">
        <v>3142</v>
      </c>
    </row>
    <row r="2548" ht="17" customHeight="1" spans="1:6">
      <c r="A2548" s="56">
        <v>2586</v>
      </c>
      <c r="B2548" s="89" t="s">
        <v>3160</v>
      </c>
      <c r="C2548" s="1">
        <v>5</v>
      </c>
      <c r="D2548" s="1">
        <v>0</v>
      </c>
      <c r="F2548" s="2" t="s">
        <v>3142</v>
      </c>
    </row>
    <row r="2549" ht="17" customHeight="1" spans="1:6">
      <c r="A2549" s="56">
        <v>2587</v>
      </c>
      <c r="B2549" s="89" t="s">
        <v>3161</v>
      </c>
      <c r="C2549" s="1">
        <v>2</v>
      </c>
      <c r="D2549" s="1">
        <v>0</v>
      </c>
      <c r="F2549" s="2" t="s">
        <v>3142</v>
      </c>
    </row>
    <row r="2550" ht="17" customHeight="1" spans="1:6">
      <c r="A2550" s="56">
        <v>2588</v>
      </c>
      <c r="B2550" s="89" t="s">
        <v>3162</v>
      </c>
      <c r="C2550" s="1">
        <v>2</v>
      </c>
      <c r="D2550" s="1">
        <v>0</v>
      </c>
      <c r="F2550" s="2" t="s">
        <v>3142</v>
      </c>
    </row>
    <row r="2551" ht="17" customHeight="1" spans="1:6">
      <c r="A2551" s="56">
        <v>2589</v>
      </c>
      <c r="B2551" s="89" t="s">
        <v>3163</v>
      </c>
      <c r="C2551" s="1">
        <f>290/30</f>
        <v>9.66666666666667</v>
      </c>
      <c r="D2551" s="1">
        <v>0</v>
      </c>
      <c r="F2551" s="2" t="s">
        <v>3142</v>
      </c>
    </row>
    <row r="2552" ht="17" customHeight="1" spans="1:6">
      <c r="A2552" s="56">
        <v>2590</v>
      </c>
      <c r="B2552" s="89" t="s">
        <v>3164</v>
      </c>
      <c r="C2552" s="1">
        <f>290/30</f>
        <v>9.66666666666667</v>
      </c>
      <c r="D2552" s="1">
        <v>0</v>
      </c>
      <c r="F2552" s="2" t="s">
        <v>3142</v>
      </c>
    </row>
    <row r="2553" ht="17" customHeight="1" spans="1:6">
      <c r="A2553" s="56">
        <v>2591</v>
      </c>
      <c r="B2553" s="89" t="s">
        <v>3165</v>
      </c>
      <c r="C2553" s="1">
        <v>2</v>
      </c>
      <c r="D2553" s="1">
        <v>0</v>
      </c>
      <c r="F2553" s="2" t="s">
        <v>3142</v>
      </c>
    </row>
    <row r="2554" ht="17" customHeight="1" spans="1:6">
      <c r="A2554" s="56">
        <v>2592</v>
      </c>
      <c r="B2554" s="89" t="s">
        <v>3166</v>
      </c>
      <c r="C2554" s="1">
        <v>2</v>
      </c>
      <c r="D2554" s="1">
        <v>0</v>
      </c>
      <c r="F2554" s="2" t="s">
        <v>3142</v>
      </c>
    </row>
    <row r="2555" ht="17" customHeight="1" spans="1:6">
      <c r="A2555" s="56">
        <v>2593</v>
      </c>
      <c r="B2555" s="89" t="s">
        <v>3167</v>
      </c>
      <c r="C2555" s="1">
        <v>2</v>
      </c>
      <c r="D2555" s="1">
        <v>0</v>
      </c>
      <c r="F2555" s="2" t="s">
        <v>3142</v>
      </c>
    </row>
    <row r="2556" ht="17" customHeight="1" spans="1:6">
      <c r="A2556" s="56">
        <v>2594</v>
      </c>
      <c r="B2556" s="89" t="s">
        <v>3168</v>
      </c>
      <c r="C2556" s="1">
        <v>2</v>
      </c>
      <c r="D2556" s="1">
        <v>0</v>
      </c>
      <c r="F2556" s="2" t="s">
        <v>3142</v>
      </c>
    </row>
    <row r="2557" ht="17" customHeight="1" spans="1:6">
      <c r="A2557" s="56">
        <v>2595</v>
      </c>
      <c r="B2557" s="89" t="s">
        <v>3169</v>
      </c>
      <c r="C2557" s="1">
        <f>290/30</f>
        <v>9.66666666666667</v>
      </c>
      <c r="D2557" s="1">
        <v>0</v>
      </c>
      <c r="F2557" s="2" t="s">
        <v>3142</v>
      </c>
    </row>
    <row r="2558" ht="17" customHeight="1" spans="1:6">
      <c r="A2558" s="56">
        <v>2596</v>
      </c>
      <c r="B2558" s="89" t="s">
        <v>3170</v>
      </c>
      <c r="C2558" s="1">
        <f>255/30</f>
        <v>8.5</v>
      </c>
      <c r="D2558" s="1">
        <v>0</v>
      </c>
      <c r="F2558" s="2" t="s">
        <v>3142</v>
      </c>
    </row>
    <row r="2559" ht="17" customHeight="1" spans="1:6">
      <c r="A2559" s="56">
        <v>2597</v>
      </c>
      <c r="B2559" s="89" t="s">
        <v>3171</v>
      </c>
      <c r="C2559" s="1">
        <f>255/30</f>
        <v>8.5</v>
      </c>
      <c r="D2559" s="1">
        <v>0</v>
      </c>
      <c r="F2559" s="2" t="s">
        <v>3142</v>
      </c>
    </row>
    <row r="2560" ht="17" customHeight="1" spans="1:6">
      <c r="A2560" s="56">
        <v>2598</v>
      </c>
      <c r="B2560" s="89" t="s">
        <v>3172</v>
      </c>
      <c r="C2560" s="1">
        <f>255/30</f>
        <v>8.5</v>
      </c>
      <c r="D2560" s="1">
        <v>0</v>
      </c>
      <c r="F2560" s="2" t="s">
        <v>3142</v>
      </c>
    </row>
    <row r="2561" ht="17" customHeight="1" spans="1:6">
      <c r="A2561" s="56">
        <v>2599</v>
      </c>
      <c r="B2561" s="89" t="s">
        <v>3173</v>
      </c>
      <c r="C2561" s="1">
        <f>255/30</f>
        <v>8.5</v>
      </c>
      <c r="D2561" s="1">
        <v>0</v>
      </c>
      <c r="F2561" s="2" t="s">
        <v>3142</v>
      </c>
    </row>
    <row r="2562" ht="17" customHeight="1" spans="1:6">
      <c r="A2562" s="56">
        <v>2600</v>
      </c>
      <c r="B2562" s="89" t="s">
        <v>3174</v>
      </c>
      <c r="C2562" s="1">
        <v>5</v>
      </c>
      <c r="D2562" s="1">
        <v>0</v>
      </c>
      <c r="F2562" s="2" t="s">
        <v>3142</v>
      </c>
    </row>
    <row r="2563" ht="17" customHeight="1" spans="1:6">
      <c r="A2563" s="56">
        <v>2601</v>
      </c>
      <c r="B2563" s="89" t="s">
        <v>3175</v>
      </c>
      <c r="C2563" s="1">
        <v>0</v>
      </c>
      <c r="D2563" s="1">
        <v>1</v>
      </c>
      <c r="F2563" s="2" t="s">
        <v>3142</v>
      </c>
    </row>
    <row r="2564" ht="17" customHeight="1" spans="1:6">
      <c r="A2564" s="56">
        <v>2602</v>
      </c>
      <c r="B2564" s="89" t="s">
        <v>3176</v>
      </c>
      <c r="C2564" s="1">
        <v>0</v>
      </c>
      <c r="D2564" s="1">
        <v>1</v>
      </c>
      <c r="F2564" s="2" t="s">
        <v>3142</v>
      </c>
    </row>
    <row r="2565" ht="17" customHeight="1" spans="1:6">
      <c r="A2565" s="56">
        <v>2603</v>
      </c>
      <c r="B2565" s="89" t="s">
        <v>3177</v>
      </c>
      <c r="C2565" s="1">
        <v>0</v>
      </c>
      <c r="D2565" s="1">
        <v>1</v>
      </c>
      <c r="F2565" s="2" t="s">
        <v>3142</v>
      </c>
    </row>
    <row r="2566" ht="17" customHeight="1" spans="1:6">
      <c r="A2566" s="56">
        <v>2604</v>
      </c>
      <c r="B2566" s="89" t="s">
        <v>3178</v>
      </c>
      <c r="C2566" s="1">
        <v>5</v>
      </c>
      <c r="D2566" s="1">
        <v>0</v>
      </c>
      <c r="F2566" s="2" t="s">
        <v>3179</v>
      </c>
    </row>
    <row r="2567" ht="17" customHeight="1" spans="1:6">
      <c r="A2567" s="56">
        <v>2605</v>
      </c>
      <c r="B2567" s="89" t="s">
        <v>3180</v>
      </c>
      <c r="C2567" s="1">
        <v>1</v>
      </c>
      <c r="D2567" s="1">
        <v>0</v>
      </c>
      <c r="F2567" s="2" t="s">
        <v>3181</v>
      </c>
    </row>
    <row r="2568" ht="17" customHeight="1" spans="1:6">
      <c r="A2568" s="56">
        <v>2606</v>
      </c>
      <c r="B2568" s="89" t="s">
        <v>3182</v>
      </c>
      <c r="C2568" s="1">
        <v>0</v>
      </c>
      <c r="D2568" s="1">
        <v>1</v>
      </c>
      <c r="F2568" s="2" t="s">
        <v>3183</v>
      </c>
    </row>
    <row r="2569" ht="17" customHeight="1" spans="1:6">
      <c r="A2569" s="56">
        <v>2607</v>
      </c>
      <c r="B2569" s="89" t="s">
        <v>3184</v>
      </c>
      <c r="C2569" s="1">
        <v>0</v>
      </c>
      <c r="D2569" s="1">
        <v>1</v>
      </c>
      <c r="F2569" s="2" t="s">
        <v>3183</v>
      </c>
    </row>
    <row r="2570" ht="17" customHeight="1" spans="1:6">
      <c r="A2570" s="56">
        <v>2608</v>
      </c>
      <c r="B2570" s="89" t="s">
        <v>3185</v>
      </c>
      <c r="C2570" s="1">
        <v>0</v>
      </c>
      <c r="D2570" s="1">
        <v>1</v>
      </c>
      <c r="F2570" s="2" t="s">
        <v>3183</v>
      </c>
    </row>
    <row r="2571" ht="17" customHeight="1" spans="1:6">
      <c r="A2571" s="56">
        <v>2609</v>
      </c>
      <c r="B2571" s="89" t="s">
        <v>3180</v>
      </c>
      <c r="C2571" s="1">
        <v>1.2</v>
      </c>
      <c r="D2571" s="1">
        <v>0</v>
      </c>
      <c r="F2571" s="2" t="s">
        <v>3186</v>
      </c>
    </row>
    <row r="2572" ht="17" customHeight="1" spans="1:6">
      <c r="A2572" s="56">
        <v>2610</v>
      </c>
      <c r="B2572" s="89" t="s">
        <v>3187</v>
      </c>
      <c r="C2572" s="1">
        <v>3.2</v>
      </c>
      <c r="D2572" s="1">
        <v>0</v>
      </c>
      <c r="F2572" s="2" t="s">
        <v>3188</v>
      </c>
    </row>
    <row r="2573" ht="17" customHeight="1" spans="1:6">
      <c r="A2573" s="56">
        <v>2611</v>
      </c>
      <c r="B2573" s="89" t="s">
        <v>3189</v>
      </c>
      <c r="C2573" s="1">
        <v>4.8</v>
      </c>
      <c r="D2573" s="1">
        <v>0</v>
      </c>
      <c r="F2573" s="2" t="s">
        <v>3190</v>
      </c>
    </row>
    <row r="2574" ht="17" customHeight="1" spans="1:6">
      <c r="A2574" s="56">
        <v>2612</v>
      </c>
      <c r="B2574" s="89" t="s">
        <v>3191</v>
      </c>
      <c r="C2574" s="1">
        <v>5</v>
      </c>
      <c r="D2574" s="1">
        <v>0</v>
      </c>
      <c r="F2574" s="2" t="s">
        <v>3192</v>
      </c>
    </row>
    <row r="2575" ht="17" customHeight="1" spans="1:6">
      <c r="A2575" s="56">
        <v>2613</v>
      </c>
      <c r="B2575" s="89" t="s">
        <v>3193</v>
      </c>
      <c r="C2575" s="1">
        <v>5</v>
      </c>
      <c r="D2575" s="1">
        <v>0</v>
      </c>
      <c r="F2575" s="2" t="s">
        <v>3192</v>
      </c>
    </row>
    <row r="2576" ht="17" customHeight="1" spans="1:6">
      <c r="A2576" s="56">
        <v>2614</v>
      </c>
      <c r="B2576" s="89" t="s">
        <v>3194</v>
      </c>
      <c r="C2576" s="1">
        <f>290/30</f>
        <v>9.66666666666667</v>
      </c>
      <c r="D2576" s="1">
        <v>0</v>
      </c>
      <c r="F2576" s="2" t="s">
        <v>3192</v>
      </c>
    </row>
    <row r="2577" ht="17" customHeight="1" spans="1:6">
      <c r="A2577" s="56">
        <v>2615</v>
      </c>
      <c r="B2577" s="89" t="s">
        <v>3195</v>
      </c>
      <c r="C2577" s="1">
        <v>3</v>
      </c>
      <c r="D2577" s="1">
        <v>0</v>
      </c>
      <c r="F2577" s="2" t="s">
        <v>3196</v>
      </c>
    </row>
    <row r="2578" ht="17" customHeight="1" spans="1:6">
      <c r="A2578" s="56">
        <v>2616</v>
      </c>
      <c r="B2578" s="89" t="s">
        <v>3197</v>
      </c>
      <c r="C2578" s="1">
        <v>3</v>
      </c>
      <c r="D2578" s="1">
        <v>0</v>
      </c>
      <c r="F2578" s="2" t="s">
        <v>3196</v>
      </c>
    </row>
    <row r="2579" ht="17" customHeight="1" spans="1:6">
      <c r="A2579" s="56">
        <v>2617</v>
      </c>
      <c r="B2579" s="89" t="s">
        <v>3198</v>
      </c>
      <c r="C2579" s="1">
        <f>265/30</f>
        <v>8.83333333333333</v>
      </c>
      <c r="D2579" s="1">
        <v>0</v>
      </c>
      <c r="F2579" s="2" t="s">
        <v>3199</v>
      </c>
    </row>
    <row r="2580" ht="17" customHeight="1" spans="1:6">
      <c r="A2580" s="56">
        <v>2618</v>
      </c>
      <c r="B2580" s="89" t="s">
        <v>3200</v>
      </c>
      <c r="C2580" s="1">
        <f>290/30</f>
        <v>9.66666666666667</v>
      </c>
      <c r="D2580" s="1">
        <v>0</v>
      </c>
      <c r="F2580" s="2" t="s">
        <v>3201</v>
      </c>
    </row>
    <row r="2581" ht="17" customHeight="1" spans="1:6">
      <c r="A2581" s="56">
        <v>2619</v>
      </c>
      <c r="B2581" s="89" t="s">
        <v>3202</v>
      </c>
      <c r="C2581" s="1">
        <f>255/30</f>
        <v>8.5</v>
      </c>
      <c r="D2581" s="1">
        <v>0</v>
      </c>
      <c r="F2581" s="2" t="s">
        <v>3203</v>
      </c>
    </row>
    <row r="2582" ht="17" customHeight="1" spans="1:6">
      <c r="A2582" s="56">
        <v>2620</v>
      </c>
      <c r="B2582" s="89" t="s">
        <v>3204</v>
      </c>
      <c r="C2582" s="1">
        <v>0</v>
      </c>
      <c r="D2582" s="1">
        <v>1</v>
      </c>
      <c r="F2582" s="2" t="s">
        <v>3205</v>
      </c>
    </row>
    <row r="2583" ht="17" customHeight="1" spans="1:6">
      <c r="A2583" s="56">
        <v>2621</v>
      </c>
      <c r="B2583" s="89" t="s">
        <v>3206</v>
      </c>
      <c r="C2583" s="1">
        <v>2</v>
      </c>
      <c r="D2583" s="1">
        <v>0</v>
      </c>
      <c r="F2583" s="2" t="s">
        <v>3207</v>
      </c>
    </row>
    <row r="2584" ht="17" customHeight="1" spans="1:6">
      <c r="A2584" s="56">
        <v>2622</v>
      </c>
      <c r="B2584" s="89" t="s">
        <v>3208</v>
      </c>
      <c r="C2584" s="1">
        <v>0</v>
      </c>
      <c r="D2584" s="1">
        <v>1</v>
      </c>
      <c r="F2584" s="2" t="s">
        <v>3209</v>
      </c>
    </row>
    <row r="2585" ht="17" customHeight="1" spans="1:6">
      <c r="A2585" s="56">
        <v>2623</v>
      </c>
      <c r="B2585" s="89" t="s">
        <v>3210</v>
      </c>
      <c r="C2585" s="1">
        <v>2</v>
      </c>
      <c r="D2585" s="1">
        <v>0</v>
      </c>
      <c r="F2585" s="2" t="s">
        <v>3211</v>
      </c>
    </row>
    <row r="2586" ht="17" customHeight="1" spans="1:6">
      <c r="A2586" s="56">
        <v>2624</v>
      </c>
      <c r="B2586" s="89" t="s">
        <v>3212</v>
      </c>
      <c r="C2586" s="1">
        <f>24/30</f>
        <v>0.8</v>
      </c>
      <c r="D2586" s="1">
        <v>0</v>
      </c>
      <c r="F2586" s="2" t="s">
        <v>3213</v>
      </c>
    </row>
    <row r="2587" ht="17" customHeight="1" spans="1:6">
      <c r="A2587" s="56">
        <v>2625</v>
      </c>
      <c r="B2587" s="89" t="s">
        <v>3214</v>
      </c>
      <c r="C2587" s="1">
        <v>1</v>
      </c>
      <c r="D2587" s="1">
        <v>0</v>
      </c>
      <c r="F2587" s="2" t="s">
        <v>3215</v>
      </c>
    </row>
    <row r="2588" ht="17" customHeight="1" spans="1:6">
      <c r="A2588" s="56">
        <v>2626</v>
      </c>
      <c r="B2588" s="89" t="s">
        <v>3216</v>
      </c>
      <c r="C2588" s="1">
        <v>1</v>
      </c>
      <c r="D2588" s="1">
        <v>0</v>
      </c>
      <c r="F2588" s="2" t="s">
        <v>3215</v>
      </c>
    </row>
    <row r="2589" ht="17" customHeight="1" spans="1:6">
      <c r="A2589" s="56">
        <v>2627</v>
      </c>
      <c r="B2589" s="89" t="s">
        <v>3217</v>
      </c>
      <c r="C2589" s="1">
        <v>1</v>
      </c>
      <c r="D2589" s="1">
        <v>0</v>
      </c>
      <c r="F2589" s="2" t="s">
        <v>3215</v>
      </c>
    </row>
    <row r="2590" ht="17" customHeight="1" spans="1:6">
      <c r="A2590" s="56">
        <v>2628</v>
      </c>
      <c r="B2590" s="89" t="s">
        <v>3218</v>
      </c>
      <c r="C2590" s="1">
        <v>1</v>
      </c>
      <c r="D2590" s="1">
        <v>0</v>
      </c>
      <c r="F2590" s="2" t="s">
        <v>3215</v>
      </c>
    </row>
    <row r="2591" ht="17" customHeight="1" spans="1:6">
      <c r="A2591" s="56">
        <v>2629</v>
      </c>
      <c r="B2591" s="89" t="s">
        <v>3219</v>
      </c>
      <c r="C2591" s="1">
        <f>120/30</f>
        <v>4</v>
      </c>
      <c r="D2591" s="1">
        <v>0</v>
      </c>
      <c r="F2591" s="2" t="s">
        <v>3220</v>
      </c>
    </row>
    <row r="2592" ht="17" customHeight="1" spans="1:6">
      <c r="A2592" s="56">
        <v>2630</v>
      </c>
      <c r="B2592" s="89" t="s">
        <v>3221</v>
      </c>
      <c r="C2592" s="1">
        <v>1.5</v>
      </c>
      <c r="D2592" s="1">
        <v>0</v>
      </c>
      <c r="F2592" s="2" t="s">
        <v>3222</v>
      </c>
    </row>
    <row r="2593" ht="17" customHeight="1" spans="1:6">
      <c r="A2593" s="56">
        <v>2631</v>
      </c>
      <c r="B2593" s="89" t="s">
        <v>3223</v>
      </c>
      <c r="C2593" s="1">
        <v>3</v>
      </c>
      <c r="D2593" s="1">
        <v>0</v>
      </c>
      <c r="F2593" s="2" t="s">
        <v>3224</v>
      </c>
    </row>
    <row r="2594" ht="17" customHeight="1" spans="1:6">
      <c r="A2594" s="56">
        <v>2632</v>
      </c>
      <c r="B2594" s="89" t="s">
        <v>3225</v>
      </c>
      <c r="C2594" s="1">
        <v>1</v>
      </c>
      <c r="D2594" s="1">
        <v>0</v>
      </c>
      <c r="F2594" s="2" t="s">
        <v>3226</v>
      </c>
    </row>
    <row r="2595" ht="17" customHeight="1" spans="1:6">
      <c r="A2595" s="56">
        <v>2633</v>
      </c>
      <c r="B2595" s="89" t="s">
        <v>3227</v>
      </c>
      <c r="C2595" s="1">
        <v>1</v>
      </c>
      <c r="D2595" s="1">
        <v>0</v>
      </c>
      <c r="F2595" s="2" t="s">
        <v>3228</v>
      </c>
    </row>
    <row r="2596" ht="17" customHeight="1" spans="1:6">
      <c r="A2596" s="56">
        <v>2634</v>
      </c>
      <c r="B2596" s="89" t="s">
        <v>3229</v>
      </c>
      <c r="C2596" s="1">
        <v>4</v>
      </c>
      <c r="D2596" s="1">
        <v>0</v>
      </c>
      <c r="F2596" s="2" t="s">
        <v>3230</v>
      </c>
    </row>
    <row r="2597" ht="17" customHeight="1" spans="1:6">
      <c r="A2597" s="56">
        <v>2635</v>
      </c>
      <c r="B2597" s="89" t="s">
        <v>3231</v>
      </c>
      <c r="C2597" s="1">
        <v>4</v>
      </c>
      <c r="D2597" s="1">
        <v>0</v>
      </c>
      <c r="F2597" s="2" t="s">
        <v>3232</v>
      </c>
    </row>
    <row r="2598" ht="17" customHeight="1" spans="1:6">
      <c r="A2598" s="56">
        <v>2636</v>
      </c>
      <c r="B2598" s="89" t="s">
        <v>3233</v>
      </c>
      <c r="C2598" s="1">
        <v>3.2</v>
      </c>
      <c r="D2598" s="1">
        <v>0</v>
      </c>
      <c r="F2598" s="2" t="s">
        <v>3234</v>
      </c>
    </row>
    <row r="2599" ht="17" customHeight="1" spans="1:6">
      <c r="A2599" s="56">
        <v>2637</v>
      </c>
      <c r="B2599" s="89" t="s">
        <v>3235</v>
      </c>
      <c r="C2599" s="1">
        <v>1</v>
      </c>
      <c r="D2599" s="1">
        <v>0</v>
      </c>
      <c r="F2599" s="2" t="s">
        <v>3236</v>
      </c>
    </row>
    <row r="2600" ht="17" customHeight="1" spans="1:6">
      <c r="A2600" s="56">
        <v>2638</v>
      </c>
      <c r="B2600" s="89" t="s">
        <v>3237</v>
      </c>
      <c r="C2600" s="1">
        <v>10.4</v>
      </c>
      <c r="D2600" s="1">
        <v>0</v>
      </c>
      <c r="F2600" s="2" t="s">
        <v>3238</v>
      </c>
    </row>
    <row r="2601" ht="17" customHeight="1" spans="1:6">
      <c r="A2601" s="56">
        <v>2639</v>
      </c>
      <c r="B2601" s="89" t="s">
        <v>3239</v>
      </c>
      <c r="C2601" s="1">
        <v>10.4</v>
      </c>
      <c r="D2601" s="1">
        <v>0</v>
      </c>
      <c r="F2601" s="2" t="s">
        <v>3240</v>
      </c>
    </row>
    <row r="2602" ht="17" customHeight="1" spans="1:6">
      <c r="A2602" s="56">
        <v>2640</v>
      </c>
      <c r="B2602" s="89" t="s">
        <v>3241</v>
      </c>
      <c r="C2602" s="1">
        <v>10.4</v>
      </c>
      <c r="D2602" s="1">
        <v>0</v>
      </c>
      <c r="F2602" s="2" t="s">
        <v>3240</v>
      </c>
    </row>
    <row r="2603" ht="17" customHeight="1" spans="1:6">
      <c r="A2603" s="56">
        <v>2641</v>
      </c>
      <c r="B2603" s="89" t="s">
        <v>3242</v>
      </c>
      <c r="C2603" s="1">
        <v>10.4</v>
      </c>
      <c r="D2603" s="1">
        <v>0</v>
      </c>
      <c r="F2603" s="2" t="s">
        <v>3243</v>
      </c>
    </row>
    <row r="2604" ht="17" customHeight="1" spans="1:6">
      <c r="A2604" s="56">
        <v>2642</v>
      </c>
      <c r="B2604" s="89" t="s">
        <v>3244</v>
      </c>
      <c r="C2604" s="1">
        <f>403/30</f>
        <v>13.4333333333333</v>
      </c>
      <c r="D2604" s="1">
        <v>0</v>
      </c>
      <c r="F2604" s="2" t="s">
        <v>3245</v>
      </c>
    </row>
    <row r="2605" ht="17" customHeight="1" spans="1:4">
      <c r="A2605" s="56">
        <v>2643</v>
      </c>
      <c r="B2605" s="89" t="s">
        <v>3246</v>
      </c>
      <c r="C2605" s="1">
        <v>6.5</v>
      </c>
      <c r="D2605" s="1">
        <v>0</v>
      </c>
    </row>
    <row r="2606" ht="17" customHeight="1" spans="1:4">
      <c r="A2606" s="56">
        <v>2644</v>
      </c>
      <c r="B2606" s="89" t="s">
        <v>3247</v>
      </c>
      <c r="C2606" s="1">
        <v>6.5</v>
      </c>
      <c r="D2606" s="1">
        <v>0</v>
      </c>
    </row>
    <row r="2607" ht="17" customHeight="1" spans="1:4">
      <c r="A2607" s="56">
        <v>2645</v>
      </c>
      <c r="B2607" s="89" t="s">
        <v>3248</v>
      </c>
      <c r="C2607" s="1">
        <v>6.5</v>
      </c>
      <c r="D2607" s="1">
        <v>0</v>
      </c>
    </row>
    <row r="2608" ht="17" customHeight="1" spans="1:4">
      <c r="A2608" s="56">
        <v>2646</v>
      </c>
      <c r="B2608" s="89" t="s">
        <v>3249</v>
      </c>
      <c r="C2608" s="1">
        <v>0</v>
      </c>
      <c r="D2608" s="1">
        <v>1</v>
      </c>
    </row>
    <row r="2609" ht="17" customHeight="1" spans="1:4">
      <c r="A2609" s="56">
        <v>2647</v>
      </c>
      <c r="B2609" s="89" t="s">
        <v>3250</v>
      </c>
      <c r="C2609" s="1">
        <v>0</v>
      </c>
      <c r="D2609" s="1">
        <v>1</v>
      </c>
    </row>
    <row r="2610" ht="17" customHeight="1" spans="1:4">
      <c r="A2610" s="56">
        <v>2648</v>
      </c>
      <c r="B2610" s="89" t="s">
        <v>3251</v>
      </c>
      <c r="C2610" s="1">
        <v>0</v>
      </c>
      <c r="D2610" s="1">
        <v>1</v>
      </c>
    </row>
    <row r="2611" ht="17" customHeight="1" spans="1:6">
      <c r="A2611" s="56">
        <v>2649</v>
      </c>
      <c r="B2611" s="89" t="s">
        <v>3252</v>
      </c>
      <c r="C2611" s="1">
        <f>150/30</f>
        <v>5</v>
      </c>
      <c r="D2611" s="1">
        <v>0</v>
      </c>
      <c r="F2611" s="2" t="s">
        <v>3253</v>
      </c>
    </row>
    <row r="2612" ht="17" customHeight="1" spans="1:6">
      <c r="A2612" s="56">
        <v>2650</v>
      </c>
      <c r="B2612" s="89" t="s">
        <v>3254</v>
      </c>
      <c r="C2612" s="1">
        <v>1</v>
      </c>
      <c r="D2612" s="1">
        <v>0</v>
      </c>
      <c r="F2612" s="2" t="s">
        <v>3255</v>
      </c>
    </row>
    <row r="2613" ht="17" customHeight="1" spans="1:6">
      <c r="A2613" s="56">
        <v>2651</v>
      </c>
      <c r="B2613" s="89" t="s">
        <v>3256</v>
      </c>
      <c r="C2613" s="1">
        <v>3.2</v>
      </c>
      <c r="D2613" s="1">
        <v>0</v>
      </c>
      <c r="F2613" s="2" t="s">
        <v>3257</v>
      </c>
    </row>
    <row r="2614" ht="17" customHeight="1" spans="1:6">
      <c r="A2614" s="56">
        <v>2652</v>
      </c>
      <c r="B2614" s="89" t="s">
        <v>3258</v>
      </c>
      <c r="C2614" s="1">
        <v>1</v>
      </c>
      <c r="D2614" s="1">
        <v>0</v>
      </c>
      <c r="F2614" s="2" t="s">
        <v>3259</v>
      </c>
    </row>
    <row r="2615" ht="17" customHeight="1" spans="1:6">
      <c r="A2615" s="56">
        <v>2653</v>
      </c>
      <c r="B2615" s="89" t="s">
        <v>3260</v>
      </c>
      <c r="C2615" s="1">
        <v>1</v>
      </c>
      <c r="D2615" s="1">
        <v>0</v>
      </c>
      <c r="F2615" s="2" t="s">
        <v>3261</v>
      </c>
    </row>
    <row r="2616" ht="17" customHeight="1" spans="1:6">
      <c r="A2616" s="56">
        <v>2654</v>
      </c>
      <c r="B2616" s="89" t="s">
        <v>3262</v>
      </c>
      <c r="C2616" s="1">
        <v>3.5</v>
      </c>
      <c r="D2616" s="1">
        <v>0</v>
      </c>
      <c r="F2616" s="2" t="s">
        <v>3263</v>
      </c>
    </row>
    <row r="2617" ht="17" customHeight="1" spans="1:6">
      <c r="A2617" s="56">
        <v>2655</v>
      </c>
      <c r="B2617" s="89" t="s">
        <v>3264</v>
      </c>
      <c r="C2617" s="1">
        <v>1</v>
      </c>
      <c r="D2617" s="1">
        <v>0</v>
      </c>
      <c r="F2617" s="2" t="s">
        <v>3265</v>
      </c>
    </row>
    <row r="2618" ht="17" customHeight="1" spans="1:6">
      <c r="A2618" s="56">
        <v>2656</v>
      </c>
      <c r="B2618" s="89" t="s">
        <v>3266</v>
      </c>
      <c r="C2618" s="1">
        <v>2.4</v>
      </c>
      <c r="D2618" s="1">
        <v>0</v>
      </c>
      <c r="F2618" s="2" t="s">
        <v>3267</v>
      </c>
    </row>
    <row r="2619" ht="17" customHeight="1" spans="1:6">
      <c r="A2619" s="56">
        <v>2657</v>
      </c>
      <c r="B2619" s="89" t="s">
        <v>3268</v>
      </c>
      <c r="C2619" s="1">
        <f>200/30</f>
        <v>6.66666666666667</v>
      </c>
      <c r="D2619" s="1">
        <v>0</v>
      </c>
      <c r="F2619" s="2" t="s">
        <v>3269</v>
      </c>
    </row>
    <row r="2620" ht="17" customHeight="1" spans="1:6">
      <c r="A2620" s="56">
        <v>2658</v>
      </c>
      <c r="B2620" s="89" t="s">
        <v>3270</v>
      </c>
      <c r="C2620" s="1">
        <f>313/30</f>
        <v>10.4333333333333</v>
      </c>
      <c r="D2620" s="1">
        <v>0</v>
      </c>
      <c r="F2620" s="2" t="s">
        <v>3271</v>
      </c>
    </row>
    <row r="2621" ht="17" customHeight="1" spans="1:6">
      <c r="A2621" s="56">
        <v>2659</v>
      </c>
      <c r="B2621" s="89" t="s">
        <v>3272</v>
      </c>
      <c r="C2621" s="1">
        <v>4.2</v>
      </c>
      <c r="D2621" s="1">
        <v>0</v>
      </c>
      <c r="F2621" s="2" t="s">
        <v>3273</v>
      </c>
    </row>
    <row r="2622" ht="17" customHeight="1" spans="1:6">
      <c r="A2622" s="56">
        <v>2660</v>
      </c>
      <c r="B2622" s="89" t="s">
        <v>3274</v>
      </c>
      <c r="C2622" s="1">
        <v>4</v>
      </c>
      <c r="D2622" s="1">
        <v>0</v>
      </c>
      <c r="F2622" s="2" t="s">
        <v>3275</v>
      </c>
    </row>
    <row r="2623" ht="17" customHeight="1" spans="1:6">
      <c r="A2623" s="56">
        <v>2661</v>
      </c>
      <c r="B2623" s="89" t="s">
        <v>3276</v>
      </c>
      <c r="C2623" s="1">
        <v>1</v>
      </c>
      <c r="D2623" s="1">
        <v>0</v>
      </c>
      <c r="F2623" s="2" t="s">
        <v>3277</v>
      </c>
    </row>
    <row r="2624" ht="17" customHeight="1" spans="1:6">
      <c r="A2624" s="56">
        <v>2662</v>
      </c>
      <c r="B2624" s="89" t="s">
        <v>3278</v>
      </c>
      <c r="C2624" s="1">
        <v>4</v>
      </c>
      <c r="D2624" s="1">
        <v>0</v>
      </c>
      <c r="F2624" s="2" t="s">
        <v>3279</v>
      </c>
    </row>
    <row r="2625" ht="17" customHeight="1" spans="1:6">
      <c r="A2625" s="56">
        <v>2663</v>
      </c>
      <c r="B2625" s="89" t="s">
        <v>3280</v>
      </c>
      <c r="C2625" s="1">
        <v>5</v>
      </c>
      <c r="D2625" s="1">
        <v>0</v>
      </c>
      <c r="F2625" s="2" t="s">
        <v>3281</v>
      </c>
    </row>
    <row r="2626" ht="17" customHeight="1" spans="1:6">
      <c r="A2626" s="56">
        <v>2664</v>
      </c>
      <c r="B2626" s="89" t="s">
        <v>3282</v>
      </c>
      <c r="C2626" s="1">
        <v>1</v>
      </c>
      <c r="D2626" s="1">
        <v>0</v>
      </c>
      <c r="F2626" s="2" t="s">
        <v>3283</v>
      </c>
    </row>
    <row r="2627" ht="17" customHeight="1" spans="1:6">
      <c r="A2627" s="56">
        <v>2665</v>
      </c>
      <c r="B2627" s="89" t="s">
        <v>3284</v>
      </c>
      <c r="C2627" s="1">
        <v>13.65</v>
      </c>
      <c r="D2627" s="1">
        <v>0</v>
      </c>
      <c r="F2627" s="2" t="s">
        <v>3285</v>
      </c>
    </row>
    <row r="2628" ht="17" customHeight="1" spans="1:6">
      <c r="A2628" s="56">
        <v>2666</v>
      </c>
      <c r="B2628" s="89" t="s">
        <v>3286</v>
      </c>
      <c r="C2628" s="1">
        <v>3.95</v>
      </c>
      <c r="D2628" s="1">
        <v>0</v>
      </c>
      <c r="F2628" s="2" t="s">
        <v>3287</v>
      </c>
    </row>
    <row r="2629" ht="17" customHeight="1" spans="1:6">
      <c r="A2629" s="56">
        <v>2667</v>
      </c>
      <c r="B2629" s="89" t="s">
        <v>3288</v>
      </c>
      <c r="C2629" s="1">
        <v>1</v>
      </c>
      <c r="D2629" s="1">
        <v>0</v>
      </c>
      <c r="F2629" s="2" t="s">
        <v>3289</v>
      </c>
    </row>
    <row r="2630" ht="17" customHeight="1" spans="1:6">
      <c r="A2630" s="56">
        <v>2668</v>
      </c>
      <c r="B2630" s="89" t="s">
        <v>3290</v>
      </c>
      <c r="C2630" s="1">
        <v>3.5</v>
      </c>
      <c r="D2630" s="1">
        <v>0</v>
      </c>
      <c r="F2630" s="2" t="s">
        <v>3291</v>
      </c>
    </row>
    <row r="2631" ht="17" customHeight="1" spans="1:6">
      <c r="A2631" s="56">
        <v>2669</v>
      </c>
      <c r="B2631" s="89" t="s">
        <v>3292</v>
      </c>
      <c r="C2631" s="1">
        <v>5</v>
      </c>
      <c r="D2631" s="1">
        <v>0</v>
      </c>
      <c r="F2631" s="2" t="s">
        <v>3293</v>
      </c>
    </row>
    <row r="2632" ht="17" customHeight="1" spans="1:6">
      <c r="A2632" s="56">
        <v>2670</v>
      </c>
      <c r="B2632" s="89" t="s">
        <v>3294</v>
      </c>
      <c r="C2632" s="1">
        <v>1</v>
      </c>
      <c r="D2632" s="1">
        <v>0</v>
      </c>
      <c r="F2632" s="2" t="s">
        <v>3295</v>
      </c>
    </row>
    <row r="2633" ht="17" customHeight="1" spans="1:6">
      <c r="A2633" s="56">
        <v>2671</v>
      </c>
      <c r="B2633" s="89" t="s">
        <v>3296</v>
      </c>
      <c r="C2633" s="1">
        <f>440/30</f>
        <v>14.6666666666667</v>
      </c>
      <c r="D2633" s="1">
        <v>0</v>
      </c>
      <c r="F2633" s="2" t="s">
        <v>3297</v>
      </c>
    </row>
    <row r="2634" ht="17" customHeight="1" spans="1:6">
      <c r="A2634" s="56">
        <v>2672</v>
      </c>
      <c r="B2634" s="89" t="s">
        <v>3298</v>
      </c>
      <c r="C2634" s="1">
        <f>(50+360)/30</f>
        <v>13.6666666666667</v>
      </c>
      <c r="D2634" s="1">
        <v>0</v>
      </c>
      <c r="F2634" s="2" t="s">
        <v>3299</v>
      </c>
    </row>
    <row r="2635" ht="17" customHeight="1" spans="1:6">
      <c r="A2635" s="56">
        <v>2673</v>
      </c>
      <c r="B2635" s="89" t="s">
        <v>3300</v>
      </c>
      <c r="C2635" s="1">
        <v>1</v>
      </c>
      <c r="D2635" s="1">
        <v>0</v>
      </c>
      <c r="F2635" s="2" t="s">
        <v>3301</v>
      </c>
    </row>
    <row r="2636" ht="17" customHeight="1" spans="1:6">
      <c r="A2636" s="56">
        <v>2674</v>
      </c>
      <c r="B2636" s="89" t="s">
        <v>3302</v>
      </c>
      <c r="C2636" s="1">
        <f>50/30</f>
        <v>1.66666666666667</v>
      </c>
      <c r="D2636" s="1">
        <v>0</v>
      </c>
      <c r="F2636" s="2" t="s">
        <v>3301</v>
      </c>
    </row>
    <row r="2637" ht="17" customHeight="1" spans="1:4">
      <c r="A2637" s="56">
        <v>2675</v>
      </c>
      <c r="B2637" s="89" t="s">
        <v>3303</v>
      </c>
      <c r="C2637" s="1">
        <v>3.9</v>
      </c>
      <c r="D2637" s="1">
        <v>0</v>
      </c>
    </row>
    <row r="2638" ht="17" customHeight="1" spans="1:4">
      <c r="A2638" s="56">
        <v>2676</v>
      </c>
      <c r="B2638" s="89" t="s">
        <v>3304</v>
      </c>
      <c r="C2638" s="1">
        <v>2</v>
      </c>
      <c r="D2638" s="1">
        <v>1</v>
      </c>
    </row>
    <row r="2639" ht="17" customHeight="1" spans="1:6">
      <c r="A2639" s="56">
        <v>2677</v>
      </c>
      <c r="B2639" s="89" t="s">
        <v>3305</v>
      </c>
      <c r="C2639" s="1">
        <v>1.6</v>
      </c>
      <c r="D2639" s="1">
        <v>0</v>
      </c>
      <c r="F2639" s="2" t="s">
        <v>3306</v>
      </c>
    </row>
    <row r="2640" ht="17" customHeight="1" spans="1:6">
      <c r="A2640" s="56">
        <v>2678</v>
      </c>
      <c r="B2640" s="89" t="s">
        <v>3307</v>
      </c>
      <c r="C2640" s="1">
        <v>1.6</v>
      </c>
      <c r="D2640" s="1">
        <v>0</v>
      </c>
      <c r="F2640" s="2" t="s">
        <v>3306</v>
      </c>
    </row>
    <row r="2641" ht="17" customHeight="1" spans="1:6">
      <c r="A2641" s="56">
        <v>2679</v>
      </c>
      <c r="B2641" s="89" t="s">
        <v>3308</v>
      </c>
      <c r="C2641" s="1">
        <v>3.1</v>
      </c>
      <c r="D2641" s="1">
        <v>0</v>
      </c>
      <c r="F2641" s="2" t="s">
        <v>3309</v>
      </c>
    </row>
    <row r="2642" ht="17" customHeight="1" spans="1:6">
      <c r="A2642" s="56">
        <v>2680</v>
      </c>
      <c r="B2642" s="89" t="s">
        <v>3310</v>
      </c>
      <c r="C2642" s="1">
        <v>3.1</v>
      </c>
      <c r="D2642" s="1">
        <v>0</v>
      </c>
      <c r="F2642" s="2" t="s">
        <v>3311</v>
      </c>
    </row>
    <row r="2643" ht="17" customHeight="1" spans="1:6">
      <c r="A2643" s="56">
        <v>2681</v>
      </c>
      <c r="B2643" s="89" t="s">
        <v>3312</v>
      </c>
      <c r="C2643" s="1">
        <f>245/30</f>
        <v>8.16666666666667</v>
      </c>
      <c r="D2643" s="1">
        <v>0</v>
      </c>
      <c r="F2643" s="2" t="s">
        <v>3313</v>
      </c>
    </row>
    <row r="2644" ht="17" customHeight="1" spans="1:6">
      <c r="A2644" s="56">
        <v>2682</v>
      </c>
      <c r="B2644" s="89" t="s">
        <v>3314</v>
      </c>
      <c r="C2644" s="1">
        <v>9.66666666666667</v>
      </c>
      <c r="D2644" s="1">
        <v>0</v>
      </c>
      <c r="F2644" s="2" t="s">
        <v>3315</v>
      </c>
    </row>
    <row r="2645" ht="17" customHeight="1" spans="1:6">
      <c r="A2645" s="56">
        <v>2683</v>
      </c>
      <c r="B2645" s="89" t="s">
        <v>3316</v>
      </c>
      <c r="C2645" s="1">
        <v>6</v>
      </c>
      <c r="D2645" s="1">
        <v>0</v>
      </c>
      <c r="F2645" s="2" t="s">
        <v>3317</v>
      </c>
    </row>
    <row r="2646" ht="17" customHeight="1" spans="1:6">
      <c r="A2646" s="56">
        <v>2684</v>
      </c>
      <c r="B2646" s="89" t="s">
        <v>3318</v>
      </c>
      <c r="C2646" s="1">
        <v>6</v>
      </c>
      <c r="D2646" s="1">
        <v>0</v>
      </c>
      <c r="F2646" s="2" t="s">
        <v>3317</v>
      </c>
    </row>
    <row r="2647" ht="17" customHeight="1" spans="1:6">
      <c r="A2647" s="56">
        <v>2685</v>
      </c>
      <c r="B2647" s="89" t="s">
        <v>3319</v>
      </c>
      <c r="C2647" s="1">
        <v>1.55</v>
      </c>
      <c r="D2647" s="1">
        <v>0</v>
      </c>
      <c r="F2647" s="2" t="s">
        <v>3320</v>
      </c>
    </row>
    <row r="2648" ht="17" customHeight="1" spans="1:6">
      <c r="A2648" s="56">
        <v>2686</v>
      </c>
      <c r="B2648" s="89" t="s">
        <v>3321</v>
      </c>
      <c r="C2648" s="1">
        <v>0</v>
      </c>
      <c r="D2648" s="1">
        <v>1</v>
      </c>
      <c r="F2648" s="2" t="s">
        <v>3322</v>
      </c>
    </row>
    <row r="2649" ht="17" customHeight="1" spans="1:6">
      <c r="A2649" s="56">
        <v>2687</v>
      </c>
      <c r="B2649" s="89" t="s">
        <v>3323</v>
      </c>
      <c r="C2649" s="1">
        <v>4.4</v>
      </c>
      <c r="D2649" s="1">
        <v>0</v>
      </c>
      <c r="F2649" s="2" t="s">
        <v>3324</v>
      </c>
    </row>
    <row r="2650" ht="17" customHeight="1" spans="1:6">
      <c r="A2650" s="56">
        <v>2688</v>
      </c>
      <c r="B2650" s="89" t="s">
        <v>3325</v>
      </c>
      <c r="C2650" s="1">
        <v>4.4</v>
      </c>
      <c r="D2650" s="1">
        <v>0</v>
      </c>
      <c r="F2650" s="2" t="s">
        <v>3326</v>
      </c>
    </row>
    <row r="2651" ht="17" customHeight="1" spans="1:6">
      <c r="A2651" s="56">
        <v>2689</v>
      </c>
      <c r="B2651" s="89" t="s">
        <v>3327</v>
      </c>
      <c r="C2651" s="1">
        <v>3</v>
      </c>
      <c r="D2651" s="1">
        <v>0</v>
      </c>
      <c r="F2651" s="2" t="s">
        <v>3328</v>
      </c>
    </row>
    <row r="2652" ht="17" customHeight="1" spans="1:6">
      <c r="A2652" s="56">
        <v>2690</v>
      </c>
      <c r="B2652" s="89" t="s">
        <v>3329</v>
      </c>
      <c r="C2652" s="1">
        <v>1</v>
      </c>
      <c r="D2652" s="1">
        <v>0</v>
      </c>
      <c r="F2652" s="2" t="s">
        <v>3330</v>
      </c>
    </row>
    <row r="2653" ht="17" customHeight="1" spans="1:6">
      <c r="A2653" s="56">
        <v>2691</v>
      </c>
      <c r="B2653" s="89" t="s">
        <v>3331</v>
      </c>
      <c r="C2653" s="1">
        <f>154/30</f>
        <v>5.13333333333333</v>
      </c>
      <c r="D2653" s="1">
        <v>0</v>
      </c>
      <c r="F2653" s="2" t="s">
        <v>3332</v>
      </c>
    </row>
    <row r="2654" ht="17" customHeight="1" spans="1:6">
      <c r="A2654" s="56">
        <v>2692</v>
      </c>
      <c r="B2654" s="89" t="s">
        <v>3333</v>
      </c>
      <c r="C2654" s="1">
        <f>160/30</f>
        <v>5.33333333333333</v>
      </c>
      <c r="D2654" s="1">
        <v>0</v>
      </c>
      <c r="F2654" s="2" t="s">
        <v>3334</v>
      </c>
    </row>
    <row r="2655" ht="17" customHeight="1" spans="1:6">
      <c r="A2655" s="56">
        <v>2693</v>
      </c>
      <c r="B2655" s="89" t="s">
        <v>3335</v>
      </c>
      <c r="C2655" s="1">
        <v>1.55</v>
      </c>
      <c r="D2655" s="1">
        <v>0</v>
      </c>
      <c r="F2655" s="2" t="s">
        <v>3336</v>
      </c>
    </row>
    <row r="2656" ht="17" customHeight="1" spans="1:6">
      <c r="A2656" s="56">
        <v>2694</v>
      </c>
      <c r="B2656" s="89" t="s">
        <v>3337</v>
      </c>
      <c r="C2656" s="2">
        <v>1</v>
      </c>
      <c r="D2656" s="2">
        <v>0</v>
      </c>
      <c r="F2656" s="2" t="s">
        <v>3338</v>
      </c>
    </row>
    <row r="2657" ht="17" customHeight="1" spans="1:6">
      <c r="A2657" s="56">
        <v>2695</v>
      </c>
      <c r="B2657" s="89" t="s">
        <v>3339</v>
      </c>
      <c r="C2657" s="1">
        <v>2.93</v>
      </c>
      <c r="D2657" s="1">
        <v>0</v>
      </c>
      <c r="F2657" s="2" t="s">
        <v>3340</v>
      </c>
    </row>
    <row r="2658" ht="17" customHeight="1" spans="1:6">
      <c r="A2658" s="56">
        <v>2696</v>
      </c>
      <c r="B2658" s="89" t="s">
        <v>3341</v>
      </c>
      <c r="C2658" s="1">
        <v>2.7</v>
      </c>
      <c r="D2658" s="1">
        <v>0</v>
      </c>
      <c r="F2658" s="2" t="s">
        <v>3342</v>
      </c>
    </row>
    <row r="2659" ht="17" customHeight="1" spans="1:6">
      <c r="A2659" s="56">
        <v>2697</v>
      </c>
      <c r="B2659" s="89" t="s">
        <v>3343</v>
      </c>
      <c r="C2659" s="1">
        <v>2.35</v>
      </c>
      <c r="D2659" s="1">
        <v>0</v>
      </c>
      <c r="F2659" s="2" t="s">
        <v>3344</v>
      </c>
    </row>
    <row r="2660" ht="17" customHeight="1" spans="1:6">
      <c r="A2660" s="56">
        <v>2698</v>
      </c>
      <c r="B2660" s="89" t="s">
        <v>3345</v>
      </c>
      <c r="C2660" s="1">
        <v>1</v>
      </c>
      <c r="D2660" s="1">
        <v>0</v>
      </c>
      <c r="F2660" s="2" t="s">
        <v>3346</v>
      </c>
    </row>
    <row r="2661" ht="17" customHeight="1" spans="1:6">
      <c r="A2661" s="56">
        <v>2699</v>
      </c>
      <c r="B2661" s="89" t="s">
        <v>3347</v>
      </c>
      <c r="C2661" s="1">
        <v>3.6</v>
      </c>
      <c r="D2661" s="1">
        <v>0</v>
      </c>
      <c r="F2661" s="2" t="s">
        <v>3348</v>
      </c>
    </row>
    <row r="2662" ht="17" customHeight="1" spans="1:6">
      <c r="A2662" s="56">
        <v>2700</v>
      </c>
      <c r="B2662" s="89" t="s">
        <v>3349</v>
      </c>
      <c r="C2662" s="1">
        <v>2.4</v>
      </c>
      <c r="D2662" s="1">
        <v>0</v>
      </c>
      <c r="F2662" s="2" t="s">
        <v>3350</v>
      </c>
    </row>
    <row r="2663" ht="17" customHeight="1" spans="1:6">
      <c r="A2663" s="56">
        <v>2701</v>
      </c>
      <c r="B2663" s="89" t="s">
        <v>3351</v>
      </c>
      <c r="C2663" s="1">
        <f>87/30</f>
        <v>2.9</v>
      </c>
      <c r="D2663" s="1">
        <v>0</v>
      </c>
      <c r="F2663" s="2" t="s">
        <v>3352</v>
      </c>
    </row>
    <row r="2664" ht="17" customHeight="1" spans="1:6">
      <c r="A2664" s="56">
        <v>2702</v>
      </c>
      <c r="B2664" s="89" t="s">
        <v>3353</v>
      </c>
      <c r="C2664" s="1">
        <f>68/30</f>
        <v>2.26666666666667</v>
      </c>
      <c r="D2664" s="1">
        <v>0</v>
      </c>
      <c r="F2664" s="2" t="s">
        <v>3354</v>
      </c>
    </row>
    <row r="2665" ht="17" customHeight="1" spans="1:6">
      <c r="A2665" s="56">
        <v>2703</v>
      </c>
      <c r="B2665" s="89" t="s">
        <v>3355</v>
      </c>
      <c r="C2665" s="1">
        <f>70/30</f>
        <v>2.33333333333333</v>
      </c>
      <c r="D2665" s="1">
        <v>0</v>
      </c>
      <c r="F2665" s="2" t="s">
        <v>3356</v>
      </c>
    </row>
    <row r="2666" ht="17" customHeight="1" spans="1:6">
      <c r="A2666" s="56">
        <v>2704</v>
      </c>
      <c r="B2666" s="89" t="s">
        <v>3357</v>
      </c>
      <c r="C2666" s="1">
        <f>62/30</f>
        <v>2.06666666666667</v>
      </c>
      <c r="D2666" s="1">
        <v>0</v>
      </c>
      <c r="F2666" s="2" t="s">
        <v>3358</v>
      </c>
    </row>
    <row r="2667" ht="17" customHeight="1" spans="1:6">
      <c r="A2667" s="56">
        <v>2705</v>
      </c>
      <c r="B2667" s="89" t="s">
        <v>3359</v>
      </c>
      <c r="C2667" s="2">
        <f>60/30</f>
        <v>2</v>
      </c>
      <c r="D2667" s="1">
        <v>0</v>
      </c>
      <c r="F2667" s="2" t="s">
        <v>3360</v>
      </c>
    </row>
    <row r="2668" ht="17" customHeight="1" spans="1:6">
      <c r="A2668" s="56">
        <v>2706</v>
      </c>
      <c r="B2668" s="89" t="s">
        <v>3361</v>
      </c>
      <c r="C2668" s="1">
        <v>1</v>
      </c>
      <c r="D2668" s="1">
        <v>0</v>
      </c>
      <c r="F2668" s="2" t="s">
        <v>3362</v>
      </c>
    </row>
    <row r="2669" ht="17" customHeight="1" spans="1:6">
      <c r="A2669" s="56">
        <v>2707</v>
      </c>
      <c r="B2669" s="89" t="s">
        <v>3363</v>
      </c>
      <c r="C2669" s="1">
        <f>83/30</f>
        <v>2.76666666666667</v>
      </c>
      <c r="D2669" s="1">
        <v>0</v>
      </c>
      <c r="F2669" s="2" t="s">
        <v>3364</v>
      </c>
    </row>
    <row r="2670" ht="17" customHeight="1" spans="1:6">
      <c r="A2670" s="56">
        <v>2708</v>
      </c>
      <c r="B2670" s="89" t="s">
        <v>3365</v>
      </c>
      <c r="C2670" s="1">
        <v>1</v>
      </c>
      <c r="D2670" s="1">
        <v>0</v>
      </c>
      <c r="F2670" s="2" t="s">
        <v>3366</v>
      </c>
    </row>
    <row r="2671" ht="17" customHeight="1" spans="1:6">
      <c r="A2671" s="56">
        <v>2709</v>
      </c>
      <c r="B2671" s="89" t="s">
        <v>3367</v>
      </c>
      <c r="C2671" s="1">
        <f>89/30</f>
        <v>2.96666666666667</v>
      </c>
      <c r="D2671" s="1">
        <v>0</v>
      </c>
      <c r="F2671" s="2" t="s">
        <v>3368</v>
      </c>
    </row>
    <row r="2672" ht="17" customHeight="1" spans="1:6">
      <c r="A2672" s="56">
        <v>2710</v>
      </c>
      <c r="B2672" s="89" t="s">
        <v>3369</v>
      </c>
      <c r="C2672" s="1">
        <v>1</v>
      </c>
      <c r="D2672" s="1">
        <v>0</v>
      </c>
      <c r="F2672" s="2" t="s">
        <v>3370</v>
      </c>
    </row>
    <row r="2673" ht="17" customHeight="1" spans="1:6">
      <c r="A2673" s="56">
        <v>2711</v>
      </c>
      <c r="B2673" s="89" t="s">
        <v>3371</v>
      </c>
      <c r="C2673" s="1">
        <f>60/30</f>
        <v>2</v>
      </c>
      <c r="D2673" s="1">
        <v>0</v>
      </c>
      <c r="F2673" s="2" t="s">
        <v>3372</v>
      </c>
    </row>
    <row r="2674" ht="17" customHeight="1" spans="1:6">
      <c r="A2674" s="56">
        <v>2712</v>
      </c>
      <c r="B2674" s="89" t="s">
        <v>3373</v>
      </c>
      <c r="C2674" s="1">
        <v>1</v>
      </c>
      <c r="D2674" s="1">
        <v>0</v>
      </c>
      <c r="F2674" s="2" t="s">
        <v>3374</v>
      </c>
    </row>
    <row r="2675" ht="17" customHeight="1" spans="1:6">
      <c r="A2675" s="56">
        <v>2713</v>
      </c>
      <c r="B2675" s="89" t="s">
        <v>3375</v>
      </c>
      <c r="C2675" s="1">
        <f>65/30</f>
        <v>2.16666666666667</v>
      </c>
      <c r="D2675" s="1">
        <v>0</v>
      </c>
      <c r="F2675" s="2" t="s">
        <v>3376</v>
      </c>
    </row>
    <row r="2676" ht="17" customHeight="1" spans="1:6">
      <c r="A2676" s="56">
        <v>2714</v>
      </c>
      <c r="B2676" s="89" t="s">
        <v>3377</v>
      </c>
      <c r="C2676" s="1">
        <v>1</v>
      </c>
      <c r="D2676" s="1">
        <v>0</v>
      </c>
      <c r="F2676" s="2" t="s">
        <v>3378</v>
      </c>
    </row>
    <row r="2677" ht="17" customHeight="1" spans="1:6">
      <c r="A2677" s="56">
        <v>2715</v>
      </c>
      <c r="B2677" s="89" t="s">
        <v>3379</v>
      </c>
      <c r="C2677" s="2">
        <f>53/30</f>
        <v>1.76666666666667</v>
      </c>
      <c r="D2677" s="1">
        <v>0</v>
      </c>
      <c r="F2677" s="2" t="s">
        <v>3380</v>
      </c>
    </row>
    <row r="2678" ht="17" customHeight="1" spans="1:6">
      <c r="A2678" s="56">
        <v>2716</v>
      </c>
      <c r="B2678" s="89" t="s">
        <v>3381</v>
      </c>
      <c r="C2678" s="2">
        <f>79/30</f>
        <v>2.63333333333333</v>
      </c>
      <c r="D2678" s="1">
        <v>0</v>
      </c>
      <c r="F2678" s="2" t="s">
        <v>3382</v>
      </c>
    </row>
    <row r="2679" ht="17" customHeight="1" spans="1:6">
      <c r="A2679" s="56">
        <v>2717</v>
      </c>
      <c r="B2679" s="89" t="s">
        <v>3383</v>
      </c>
      <c r="C2679" s="2">
        <f>150/30</f>
        <v>5</v>
      </c>
      <c r="D2679" s="1">
        <v>0</v>
      </c>
      <c r="F2679" s="2" t="s">
        <v>3384</v>
      </c>
    </row>
    <row r="2680" ht="17" customHeight="1" spans="1:4">
      <c r="A2680" s="56">
        <v>2718</v>
      </c>
      <c r="B2680" s="89" t="s">
        <v>3385</v>
      </c>
      <c r="C2680" s="2">
        <v>4</v>
      </c>
      <c r="D2680" s="1">
        <v>0</v>
      </c>
    </row>
    <row r="2681" ht="17" customHeight="1" spans="1:4">
      <c r="A2681" s="56">
        <v>2719</v>
      </c>
      <c r="B2681" s="89" t="s">
        <v>3386</v>
      </c>
      <c r="C2681" s="2">
        <v>1</v>
      </c>
      <c r="D2681" s="1">
        <v>0</v>
      </c>
    </row>
    <row r="2682" ht="17" customHeight="1" spans="1:4">
      <c r="A2682" s="56">
        <v>2720</v>
      </c>
      <c r="B2682" s="89" t="s">
        <v>3387</v>
      </c>
      <c r="C2682" s="2">
        <v>2</v>
      </c>
      <c r="D2682" s="1">
        <v>0</v>
      </c>
    </row>
    <row r="2683" ht="17" customHeight="1" spans="1:4">
      <c r="A2683" s="56">
        <v>2721</v>
      </c>
      <c r="B2683" s="89" t="s">
        <v>3388</v>
      </c>
      <c r="C2683" s="2">
        <v>2</v>
      </c>
      <c r="D2683" s="1">
        <v>0</v>
      </c>
    </row>
    <row r="2684" ht="17" customHeight="1" spans="1:4">
      <c r="A2684" s="56">
        <v>2722</v>
      </c>
      <c r="B2684" s="89" t="s">
        <v>3389</v>
      </c>
      <c r="C2684" s="2">
        <v>2</v>
      </c>
      <c r="D2684" s="1">
        <v>0</v>
      </c>
    </row>
    <row r="2685" ht="17" customHeight="1" spans="1:4">
      <c r="A2685" s="56">
        <v>2723</v>
      </c>
      <c r="B2685" s="89" t="s">
        <v>3390</v>
      </c>
      <c r="C2685" s="2">
        <f>220/30</f>
        <v>7.33333333333333</v>
      </c>
      <c r="D2685" s="1">
        <v>0</v>
      </c>
    </row>
    <row r="2686" ht="17" customHeight="1" spans="1:4">
      <c r="A2686" s="56">
        <v>2724</v>
      </c>
      <c r="B2686" s="89" t="s">
        <v>3391</v>
      </c>
      <c r="C2686" s="2">
        <f>120/30</f>
        <v>4</v>
      </c>
      <c r="D2686" s="1">
        <v>0</v>
      </c>
    </row>
    <row r="2687" ht="17" customHeight="1" spans="1:4">
      <c r="A2687" s="56">
        <v>2725</v>
      </c>
      <c r="B2687" s="89" t="s">
        <v>3392</v>
      </c>
      <c r="C2687" s="2">
        <v>1</v>
      </c>
      <c r="D2687" s="1">
        <v>0</v>
      </c>
    </row>
    <row r="2688" ht="17" customHeight="1" spans="1:4">
      <c r="A2688" s="56">
        <v>2726</v>
      </c>
      <c r="B2688" s="89" t="s">
        <v>3393</v>
      </c>
      <c r="C2688" s="2">
        <f>95/30</f>
        <v>3.16666666666667</v>
      </c>
      <c r="D2688" s="1">
        <v>0</v>
      </c>
    </row>
    <row r="2689" ht="17" customHeight="1" spans="1:4">
      <c r="A2689" s="56">
        <v>2727</v>
      </c>
      <c r="B2689" s="89" t="s">
        <v>3394</v>
      </c>
      <c r="C2689" s="2">
        <v>2</v>
      </c>
      <c r="D2689" s="1">
        <v>0</v>
      </c>
    </row>
    <row r="2690" ht="17" customHeight="1" spans="1:4">
      <c r="A2690" s="56">
        <v>2728</v>
      </c>
      <c r="B2690" s="89" t="s">
        <v>3395</v>
      </c>
      <c r="C2690" s="2">
        <v>1</v>
      </c>
      <c r="D2690" s="1">
        <v>0</v>
      </c>
    </row>
    <row r="2691" ht="17" customHeight="1" spans="1:4">
      <c r="A2691" s="56">
        <v>2729</v>
      </c>
      <c r="B2691" s="89" t="s">
        <v>3396</v>
      </c>
      <c r="C2691" s="2">
        <v>2</v>
      </c>
      <c r="D2691" s="1">
        <v>0</v>
      </c>
    </row>
    <row r="2692" ht="17" customHeight="1" spans="1:4">
      <c r="A2692" s="56">
        <v>2730</v>
      </c>
      <c r="B2692" s="89" t="s">
        <v>3397</v>
      </c>
      <c r="C2692" s="2">
        <v>1</v>
      </c>
      <c r="D2692" s="1">
        <v>0</v>
      </c>
    </row>
    <row r="2693" ht="17" customHeight="1" spans="1:4">
      <c r="A2693" s="56">
        <v>2731</v>
      </c>
      <c r="B2693" s="89" t="s">
        <v>3398</v>
      </c>
      <c r="C2693" s="2">
        <f>280/30</f>
        <v>9.33333333333333</v>
      </c>
      <c r="D2693" s="1">
        <v>0</v>
      </c>
    </row>
    <row r="2694" ht="17" customHeight="1" spans="1:4">
      <c r="A2694" s="56">
        <v>2732</v>
      </c>
      <c r="B2694" s="89" t="s">
        <v>3399</v>
      </c>
      <c r="C2694" s="2">
        <f>244/30</f>
        <v>8.13333333333333</v>
      </c>
      <c r="D2694" s="1">
        <v>0</v>
      </c>
    </row>
    <row r="2695" ht="17" customHeight="1" spans="1:6">
      <c r="A2695" s="56">
        <v>2733</v>
      </c>
      <c r="B2695" s="89" t="s">
        <v>3400</v>
      </c>
      <c r="C2695" s="2">
        <v>0</v>
      </c>
      <c r="D2695" s="1">
        <v>1</v>
      </c>
      <c r="F2695" s="2" t="s">
        <v>3401</v>
      </c>
    </row>
    <row r="2696" ht="17" customHeight="1" spans="1:6">
      <c r="A2696" s="56">
        <v>2734</v>
      </c>
      <c r="B2696" s="89" t="s">
        <v>3402</v>
      </c>
      <c r="C2696" s="2">
        <v>0</v>
      </c>
      <c r="D2696" s="1">
        <v>1</v>
      </c>
      <c r="F2696" s="2" t="s">
        <v>3403</v>
      </c>
    </row>
    <row r="2697" ht="17" customHeight="1" spans="1:6">
      <c r="A2697" s="56">
        <v>2735</v>
      </c>
      <c r="B2697" s="89" t="s">
        <v>3404</v>
      </c>
      <c r="C2697" s="2">
        <v>0</v>
      </c>
      <c r="D2697" s="1">
        <v>1</v>
      </c>
      <c r="F2697" s="2" t="s">
        <v>3405</v>
      </c>
    </row>
    <row r="2698" ht="17" customHeight="1" spans="1:4">
      <c r="A2698" s="56">
        <v>2736</v>
      </c>
      <c r="B2698" s="89" t="s">
        <v>3406</v>
      </c>
      <c r="C2698" s="2">
        <f>48/30</f>
        <v>1.6</v>
      </c>
      <c r="D2698" s="1">
        <v>0</v>
      </c>
    </row>
    <row r="2699" ht="17" customHeight="1" spans="1:4">
      <c r="A2699" s="56">
        <v>2737</v>
      </c>
      <c r="B2699" s="89" t="s">
        <v>3407</v>
      </c>
      <c r="C2699" s="2">
        <v>1</v>
      </c>
      <c r="D2699" s="1">
        <v>0</v>
      </c>
    </row>
    <row r="2700" ht="17" customHeight="1" spans="1:4">
      <c r="A2700" s="56">
        <v>2738</v>
      </c>
      <c r="B2700" s="89" t="s">
        <v>3408</v>
      </c>
      <c r="C2700" s="2">
        <f>98/30</f>
        <v>3.26666666666667</v>
      </c>
      <c r="D2700" s="1">
        <v>0</v>
      </c>
    </row>
    <row r="2701" ht="17" customHeight="1" spans="1:4">
      <c r="A2701" s="56">
        <v>2739</v>
      </c>
      <c r="B2701" s="89" t="s">
        <v>3409</v>
      </c>
      <c r="C2701" s="2">
        <v>1.23333</v>
      </c>
      <c r="D2701" s="1">
        <v>0</v>
      </c>
    </row>
    <row r="2702" ht="17" customHeight="1" spans="1:4">
      <c r="A2702" s="56">
        <v>2740</v>
      </c>
      <c r="B2702" s="89" t="s">
        <v>3410</v>
      </c>
      <c r="C2702" s="2">
        <v>1</v>
      </c>
      <c r="D2702" s="1">
        <v>0</v>
      </c>
    </row>
    <row r="2703" ht="17" customHeight="1" spans="1:4">
      <c r="A2703" s="56">
        <v>2741</v>
      </c>
      <c r="B2703" s="89" t="s">
        <v>3411</v>
      </c>
      <c r="C2703" s="2">
        <f>77/30</f>
        <v>2.56666666666667</v>
      </c>
      <c r="D2703" s="1">
        <v>0</v>
      </c>
    </row>
    <row r="2704" ht="17" customHeight="1" spans="1:4">
      <c r="A2704" s="56">
        <v>2742</v>
      </c>
      <c r="B2704" s="89" t="s">
        <v>3412</v>
      </c>
      <c r="C2704" s="2">
        <v>1</v>
      </c>
      <c r="D2704" s="1">
        <v>0</v>
      </c>
    </row>
    <row r="2705" ht="17" customHeight="1" spans="1:4">
      <c r="A2705" s="56">
        <v>2743</v>
      </c>
      <c r="B2705" s="89" t="s">
        <v>3413</v>
      </c>
      <c r="C2705" s="2">
        <v>1</v>
      </c>
      <c r="D2705" s="1">
        <v>0</v>
      </c>
    </row>
    <row r="2706" ht="17" customHeight="1" spans="1:4">
      <c r="A2706" s="56">
        <v>2744</v>
      </c>
      <c r="B2706" s="89" t="s">
        <v>3414</v>
      </c>
      <c r="C2706" s="2">
        <f>232/30</f>
        <v>7.73333333333333</v>
      </c>
      <c r="D2706" s="1">
        <v>0</v>
      </c>
    </row>
    <row r="2707" ht="17" customHeight="1" spans="1:4">
      <c r="A2707" s="56">
        <v>2745</v>
      </c>
      <c r="B2707" s="89" t="s">
        <v>3415</v>
      </c>
      <c r="C2707" s="2">
        <f>68/30</f>
        <v>2.26666666666667</v>
      </c>
      <c r="D2707" s="1">
        <v>0</v>
      </c>
    </row>
    <row r="2708" ht="17" customHeight="1" spans="1:4">
      <c r="A2708" s="56">
        <v>2746</v>
      </c>
      <c r="B2708" s="89" t="s">
        <v>3416</v>
      </c>
      <c r="C2708" s="2">
        <v>1</v>
      </c>
      <c r="D2708" s="1">
        <v>0</v>
      </c>
    </row>
    <row r="2709" ht="17" customHeight="1" spans="1:4">
      <c r="A2709" s="56">
        <v>2747</v>
      </c>
      <c r="B2709" s="89" t="s">
        <v>3417</v>
      </c>
      <c r="C2709" s="2">
        <f>120/30</f>
        <v>4</v>
      </c>
      <c r="D2709" s="1">
        <v>0</v>
      </c>
    </row>
    <row r="2710" ht="17" customHeight="1" spans="1:4">
      <c r="A2710" s="56">
        <v>2748</v>
      </c>
      <c r="B2710" s="89" t="s">
        <v>3418</v>
      </c>
      <c r="C2710" s="2">
        <v>1</v>
      </c>
      <c r="D2710" s="1">
        <v>0</v>
      </c>
    </row>
    <row r="2711" ht="17" customHeight="1" spans="1:4">
      <c r="A2711" s="56">
        <v>2749</v>
      </c>
      <c r="B2711" s="89" t="s">
        <v>3419</v>
      </c>
      <c r="C2711" s="2">
        <f>226/30</f>
        <v>7.53333333333333</v>
      </c>
      <c r="D2711" s="1">
        <v>0</v>
      </c>
    </row>
    <row r="2712" ht="17" customHeight="1" spans="1:4">
      <c r="A2712" s="56">
        <v>2750</v>
      </c>
      <c r="B2712" s="89" t="s">
        <v>3420</v>
      </c>
      <c r="C2712" s="2">
        <f>67/30</f>
        <v>2.23333333333333</v>
      </c>
      <c r="D2712" s="1">
        <v>0</v>
      </c>
    </row>
    <row r="2713" ht="17" customHeight="1" spans="1:4">
      <c r="A2713" s="56">
        <v>2751</v>
      </c>
      <c r="B2713" s="89" t="s">
        <v>3421</v>
      </c>
      <c r="C2713" s="2">
        <v>1</v>
      </c>
      <c r="D2713" s="1">
        <v>0</v>
      </c>
    </row>
    <row r="2714" ht="17" customHeight="1" spans="1:4">
      <c r="A2714" s="56">
        <v>2752</v>
      </c>
      <c r="B2714" s="89" t="s">
        <v>3422</v>
      </c>
      <c r="C2714" s="2">
        <v>1</v>
      </c>
      <c r="D2714" s="1">
        <v>0</v>
      </c>
    </row>
    <row r="2715" ht="17" customHeight="1" spans="1:6">
      <c r="A2715" s="56">
        <v>2753</v>
      </c>
      <c r="B2715" s="89" t="s">
        <v>3423</v>
      </c>
      <c r="C2715" s="2">
        <f>268/30</f>
        <v>8.93333333333333</v>
      </c>
      <c r="D2715" s="1">
        <v>0</v>
      </c>
      <c r="F2715" s="2" t="s">
        <v>3424</v>
      </c>
    </row>
    <row r="2716" ht="17" customHeight="1" spans="1:6">
      <c r="A2716" s="56">
        <v>2754</v>
      </c>
      <c r="B2716" s="89" t="s">
        <v>3425</v>
      </c>
      <c r="C2716" s="2">
        <f>185/30</f>
        <v>6.16666666666667</v>
      </c>
      <c r="D2716" s="1">
        <v>0</v>
      </c>
      <c r="F2716" s="2" t="s">
        <v>3426</v>
      </c>
    </row>
    <row r="2717" ht="17" customHeight="1" spans="1:6">
      <c r="A2717" s="56">
        <v>2755</v>
      </c>
      <c r="B2717" s="89" t="s">
        <v>3427</v>
      </c>
      <c r="C2717" s="2">
        <f>348/30</f>
        <v>11.6</v>
      </c>
      <c r="D2717" s="1">
        <v>0</v>
      </c>
      <c r="F2717" s="2" t="s">
        <v>3428</v>
      </c>
    </row>
    <row r="2718" ht="17" customHeight="1" spans="1:6">
      <c r="A2718" s="56">
        <v>2756</v>
      </c>
      <c r="B2718" s="89" t="s">
        <v>3429</v>
      </c>
      <c r="C2718" s="2">
        <v>11.6</v>
      </c>
      <c r="D2718" s="1">
        <v>0</v>
      </c>
      <c r="F2718" s="2" t="s">
        <v>3430</v>
      </c>
    </row>
    <row r="2719" ht="17" customHeight="1" spans="1:6">
      <c r="A2719" s="56">
        <v>2757</v>
      </c>
      <c r="B2719" s="89" t="s">
        <v>3431</v>
      </c>
      <c r="C2719" s="2">
        <v>11.6</v>
      </c>
      <c r="D2719" s="1">
        <v>0</v>
      </c>
      <c r="F2719" s="2" t="s">
        <v>3430</v>
      </c>
    </row>
    <row r="2720" ht="17" customHeight="1" spans="1:6">
      <c r="A2720" s="56">
        <v>2758</v>
      </c>
      <c r="B2720" s="89" t="s">
        <v>3432</v>
      </c>
      <c r="C2720" s="2">
        <f>185/30</f>
        <v>6.16666666666667</v>
      </c>
      <c r="D2720" s="1">
        <v>0</v>
      </c>
      <c r="F2720" s="2" t="s">
        <v>3433</v>
      </c>
    </row>
    <row r="2721" ht="17" customHeight="1" spans="1:6">
      <c r="A2721" s="56">
        <v>2759</v>
      </c>
      <c r="B2721" s="89" t="s">
        <v>3434</v>
      </c>
      <c r="C2721" s="2">
        <f>185/30</f>
        <v>6.16666666666667</v>
      </c>
      <c r="D2721" s="1">
        <v>0</v>
      </c>
      <c r="F2721" s="2" t="s">
        <v>3433</v>
      </c>
    </row>
    <row r="2722" ht="17" customHeight="1" spans="1:6">
      <c r="A2722" s="56">
        <v>2760</v>
      </c>
      <c r="B2722" s="89" t="s">
        <v>3435</v>
      </c>
      <c r="C2722" s="2">
        <f>348/30</f>
        <v>11.6</v>
      </c>
      <c r="D2722" s="1">
        <v>0</v>
      </c>
      <c r="F2722" s="2" t="s">
        <v>3436</v>
      </c>
    </row>
    <row r="2723" ht="17" customHeight="1" spans="1:6">
      <c r="A2723" s="56">
        <v>2761</v>
      </c>
      <c r="B2723" s="89" t="s">
        <v>3437</v>
      </c>
      <c r="C2723" s="2">
        <f>82/30</f>
        <v>2.73333333333333</v>
      </c>
      <c r="D2723" s="1">
        <v>0</v>
      </c>
      <c r="F2723" s="2" t="s">
        <v>3438</v>
      </c>
    </row>
    <row r="2724" ht="17" customHeight="1" spans="1:6">
      <c r="A2724" s="56">
        <v>2762</v>
      </c>
      <c r="B2724" s="89" t="s">
        <v>3439</v>
      </c>
      <c r="C2724" s="2">
        <v>1</v>
      </c>
      <c r="D2724" s="1">
        <v>0</v>
      </c>
      <c r="F2724" s="2" t="s">
        <v>3440</v>
      </c>
    </row>
    <row r="2725" ht="17" customHeight="1" spans="1:6">
      <c r="A2725" s="56">
        <v>2763</v>
      </c>
      <c r="B2725" s="89" t="s">
        <v>3441</v>
      </c>
      <c r="C2725" s="2">
        <f>82/30</f>
        <v>2.73333333333333</v>
      </c>
      <c r="D2725" s="1">
        <v>0</v>
      </c>
      <c r="F2725" s="2" t="s">
        <v>3442</v>
      </c>
    </row>
    <row r="2726" ht="17" customHeight="1" spans="1:6">
      <c r="A2726" s="56">
        <v>2764</v>
      </c>
      <c r="B2726" s="89" t="s">
        <v>3443</v>
      </c>
      <c r="C2726" s="2">
        <f>140/30</f>
        <v>4.66666666666667</v>
      </c>
      <c r="D2726" s="1">
        <v>0</v>
      </c>
      <c r="F2726" s="2" t="s">
        <v>3444</v>
      </c>
    </row>
    <row r="2727" ht="17" customHeight="1" spans="1:6">
      <c r="A2727" s="56">
        <v>2765</v>
      </c>
      <c r="B2727" s="89" t="s">
        <v>3445</v>
      </c>
      <c r="C2727" s="2">
        <f>55/30</f>
        <v>1.83333333333333</v>
      </c>
      <c r="D2727" s="1">
        <v>0</v>
      </c>
      <c r="F2727" s="2" t="s">
        <v>3446</v>
      </c>
    </row>
    <row r="2728" ht="17" customHeight="1" spans="1:6">
      <c r="A2728" s="56">
        <v>2766</v>
      </c>
      <c r="B2728" s="89" t="s">
        <v>3447</v>
      </c>
      <c r="C2728" s="2">
        <v>1</v>
      </c>
      <c r="D2728" s="1">
        <v>0</v>
      </c>
      <c r="F2728" s="2" t="s">
        <v>3448</v>
      </c>
    </row>
    <row r="2729" ht="17" customHeight="1" spans="1:6">
      <c r="A2729" s="56">
        <v>2767</v>
      </c>
      <c r="B2729" s="89" t="s">
        <v>3449</v>
      </c>
      <c r="C2729" s="2">
        <f>91/30</f>
        <v>3.03333333333333</v>
      </c>
      <c r="D2729" s="1">
        <v>0</v>
      </c>
      <c r="F2729" s="2" t="s">
        <v>3450</v>
      </c>
    </row>
    <row r="2730" ht="17" customHeight="1" spans="1:6">
      <c r="A2730" s="56">
        <v>2768</v>
      </c>
      <c r="B2730" s="89" t="s">
        <v>3451</v>
      </c>
      <c r="C2730" s="2">
        <v>1</v>
      </c>
      <c r="D2730" s="1">
        <v>0</v>
      </c>
      <c r="F2730" s="2" t="s">
        <v>3452</v>
      </c>
    </row>
    <row r="2731" ht="17" customHeight="1" spans="1:6">
      <c r="A2731" s="56">
        <v>2769</v>
      </c>
      <c r="B2731" s="89" t="s">
        <v>3453</v>
      </c>
      <c r="C2731" s="2">
        <f>80/30</f>
        <v>2.66666666666667</v>
      </c>
      <c r="D2731" s="1">
        <v>0</v>
      </c>
      <c r="F2731" s="2" t="s">
        <v>3454</v>
      </c>
    </row>
    <row r="2732" ht="17" customHeight="1" spans="1:6">
      <c r="A2732" s="56">
        <v>2770</v>
      </c>
      <c r="B2732" s="89" t="s">
        <v>3455</v>
      </c>
      <c r="C2732" s="2">
        <v>1</v>
      </c>
      <c r="D2732" s="1">
        <v>0</v>
      </c>
      <c r="F2732" s="2" t="s">
        <v>3456</v>
      </c>
    </row>
    <row r="2733" ht="17" customHeight="1" spans="1:6">
      <c r="A2733" s="56">
        <v>2771</v>
      </c>
      <c r="B2733" s="89" t="s">
        <v>3457</v>
      </c>
      <c r="C2733" s="2">
        <f>245/30</f>
        <v>8.16666666666667</v>
      </c>
      <c r="D2733" s="1">
        <v>0</v>
      </c>
      <c r="F2733" s="2" t="s">
        <v>3458</v>
      </c>
    </row>
    <row r="2734" ht="17" customHeight="1" spans="1:6">
      <c r="A2734" s="56">
        <v>2772</v>
      </c>
      <c r="B2734" s="89" t="s">
        <v>3459</v>
      </c>
      <c r="C2734" s="2">
        <f>245/30</f>
        <v>8.16666666666667</v>
      </c>
      <c r="D2734" s="1">
        <v>0</v>
      </c>
      <c r="F2734" s="2" t="s">
        <v>3460</v>
      </c>
    </row>
    <row r="2735" ht="17" customHeight="1" spans="1:6">
      <c r="A2735" s="56">
        <v>2773</v>
      </c>
      <c r="B2735" s="89" t="s">
        <v>3461</v>
      </c>
      <c r="C2735" s="2">
        <f>282/30</f>
        <v>9.4</v>
      </c>
      <c r="D2735" s="1">
        <v>0</v>
      </c>
      <c r="F2735" s="2" t="s">
        <v>3462</v>
      </c>
    </row>
    <row r="2736" ht="17" customHeight="1" spans="1:6">
      <c r="A2736" s="56">
        <v>2774</v>
      </c>
      <c r="B2736" s="89" t="s">
        <v>3463</v>
      </c>
      <c r="C2736" s="2">
        <f>282/30</f>
        <v>9.4</v>
      </c>
      <c r="D2736" s="1">
        <v>0</v>
      </c>
      <c r="F2736" s="2" t="s">
        <v>3464</v>
      </c>
    </row>
    <row r="2737" ht="17" customHeight="1" spans="1:6">
      <c r="A2737" s="56">
        <v>2775</v>
      </c>
      <c r="B2737" s="89" t="s">
        <v>3465</v>
      </c>
      <c r="C2737" s="2">
        <f>115/30</f>
        <v>3.83333333333333</v>
      </c>
      <c r="D2737" s="1">
        <v>0</v>
      </c>
      <c r="F2737" s="2" t="s">
        <v>3466</v>
      </c>
    </row>
    <row r="2738" ht="17" customHeight="1" spans="1:6">
      <c r="A2738" s="56">
        <v>2776</v>
      </c>
      <c r="B2738" s="89" t="s">
        <v>3467</v>
      </c>
      <c r="C2738" s="2">
        <f>60/30</f>
        <v>2</v>
      </c>
      <c r="D2738" s="1">
        <v>1</v>
      </c>
      <c r="F2738" s="2" t="s">
        <v>3468</v>
      </c>
    </row>
    <row r="2739" ht="17" customHeight="1" spans="1:6">
      <c r="A2739" s="56">
        <v>2777</v>
      </c>
      <c r="B2739" s="89" t="s">
        <v>3469</v>
      </c>
      <c r="C2739" s="2">
        <f>378/30</f>
        <v>12.6</v>
      </c>
      <c r="D2739" s="1">
        <v>0</v>
      </c>
      <c r="F2739" s="2" t="s">
        <v>3470</v>
      </c>
    </row>
    <row r="2740" ht="17" customHeight="1" spans="1:6">
      <c r="A2740" s="56">
        <v>2778</v>
      </c>
      <c r="B2740" s="89" t="s">
        <v>3471</v>
      </c>
      <c r="C2740" s="2">
        <f>378/30</f>
        <v>12.6</v>
      </c>
      <c r="D2740" s="1">
        <v>0</v>
      </c>
      <c r="F2740" s="2" t="s">
        <v>3472</v>
      </c>
    </row>
    <row r="2741" ht="17" customHeight="1" spans="1:6">
      <c r="A2741" s="56">
        <v>2779</v>
      </c>
      <c r="B2741" s="89" t="s">
        <v>3473</v>
      </c>
      <c r="C2741" s="2">
        <v>12.6</v>
      </c>
      <c r="D2741" s="1">
        <v>0</v>
      </c>
      <c r="F2741" s="2" t="s">
        <v>3474</v>
      </c>
    </row>
    <row r="2742" ht="17" customHeight="1" spans="1:6">
      <c r="A2742" s="56">
        <v>2780</v>
      </c>
      <c r="B2742" s="89" t="s">
        <v>3475</v>
      </c>
      <c r="C2742" s="2">
        <f>115/30</f>
        <v>3.83333333333333</v>
      </c>
      <c r="D2742" s="1">
        <v>0</v>
      </c>
      <c r="F2742" s="2" t="s">
        <v>3476</v>
      </c>
    </row>
    <row r="2743" ht="17" customHeight="1" spans="1:6">
      <c r="A2743" s="56">
        <v>2781</v>
      </c>
      <c r="B2743" s="89" t="s">
        <v>3477</v>
      </c>
      <c r="C2743" s="2">
        <v>1</v>
      </c>
      <c r="D2743" s="1">
        <v>0</v>
      </c>
      <c r="F2743" s="2" t="s">
        <v>3478</v>
      </c>
    </row>
    <row r="2744" ht="17" customHeight="1" spans="1:6">
      <c r="A2744" s="56">
        <v>2782</v>
      </c>
      <c r="B2744" s="89" t="s">
        <v>3479</v>
      </c>
      <c r="C2744" s="2">
        <v>0</v>
      </c>
      <c r="D2744" s="1">
        <v>1</v>
      </c>
      <c r="F2744" s="2" t="s">
        <v>3480</v>
      </c>
    </row>
    <row r="2745" ht="17" customHeight="1" spans="1:6">
      <c r="A2745" s="56">
        <v>2783</v>
      </c>
      <c r="B2745" s="89" t="s">
        <v>3481</v>
      </c>
      <c r="C2745" s="2">
        <v>2</v>
      </c>
      <c r="D2745" s="1">
        <v>0</v>
      </c>
      <c r="F2745" s="2" t="s">
        <v>3482</v>
      </c>
    </row>
    <row r="2746" ht="17" customHeight="1" spans="1:6">
      <c r="A2746" s="56">
        <v>2784</v>
      </c>
      <c r="B2746" s="89" t="s">
        <v>3483</v>
      </c>
      <c r="C2746" s="2">
        <v>3.5</v>
      </c>
      <c r="D2746" s="1">
        <v>0</v>
      </c>
      <c r="F2746" s="2" t="s">
        <v>3484</v>
      </c>
    </row>
    <row r="2747" ht="17" customHeight="1" spans="1:6">
      <c r="A2747" s="56">
        <v>2785</v>
      </c>
      <c r="B2747" s="89" t="s">
        <v>3485</v>
      </c>
      <c r="C2747" s="2">
        <v>1</v>
      </c>
      <c r="D2747" s="1">
        <v>0</v>
      </c>
      <c r="F2747" s="2" t="s">
        <v>3486</v>
      </c>
    </row>
    <row r="2748" ht="17" customHeight="1" spans="1:6">
      <c r="A2748" s="56">
        <v>2786</v>
      </c>
      <c r="B2748" s="89" t="s">
        <v>3487</v>
      </c>
      <c r="C2748" s="2">
        <f>130/30</f>
        <v>4.33333333333333</v>
      </c>
      <c r="D2748" s="1">
        <v>0</v>
      </c>
      <c r="F2748" s="2" t="s">
        <v>3488</v>
      </c>
    </row>
    <row r="2749" ht="17" customHeight="1" spans="1:6">
      <c r="A2749" s="56">
        <v>2787</v>
      </c>
      <c r="B2749" s="89" t="s">
        <v>3489</v>
      </c>
      <c r="C2749" s="2">
        <f>97/30</f>
        <v>3.23333333333333</v>
      </c>
      <c r="D2749" s="1">
        <v>0</v>
      </c>
      <c r="F2749" s="2" t="s">
        <v>3490</v>
      </c>
    </row>
    <row r="2750" ht="17" customHeight="1" spans="1:6">
      <c r="A2750" s="56">
        <v>2788</v>
      </c>
      <c r="B2750" s="89" t="s">
        <v>3491</v>
      </c>
      <c r="C2750" s="2">
        <v>3.5</v>
      </c>
      <c r="D2750" s="1">
        <v>0</v>
      </c>
      <c r="F2750" s="2" t="s">
        <v>3492</v>
      </c>
    </row>
    <row r="2751" ht="17" customHeight="1" spans="1:6">
      <c r="A2751" s="56">
        <v>2789</v>
      </c>
      <c r="B2751" s="89" t="s">
        <v>3493</v>
      </c>
      <c r="C2751" s="2">
        <v>2</v>
      </c>
      <c r="D2751" s="1">
        <v>0</v>
      </c>
      <c r="F2751" s="2" t="s">
        <v>3494</v>
      </c>
    </row>
    <row r="2752" ht="17" customHeight="1" spans="1:6">
      <c r="A2752" s="56">
        <v>2790</v>
      </c>
      <c r="B2752" s="89" t="s">
        <v>3495</v>
      </c>
      <c r="C2752" s="2">
        <f>76/30</f>
        <v>2.53333333333333</v>
      </c>
      <c r="D2752" s="1">
        <v>0</v>
      </c>
      <c r="F2752" s="2" t="s">
        <v>3496</v>
      </c>
    </row>
    <row r="2753" ht="17" customHeight="1" spans="1:6">
      <c r="A2753" s="56">
        <v>2791</v>
      </c>
      <c r="B2753" s="89" t="s">
        <v>3497</v>
      </c>
      <c r="C2753" s="2">
        <f>140/30</f>
        <v>4.66666666666667</v>
      </c>
      <c r="D2753" s="1">
        <v>0</v>
      </c>
      <c r="F2753" s="2" t="s">
        <v>3498</v>
      </c>
    </row>
    <row r="2754" ht="17" customHeight="1" spans="1:6">
      <c r="A2754" s="56">
        <v>2792</v>
      </c>
      <c r="B2754" s="89" t="s">
        <v>3499</v>
      </c>
      <c r="C2754" s="2">
        <v>1</v>
      </c>
      <c r="D2754" s="1">
        <v>0</v>
      </c>
      <c r="F2754" s="2" t="s">
        <v>3500</v>
      </c>
    </row>
    <row r="2755" ht="17" customHeight="1" spans="1:6">
      <c r="A2755" s="56">
        <v>2793</v>
      </c>
      <c r="B2755" s="89" t="s">
        <v>3501</v>
      </c>
      <c r="C2755" s="2">
        <f>340/30</f>
        <v>11.3333333333333</v>
      </c>
      <c r="D2755" s="1">
        <v>0</v>
      </c>
      <c r="F2755" s="2" t="s">
        <v>3502</v>
      </c>
    </row>
    <row r="2756" ht="17" customHeight="1" spans="1:6">
      <c r="A2756" s="56">
        <v>2794</v>
      </c>
      <c r="B2756" s="89" t="s">
        <v>3503</v>
      </c>
      <c r="C2756" s="2">
        <f>340/30</f>
        <v>11.3333333333333</v>
      </c>
      <c r="D2756" s="1">
        <v>0</v>
      </c>
      <c r="F2756" s="2" t="s">
        <v>3504</v>
      </c>
    </row>
    <row r="2757" ht="17" customHeight="1" spans="1:6">
      <c r="A2757" s="56">
        <v>2795</v>
      </c>
      <c r="B2757" s="89" t="s">
        <v>3505</v>
      </c>
      <c r="C2757" s="2">
        <f>360/30</f>
        <v>12</v>
      </c>
      <c r="D2757" s="1">
        <v>0</v>
      </c>
      <c r="F2757" s="2" t="s">
        <v>3506</v>
      </c>
    </row>
    <row r="2758" ht="17" customHeight="1" spans="1:6">
      <c r="A2758" s="56">
        <v>2796</v>
      </c>
      <c r="B2758" s="89" t="s">
        <v>3507</v>
      </c>
      <c r="C2758" s="2">
        <f>101/30</f>
        <v>3.36666666666667</v>
      </c>
      <c r="D2758" s="1">
        <v>0</v>
      </c>
      <c r="F2758" s="2" t="s">
        <v>3508</v>
      </c>
    </row>
    <row r="2759" ht="17" customHeight="1" spans="1:6">
      <c r="A2759" s="56">
        <v>2797</v>
      </c>
      <c r="B2759" s="89" t="s">
        <v>3509</v>
      </c>
      <c r="C2759" s="2">
        <f t="shared" ref="C2759:C2763" si="19">60/30</f>
        <v>2</v>
      </c>
      <c r="D2759" s="1">
        <v>1</v>
      </c>
      <c r="F2759" s="2" t="s">
        <v>3510</v>
      </c>
    </row>
    <row r="2760" ht="17" customHeight="1" spans="1:6">
      <c r="A2760" s="56">
        <v>2798</v>
      </c>
      <c r="B2760" s="89" t="s">
        <v>3511</v>
      </c>
      <c r="C2760" s="2">
        <f>408/30</f>
        <v>13.6</v>
      </c>
      <c r="D2760" s="1">
        <v>0</v>
      </c>
      <c r="F2760" s="2" t="s">
        <v>3512</v>
      </c>
    </row>
    <row r="2761" ht="17" customHeight="1" spans="1:6">
      <c r="A2761" s="56">
        <v>2799</v>
      </c>
      <c r="B2761" s="89" t="s">
        <v>3513</v>
      </c>
      <c r="C2761" s="2">
        <f t="shared" si="19"/>
        <v>2</v>
      </c>
      <c r="D2761" s="1">
        <v>1</v>
      </c>
      <c r="F2761" s="2" t="s">
        <v>3514</v>
      </c>
    </row>
    <row r="2762" ht="17" customHeight="1" spans="1:6">
      <c r="A2762" s="56">
        <v>2800</v>
      </c>
      <c r="B2762" s="89" t="s">
        <v>3515</v>
      </c>
      <c r="C2762" s="2">
        <f t="shared" si="19"/>
        <v>2</v>
      </c>
      <c r="D2762" s="1">
        <v>1</v>
      </c>
      <c r="F2762" s="2" t="s">
        <v>3514</v>
      </c>
    </row>
    <row r="2763" ht="17" customHeight="1" spans="1:6">
      <c r="A2763" s="56">
        <v>2801</v>
      </c>
      <c r="B2763" s="89" t="s">
        <v>3516</v>
      </c>
      <c r="C2763" s="2">
        <f t="shared" si="19"/>
        <v>2</v>
      </c>
      <c r="D2763" s="1">
        <v>1</v>
      </c>
      <c r="F2763" s="2" t="s">
        <v>3514</v>
      </c>
    </row>
    <row r="2764" ht="17" customHeight="1" spans="1:6">
      <c r="A2764" s="56">
        <v>2802</v>
      </c>
      <c r="B2764" s="89" t="s">
        <v>3517</v>
      </c>
      <c r="C2764" s="2">
        <f>130/30</f>
        <v>4.33333333333333</v>
      </c>
      <c r="D2764" s="1">
        <v>0</v>
      </c>
      <c r="F2764" s="2" t="s">
        <v>3518</v>
      </c>
    </row>
    <row r="2765" ht="17" customHeight="1" spans="1:6">
      <c r="A2765" s="56">
        <v>2803</v>
      </c>
      <c r="B2765" s="89" t="s">
        <v>3519</v>
      </c>
      <c r="C2765" s="2">
        <f>97/30</f>
        <v>3.23333333333333</v>
      </c>
      <c r="D2765" s="1">
        <v>0</v>
      </c>
      <c r="F2765" s="2" t="s">
        <v>3520</v>
      </c>
    </row>
    <row r="2766" ht="17" customHeight="1" spans="1:6">
      <c r="A2766" s="56">
        <v>2804</v>
      </c>
      <c r="B2766" s="89" t="s">
        <v>3521</v>
      </c>
      <c r="C2766" s="2">
        <v>2</v>
      </c>
      <c r="D2766" s="1">
        <v>0</v>
      </c>
      <c r="F2766" s="2" t="s">
        <v>3522</v>
      </c>
    </row>
    <row r="2767" ht="17" customHeight="1" spans="1:6">
      <c r="A2767" s="56">
        <v>2805</v>
      </c>
      <c r="B2767" s="89" t="s">
        <v>3523</v>
      </c>
      <c r="C2767" s="2">
        <v>2</v>
      </c>
      <c r="D2767" s="1">
        <v>0</v>
      </c>
      <c r="F2767" s="2" t="s">
        <v>3524</v>
      </c>
    </row>
    <row r="2768" ht="17" customHeight="1" spans="1:6">
      <c r="A2768" s="56">
        <v>2806</v>
      </c>
      <c r="B2768" s="89" t="s">
        <v>3525</v>
      </c>
      <c r="C2768" s="2">
        <v>7</v>
      </c>
      <c r="D2768" s="1">
        <v>0</v>
      </c>
      <c r="F2768" s="2" t="s">
        <v>3526</v>
      </c>
    </row>
    <row r="2769" ht="17" customHeight="1" spans="1:6">
      <c r="A2769" s="56">
        <v>2807</v>
      </c>
      <c r="B2769" s="89" t="s">
        <v>3527</v>
      </c>
      <c r="C2769" s="2">
        <v>3.75</v>
      </c>
      <c r="D2769" s="1">
        <v>0</v>
      </c>
      <c r="F2769" s="2" t="s">
        <v>3528</v>
      </c>
    </row>
    <row r="2770" ht="17" customHeight="1" spans="1:6">
      <c r="A2770" s="56">
        <v>2808</v>
      </c>
      <c r="B2770" s="89" t="s">
        <v>3529</v>
      </c>
      <c r="C2770" s="2">
        <v>1</v>
      </c>
      <c r="D2770" s="1">
        <v>0</v>
      </c>
      <c r="F2770" s="2" t="s">
        <v>3530</v>
      </c>
    </row>
    <row r="2771" ht="17" customHeight="1" spans="1:6">
      <c r="A2771" s="56">
        <v>2809</v>
      </c>
      <c r="B2771" s="89" t="s">
        <v>3531</v>
      </c>
      <c r="C2771" s="2">
        <v>1</v>
      </c>
      <c r="D2771" s="1">
        <v>0</v>
      </c>
      <c r="F2771" s="2" t="s">
        <v>3532</v>
      </c>
    </row>
    <row r="2772" ht="17" customHeight="1" spans="1:6">
      <c r="A2772" s="56">
        <v>2810</v>
      </c>
      <c r="B2772" s="89" t="s">
        <v>3533</v>
      </c>
      <c r="C2772" s="2">
        <v>4.3</v>
      </c>
      <c r="D2772" s="1">
        <v>0</v>
      </c>
      <c r="F2772" s="2" t="s">
        <v>3534</v>
      </c>
    </row>
    <row r="2773" ht="17" customHeight="1" spans="1:6">
      <c r="A2773" s="56">
        <v>2811</v>
      </c>
      <c r="B2773" s="89" t="s">
        <v>3535</v>
      </c>
      <c r="C2773" s="2">
        <v>1</v>
      </c>
      <c r="D2773" s="1">
        <v>0</v>
      </c>
      <c r="F2773" s="2" t="s">
        <v>3536</v>
      </c>
    </row>
    <row r="2774" ht="17" customHeight="1" spans="1:6">
      <c r="A2774" s="56">
        <v>2812</v>
      </c>
      <c r="B2774" s="89" t="s">
        <v>3537</v>
      </c>
      <c r="C2774" s="2">
        <v>6</v>
      </c>
      <c r="D2774" s="1">
        <v>0</v>
      </c>
      <c r="F2774" s="2" t="s">
        <v>3538</v>
      </c>
    </row>
    <row r="2775" ht="17" customHeight="1" spans="1:6">
      <c r="A2775" s="56">
        <v>2813</v>
      </c>
      <c r="B2775" s="89" t="s">
        <v>3539</v>
      </c>
      <c r="C2775" s="2">
        <v>1</v>
      </c>
      <c r="D2775" s="1">
        <v>0</v>
      </c>
      <c r="F2775" s="2" t="s">
        <v>3540</v>
      </c>
    </row>
    <row r="2776" ht="17" customHeight="1" spans="1:6">
      <c r="A2776" s="56">
        <v>2814</v>
      </c>
      <c r="B2776" s="89" t="s">
        <v>3541</v>
      </c>
      <c r="C2776" s="2">
        <v>5.5</v>
      </c>
      <c r="D2776" s="1">
        <v>0</v>
      </c>
      <c r="F2776" s="2" t="s">
        <v>3542</v>
      </c>
    </row>
    <row r="2777" ht="17" customHeight="1" spans="1:6">
      <c r="A2777" s="56">
        <v>2815</v>
      </c>
      <c r="B2777" s="89" t="s">
        <v>3543</v>
      </c>
      <c r="C2777" s="2">
        <v>5.5</v>
      </c>
      <c r="D2777" s="1">
        <v>0</v>
      </c>
      <c r="F2777" s="2" t="s">
        <v>3542</v>
      </c>
    </row>
    <row r="2778" ht="17" customHeight="1" spans="1:6">
      <c r="A2778" s="56">
        <v>2816</v>
      </c>
      <c r="B2778" s="89" t="s">
        <v>3544</v>
      </c>
      <c r="C2778" s="2">
        <f>320/30</f>
        <v>10.6666666666667</v>
      </c>
      <c r="D2778" s="1">
        <v>0</v>
      </c>
      <c r="F2778" s="2" t="s">
        <v>3545</v>
      </c>
    </row>
    <row r="2779" ht="17" customHeight="1" spans="1:6">
      <c r="A2779" s="56">
        <v>2817</v>
      </c>
      <c r="B2779" s="89" t="s">
        <v>3546</v>
      </c>
      <c r="C2779" s="2">
        <f>424/30</f>
        <v>14.1333333333333</v>
      </c>
      <c r="D2779" s="1">
        <v>0</v>
      </c>
      <c r="F2779" s="2" t="s">
        <v>3547</v>
      </c>
    </row>
    <row r="2780" ht="17" customHeight="1" spans="1:6">
      <c r="A2780" s="56">
        <v>2818</v>
      </c>
      <c r="B2780" s="89" t="s">
        <v>3548</v>
      </c>
      <c r="C2780" s="2">
        <f>424/30</f>
        <v>14.1333333333333</v>
      </c>
      <c r="D2780" s="1">
        <v>0</v>
      </c>
      <c r="F2780" s="2" t="s">
        <v>3549</v>
      </c>
    </row>
    <row r="2781" ht="17" customHeight="1" spans="1:6">
      <c r="A2781" s="56">
        <v>2819</v>
      </c>
      <c r="B2781" s="89" t="s">
        <v>3550</v>
      </c>
      <c r="C2781" s="2">
        <f>424/30</f>
        <v>14.1333333333333</v>
      </c>
      <c r="D2781" s="1">
        <v>0</v>
      </c>
      <c r="F2781" s="2" t="s">
        <v>3549</v>
      </c>
    </row>
    <row r="2782" ht="17" customHeight="1" spans="1:6">
      <c r="A2782" s="56">
        <v>2820</v>
      </c>
      <c r="B2782" s="89" t="s">
        <v>3551</v>
      </c>
      <c r="C2782" s="2">
        <v>9.7</v>
      </c>
      <c r="D2782" s="1">
        <v>0</v>
      </c>
      <c r="F2782" s="2" t="s">
        <v>3552</v>
      </c>
    </row>
    <row r="2783" ht="17" customHeight="1" spans="1:6">
      <c r="A2783" s="56">
        <v>2821</v>
      </c>
      <c r="B2783" s="89" t="s">
        <v>3553</v>
      </c>
      <c r="C2783" s="2">
        <v>9.7</v>
      </c>
      <c r="D2783" s="1">
        <v>0</v>
      </c>
      <c r="F2783" s="2" t="s">
        <v>3554</v>
      </c>
    </row>
    <row r="2784" ht="17" customHeight="1" spans="1:6">
      <c r="A2784" s="56">
        <v>2822</v>
      </c>
      <c r="B2784" s="89" t="s">
        <v>3555</v>
      </c>
      <c r="C2784" s="2">
        <v>9.7</v>
      </c>
      <c r="D2784" s="1">
        <v>0</v>
      </c>
      <c r="F2784" s="2" t="s">
        <v>3554</v>
      </c>
    </row>
    <row r="2785" ht="17" customHeight="1" spans="1:6">
      <c r="A2785" s="56">
        <v>2823</v>
      </c>
      <c r="B2785" s="89" t="s">
        <v>3556</v>
      </c>
      <c r="C2785" s="2">
        <v>2.9</v>
      </c>
      <c r="D2785" s="1">
        <v>0</v>
      </c>
      <c r="F2785" s="2" t="s">
        <v>3557</v>
      </c>
    </row>
    <row r="2786" ht="17" customHeight="1" spans="1:6">
      <c r="A2786" s="56">
        <v>2824</v>
      </c>
      <c r="B2786" s="89" t="s">
        <v>3558</v>
      </c>
      <c r="C2786" s="2">
        <v>2.9</v>
      </c>
      <c r="D2786" s="1">
        <v>0</v>
      </c>
      <c r="F2786" s="2" t="s">
        <v>3559</v>
      </c>
    </row>
    <row r="2787" ht="17" customHeight="1" spans="1:6">
      <c r="A2787" s="56">
        <v>2825</v>
      </c>
      <c r="B2787" s="89" t="s">
        <v>3560</v>
      </c>
      <c r="C2787" s="2">
        <v>2.9</v>
      </c>
      <c r="D2787" s="1">
        <v>0</v>
      </c>
      <c r="F2787" s="2" t="s">
        <v>3559</v>
      </c>
    </row>
    <row r="2788" ht="17" customHeight="1" spans="1:6">
      <c r="A2788" s="56">
        <v>2826</v>
      </c>
      <c r="B2788" s="89" t="s">
        <v>3561</v>
      </c>
      <c r="C2788" s="2">
        <f>95/30</f>
        <v>3.16666666666667</v>
      </c>
      <c r="D2788" s="1">
        <v>0</v>
      </c>
      <c r="F2788" s="2" t="s">
        <v>3562</v>
      </c>
    </row>
    <row r="2789" ht="17" customHeight="1" spans="1:6">
      <c r="A2789" s="56">
        <v>2827</v>
      </c>
      <c r="B2789" s="89" t="s">
        <v>3563</v>
      </c>
      <c r="C2789" s="2">
        <f>70/30</f>
        <v>2.33333333333333</v>
      </c>
      <c r="D2789" s="1">
        <v>1</v>
      </c>
      <c r="F2789" s="2" t="s">
        <v>3564</v>
      </c>
    </row>
    <row r="2790" ht="17" customHeight="1" spans="1:6">
      <c r="A2790" s="56">
        <v>2828</v>
      </c>
      <c r="B2790" s="89" t="s">
        <v>3565</v>
      </c>
      <c r="C2790" s="2">
        <f>70/30</f>
        <v>2.33333333333333</v>
      </c>
      <c r="D2790" s="1">
        <v>1</v>
      </c>
      <c r="F2790" s="2" t="s">
        <v>3566</v>
      </c>
    </row>
    <row r="2791" ht="17" customHeight="1" spans="1:6">
      <c r="A2791" s="56">
        <v>2829</v>
      </c>
      <c r="B2791" s="89" t="s">
        <v>3567</v>
      </c>
      <c r="C2791" s="2">
        <f>70/30</f>
        <v>2.33333333333333</v>
      </c>
      <c r="D2791" s="1">
        <v>1</v>
      </c>
      <c r="F2791" s="2" t="s">
        <v>3566</v>
      </c>
    </row>
    <row r="2792" ht="17" customHeight="1" spans="1:6">
      <c r="A2792" s="56">
        <v>2830</v>
      </c>
      <c r="B2792" s="89" t="s">
        <v>3568</v>
      </c>
      <c r="C2792" s="2">
        <f>70/30</f>
        <v>2.33333333333333</v>
      </c>
      <c r="D2792" s="1">
        <v>1</v>
      </c>
      <c r="F2792" s="2" t="s">
        <v>3566</v>
      </c>
    </row>
    <row r="2793" ht="17" customHeight="1" spans="1:6">
      <c r="A2793" s="56">
        <v>2831</v>
      </c>
      <c r="B2793" s="89" t="s">
        <v>3569</v>
      </c>
      <c r="C2793" s="2">
        <f>145/30</f>
        <v>4.83333333333333</v>
      </c>
      <c r="D2793" s="1">
        <v>0</v>
      </c>
      <c r="F2793" s="2" t="s">
        <v>3570</v>
      </c>
    </row>
    <row r="2794" ht="17" customHeight="1" spans="1:6">
      <c r="A2794" s="56">
        <v>2832</v>
      </c>
      <c r="B2794" s="89" t="s">
        <v>3571</v>
      </c>
      <c r="C2794" s="2">
        <f>131/30</f>
        <v>4.36666666666667</v>
      </c>
      <c r="D2794" s="1">
        <v>0</v>
      </c>
      <c r="F2794" s="2" t="s">
        <v>3572</v>
      </c>
    </row>
    <row r="2795" ht="17" customHeight="1" spans="1:6">
      <c r="A2795" s="56">
        <v>2833</v>
      </c>
      <c r="B2795" s="89" t="s">
        <v>3573</v>
      </c>
      <c r="C2795" s="2">
        <f>131/30</f>
        <v>4.36666666666667</v>
      </c>
      <c r="D2795" s="1">
        <v>0</v>
      </c>
      <c r="F2795" s="2" t="s">
        <v>3572</v>
      </c>
    </row>
    <row r="2796" ht="17" customHeight="1" spans="1:6">
      <c r="A2796" s="56">
        <v>2834</v>
      </c>
      <c r="B2796" s="89" t="s">
        <v>3574</v>
      </c>
      <c r="C2796" s="2">
        <f>131/30</f>
        <v>4.36666666666667</v>
      </c>
      <c r="D2796" s="1">
        <v>0</v>
      </c>
      <c r="F2796" s="2" t="s">
        <v>3572</v>
      </c>
    </row>
    <row r="2797" ht="17" customHeight="1" spans="1:6">
      <c r="A2797" s="56">
        <v>2835</v>
      </c>
      <c r="B2797" s="89" t="s">
        <v>3575</v>
      </c>
      <c r="C2797" s="1">
        <v>6</v>
      </c>
      <c r="D2797" s="1">
        <v>0</v>
      </c>
      <c r="F2797" s="2" t="s">
        <v>3576</v>
      </c>
    </row>
    <row r="2798" ht="17" customHeight="1" spans="1:6">
      <c r="A2798" s="56">
        <v>2836</v>
      </c>
      <c r="B2798" s="89" t="s">
        <v>3577</v>
      </c>
      <c r="C2798" s="1">
        <v>6</v>
      </c>
      <c r="D2798" s="1">
        <v>0</v>
      </c>
      <c r="F2798" s="2" t="s">
        <v>3576</v>
      </c>
    </row>
    <row r="2799" ht="17" customHeight="1" spans="1:6">
      <c r="A2799" s="56">
        <v>2837</v>
      </c>
      <c r="B2799" s="89" t="s">
        <v>3578</v>
      </c>
      <c r="C2799" s="1">
        <v>0</v>
      </c>
      <c r="D2799" s="1">
        <v>1</v>
      </c>
      <c r="F2799" s="2" t="s">
        <v>3579</v>
      </c>
    </row>
    <row r="2800" ht="17" customHeight="1" spans="1:6">
      <c r="A2800" s="56">
        <v>2838</v>
      </c>
      <c r="B2800" s="89" t="s">
        <v>3580</v>
      </c>
      <c r="C2800" s="1">
        <v>0</v>
      </c>
      <c r="D2800" s="1">
        <v>1</v>
      </c>
      <c r="F2800" s="2" t="s">
        <v>3581</v>
      </c>
    </row>
    <row r="2801" ht="17" customHeight="1" spans="1:6">
      <c r="A2801" s="56">
        <v>2839</v>
      </c>
      <c r="B2801" s="89" t="s">
        <v>3582</v>
      </c>
      <c r="C2801" s="1">
        <v>1</v>
      </c>
      <c r="D2801" s="1">
        <v>1</v>
      </c>
      <c r="F2801" s="2" t="s">
        <v>3583</v>
      </c>
    </row>
    <row r="2802" ht="17" customHeight="1" spans="1:6">
      <c r="A2802" s="56">
        <v>2840</v>
      </c>
      <c r="B2802" s="89" t="s">
        <v>3584</v>
      </c>
      <c r="C2802" s="1">
        <v>0</v>
      </c>
      <c r="D2802" s="1">
        <v>1</v>
      </c>
      <c r="F2802" s="2" t="s">
        <v>3585</v>
      </c>
    </row>
    <row r="2803" ht="17" customHeight="1" spans="1:6">
      <c r="A2803" s="56">
        <v>2841</v>
      </c>
      <c r="B2803" s="89" t="s">
        <v>3586</v>
      </c>
      <c r="C2803" s="1">
        <v>0</v>
      </c>
      <c r="D2803" s="1">
        <v>1</v>
      </c>
      <c r="F2803" s="2" t="s">
        <v>3587</v>
      </c>
    </row>
    <row r="2804" ht="17" customHeight="1" spans="1:6">
      <c r="A2804" s="56">
        <v>2842</v>
      </c>
      <c r="B2804" s="89" t="s">
        <v>3588</v>
      </c>
      <c r="C2804" s="1">
        <v>0</v>
      </c>
      <c r="D2804" s="1">
        <v>1</v>
      </c>
      <c r="F2804" s="2" t="s">
        <v>3589</v>
      </c>
    </row>
    <row r="2805" ht="17" customHeight="1" spans="1:6">
      <c r="A2805" s="56">
        <v>2843</v>
      </c>
      <c r="B2805" s="89" t="s">
        <v>3590</v>
      </c>
      <c r="C2805" s="1">
        <v>9.66666666666667</v>
      </c>
      <c r="D2805" s="1">
        <v>0</v>
      </c>
      <c r="F2805" s="2" t="s">
        <v>3591</v>
      </c>
    </row>
    <row r="2806" ht="17" customHeight="1" spans="1:6">
      <c r="A2806" s="56">
        <v>2844</v>
      </c>
      <c r="B2806" s="89" t="s">
        <v>3592</v>
      </c>
      <c r="C2806" s="1">
        <v>0</v>
      </c>
      <c r="D2806" s="1">
        <v>1</v>
      </c>
      <c r="F2806" s="2" t="s">
        <v>3593</v>
      </c>
    </row>
    <row r="2807" ht="17" customHeight="1" spans="1:6">
      <c r="A2807" s="56">
        <v>2845</v>
      </c>
      <c r="B2807" s="89" t="s">
        <v>3594</v>
      </c>
      <c r="C2807" s="1">
        <v>0</v>
      </c>
      <c r="D2807" s="1">
        <v>1</v>
      </c>
      <c r="F2807" s="2" t="s">
        <v>3595</v>
      </c>
    </row>
    <row r="2808" ht="17" customHeight="1" spans="1:6">
      <c r="A2808" s="56">
        <v>2846</v>
      </c>
      <c r="B2808" s="89" t="s">
        <v>3592</v>
      </c>
      <c r="C2808" s="1">
        <v>0</v>
      </c>
      <c r="D2808" s="1">
        <v>1</v>
      </c>
      <c r="F2808" s="2" t="s">
        <v>3596</v>
      </c>
    </row>
    <row r="2809" ht="17" customHeight="1" spans="1:6">
      <c r="A2809" s="56">
        <v>2847</v>
      </c>
      <c r="B2809" s="89" t="s">
        <v>3597</v>
      </c>
      <c r="C2809" s="1">
        <v>0</v>
      </c>
      <c r="D2809" s="1">
        <v>1</v>
      </c>
      <c r="F2809" s="2" t="s">
        <v>3598</v>
      </c>
    </row>
    <row r="2810" ht="17" customHeight="1" spans="1:6">
      <c r="A2810" s="56">
        <v>2848</v>
      </c>
      <c r="B2810" s="89" t="s">
        <v>3599</v>
      </c>
      <c r="C2810" s="1">
        <v>0</v>
      </c>
      <c r="D2810" s="1">
        <v>1</v>
      </c>
      <c r="F2810" s="2" t="s">
        <v>3600</v>
      </c>
    </row>
    <row r="2811" ht="17" customHeight="1" spans="1:6">
      <c r="A2811" s="56">
        <v>2849</v>
      </c>
      <c r="B2811" s="89" t="s">
        <v>3601</v>
      </c>
      <c r="C2811" s="1">
        <v>0</v>
      </c>
      <c r="D2811" s="1">
        <v>1</v>
      </c>
      <c r="F2811" s="2" t="s">
        <v>3602</v>
      </c>
    </row>
    <row r="2812" ht="17" customHeight="1" spans="1:6">
      <c r="A2812" s="56">
        <v>2850</v>
      </c>
      <c r="B2812" s="89" t="s">
        <v>3603</v>
      </c>
      <c r="C2812" s="1">
        <v>2</v>
      </c>
      <c r="D2812" s="1">
        <v>0</v>
      </c>
      <c r="F2812" s="2" t="s">
        <v>3604</v>
      </c>
    </row>
    <row r="2813" ht="17" customHeight="1" spans="1:6">
      <c r="A2813" s="56">
        <v>2851</v>
      </c>
      <c r="B2813" s="89" t="s">
        <v>3605</v>
      </c>
      <c r="C2813" s="1">
        <v>0</v>
      </c>
      <c r="D2813" s="1">
        <v>1</v>
      </c>
      <c r="F2813" s="2" t="s">
        <v>3606</v>
      </c>
    </row>
    <row r="2814" ht="17" customHeight="1" spans="1:7">
      <c r="A2814" s="56">
        <v>2852</v>
      </c>
      <c r="B2814" s="89" t="s">
        <v>3607</v>
      </c>
      <c r="C2814" s="1">
        <f>315/30</f>
        <v>10.5</v>
      </c>
      <c r="D2814" s="1">
        <v>0</v>
      </c>
      <c r="F2814" s="2" t="s">
        <v>3608</v>
      </c>
      <c r="G2814" s="2" t="s">
        <v>3609</v>
      </c>
    </row>
    <row r="2815" ht="17" customHeight="1" spans="1:6">
      <c r="A2815" s="56">
        <v>2853</v>
      </c>
      <c r="B2815" s="120" t="s">
        <v>3610</v>
      </c>
      <c r="C2815" s="121">
        <f>61/30</f>
        <v>2.03333333333333</v>
      </c>
      <c r="D2815" s="121">
        <v>0</v>
      </c>
      <c r="E2815" s="122"/>
      <c r="F2815" s="123" t="s">
        <v>3611</v>
      </c>
    </row>
    <row r="2816" ht="17" customHeight="1" spans="1:6">
      <c r="A2816" s="56">
        <v>2854</v>
      </c>
      <c r="B2816" s="120" t="s">
        <v>3612</v>
      </c>
      <c r="C2816" s="121">
        <v>1</v>
      </c>
      <c r="D2816" s="121">
        <v>0</v>
      </c>
      <c r="E2816" s="122"/>
      <c r="F2816" s="123" t="s">
        <v>3613</v>
      </c>
    </row>
    <row r="2817" ht="17" customHeight="1" spans="1:6">
      <c r="A2817" s="56">
        <v>2855</v>
      </c>
      <c r="B2817" s="120" t="s">
        <v>3614</v>
      </c>
      <c r="C2817" s="121">
        <f>83/30</f>
        <v>2.76666666666667</v>
      </c>
      <c r="D2817" s="121">
        <v>0</v>
      </c>
      <c r="E2817" s="122"/>
      <c r="F2817" s="123" t="s">
        <v>3615</v>
      </c>
    </row>
    <row r="2818" ht="17" customHeight="1" spans="1:6">
      <c r="A2818" s="56">
        <v>2856</v>
      </c>
      <c r="B2818" s="120" t="s">
        <v>3616</v>
      </c>
      <c r="C2818" s="121">
        <f>83/30</f>
        <v>2.76666666666667</v>
      </c>
      <c r="D2818" s="121">
        <v>0</v>
      </c>
      <c r="E2818" s="122"/>
      <c r="F2818" s="123" t="s">
        <v>3617</v>
      </c>
    </row>
    <row r="2819" ht="17" customHeight="1" spans="1:6">
      <c r="A2819" s="56">
        <v>2857</v>
      </c>
      <c r="B2819" s="120" t="s">
        <v>3618</v>
      </c>
      <c r="C2819" s="121">
        <f>65/30</f>
        <v>2.16666666666667</v>
      </c>
      <c r="D2819" s="121">
        <v>0</v>
      </c>
      <c r="E2819" s="122"/>
      <c r="F2819" s="123" t="s">
        <v>3619</v>
      </c>
    </row>
    <row r="2820" ht="17" customHeight="1" spans="1:6">
      <c r="A2820" s="56">
        <v>2858</v>
      </c>
      <c r="B2820" s="120" t="s">
        <v>3620</v>
      </c>
      <c r="C2820" s="121">
        <f>189/30</f>
        <v>6.3</v>
      </c>
      <c r="D2820" s="121">
        <v>0</v>
      </c>
      <c r="E2820" s="122"/>
      <c r="F2820" s="123" t="s">
        <v>3621</v>
      </c>
    </row>
    <row r="2821" ht="17" customHeight="1" spans="1:6">
      <c r="A2821" s="56">
        <v>2859</v>
      </c>
      <c r="B2821" s="120" t="s">
        <v>3622</v>
      </c>
      <c r="C2821" s="121">
        <f>189/30</f>
        <v>6.3</v>
      </c>
      <c r="D2821" s="121">
        <v>0</v>
      </c>
      <c r="E2821" s="122"/>
      <c r="F2821" s="123" t="s">
        <v>3623</v>
      </c>
    </row>
    <row r="2822" ht="17" customHeight="1" spans="1:6">
      <c r="A2822" s="56">
        <v>2860</v>
      </c>
      <c r="B2822" s="120" t="s">
        <v>3624</v>
      </c>
      <c r="C2822" s="121">
        <v>1</v>
      </c>
      <c r="D2822" s="121">
        <v>0</v>
      </c>
      <c r="E2822" s="122"/>
      <c r="F2822" s="123" t="s">
        <v>3625</v>
      </c>
    </row>
    <row r="2823" ht="17" customHeight="1" spans="1:6">
      <c r="A2823" s="56">
        <v>2861</v>
      </c>
      <c r="B2823" s="120" t="s">
        <v>3626</v>
      </c>
      <c r="C2823" s="121">
        <f>175/30</f>
        <v>5.83333333333333</v>
      </c>
      <c r="D2823" s="121">
        <v>0</v>
      </c>
      <c r="E2823" s="122"/>
      <c r="F2823" s="123" t="s">
        <v>3627</v>
      </c>
    </row>
    <row r="2824" ht="17" customHeight="1" spans="1:6">
      <c r="A2824" s="56">
        <v>2862</v>
      </c>
      <c r="B2824" s="120" t="s">
        <v>3628</v>
      </c>
      <c r="C2824" s="121">
        <f>91/30</f>
        <v>3.03333333333333</v>
      </c>
      <c r="D2824" s="121">
        <v>0</v>
      </c>
      <c r="E2824" s="122"/>
      <c r="F2824" s="123" t="s">
        <v>3629</v>
      </c>
    </row>
    <row r="2825" ht="17" customHeight="1" spans="1:6">
      <c r="A2825" s="56">
        <v>2863</v>
      </c>
      <c r="B2825" s="120" t="s">
        <v>3630</v>
      </c>
      <c r="C2825" s="121">
        <f>230/30</f>
        <v>7.66666666666667</v>
      </c>
      <c r="D2825" s="121">
        <v>0</v>
      </c>
      <c r="E2825" s="122"/>
      <c r="F2825" s="123" t="s">
        <v>3631</v>
      </c>
    </row>
    <row r="2826" ht="17" customHeight="1" spans="1:6">
      <c r="A2826" s="56">
        <v>2864</v>
      </c>
      <c r="B2826" s="120" t="s">
        <v>3632</v>
      </c>
      <c r="C2826" s="121">
        <v>1</v>
      </c>
      <c r="D2826" s="121">
        <v>0</v>
      </c>
      <c r="E2826" s="122"/>
      <c r="F2826" s="123" t="s">
        <v>3633</v>
      </c>
    </row>
    <row r="2827" ht="17" customHeight="1" spans="1:6">
      <c r="A2827" s="56">
        <v>2865</v>
      </c>
      <c r="B2827" s="120" t="s">
        <v>3634</v>
      </c>
      <c r="C2827" s="122">
        <f>104/30</f>
        <v>3.46666666666667</v>
      </c>
      <c r="D2827" s="121">
        <v>0</v>
      </c>
      <c r="E2827" s="122"/>
      <c r="F2827" s="123" t="s">
        <v>3635</v>
      </c>
    </row>
    <row r="2828" ht="17" customHeight="1" spans="1:6">
      <c r="A2828" s="56">
        <v>2866</v>
      </c>
      <c r="B2828" s="120" t="s">
        <v>3636</v>
      </c>
      <c r="C2828" s="122">
        <v>1</v>
      </c>
      <c r="D2828" s="121">
        <v>0</v>
      </c>
      <c r="E2828" s="122"/>
      <c r="F2828" s="123" t="s">
        <v>3637</v>
      </c>
    </row>
    <row r="2829" ht="17" customHeight="1" spans="1:6">
      <c r="A2829" s="56">
        <v>2867</v>
      </c>
      <c r="B2829" s="120" t="s">
        <v>3638</v>
      </c>
      <c r="C2829" s="122">
        <f>90/30</f>
        <v>3</v>
      </c>
      <c r="D2829" s="121">
        <v>0</v>
      </c>
      <c r="E2829" s="122"/>
      <c r="F2829" s="123" t="s">
        <v>3639</v>
      </c>
    </row>
    <row r="2830" ht="17" customHeight="1" spans="1:6">
      <c r="A2830" s="56">
        <v>2868</v>
      </c>
      <c r="B2830" s="120" t="s">
        <v>3640</v>
      </c>
      <c r="C2830" s="122">
        <v>1</v>
      </c>
      <c r="D2830" s="121">
        <v>0</v>
      </c>
      <c r="E2830" s="122"/>
      <c r="F2830" s="123" t="s">
        <v>3641</v>
      </c>
    </row>
    <row r="2831" ht="17" customHeight="1" spans="1:6">
      <c r="A2831" s="56">
        <v>2869</v>
      </c>
      <c r="B2831" s="120" t="s">
        <v>3642</v>
      </c>
      <c r="C2831" s="122">
        <f>100/30</f>
        <v>3.33333333333333</v>
      </c>
      <c r="D2831" s="121">
        <v>0</v>
      </c>
      <c r="E2831" s="122"/>
      <c r="F2831" s="123" t="s">
        <v>3643</v>
      </c>
    </row>
    <row r="2832" ht="17" customHeight="1" spans="1:6">
      <c r="A2832" s="56">
        <v>2870</v>
      </c>
      <c r="B2832" s="120" t="s">
        <v>3644</v>
      </c>
      <c r="C2832" s="122">
        <f>69/30</f>
        <v>2.3</v>
      </c>
      <c r="D2832" s="121">
        <v>0</v>
      </c>
      <c r="E2832" s="122"/>
      <c r="F2832" s="123" t="s">
        <v>3645</v>
      </c>
    </row>
    <row r="2833" ht="17" customHeight="1" spans="1:6">
      <c r="A2833" s="56">
        <v>2871</v>
      </c>
      <c r="B2833" s="120" t="s">
        <v>3646</v>
      </c>
      <c r="C2833" s="122">
        <v>1</v>
      </c>
      <c r="D2833" s="121">
        <v>0</v>
      </c>
      <c r="E2833" s="122"/>
      <c r="F2833" s="123" t="s">
        <v>3647</v>
      </c>
    </row>
    <row r="2834" ht="17" customHeight="1" spans="1:6">
      <c r="A2834" s="56">
        <v>2872</v>
      </c>
      <c r="B2834" s="120" t="s">
        <v>3648</v>
      </c>
      <c r="C2834" s="122">
        <f>101/30</f>
        <v>3.36666666666667</v>
      </c>
      <c r="D2834" s="121">
        <v>0</v>
      </c>
      <c r="E2834" s="122"/>
      <c r="F2834" s="123" t="s">
        <v>3649</v>
      </c>
    </row>
    <row r="2835" ht="17" customHeight="1" spans="1:6">
      <c r="A2835" s="56">
        <v>2873</v>
      </c>
      <c r="B2835" s="120" t="s">
        <v>3650</v>
      </c>
      <c r="C2835" s="122">
        <f>66/30</f>
        <v>2.2</v>
      </c>
      <c r="D2835" s="121">
        <v>0</v>
      </c>
      <c r="E2835" s="122"/>
      <c r="F2835" s="123" t="s">
        <v>3651</v>
      </c>
    </row>
    <row r="2836" ht="17" customHeight="1" spans="1:6">
      <c r="A2836" s="56">
        <v>2874</v>
      </c>
      <c r="B2836" s="120" t="s">
        <v>3652</v>
      </c>
      <c r="C2836" s="122">
        <f>105/30</f>
        <v>3.5</v>
      </c>
      <c r="D2836" s="121">
        <v>0</v>
      </c>
      <c r="E2836" s="122"/>
      <c r="F2836" s="123" t="s">
        <v>3653</v>
      </c>
    </row>
    <row r="2837" ht="17" customHeight="1" spans="1:6">
      <c r="A2837" s="56">
        <v>2875</v>
      </c>
      <c r="B2837" s="120" t="s">
        <v>3654</v>
      </c>
      <c r="C2837" s="122">
        <v>1</v>
      </c>
      <c r="D2837" s="121">
        <v>0</v>
      </c>
      <c r="E2837" s="122"/>
      <c r="F2837" s="123" t="s">
        <v>3655</v>
      </c>
    </row>
    <row r="2838" ht="17" customHeight="1" spans="1:6">
      <c r="A2838" s="56">
        <v>2876</v>
      </c>
      <c r="B2838" s="120" t="s">
        <v>3656</v>
      </c>
      <c r="C2838" s="122">
        <f>143/30</f>
        <v>4.76666666666667</v>
      </c>
      <c r="D2838" s="121">
        <v>0</v>
      </c>
      <c r="E2838" s="122"/>
      <c r="F2838" s="123" t="s">
        <v>3657</v>
      </c>
    </row>
    <row r="2839" ht="17" customHeight="1" spans="1:6">
      <c r="A2839" s="56">
        <v>2877</v>
      </c>
      <c r="B2839" s="120" t="s">
        <v>3658</v>
      </c>
      <c r="C2839" s="122">
        <f>112/30</f>
        <v>3.73333333333333</v>
      </c>
      <c r="D2839" s="121">
        <v>0</v>
      </c>
      <c r="E2839" s="122"/>
      <c r="F2839" s="123" t="s">
        <v>3659</v>
      </c>
    </row>
    <row r="2840" ht="17" customHeight="1" spans="1:6">
      <c r="A2840" s="56">
        <v>2878</v>
      </c>
      <c r="B2840" s="120" t="s">
        <v>3660</v>
      </c>
      <c r="C2840" s="122">
        <f>110/30</f>
        <v>3.66666666666667</v>
      </c>
      <c r="D2840" s="121">
        <v>0</v>
      </c>
      <c r="E2840" s="122"/>
      <c r="F2840" s="123" t="s">
        <v>3661</v>
      </c>
    </row>
    <row r="2841" ht="17" customHeight="1" spans="1:6">
      <c r="A2841" s="56">
        <v>2879</v>
      </c>
      <c r="B2841" s="120" t="s">
        <v>3662</v>
      </c>
      <c r="C2841" s="122">
        <f>125/30</f>
        <v>4.16666666666667</v>
      </c>
      <c r="D2841" s="121">
        <v>0</v>
      </c>
      <c r="E2841" s="122"/>
      <c r="F2841" s="123" t="s">
        <v>3663</v>
      </c>
    </row>
    <row r="2842" ht="17" customHeight="1" spans="1:6">
      <c r="A2842" s="56">
        <v>2880</v>
      </c>
      <c r="B2842" s="120" t="s">
        <v>3664</v>
      </c>
      <c r="C2842" s="122">
        <f>125/30</f>
        <v>4.16666666666667</v>
      </c>
      <c r="D2842" s="121">
        <v>0</v>
      </c>
      <c r="E2842" s="122"/>
      <c r="F2842" s="123" t="s">
        <v>3665</v>
      </c>
    </row>
    <row r="2843" ht="17" customHeight="1" spans="1:6">
      <c r="A2843" s="56">
        <v>2881</v>
      </c>
      <c r="B2843" s="120" t="s">
        <v>3666</v>
      </c>
      <c r="C2843" s="122">
        <f>90/30</f>
        <v>3</v>
      </c>
      <c r="D2843" s="121">
        <v>0</v>
      </c>
      <c r="E2843" s="122"/>
      <c r="F2843" s="123" t="s">
        <v>3667</v>
      </c>
    </row>
    <row r="2844" ht="17" customHeight="1" spans="1:6">
      <c r="A2844" s="56">
        <v>2882</v>
      </c>
      <c r="B2844" s="120" t="s">
        <v>3668</v>
      </c>
      <c r="C2844" s="122">
        <f>200/30</f>
        <v>6.66666666666667</v>
      </c>
      <c r="D2844" s="121">
        <v>0</v>
      </c>
      <c r="E2844" s="122"/>
      <c r="F2844" s="123" t="s">
        <v>3669</v>
      </c>
    </row>
    <row r="2845" ht="17" customHeight="1" spans="1:6">
      <c r="A2845" s="56">
        <v>2883</v>
      </c>
      <c r="B2845" s="120" t="s">
        <v>3670</v>
      </c>
      <c r="C2845" s="122">
        <f>64/30</f>
        <v>2.13333333333333</v>
      </c>
      <c r="D2845" s="121">
        <v>0</v>
      </c>
      <c r="E2845" s="122"/>
      <c r="F2845" s="123" t="s">
        <v>3671</v>
      </c>
    </row>
    <row r="2846" ht="17" customHeight="1" spans="1:6">
      <c r="A2846" s="56">
        <v>2884</v>
      </c>
      <c r="B2846" s="120" t="s">
        <v>3672</v>
      </c>
      <c r="C2846" s="122">
        <v>1</v>
      </c>
      <c r="D2846" s="121">
        <v>0</v>
      </c>
      <c r="E2846" s="122"/>
      <c r="F2846" s="123" t="s">
        <v>3673</v>
      </c>
    </row>
    <row r="2847" ht="17" customHeight="1" spans="1:6">
      <c r="A2847" s="56">
        <v>2885</v>
      </c>
      <c r="B2847" s="120" t="s">
        <v>3674</v>
      </c>
      <c r="C2847" s="122">
        <f>89/30</f>
        <v>2.96666666666667</v>
      </c>
      <c r="D2847" s="121">
        <v>0</v>
      </c>
      <c r="E2847" s="122"/>
      <c r="F2847" s="123" t="s">
        <v>3675</v>
      </c>
    </row>
    <row r="2848" ht="17" customHeight="1" spans="1:6">
      <c r="A2848" s="56">
        <v>2886</v>
      </c>
      <c r="B2848" s="120" t="s">
        <v>3676</v>
      </c>
      <c r="C2848" s="122">
        <v>1</v>
      </c>
      <c r="D2848" s="121">
        <v>0</v>
      </c>
      <c r="E2848" s="122"/>
      <c r="F2848" s="123" t="s">
        <v>3677</v>
      </c>
    </row>
    <row r="2849" ht="17" customHeight="1" spans="1:6">
      <c r="A2849" s="56">
        <v>2887</v>
      </c>
      <c r="B2849" s="120" t="s">
        <v>3678</v>
      </c>
      <c r="C2849" s="122">
        <v>1</v>
      </c>
      <c r="D2849" s="121">
        <v>0</v>
      </c>
      <c r="E2849" s="122"/>
      <c r="F2849" s="123" t="s">
        <v>3679</v>
      </c>
    </row>
    <row r="2850" ht="17" customHeight="1" spans="1:6">
      <c r="A2850" s="56">
        <v>2888</v>
      </c>
      <c r="B2850" s="120" t="s">
        <v>3680</v>
      </c>
      <c r="C2850" s="122">
        <f>59/30</f>
        <v>1.96666666666667</v>
      </c>
      <c r="D2850" s="121">
        <v>0</v>
      </c>
      <c r="E2850" s="122"/>
      <c r="F2850" s="123" t="s">
        <v>3681</v>
      </c>
    </row>
    <row r="2851" ht="17" customHeight="1" spans="1:6">
      <c r="A2851" s="56">
        <v>2889</v>
      </c>
      <c r="B2851" s="120" t="s">
        <v>3682</v>
      </c>
      <c r="C2851" s="122">
        <f>85/30</f>
        <v>2.83333333333333</v>
      </c>
      <c r="D2851" s="121">
        <v>0</v>
      </c>
      <c r="E2851" s="122"/>
      <c r="F2851" s="123" t="s">
        <v>3683</v>
      </c>
    </row>
    <row r="2852" ht="17" customHeight="1" spans="1:6">
      <c r="A2852" s="56">
        <v>2890</v>
      </c>
      <c r="B2852" s="120" t="s">
        <v>3684</v>
      </c>
      <c r="C2852" s="122">
        <v>0</v>
      </c>
      <c r="D2852" s="121">
        <v>1</v>
      </c>
      <c r="E2852" s="122"/>
      <c r="F2852" s="123" t="s">
        <v>3685</v>
      </c>
    </row>
    <row r="2853" ht="17" customHeight="1" spans="1:6">
      <c r="A2853" s="56">
        <v>2891</v>
      </c>
      <c r="B2853" s="120" t="s">
        <v>3686</v>
      </c>
      <c r="C2853" s="122">
        <v>0</v>
      </c>
      <c r="D2853" s="121">
        <v>1</v>
      </c>
      <c r="E2853" s="122"/>
      <c r="F2853" s="123" t="s">
        <v>3687</v>
      </c>
    </row>
    <row r="2854" ht="17" customHeight="1" spans="1:6">
      <c r="A2854" s="56">
        <v>2892</v>
      </c>
      <c r="B2854" s="120" t="s">
        <v>3688</v>
      </c>
      <c r="C2854" s="122">
        <f>48/30</f>
        <v>1.6</v>
      </c>
      <c r="D2854" s="121">
        <v>0</v>
      </c>
      <c r="E2854" s="122"/>
      <c r="F2854" s="123" t="s">
        <v>3689</v>
      </c>
    </row>
    <row r="2855" ht="17" customHeight="1" spans="1:6">
      <c r="A2855" s="56">
        <v>2893</v>
      </c>
      <c r="B2855" s="120" t="s">
        <v>3690</v>
      </c>
      <c r="C2855" s="122">
        <v>1</v>
      </c>
      <c r="D2855" s="121">
        <v>0</v>
      </c>
      <c r="E2855" s="122"/>
      <c r="F2855" s="123" t="s">
        <v>3691</v>
      </c>
    </row>
    <row r="2856" ht="17" customHeight="1" spans="1:6">
      <c r="A2856" s="56">
        <v>2894</v>
      </c>
      <c r="B2856" s="120" t="s">
        <v>3692</v>
      </c>
      <c r="C2856" s="122">
        <f>62/30</f>
        <v>2.06666666666667</v>
      </c>
      <c r="D2856" s="121">
        <v>0</v>
      </c>
      <c r="E2856" s="122"/>
      <c r="F2856" s="123" t="s">
        <v>3693</v>
      </c>
    </row>
    <row r="2857" ht="17" customHeight="1" spans="1:6">
      <c r="A2857" s="56">
        <v>2895</v>
      </c>
      <c r="B2857" s="120" t="s">
        <v>3694</v>
      </c>
      <c r="C2857" s="122">
        <v>1</v>
      </c>
      <c r="D2857" s="121">
        <v>0</v>
      </c>
      <c r="E2857" s="122"/>
      <c r="F2857" s="123" t="s">
        <v>3695</v>
      </c>
    </row>
    <row r="2858" ht="17" customHeight="1" spans="1:6">
      <c r="A2858" s="56">
        <v>2896</v>
      </c>
      <c r="B2858" s="120" t="s">
        <v>3696</v>
      </c>
      <c r="C2858" s="122">
        <v>0</v>
      </c>
      <c r="D2858" s="121">
        <v>1</v>
      </c>
      <c r="E2858" s="122"/>
      <c r="F2858" s="123" t="s">
        <v>3697</v>
      </c>
    </row>
    <row r="2859" ht="17" customHeight="1" spans="1:6">
      <c r="A2859" s="56">
        <v>2897</v>
      </c>
      <c r="B2859" s="120" t="s">
        <v>3698</v>
      </c>
      <c r="C2859" s="122">
        <f>89/30</f>
        <v>2.96666666666667</v>
      </c>
      <c r="D2859" s="121">
        <v>0</v>
      </c>
      <c r="E2859" s="122"/>
      <c r="F2859" s="123" t="s">
        <v>3699</v>
      </c>
    </row>
    <row r="2860" ht="17" customHeight="1" spans="1:6">
      <c r="A2860" s="56">
        <v>2898</v>
      </c>
      <c r="B2860" s="120" t="s">
        <v>3700</v>
      </c>
      <c r="C2860" s="122">
        <f>89/30</f>
        <v>2.96666666666667</v>
      </c>
      <c r="D2860" s="121">
        <v>0</v>
      </c>
      <c r="E2860" s="122"/>
      <c r="F2860" s="123" t="s">
        <v>3701</v>
      </c>
    </row>
    <row r="2861" ht="17" customHeight="1" spans="1:6">
      <c r="A2861" s="56">
        <v>2899</v>
      </c>
      <c r="B2861" s="120" t="s">
        <v>3702</v>
      </c>
      <c r="C2861" s="122">
        <f>213/30</f>
        <v>7.1</v>
      </c>
      <c r="D2861" s="121">
        <v>0</v>
      </c>
      <c r="E2861" s="122"/>
      <c r="F2861" s="123" t="s">
        <v>3703</v>
      </c>
    </row>
    <row r="2862" ht="17" customHeight="1" spans="1:6">
      <c r="A2862" s="56">
        <v>2900</v>
      </c>
      <c r="B2862" s="120" t="s">
        <v>3704</v>
      </c>
      <c r="C2862" s="122">
        <v>0</v>
      </c>
      <c r="D2862" s="121">
        <v>1</v>
      </c>
      <c r="E2862" s="122"/>
      <c r="F2862" s="123" t="s">
        <v>3705</v>
      </c>
    </row>
    <row r="2863" ht="17" customHeight="1" spans="1:6">
      <c r="A2863" s="56">
        <v>2901</v>
      </c>
      <c r="B2863" s="120" t="s">
        <v>3706</v>
      </c>
      <c r="C2863" s="122">
        <v>1</v>
      </c>
      <c r="D2863" s="121">
        <v>1</v>
      </c>
      <c r="E2863" s="122"/>
      <c r="F2863" s="123" t="s">
        <v>3707</v>
      </c>
    </row>
    <row r="2864" ht="17" customHeight="1" spans="1:6">
      <c r="A2864" s="56">
        <v>2902</v>
      </c>
      <c r="B2864" s="120" t="s">
        <v>3708</v>
      </c>
      <c r="C2864" s="2">
        <f>101/30</f>
        <v>3.36666666666667</v>
      </c>
      <c r="D2864" s="121">
        <v>0</v>
      </c>
      <c r="E2864" s="122"/>
      <c r="F2864" s="123" t="s">
        <v>3709</v>
      </c>
    </row>
    <row r="2865" ht="17" customHeight="1" spans="1:6">
      <c r="A2865" s="56">
        <v>2903</v>
      </c>
      <c r="B2865" s="120" t="s">
        <v>3710</v>
      </c>
      <c r="C2865" s="122">
        <v>1</v>
      </c>
      <c r="D2865" s="121">
        <v>0</v>
      </c>
      <c r="E2865" s="122"/>
      <c r="F2865" s="123" t="s">
        <v>3711</v>
      </c>
    </row>
    <row r="2866" ht="17" customHeight="1" spans="1:6">
      <c r="A2866" s="56">
        <v>2904</v>
      </c>
      <c r="B2866" s="120" t="s">
        <v>3712</v>
      </c>
      <c r="C2866" s="2">
        <f>153/30</f>
        <v>5.1</v>
      </c>
      <c r="D2866" s="121">
        <v>0</v>
      </c>
      <c r="E2866" s="122"/>
      <c r="F2866" s="123" t="s">
        <v>3713</v>
      </c>
    </row>
    <row r="2867" ht="17" customHeight="1" spans="1:6">
      <c r="A2867" s="56">
        <v>2905</v>
      </c>
      <c r="B2867" s="120" t="s">
        <v>3714</v>
      </c>
      <c r="C2867" s="122">
        <v>1</v>
      </c>
      <c r="D2867" s="121">
        <v>0</v>
      </c>
      <c r="E2867" s="122"/>
      <c r="F2867" s="123" t="s">
        <v>3715</v>
      </c>
    </row>
    <row r="2868" ht="17" customHeight="1" spans="1:6">
      <c r="A2868" s="56">
        <v>2906</v>
      </c>
      <c r="B2868" s="120" t="s">
        <v>3716</v>
      </c>
      <c r="C2868" s="2">
        <f>127/30</f>
        <v>4.23333333333333</v>
      </c>
      <c r="D2868" s="121">
        <v>0</v>
      </c>
      <c r="E2868" s="122"/>
      <c r="F2868" s="123" t="s">
        <v>3717</v>
      </c>
    </row>
    <row r="2869" ht="17" customHeight="1" spans="1:6">
      <c r="A2869" s="56">
        <v>2907</v>
      </c>
      <c r="B2869" s="120" t="s">
        <v>3718</v>
      </c>
      <c r="C2869" s="2">
        <f>145/30</f>
        <v>4.83333333333333</v>
      </c>
      <c r="D2869" s="121">
        <v>0</v>
      </c>
      <c r="E2869" s="122"/>
      <c r="F2869" s="123" t="s">
        <v>3719</v>
      </c>
    </row>
    <row r="2870" ht="17" customHeight="1" spans="1:6">
      <c r="A2870" s="56">
        <v>2908</v>
      </c>
      <c r="B2870" s="120" t="s">
        <v>3720</v>
      </c>
      <c r="C2870" s="2">
        <f>124/30</f>
        <v>4.13333333333333</v>
      </c>
      <c r="D2870" s="121">
        <v>0</v>
      </c>
      <c r="E2870" s="122"/>
      <c r="F2870" s="123" t="s">
        <v>3721</v>
      </c>
    </row>
    <row r="2871" ht="17" customHeight="1" spans="1:6">
      <c r="A2871" s="56">
        <v>2909</v>
      </c>
      <c r="B2871" s="120" t="s">
        <v>3722</v>
      </c>
      <c r="C2871" s="2">
        <f>89/30</f>
        <v>2.96666666666667</v>
      </c>
      <c r="D2871" s="121">
        <v>0</v>
      </c>
      <c r="E2871" s="122"/>
      <c r="F2871" s="123" t="s">
        <v>3723</v>
      </c>
    </row>
    <row r="2872" ht="17" customHeight="1" spans="1:6">
      <c r="A2872" s="56">
        <v>2910</v>
      </c>
      <c r="B2872" s="120" t="s">
        <v>3724</v>
      </c>
      <c r="C2872" s="122">
        <f>330/30</f>
        <v>11</v>
      </c>
      <c r="D2872" s="121">
        <v>0</v>
      </c>
      <c r="E2872" s="122"/>
      <c r="F2872" s="123" t="s">
        <v>3725</v>
      </c>
    </row>
    <row r="2873" ht="17" customHeight="1" spans="1:6">
      <c r="A2873" s="56">
        <v>2911</v>
      </c>
      <c r="B2873" s="120" t="s">
        <v>3726</v>
      </c>
      <c r="C2873" s="2">
        <f>290/30</f>
        <v>9.66666666666667</v>
      </c>
      <c r="D2873" s="121">
        <v>0</v>
      </c>
      <c r="E2873" s="122"/>
      <c r="F2873" s="123" t="s">
        <v>3727</v>
      </c>
    </row>
    <row r="2874" ht="17" customHeight="1" spans="1:6">
      <c r="A2874" s="56">
        <v>2912</v>
      </c>
      <c r="B2874" s="120" t="s">
        <v>3728</v>
      </c>
      <c r="C2874" s="122">
        <v>1</v>
      </c>
      <c r="D2874" s="121">
        <v>0</v>
      </c>
      <c r="E2874" s="122"/>
      <c r="F2874" s="123" t="s">
        <v>3729</v>
      </c>
    </row>
    <row r="2875" ht="17" customHeight="1" spans="1:6">
      <c r="A2875" s="56">
        <v>2913</v>
      </c>
      <c r="B2875" s="120" t="s">
        <v>3730</v>
      </c>
      <c r="C2875" s="122">
        <f>225/30</f>
        <v>7.5</v>
      </c>
      <c r="D2875" s="121">
        <v>0</v>
      </c>
      <c r="E2875" s="122"/>
      <c r="F2875" s="123" t="s">
        <v>3731</v>
      </c>
    </row>
    <row r="2876" ht="17" customHeight="1" spans="1:6">
      <c r="A2876" s="56">
        <v>2914</v>
      </c>
      <c r="B2876" s="120" t="s">
        <v>3732</v>
      </c>
      <c r="C2876" s="122">
        <f>91/30</f>
        <v>3.03333333333333</v>
      </c>
      <c r="D2876" s="121">
        <v>1</v>
      </c>
      <c r="E2876" s="122"/>
      <c r="F2876" s="123" t="s">
        <v>3733</v>
      </c>
    </row>
    <row r="2877" ht="17" customHeight="1" spans="1:6">
      <c r="A2877" s="56">
        <v>2915</v>
      </c>
      <c r="B2877" s="120" t="s">
        <v>3734</v>
      </c>
      <c r="C2877" s="122">
        <v>2</v>
      </c>
      <c r="D2877" s="121">
        <v>1</v>
      </c>
      <c r="E2877" s="122"/>
      <c r="F2877" s="123" t="s">
        <v>3735</v>
      </c>
    </row>
    <row r="2878" ht="17" customHeight="1" spans="1:6">
      <c r="A2878" s="56">
        <v>2916</v>
      </c>
      <c r="B2878" s="120" t="s">
        <v>3736</v>
      </c>
      <c r="C2878" s="122">
        <f>153/30</f>
        <v>5.1</v>
      </c>
      <c r="D2878" s="121">
        <v>0</v>
      </c>
      <c r="E2878" s="122"/>
      <c r="F2878" s="123" t="s">
        <v>3737</v>
      </c>
    </row>
    <row r="2879" ht="17" customHeight="1" spans="1:6">
      <c r="A2879" s="56">
        <v>2917</v>
      </c>
      <c r="B2879" s="120" t="s">
        <v>3738</v>
      </c>
      <c r="C2879" s="2">
        <f>133/30</f>
        <v>4.43333333333333</v>
      </c>
      <c r="D2879" s="121">
        <v>0</v>
      </c>
      <c r="E2879" s="122"/>
      <c r="F2879" s="123" t="s">
        <v>3739</v>
      </c>
    </row>
    <row r="2880" ht="17" customHeight="1" spans="1:6">
      <c r="A2880" s="56">
        <v>2918</v>
      </c>
      <c r="B2880" s="120" t="s">
        <v>3740</v>
      </c>
      <c r="C2880" s="2">
        <f>133/30</f>
        <v>4.43333333333333</v>
      </c>
      <c r="D2880" s="121">
        <v>0</v>
      </c>
      <c r="E2880" s="122"/>
      <c r="F2880" s="123" t="s">
        <v>3741</v>
      </c>
    </row>
    <row r="2881" ht="17" customHeight="1" spans="1:6">
      <c r="A2881" s="56">
        <v>2919</v>
      </c>
      <c r="B2881" s="120" t="s">
        <v>3742</v>
      </c>
      <c r="C2881" s="122">
        <v>1</v>
      </c>
      <c r="D2881" s="121">
        <v>0</v>
      </c>
      <c r="E2881" s="122"/>
      <c r="F2881" s="123" t="s">
        <v>3743</v>
      </c>
    </row>
    <row r="2882" ht="17" customHeight="1" spans="1:6">
      <c r="A2882" s="56">
        <v>2920</v>
      </c>
      <c r="B2882" s="120" t="s">
        <v>3744</v>
      </c>
      <c r="C2882" s="2">
        <f>120/30</f>
        <v>4</v>
      </c>
      <c r="D2882" s="121">
        <v>0</v>
      </c>
      <c r="E2882" s="122"/>
      <c r="F2882" s="123" t="s">
        <v>3745</v>
      </c>
    </row>
    <row r="2883" ht="17" customHeight="1" spans="1:6">
      <c r="A2883" s="56">
        <v>2921</v>
      </c>
      <c r="B2883" s="120" t="s">
        <v>3746</v>
      </c>
      <c r="C2883" s="2">
        <f>110/30</f>
        <v>3.66666666666667</v>
      </c>
      <c r="D2883" s="121">
        <v>0</v>
      </c>
      <c r="E2883" s="122"/>
      <c r="F2883" s="123" t="s">
        <v>3747</v>
      </c>
    </row>
    <row r="2884" ht="17" customHeight="1" spans="1:6">
      <c r="A2884" s="56">
        <v>2922</v>
      </c>
      <c r="B2884" s="120" t="s">
        <v>3748</v>
      </c>
      <c r="C2884" s="122">
        <v>1</v>
      </c>
      <c r="D2884" s="121">
        <v>0</v>
      </c>
      <c r="E2884" s="122"/>
      <c r="F2884" s="123" t="s">
        <v>3749</v>
      </c>
    </row>
    <row r="2885" ht="17" customHeight="1" spans="1:6">
      <c r="A2885" s="56">
        <v>2923</v>
      </c>
      <c r="B2885" s="120" t="s">
        <v>3750</v>
      </c>
      <c r="C2885" s="2">
        <f>210/30</f>
        <v>7</v>
      </c>
      <c r="D2885" s="121">
        <v>0</v>
      </c>
      <c r="E2885" s="122"/>
      <c r="F2885" s="123" t="s">
        <v>3751</v>
      </c>
    </row>
    <row r="2886" ht="17" customHeight="1" spans="1:6">
      <c r="A2886" s="56">
        <v>2924</v>
      </c>
      <c r="B2886" s="120" t="s">
        <v>3752</v>
      </c>
      <c r="C2886" s="122">
        <f>225/30</f>
        <v>7.5</v>
      </c>
      <c r="D2886" s="121">
        <v>0</v>
      </c>
      <c r="E2886" s="122"/>
      <c r="F2886" s="123" t="s">
        <v>3753</v>
      </c>
    </row>
    <row r="2887" ht="17" customHeight="1" spans="1:6">
      <c r="A2887" s="56">
        <v>2925</v>
      </c>
      <c r="B2887" s="120" t="s">
        <v>3754</v>
      </c>
      <c r="C2887" s="122">
        <v>0</v>
      </c>
      <c r="D2887" s="121">
        <v>1</v>
      </c>
      <c r="E2887" s="122"/>
      <c r="F2887" s="123" t="s">
        <v>3755</v>
      </c>
    </row>
    <row r="2888" ht="17" customHeight="1" spans="1:6">
      <c r="A2888" s="56">
        <v>2926</v>
      </c>
      <c r="B2888" s="120" t="s">
        <v>3756</v>
      </c>
      <c r="C2888" s="122">
        <v>1</v>
      </c>
      <c r="D2888" s="121">
        <v>0</v>
      </c>
      <c r="E2888" s="122"/>
      <c r="F2888" s="123" t="s">
        <v>3757</v>
      </c>
    </row>
    <row r="2889" ht="17" customHeight="1" spans="1:6">
      <c r="A2889" s="56">
        <v>2927</v>
      </c>
      <c r="B2889" s="120" t="s">
        <v>3758</v>
      </c>
      <c r="C2889" s="122">
        <v>1</v>
      </c>
      <c r="D2889" s="121">
        <v>0</v>
      </c>
      <c r="E2889" s="122"/>
      <c r="F2889" s="123" t="s">
        <v>3759</v>
      </c>
    </row>
    <row r="2890" ht="17" customHeight="1" spans="1:6">
      <c r="A2890" s="56">
        <v>2928</v>
      </c>
      <c r="B2890" s="120" t="s">
        <v>3760</v>
      </c>
      <c r="C2890" s="122">
        <f>225/30</f>
        <v>7.5</v>
      </c>
      <c r="D2890" s="121">
        <v>0</v>
      </c>
      <c r="E2890" s="122"/>
      <c r="F2890" s="123" t="s">
        <v>3761</v>
      </c>
    </row>
    <row r="2891" ht="17" customHeight="1" spans="1:6">
      <c r="A2891" s="56">
        <v>2929</v>
      </c>
      <c r="B2891" s="120" t="s">
        <v>3762</v>
      </c>
      <c r="C2891" s="122">
        <v>2.9</v>
      </c>
      <c r="D2891" s="121">
        <v>0</v>
      </c>
      <c r="E2891" s="122"/>
      <c r="F2891" s="123" t="s">
        <v>3763</v>
      </c>
    </row>
    <row r="2892" ht="17" customHeight="1" spans="1:6">
      <c r="A2892" s="56">
        <v>2930</v>
      </c>
      <c r="B2892" s="120" t="s">
        <v>3764</v>
      </c>
      <c r="C2892" s="122">
        <v>1</v>
      </c>
      <c r="D2892" s="121">
        <v>0</v>
      </c>
      <c r="E2892" s="122"/>
      <c r="F2892" s="123" t="s">
        <v>3765</v>
      </c>
    </row>
    <row r="2893" ht="17" customHeight="1" spans="1:6">
      <c r="A2893" s="56">
        <v>2931</v>
      </c>
      <c r="B2893" s="120" t="s">
        <v>3766</v>
      </c>
      <c r="C2893" s="122">
        <v>0.68</v>
      </c>
      <c r="D2893" s="121">
        <v>0</v>
      </c>
      <c r="E2893" s="122"/>
      <c r="F2893" s="123" t="s">
        <v>3767</v>
      </c>
    </row>
    <row r="2894" ht="17" customHeight="1" spans="1:6">
      <c r="A2894" s="56">
        <v>2932</v>
      </c>
      <c r="B2894" s="120" t="s">
        <v>3768</v>
      </c>
      <c r="C2894" s="122">
        <f>115/30</f>
        <v>3.83333333333333</v>
      </c>
      <c r="D2894" s="121">
        <v>0</v>
      </c>
      <c r="E2894" s="122"/>
      <c r="F2894" s="123" t="s">
        <v>3769</v>
      </c>
    </row>
    <row r="2895" ht="17" customHeight="1" spans="1:6">
      <c r="A2895" s="56">
        <v>2933</v>
      </c>
      <c r="B2895" s="120" t="s">
        <v>3770</v>
      </c>
      <c r="C2895" s="122">
        <v>1</v>
      </c>
      <c r="D2895" s="121">
        <v>0</v>
      </c>
      <c r="E2895" s="122"/>
      <c r="F2895" s="123" t="s">
        <v>3771</v>
      </c>
    </row>
    <row r="2896" ht="17" customHeight="1" spans="1:6">
      <c r="A2896" s="56">
        <v>2934</v>
      </c>
      <c r="B2896" s="120" t="s">
        <v>3772</v>
      </c>
      <c r="C2896" s="122">
        <f>81/30</f>
        <v>2.7</v>
      </c>
      <c r="D2896" s="121">
        <v>0</v>
      </c>
      <c r="E2896" s="122"/>
      <c r="F2896" s="123" t="s">
        <v>3773</v>
      </c>
    </row>
    <row r="2897" ht="17" customHeight="1" spans="1:6">
      <c r="A2897" s="56">
        <v>2935</v>
      </c>
      <c r="B2897" s="120" t="s">
        <v>3774</v>
      </c>
      <c r="C2897" s="122">
        <v>1</v>
      </c>
      <c r="D2897" s="121">
        <v>0</v>
      </c>
      <c r="E2897" s="122"/>
      <c r="F2897" s="123" t="s">
        <v>3775</v>
      </c>
    </row>
    <row r="2898" ht="17" customHeight="1" spans="1:6">
      <c r="A2898" s="56">
        <v>2936</v>
      </c>
      <c r="B2898" s="120" t="s">
        <v>3776</v>
      </c>
      <c r="C2898" s="122">
        <f>93/30</f>
        <v>3.1</v>
      </c>
      <c r="D2898" s="121">
        <v>0</v>
      </c>
      <c r="E2898" s="122"/>
      <c r="F2898" s="123" t="s">
        <v>3777</v>
      </c>
    </row>
    <row r="2899" ht="17" customHeight="1" spans="1:6">
      <c r="A2899" s="56">
        <v>2937</v>
      </c>
      <c r="B2899" s="120" t="s">
        <v>3778</v>
      </c>
      <c r="C2899" s="122">
        <v>1</v>
      </c>
      <c r="D2899" s="121">
        <v>0</v>
      </c>
      <c r="E2899" s="122"/>
      <c r="F2899" s="123" t="s">
        <v>3779</v>
      </c>
    </row>
    <row r="2900" ht="17" customHeight="1" spans="1:6">
      <c r="A2900" s="56">
        <v>2938</v>
      </c>
      <c r="B2900" s="120" t="s">
        <v>3780</v>
      </c>
      <c r="C2900" s="122">
        <f>92/30</f>
        <v>3.06666666666667</v>
      </c>
      <c r="D2900" s="121">
        <v>0</v>
      </c>
      <c r="E2900" s="122"/>
      <c r="F2900" s="123" t="s">
        <v>3781</v>
      </c>
    </row>
    <row r="2901" ht="17" customHeight="1" spans="1:6">
      <c r="A2901" s="56">
        <v>2939</v>
      </c>
      <c r="B2901" s="120" t="s">
        <v>3782</v>
      </c>
      <c r="C2901" s="122">
        <v>1</v>
      </c>
      <c r="D2901" s="121">
        <v>0</v>
      </c>
      <c r="E2901" s="122"/>
      <c r="F2901" s="123" t="s">
        <v>3783</v>
      </c>
    </row>
    <row r="2902" ht="17" customHeight="1" spans="1:6">
      <c r="A2902" s="56">
        <v>2940</v>
      </c>
      <c r="B2902" s="120" t="s">
        <v>3784</v>
      </c>
      <c r="C2902" s="122">
        <f>96/30</f>
        <v>3.2</v>
      </c>
      <c r="D2902" s="121">
        <v>0</v>
      </c>
      <c r="E2902" s="122"/>
      <c r="F2902" s="123" t="s">
        <v>3785</v>
      </c>
    </row>
    <row r="2903" ht="17" customHeight="1" spans="1:6">
      <c r="A2903" s="56">
        <v>2941</v>
      </c>
      <c r="B2903" s="120" t="s">
        <v>3786</v>
      </c>
      <c r="C2903" s="122">
        <v>1</v>
      </c>
      <c r="D2903" s="121">
        <v>0</v>
      </c>
      <c r="E2903" s="122"/>
      <c r="F2903" s="123" t="s">
        <v>3787</v>
      </c>
    </row>
    <row r="2904" ht="17" customHeight="1" spans="1:6">
      <c r="A2904" s="56">
        <v>2942</v>
      </c>
      <c r="B2904" s="120" t="s">
        <v>3788</v>
      </c>
      <c r="C2904" s="122">
        <f>181/30</f>
        <v>6.03333333333333</v>
      </c>
      <c r="D2904" s="121">
        <v>0</v>
      </c>
      <c r="E2904" s="122"/>
      <c r="F2904" s="123" t="s">
        <v>3789</v>
      </c>
    </row>
    <row r="2905" ht="17" customHeight="1" spans="1:6">
      <c r="A2905" s="56">
        <v>2943</v>
      </c>
      <c r="B2905" s="120" t="s">
        <v>3790</v>
      </c>
      <c r="C2905" s="122">
        <f>188/30</f>
        <v>6.26666666666667</v>
      </c>
      <c r="D2905" s="121">
        <v>0</v>
      </c>
      <c r="E2905" s="122"/>
      <c r="F2905" s="123" t="s">
        <v>3791</v>
      </c>
    </row>
    <row r="2906" ht="17" customHeight="1" spans="1:6">
      <c r="A2906" s="56">
        <v>2944</v>
      </c>
      <c r="B2906" s="120" t="s">
        <v>3792</v>
      </c>
      <c r="C2906" s="122">
        <f>188/30</f>
        <v>6.26666666666667</v>
      </c>
      <c r="D2906" s="121">
        <v>0</v>
      </c>
      <c r="E2906" s="122"/>
      <c r="F2906" s="123" t="s">
        <v>3793</v>
      </c>
    </row>
    <row r="2907" ht="17" customHeight="1" spans="1:6">
      <c r="A2907" s="56">
        <v>2945</v>
      </c>
      <c r="B2907" s="120" t="s">
        <v>3794</v>
      </c>
      <c r="C2907" s="122">
        <f>188/30</f>
        <v>6.26666666666667</v>
      </c>
      <c r="D2907" s="121">
        <v>0</v>
      </c>
      <c r="E2907" s="122"/>
      <c r="F2907" s="123" t="s">
        <v>3795</v>
      </c>
    </row>
    <row r="2908" ht="17" customHeight="1" spans="1:6">
      <c r="A2908" s="56">
        <v>2946</v>
      </c>
      <c r="B2908" s="120" t="s">
        <v>3796</v>
      </c>
      <c r="C2908" s="122">
        <f>328/30</f>
        <v>10.9333333333333</v>
      </c>
      <c r="D2908" s="121">
        <v>0</v>
      </c>
      <c r="E2908" s="122"/>
      <c r="F2908" s="123" t="s">
        <v>3797</v>
      </c>
    </row>
    <row r="2909" ht="17" customHeight="1" spans="1:6">
      <c r="A2909" s="56">
        <v>2947</v>
      </c>
      <c r="B2909" s="120" t="s">
        <v>3798</v>
      </c>
      <c r="C2909" s="122">
        <f>193/30</f>
        <v>6.43333333333333</v>
      </c>
      <c r="D2909" s="121">
        <v>0</v>
      </c>
      <c r="E2909" s="122"/>
      <c r="F2909" s="123" t="s">
        <v>3799</v>
      </c>
    </row>
    <row r="2910" ht="17" customHeight="1" spans="1:6">
      <c r="A2910" s="56">
        <v>2948</v>
      </c>
      <c r="B2910" s="120" t="s">
        <v>3800</v>
      </c>
      <c r="C2910" s="122">
        <f>64/30</f>
        <v>2.13333333333333</v>
      </c>
      <c r="D2910" s="121">
        <v>1</v>
      </c>
      <c r="E2910" s="122"/>
      <c r="F2910" s="123" t="s">
        <v>3801</v>
      </c>
    </row>
    <row r="2911" ht="17" customHeight="1" spans="1:6">
      <c r="A2911" s="56">
        <v>2949</v>
      </c>
      <c r="B2911" s="120" t="s">
        <v>3802</v>
      </c>
      <c r="C2911" s="122">
        <v>3</v>
      </c>
      <c r="D2911" s="121">
        <v>1</v>
      </c>
      <c r="E2911" s="122"/>
      <c r="F2911" s="123" t="s">
        <v>3803</v>
      </c>
    </row>
    <row r="2912" ht="17" customHeight="1" spans="1:6">
      <c r="A2912" s="56">
        <v>2950</v>
      </c>
      <c r="B2912" s="120" t="s">
        <v>3804</v>
      </c>
      <c r="C2912" s="122">
        <v>1</v>
      </c>
      <c r="D2912" s="121">
        <v>0</v>
      </c>
      <c r="E2912" s="122"/>
      <c r="F2912" s="123" t="s">
        <v>3805</v>
      </c>
    </row>
    <row r="2913" ht="17" customHeight="1" spans="1:6">
      <c r="A2913" s="56">
        <v>2951</v>
      </c>
      <c r="B2913" s="120" t="s">
        <v>3806</v>
      </c>
      <c r="C2913" s="122">
        <f>100/30</f>
        <v>3.33333333333333</v>
      </c>
      <c r="D2913" s="121">
        <v>0</v>
      </c>
      <c r="E2913" s="122"/>
      <c r="F2913" s="123" t="s">
        <v>3807</v>
      </c>
    </row>
    <row r="2914" ht="17" customHeight="1" spans="1:6">
      <c r="A2914" s="56">
        <v>2952</v>
      </c>
      <c r="B2914" s="120" t="s">
        <v>3808</v>
      </c>
      <c r="C2914" s="122">
        <v>1</v>
      </c>
      <c r="D2914" s="121">
        <v>0</v>
      </c>
      <c r="E2914" s="122"/>
      <c r="F2914" s="123" t="s">
        <v>3809</v>
      </c>
    </row>
    <row r="2915" ht="17" customHeight="1" spans="1:6">
      <c r="A2915" s="56">
        <v>2953</v>
      </c>
      <c r="B2915" s="120" t="s">
        <v>3810</v>
      </c>
      <c r="C2915" s="122">
        <f>96/30+0.5</f>
        <v>3.7</v>
      </c>
      <c r="D2915" s="121">
        <v>0</v>
      </c>
      <c r="E2915" s="122"/>
      <c r="F2915" s="123" t="s">
        <v>3811</v>
      </c>
    </row>
    <row r="2916" ht="17" customHeight="1" spans="1:6">
      <c r="A2916" s="56">
        <v>2954</v>
      </c>
      <c r="B2916" s="120" t="s">
        <v>3812</v>
      </c>
      <c r="C2916" s="122">
        <f>161/30</f>
        <v>5.36666666666667</v>
      </c>
      <c r="D2916" s="121">
        <v>0</v>
      </c>
      <c r="E2916" s="122"/>
      <c r="F2916" s="123" t="s">
        <v>3813</v>
      </c>
    </row>
    <row r="2917" ht="17" customHeight="1" spans="1:6">
      <c r="A2917" s="56">
        <v>2955</v>
      </c>
      <c r="B2917" s="120" t="s">
        <v>3814</v>
      </c>
      <c r="C2917" s="122">
        <f>100/30+0.2</f>
        <v>3.53333333333333</v>
      </c>
      <c r="D2917" s="121">
        <v>0</v>
      </c>
      <c r="E2917" s="122"/>
      <c r="F2917" s="123" t="s">
        <v>3815</v>
      </c>
    </row>
    <row r="2918" ht="17" customHeight="1" spans="1:6">
      <c r="A2918" s="56">
        <v>2956</v>
      </c>
      <c r="B2918" s="120" t="s">
        <v>3816</v>
      </c>
      <c r="C2918" s="122">
        <f>70/30</f>
        <v>2.33333333333333</v>
      </c>
      <c r="D2918" s="121">
        <v>0</v>
      </c>
      <c r="E2918" s="122"/>
      <c r="F2918" s="123" t="s">
        <v>3817</v>
      </c>
    </row>
    <row r="2919" ht="17" customHeight="1" spans="1:6">
      <c r="A2919" s="56">
        <v>2957</v>
      </c>
      <c r="B2919" s="120" t="s">
        <v>3818</v>
      </c>
      <c r="C2919" s="122">
        <f>70/30</f>
        <v>2.33333333333333</v>
      </c>
      <c r="D2919" s="121">
        <v>0</v>
      </c>
      <c r="E2919" s="122"/>
      <c r="F2919" s="123" t="s">
        <v>3819</v>
      </c>
    </row>
    <row r="2920" ht="17" customHeight="1" spans="1:6">
      <c r="A2920" s="56">
        <v>2958</v>
      </c>
      <c r="B2920" s="120" t="s">
        <v>3820</v>
      </c>
      <c r="C2920" s="122">
        <f>328/30</f>
        <v>10.9333333333333</v>
      </c>
      <c r="D2920" s="121">
        <v>0</v>
      </c>
      <c r="E2920" s="122"/>
      <c r="F2920" s="123" t="s">
        <v>3821</v>
      </c>
    </row>
    <row r="2921" ht="17" customHeight="1" spans="1:6">
      <c r="A2921" s="56">
        <v>2959</v>
      </c>
      <c r="B2921" s="120" t="s">
        <v>3822</v>
      </c>
      <c r="C2921" s="2">
        <f>350/30</f>
        <v>11.6666666666667</v>
      </c>
      <c r="D2921" s="121">
        <v>0</v>
      </c>
      <c r="E2921" s="122"/>
      <c r="F2921" s="2" t="s">
        <v>3823</v>
      </c>
    </row>
    <row r="2922" ht="17" customHeight="1" spans="1:6">
      <c r="A2922" s="56">
        <v>2960</v>
      </c>
      <c r="B2922" s="120" t="s">
        <v>3824</v>
      </c>
      <c r="C2922" s="2">
        <f>350/30</f>
        <v>11.6666666666667</v>
      </c>
      <c r="D2922" s="121">
        <v>0</v>
      </c>
      <c r="E2922" s="122"/>
      <c r="F2922" s="123" t="s">
        <v>3825</v>
      </c>
    </row>
    <row r="2923" ht="17" customHeight="1" spans="1:6">
      <c r="A2923" s="56">
        <v>2961</v>
      </c>
      <c r="B2923" s="120" t="s">
        <v>3826</v>
      </c>
      <c r="C2923" s="122">
        <v>3</v>
      </c>
      <c r="D2923" s="121">
        <v>1</v>
      </c>
      <c r="E2923" s="122"/>
      <c r="F2923" s="123" t="s">
        <v>3827</v>
      </c>
    </row>
    <row r="2924" ht="17" customHeight="1" spans="1:6">
      <c r="A2924" s="56">
        <v>2962</v>
      </c>
      <c r="B2924" s="120" t="s">
        <v>3828</v>
      </c>
      <c r="C2924" s="122">
        <f>92/30</f>
        <v>3.06666666666667</v>
      </c>
      <c r="D2924" s="121">
        <v>1</v>
      </c>
      <c r="E2924" s="122"/>
      <c r="F2924" s="123" t="s">
        <v>3829</v>
      </c>
    </row>
    <row r="2925" ht="17" customHeight="1" spans="1:6">
      <c r="A2925" s="56">
        <v>2963</v>
      </c>
      <c r="B2925" s="120" t="s">
        <v>3830</v>
      </c>
      <c r="C2925" s="122">
        <f>92/30</f>
        <v>3.06666666666667</v>
      </c>
      <c r="D2925" s="121">
        <v>0</v>
      </c>
      <c r="E2925" s="122"/>
      <c r="F2925" s="123" t="s">
        <v>3831</v>
      </c>
    </row>
    <row r="2926" ht="17" customHeight="1" spans="1:6">
      <c r="A2926" s="56">
        <v>2964</v>
      </c>
      <c r="B2926" s="120" t="s">
        <v>3832</v>
      </c>
      <c r="C2926" s="5">
        <f t="shared" ref="C2926:C2928" si="20">360/30</f>
        <v>12</v>
      </c>
      <c r="D2926" s="121">
        <v>0</v>
      </c>
      <c r="E2926" s="122"/>
      <c r="F2926" s="123" t="s">
        <v>3833</v>
      </c>
    </row>
    <row r="2927" ht="17" customHeight="1" spans="1:6">
      <c r="A2927" s="56">
        <v>2965</v>
      </c>
      <c r="B2927" s="120" t="s">
        <v>3834</v>
      </c>
      <c r="C2927" s="5">
        <f t="shared" si="20"/>
        <v>12</v>
      </c>
      <c r="D2927" s="121">
        <v>0</v>
      </c>
      <c r="E2927" s="122"/>
      <c r="F2927" s="123" t="s">
        <v>3835</v>
      </c>
    </row>
    <row r="2928" ht="17" customHeight="1" spans="1:6">
      <c r="A2928" s="56">
        <v>2966</v>
      </c>
      <c r="B2928" s="120" t="s">
        <v>3836</v>
      </c>
      <c r="C2928" s="5">
        <f t="shared" si="20"/>
        <v>12</v>
      </c>
      <c r="D2928" s="121">
        <v>0</v>
      </c>
      <c r="E2928" s="122"/>
      <c r="F2928" s="123" t="s">
        <v>3837</v>
      </c>
    </row>
    <row r="2929" ht="17" customHeight="1" spans="1:6">
      <c r="A2929" s="56">
        <v>2967</v>
      </c>
      <c r="B2929" s="120" t="s">
        <v>3838</v>
      </c>
      <c r="C2929" s="5">
        <f>92/30</f>
        <v>3.06666666666667</v>
      </c>
      <c r="D2929" s="121">
        <v>0</v>
      </c>
      <c r="E2929" s="122"/>
      <c r="F2929" s="123" t="s">
        <v>3839</v>
      </c>
    </row>
    <row r="2930" ht="17" customHeight="1" spans="1:6">
      <c r="A2930" s="56">
        <v>2968</v>
      </c>
      <c r="B2930" s="120" t="s">
        <v>3840</v>
      </c>
      <c r="C2930" s="5">
        <f>92/30</f>
        <v>3.06666666666667</v>
      </c>
      <c r="D2930" s="121">
        <v>0</v>
      </c>
      <c r="E2930" s="122"/>
      <c r="F2930" s="123" t="s">
        <v>3841</v>
      </c>
    </row>
    <row r="2931" ht="17" customHeight="1" spans="1:6">
      <c r="A2931" s="56">
        <v>2969</v>
      </c>
      <c r="B2931" s="120" t="s">
        <v>3842</v>
      </c>
      <c r="C2931" s="5">
        <v>1</v>
      </c>
      <c r="D2931" s="121">
        <v>0</v>
      </c>
      <c r="E2931" s="122"/>
      <c r="F2931" s="123" t="s">
        <v>3843</v>
      </c>
    </row>
    <row r="2932" ht="17" customHeight="1" spans="1:6">
      <c r="A2932" s="56">
        <v>2970</v>
      </c>
      <c r="B2932" s="120" t="s">
        <v>3844</v>
      </c>
      <c r="C2932" s="2">
        <v>3</v>
      </c>
      <c r="D2932" s="121">
        <v>0</v>
      </c>
      <c r="E2932" s="122"/>
      <c r="F2932" s="123" t="s">
        <v>3845</v>
      </c>
    </row>
    <row r="2933" ht="17" customHeight="1" spans="1:6">
      <c r="A2933" s="56">
        <v>2971</v>
      </c>
      <c r="B2933" s="120" t="s">
        <v>3846</v>
      </c>
      <c r="C2933" s="2">
        <v>1</v>
      </c>
      <c r="D2933" s="121">
        <v>0</v>
      </c>
      <c r="E2933" s="122"/>
      <c r="F2933" s="123" t="s">
        <v>3845</v>
      </c>
    </row>
    <row r="2934" ht="17" customHeight="1" spans="1:6">
      <c r="A2934" s="56">
        <v>2972</v>
      </c>
      <c r="B2934" s="120" t="s">
        <v>3847</v>
      </c>
      <c r="C2934" s="2">
        <v>3.833333</v>
      </c>
      <c r="D2934" s="121">
        <v>0</v>
      </c>
      <c r="E2934" s="122"/>
      <c r="F2934" s="123" t="s">
        <v>3845</v>
      </c>
    </row>
    <row r="2935" ht="17" customHeight="1" spans="1:6">
      <c r="A2935" s="56">
        <v>2973</v>
      </c>
      <c r="B2935" s="120" t="s">
        <v>3848</v>
      </c>
      <c r="C2935" s="2">
        <v>1</v>
      </c>
      <c r="D2935" s="121">
        <v>0</v>
      </c>
      <c r="E2935" s="122"/>
      <c r="F2935" s="123" t="s">
        <v>3845</v>
      </c>
    </row>
    <row r="2936" ht="17" customHeight="1" spans="1:6">
      <c r="A2936" s="56">
        <v>2974</v>
      </c>
      <c r="B2936" s="120" t="s">
        <v>3849</v>
      </c>
      <c r="C2936" s="2">
        <v>3.4</v>
      </c>
      <c r="D2936" s="121">
        <v>0</v>
      </c>
      <c r="E2936" s="122"/>
      <c r="F2936" s="123" t="s">
        <v>3845</v>
      </c>
    </row>
    <row r="2937" ht="17" customHeight="1" spans="1:6">
      <c r="A2937" s="56">
        <v>2975</v>
      </c>
      <c r="B2937" s="120" t="s">
        <v>3850</v>
      </c>
      <c r="C2937" s="2">
        <v>1</v>
      </c>
      <c r="D2937" s="121">
        <v>0</v>
      </c>
      <c r="E2937" s="122"/>
      <c r="F2937" s="123" t="s">
        <v>3845</v>
      </c>
    </row>
    <row r="2938" ht="17" customHeight="1" spans="1:6">
      <c r="A2938" s="56">
        <v>2976</v>
      </c>
      <c r="B2938" s="120" t="s">
        <v>3851</v>
      </c>
      <c r="C2938" s="2">
        <v>4.9</v>
      </c>
      <c r="D2938" s="121">
        <v>0</v>
      </c>
      <c r="E2938" s="122"/>
      <c r="F2938" s="123" t="s">
        <v>3845</v>
      </c>
    </row>
    <row r="2939" ht="17" customHeight="1" spans="1:6">
      <c r="A2939" s="56">
        <v>2977</v>
      </c>
      <c r="B2939" s="120" t="s">
        <v>3852</v>
      </c>
      <c r="C2939" s="2">
        <v>10</v>
      </c>
      <c r="D2939" s="121">
        <v>0</v>
      </c>
      <c r="E2939" s="122"/>
      <c r="F2939" s="123" t="s">
        <v>3845</v>
      </c>
    </row>
    <row r="2940" ht="17" customHeight="1" spans="1:6">
      <c r="A2940" s="56">
        <v>2978</v>
      </c>
      <c r="B2940" s="120" t="s">
        <v>3853</v>
      </c>
      <c r="C2940" s="2">
        <v>1</v>
      </c>
      <c r="D2940" s="121">
        <v>0</v>
      </c>
      <c r="E2940" s="122"/>
      <c r="F2940" s="123" t="s">
        <v>3845</v>
      </c>
    </row>
    <row r="2941" ht="17" customHeight="1" spans="1:6">
      <c r="A2941" s="56">
        <v>2979</v>
      </c>
      <c r="B2941" s="120" t="s">
        <v>3854</v>
      </c>
      <c r="C2941" s="2">
        <v>7.333333</v>
      </c>
      <c r="D2941" s="121">
        <v>0</v>
      </c>
      <c r="E2941" s="122"/>
      <c r="F2941" s="123" t="s">
        <v>3845</v>
      </c>
    </row>
    <row r="2942" ht="17" customHeight="1" spans="1:6">
      <c r="A2942" s="56">
        <v>2982</v>
      </c>
      <c r="B2942" s="120" t="s">
        <v>3855</v>
      </c>
      <c r="C2942" s="2">
        <v>7.43333333</v>
      </c>
      <c r="D2942" s="121">
        <v>0</v>
      </c>
      <c r="E2942" s="122"/>
      <c r="F2942" s="123" t="s">
        <v>3845</v>
      </c>
    </row>
    <row r="2943" ht="17" customHeight="1" spans="1:6">
      <c r="A2943" s="56">
        <v>2983</v>
      </c>
      <c r="B2943" s="120" t="s">
        <v>3856</v>
      </c>
      <c r="C2943" s="2">
        <v>7.43333333</v>
      </c>
      <c r="D2943" s="121">
        <v>0</v>
      </c>
      <c r="E2943" s="122"/>
      <c r="F2943" s="123" t="s">
        <v>3845</v>
      </c>
    </row>
    <row r="2944" ht="17" customHeight="1" spans="1:6">
      <c r="A2944" s="56">
        <v>2985</v>
      </c>
      <c r="B2944" s="120" t="s">
        <v>3857</v>
      </c>
      <c r="C2944" s="2">
        <v>8.766667</v>
      </c>
      <c r="D2944" s="121">
        <v>0</v>
      </c>
      <c r="E2944" s="122"/>
      <c r="F2944" s="123" t="s">
        <v>3845</v>
      </c>
    </row>
    <row r="2945" ht="17" customHeight="1" spans="1:6">
      <c r="A2945" s="56">
        <v>2987</v>
      </c>
      <c r="B2945" s="120" t="s">
        <v>3858</v>
      </c>
      <c r="C2945" s="2">
        <v>2.666667</v>
      </c>
      <c r="D2945" s="121">
        <v>1</v>
      </c>
      <c r="E2945" s="122"/>
      <c r="F2945" s="123" t="s">
        <v>3845</v>
      </c>
    </row>
    <row r="2946" ht="17" customHeight="1" spans="1:6">
      <c r="A2946" s="56">
        <v>2988</v>
      </c>
      <c r="B2946" s="120" t="s">
        <v>3859</v>
      </c>
      <c r="C2946" s="2">
        <v>2</v>
      </c>
      <c r="D2946" s="121">
        <v>1</v>
      </c>
      <c r="E2946" s="122"/>
      <c r="F2946" s="123" t="s">
        <v>3845</v>
      </c>
    </row>
    <row r="2947" ht="17" customHeight="1" spans="1:6">
      <c r="A2947" s="56">
        <v>2989</v>
      </c>
      <c r="B2947" s="120" t="s">
        <v>3860</v>
      </c>
      <c r="C2947" s="2">
        <v>1</v>
      </c>
      <c r="D2947" s="121">
        <v>1</v>
      </c>
      <c r="E2947" s="122"/>
      <c r="F2947" s="123" t="s">
        <v>3861</v>
      </c>
    </row>
    <row r="2948" ht="17" customHeight="1" spans="1:6">
      <c r="A2948" s="56">
        <v>2990</v>
      </c>
      <c r="B2948" s="120" t="s">
        <v>3862</v>
      </c>
      <c r="C2948" s="2">
        <v>2</v>
      </c>
      <c r="D2948" s="121">
        <v>1</v>
      </c>
      <c r="E2948" s="122"/>
      <c r="F2948" s="123" t="s">
        <v>3863</v>
      </c>
    </row>
    <row r="2949" ht="17" customHeight="1" spans="1:6">
      <c r="A2949" s="56">
        <v>2991</v>
      </c>
      <c r="B2949" s="120" t="s">
        <v>3864</v>
      </c>
      <c r="C2949" s="2">
        <v>0</v>
      </c>
      <c r="D2949" s="121">
        <v>1</v>
      </c>
      <c r="E2949" s="122"/>
      <c r="F2949" s="123" t="s">
        <v>3865</v>
      </c>
    </row>
    <row r="2950" ht="17" customHeight="1" spans="1:6">
      <c r="A2950" s="56">
        <v>2992</v>
      </c>
      <c r="B2950" s="120" t="s">
        <v>3866</v>
      </c>
      <c r="C2950" s="2">
        <v>0</v>
      </c>
      <c r="D2950" s="121">
        <v>1</v>
      </c>
      <c r="E2950" s="122"/>
      <c r="F2950" s="123" t="s">
        <v>3867</v>
      </c>
    </row>
    <row r="2951" ht="17" customHeight="1" spans="1:6">
      <c r="A2951" s="56">
        <v>2993</v>
      </c>
      <c r="B2951" s="120" t="s">
        <v>3868</v>
      </c>
      <c r="C2951" s="2">
        <f>87/30</f>
        <v>2.9</v>
      </c>
      <c r="D2951" s="121">
        <v>0</v>
      </c>
      <c r="E2951" s="122"/>
      <c r="F2951" s="123" t="s">
        <v>3869</v>
      </c>
    </row>
    <row r="2952" ht="17" customHeight="1" spans="1:6">
      <c r="A2952" s="56">
        <v>2994</v>
      </c>
      <c r="B2952" s="120" t="s">
        <v>3870</v>
      </c>
      <c r="C2952" s="2">
        <v>8.766667</v>
      </c>
      <c r="D2952" s="121">
        <v>0</v>
      </c>
      <c r="E2952" s="122"/>
      <c r="F2952" s="123" t="s">
        <v>3871</v>
      </c>
    </row>
    <row r="2953" ht="17" customHeight="1" spans="1:6">
      <c r="A2953" s="56">
        <v>2995</v>
      </c>
      <c r="B2953" s="120" t="s">
        <v>3872</v>
      </c>
      <c r="C2953" s="2">
        <f>289/30</f>
        <v>9.63333333333333</v>
      </c>
      <c r="D2953" s="121">
        <v>0</v>
      </c>
      <c r="E2953" s="122"/>
      <c r="F2953" s="123" t="s">
        <v>3873</v>
      </c>
    </row>
    <row r="2954" ht="17" customHeight="1" spans="1:6">
      <c r="A2954" s="56">
        <v>2996</v>
      </c>
      <c r="B2954" s="120" t="s">
        <v>3874</v>
      </c>
      <c r="C2954" s="2">
        <f>238/30</f>
        <v>7.93333333333333</v>
      </c>
      <c r="D2954" s="121">
        <v>0</v>
      </c>
      <c r="E2954" s="122"/>
      <c r="F2954" s="123" t="s">
        <v>3875</v>
      </c>
    </row>
    <row r="2955" ht="17" customHeight="1" spans="1:6">
      <c r="A2955" s="56">
        <v>2997</v>
      </c>
      <c r="B2955" s="120" t="s">
        <v>3876</v>
      </c>
      <c r="C2955" s="2">
        <f t="shared" ref="C2955:C2968" si="21">238/30</f>
        <v>7.93333333333333</v>
      </c>
      <c r="D2955" s="121">
        <v>0</v>
      </c>
      <c r="E2955" s="122"/>
      <c r="F2955" s="123" t="s">
        <v>3877</v>
      </c>
    </row>
    <row r="2956" ht="17" customHeight="1" spans="1:6">
      <c r="A2956" s="56">
        <v>2998</v>
      </c>
      <c r="B2956" s="120" t="s">
        <v>3878</v>
      </c>
      <c r="C2956" s="2">
        <f t="shared" si="21"/>
        <v>7.93333333333333</v>
      </c>
      <c r="D2956" s="121">
        <v>0</v>
      </c>
      <c r="E2956" s="122"/>
      <c r="F2956" s="123" t="s">
        <v>3877</v>
      </c>
    </row>
    <row r="2957" ht="17" customHeight="1" spans="1:6">
      <c r="A2957" s="56">
        <v>2999</v>
      </c>
      <c r="B2957" s="120" t="s">
        <v>3879</v>
      </c>
      <c r="C2957" s="2">
        <f t="shared" si="21"/>
        <v>7.93333333333333</v>
      </c>
      <c r="D2957" s="121">
        <v>0</v>
      </c>
      <c r="E2957" s="122"/>
      <c r="F2957" s="123" t="s">
        <v>3877</v>
      </c>
    </row>
    <row r="2958" ht="17" customHeight="1" spans="1:6">
      <c r="A2958" s="56">
        <v>3000</v>
      </c>
      <c r="B2958" s="120" t="s">
        <v>3880</v>
      </c>
      <c r="C2958" s="2">
        <f t="shared" si="21"/>
        <v>7.93333333333333</v>
      </c>
      <c r="D2958" s="121">
        <v>0</v>
      </c>
      <c r="E2958" s="122"/>
      <c r="F2958" s="123" t="s">
        <v>3877</v>
      </c>
    </row>
    <row r="2959" ht="17" customHeight="1" spans="1:6">
      <c r="A2959" s="56">
        <v>3001</v>
      </c>
      <c r="B2959" s="120" t="s">
        <v>3881</v>
      </c>
      <c r="C2959" s="2">
        <f t="shared" si="21"/>
        <v>7.93333333333333</v>
      </c>
      <c r="D2959" s="121">
        <v>0</v>
      </c>
      <c r="E2959" s="122"/>
      <c r="F2959" s="123" t="s">
        <v>3877</v>
      </c>
    </row>
    <row r="2960" ht="17" customHeight="1" spans="1:6">
      <c r="A2960" s="56">
        <v>3002</v>
      </c>
      <c r="B2960" s="120" t="s">
        <v>3882</v>
      </c>
      <c r="C2960" s="2">
        <f t="shared" si="21"/>
        <v>7.93333333333333</v>
      </c>
      <c r="D2960" s="121">
        <v>0</v>
      </c>
      <c r="E2960" s="122"/>
      <c r="F2960" s="123" t="s">
        <v>3877</v>
      </c>
    </row>
    <row r="2961" ht="17" customHeight="1" spans="1:6">
      <c r="A2961" s="56">
        <v>3003</v>
      </c>
      <c r="B2961" s="120" t="s">
        <v>3883</v>
      </c>
      <c r="C2961" s="2">
        <f t="shared" si="21"/>
        <v>7.93333333333333</v>
      </c>
      <c r="D2961" s="121">
        <v>0</v>
      </c>
      <c r="E2961" s="122"/>
      <c r="F2961" s="123" t="s">
        <v>3877</v>
      </c>
    </row>
    <row r="2962" ht="17" customHeight="1" spans="1:6">
      <c r="A2962" s="56">
        <v>3004</v>
      </c>
      <c r="B2962" s="120" t="s">
        <v>3884</v>
      </c>
      <c r="C2962" s="2">
        <f t="shared" si="21"/>
        <v>7.93333333333333</v>
      </c>
      <c r="D2962" s="121">
        <v>0</v>
      </c>
      <c r="E2962" s="122"/>
      <c r="F2962" s="123" t="s">
        <v>3885</v>
      </c>
    </row>
    <row r="2963" ht="17" customHeight="1" spans="1:6">
      <c r="A2963" s="56">
        <v>3005</v>
      </c>
      <c r="B2963" s="120" t="s">
        <v>3886</v>
      </c>
      <c r="C2963" s="2">
        <v>8</v>
      </c>
      <c r="D2963" s="121">
        <v>0</v>
      </c>
      <c r="E2963" s="122"/>
      <c r="F2963" s="123" t="s">
        <v>3887</v>
      </c>
    </row>
    <row r="2964" ht="17" customHeight="1" spans="1:6">
      <c r="A2964" s="56">
        <v>3006</v>
      </c>
      <c r="B2964" s="120" t="s">
        <v>3888</v>
      </c>
      <c r="C2964" s="2">
        <v>8</v>
      </c>
      <c r="D2964" s="121">
        <v>0</v>
      </c>
      <c r="E2964" s="122"/>
      <c r="F2964" s="123" t="s">
        <v>3889</v>
      </c>
    </row>
    <row r="2965" ht="17" customHeight="1" spans="1:6">
      <c r="A2965" s="56">
        <v>3007</v>
      </c>
      <c r="B2965" s="120" t="s">
        <v>3890</v>
      </c>
      <c r="C2965" s="2">
        <f>93/30</f>
        <v>3.1</v>
      </c>
      <c r="D2965" s="121">
        <v>0</v>
      </c>
      <c r="E2965" s="122"/>
      <c r="F2965" s="123" t="s">
        <v>3891</v>
      </c>
    </row>
    <row r="2966" ht="17" customHeight="1" spans="1:6">
      <c r="A2966" s="56">
        <v>3008</v>
      </c>
      <c r="B2966" s="120" t="s">
        <v>3892</v>
      </c>
      <c r="C2966" s="2">
        <v>1</v>
      </c>
      <c r="D2966" s="121">
        <v>0</v>
      </c>
      <c r="E2966" s="122"/>
      <c r="F2966" s="123" t="s">
        <v>3893</v>
      </c>
    </row>
    <row r="2967" ht="17" customHeight="1" spans="1:6">
      <c r="A2967" s="56">
        <v>3009</v>
      </c>
      <c r="B2967" s="120" t="s">
        <v>3894</v>
      </c>
      <c r="C2967" s="2">
        <f>94/30</f>
        <v>3.13333333333333</v>
      </c>
      <c r="D2967" s="121">
        <v>0</v>
      </c>
      <c r="E2967" s="122"/>
      <c r="F2967" s="123" t="s">
        <v>3895</v>
      </c>
    </row>
    <row r="2968" ht="17" customHeight="1" spans="1:6">
      <c r="A2968" s="56">
        <v>3010</v>
      </c>
      <c r="B2968" s="120" t="s">
        <v>3896</v>
      </c>
      <c r="C2968" s="2">
        <v>1</v>
      </c>
      <c r="D2968" s="121">
        <v>0</v>
      </c>
      <c r="E2968" s="122"/>
      <c r="F2968" s="123" t="s">
        <v>3897</v>
      </c>
    </row>
    <row r="2969" ht="17" customHeight="1" spans="1:6">
      <c r="A2969" s="56">
        <v>3011</v>
      </c>
      <c r="B2969" s="120" t="s">
        <v>3898</v>
      </c>
      <c r="C2969" s="2">
        <v>0</v>
      </c>
      <c r="D2969" s="121">
        <v>1</v>
      </c>
      <c r="E2969" s="122"/>
      <c r="F2969" s="123" t="s">
        <v>3899</v>
      </c>
    </row>
    <row r="2970" ht="17" customHeight="1" spans="1:6">
      <c r="A2970" s="56">
        <v>3012</v>
      </c>
      <c r="B2970" s="120" t="s">
        <v>3900</v>
      </c>
      <c r="C2970" s="2">
        <f>72/30+0.2</f>
        <v>2.6</v>
      </c>
      <c r="D2970" s="121">
        <v>0</v>
      </c>
      <c r="E2970" s="122"/>
      <c r="F2970" s="123" t="s">
        <v>3901</v>
      </c>
    </row>
    <row r="2971" ht="17" customHeight="1" spans="1:6">
      <c r="A2971" s="56">
        <v>3013</v>
      </c>
      <c r="B2971" s="120" t="s">
        <v>3902</v>
      </c>
      <c r="C2971" s="2">
        <v>1.1</v>
      </c>
      <c r="D2971" s="121">
        <v>0</v>
      </c>
      <c r="E2971" s="122"/>
      <c r="F2971" s="123" t="s">
        <v>3903</v>
      </c>
    </row>
    <row r="2972" ht="17" customHeight="1" spans="1:6">
      <c r="A2972" s="56">
        <v>3014</v>
      </c>
      <c r="B2972" s="120" t="s">
        <v>3904</v>
      </c>
      <c r="C2972" s="2">
        <f>114/30</f>
        <v>3.8</v>
      </c>
      <c r="D2972" s="121">
        <v>0</v>
      </c>
      <c r="E2972" s="122"/>
      <c r="F2972" s="123" t="s">
        <v>3905</v>
      </c>
    </row>
    <row r="2973" ht="17" customHeight="1" spans="1:6">
      <c r="A2973" s="56">
        <v>3015</v>
      </c>
      <c r="B2973" s="120" t="s">
        <v>3906</v>
      </c>
      <c r="C2973" s="2">
        <f>65/30</f>
        <v>2.16666666666667</v>
      </c>
      <c r="D2973" s="121">
        <v>0</v>
      </c>
      <c r="E2973" s="122"/>
      <c r="F2973" s="123" t="s">
        <v>3907</v>
      </c>
    </row>
    <row r="2974" ht="17" customHeight="1" spans="1:6">
      <c r="A2974" s="56">
        <v>3016</v>
      </c>
      <c r="B2974" s="120" t="s">
        <v>3908</v>
      </c>
      <c r="C2974" s="2">
        <f>117/30</f>
        <v>3.9</v>
      </c>
      <c r="D2974" s="121">
        <v>0</v>
      </c>
      <c r="E2974" s="122"/>
      <c r="F2974" s="123" t="s">
        <v>3909</v>
      </c>
    </row>
    <row r="2975" ht="17" customHeight="1" spans="1:6">
      <c r="A2975" s="56">
        <v>3017</v>
      </c>
      <c r="B2975" s="120" t="s">
        <v>3910</v>
      </c>
      <c r="C2975" s="2">
        <f>125/30</f>
        <v>4.16666666666667</v>
      </c>
      <c r="D2975" s="121">
        <v>0</v>
      </c>
      <c r="E2975" s="122"/>
      <c r="F2975" s="123" t="s">
        <v>3911</v>
      </c>
    </row>
    <row r="2976" ht="17" customHeight="1" spans="1:6">
      <c r="A2976" s="56">
        <v>3018</v>
      </c>
      <c r="B2976" s="120" t="s">
        <v>3912</v>
      </c>
      <c r="C2976" s="2">
        <f>131/30+0.5</f>
        <v>4.86666666666667</v>
      </c>
      <c r="D2976" s="121">
        <v>0</v>
      </c>
      <c r="E2976" s="122"/>
      <c r="F2976" s="123" t="s">
        <v>3913</v>
      </c>
    </row>
    <row r="2977" ht="17" customHeight="1" spans="1:6">
      <c r="A2977" s="56">
        <v>3019</v>
      </c>
      <c r="B2977" s="120" t="s">
        <v>3914</v>
      </c>
      <c r="C2977" s="2">
        <f>2.5+0.3</f>
        <v>2.8</v>
      </c>
      <c r="D2977" s="121">
        <v>0</v>
      </c>
      <c r="E2977" s="122"/>
      <c r="F2977" s="123" t="s">
        <v>3915</v>
      </c>
    </row>
    <row r="2978" ht="17" customHeight="1" spans="1:6">
      <c r="A2978" s="56">
        <v>3020</v>
      </c>
      <c r="B2978" s="120" t="s">
        <v>3916</v>
      </c>
      <c r="C2978" s="2">
        <v>0</v>
      </c>
      <c r="D2978" s="121">
        <v>1</v>
      </c>
      <c r="E2978" s="122"/>
      <c r="F2978" s="123" t="s">
        <v>3917</v>
      </c>
    </row>
    <row r="2979" ht="17" customHeight="1" spans="1:6">
      <c r="A2979" s="56">
        <v>3021</v>
      </c>
      <c r="B2979" s="120" t="s">
        <v>3918</v>
      </c>
      <c r="C2979" s="2">
        <v>0</v>
      </c>
      <c r="D2979" s="121">
        <v>1</v>
      </c>
      <c r="E2979" s="122"/>
      <c r="F2979" s="123" t="s">
        <v>3917</v>
      </c>
    </row>
    <row r="2980" ht="17" customHeight="1" spans="1:6">
      <c r="A2980" s="56">
        <v>3022</v>
      </c>
      <c r="B2980" s="120" t="s">
        <v>3919</v>
      </c>
      <c r="C2980" s="2">
        <v>0</v>
      </c>
      <c r="D2980" s="121">
        <v>1</v>
      </c>
      <c r="E2980" s="122"/>
      <c r="F2980" s="123" t="s">
        <v>3920</v>
      </c>
    </row>
    <row r="2981" ht="17" customHeight="1" spans="1:6">
      <c r="A2981" s="56">
        <v>3023</v>
      </c>
      <c r="B2981" s="120" t="s">
        <v>3921</v>
      </c>
      <c r="C2981" s="2">
        <v>0</v>
      </c>
      <c r="D2981" s="121">
        <v>1</v>
      </c>
      <c r="E2981" s="122"/>
      <c r="F2981" s="123" t="s">
        <v>3922</v>
      </c>
    </row>
    <row r="2982" ht="13" customHeight="1" spans="1:6">
      <c r="A2982" s="56">
        <v>3024</v>
      </c>
      <c r="B2982" s="120" t="s">
        <v>3923</v>
      </c>
      <c r="C2982" s="2">
        <v>0</v>
      </c>
      <c r="D2982" s="121">
        <v>1</v>
      </c>
      <c r="E2982" s="122"/>
      <c r="F2982" s="123" t="s">
        <v>3922</v>
      </c>
    </row>
    <row r="2983" ht="17" customHeight="1" spans="1:6">
      <c r="A2983" s="56">
        <v>3025</v>
      </c>
      <c r="B2983" s="120" t="s">
        <v>3924</v>
      </c>
      <c r="C2983" s="2">
        <v>0</v>
      </c>
      <c r="D2983" s="121">
        <v>1</v>
      </c>
      <c r="E2983" s="122"/>
      <c r="F2983" s="123" t="s">
        <v>3925</v>
      </c>
    </row>
    <row r="2984" ht="17" customHeight="1" spans="1:6">
      <c r="A2984" s="56">
        <v>3026</v>
      </c>
      <c r="B2984" s="120" t="s">
        <v>3926</v>
      </c>
      <c r="C2984" s="2">
        <v>0</v>
      </c>
      <c r="D2984" s="121">
        <v>1</v>
      </c>
      <c r="E2984" s="122"/>
      <c r="F2984" s="123" t="s">
        <v>3925</v>
      </c>
    </row>
    <row r="2985" ht="17" customHeight="1" spans="1:6">
      <c r="A2985" s="56">
        <v>3027</v>
      </c>
      <c r="B2985" s="120" t="s">
        <v>3927</v>
      </c>
      <c r="C2985" s="2">
        <v>0</v>
      </c>
      <c r="D2985" s="121">
        <v>1</v>
      </c>
      <c r="E2985" s="122"/>
      <c r="F2985" s="123" t="s">
        <v>3925</v>
      </c>
    </row>
    <row r="2986" ht="17" customHeight="1" spans="1:6">
      <c r="A2986" s="56">
        <v>3028</v>
      </c>
      <c r="B2986" s="120" t="s">
        <v>3928</v>
      </c>
      <c r="C2986" s="2">
        <v>0</v>
      </c>
      <c r="D2986" s="121">
        <v>1</v>
      </c>
      <c r="E2986" s="122"/>
      <c r="F2986" s="123" t="s">
        <v>3925</v>
      </c>
    </row>
    <row r="2987" ht="17" customHeight="1" spans="1:6">
      <c r="A2987" s="56">
        <v>3029</v>
      </c>
      <c r="B2987" s="120" t="s">
        <v>3929</v>
      </c>
      <c r="C2987" s="2">
        <v>1</v>
      </c>
      <c r="D2987" s="121">
        <v>0</v>
      </c>
      <c r="E2987" s="122"/>
      <c r="F2987" s="123" t="s">
        <v>3930</v>
      </c>
    </row>
    <row r="2988" ht="17" customHeight="1" spans="1:6">
      <c r="A2988" s="56">
        <v>3030</v>
      </c>
      <c r="B2988" s="120" t="s">
        <v>3931</v>
      </c>
      <c r="C2988" s="2">
        <v>4.366666667</v>
      </c>
      <c r="D2988" s="121">
        <v>0</v>
      </c>
      <c r="E2988" s="122"/>
      <c r="F2988" s="123" t="s">
        <v>3932</v>
      </c>
    </row>
    <row r="2989" ht="17" customHeight="1" spans="1:6">
      <c r="A2989" s="56">
        <v>3031</v>
      </c>
      <c r="B2989" s="120" t="s">
        <v>3933</v>
      </c>
      <c r="C2989" s="2">
        <v>4.366666667</v>
      </c>
      <c r="D2989" s="121">
        <v>0</v>
      </c>
      <c r="E2989" s="122"/>
      <c r="F2989" s="123" t="s">
        <v>3913</v>
      </c>
    </row>
    <row r="2990" ht="17" customHeight="1" spans="1:6">
      <c r="A2990" s="56">
        <v>3032</v>
      </c>
      <c r="B2990" s="120" t="s">
        <v>3934</v>
      </c>
      <c r="C2990" s="2">
        <v>4.366666667</v>
      </c>
      <c r="D2990" s="121">
        <v>0</v>
      </c>
      <c r="E2990" s="122"/>
      <c r="F2990" s="123" t="s">
        <v>3932</v>
      </c>
    </row>
    <row r="2991" ht="17" customHeight="1" spans="1:6">
      <c r="A2991" s="56">
        <v>3033</v>
      </c>
      <c r="B2991" s="120" t="s">
        <v>3935</v>
      </c>
      <c r="C2991" s="2">
        <f>114/30+0.2</f>
        <v>4</v>
      </c>
      <c r="D2991" s="121">
        <v>0</v>
      </c>
      <c r="E2991" s="122"/>
      <c r="F2991" s="123" t="s">
        <v>3936</v>
      </c>
    </row>
    <row r="2992" ht="17" customHeight="1" spans="1:6">
      <c r="A2992" s="56">
        <v>3034</v>
      </c>
      <c r="B2992" s="120" t="s">
        <v>3937</v>
      </c>
      <c r="C2992" s="2">
        <f>117/30+0.2</f>
        <v>4.1</v>
      </c>
      <c r="D2992" s="121">
        <v>0</v>
      </c>
      <c r="E2992" s="122"/>
      <c r="F2992" s="123" t="s">
        <v>3938</v>
      </c>
    </row>
    <row r="2993" ht="17" customHeight="1" spans="1:6">
      <c r="A2993" s="56">
        <v>3035</v>
      </c>
      <c r="B2993" s="120" t="s">
        <v>3939</v>
      </c>
      <c r="C2993" s="2">
        <v>1.2</v>
      </c>
      <c r="D2993" s="121">
        <v>0</v>
      </c>
      <c r="E2993" s="122"/>
      <c r="F2993" s="123" t="s">
        <v>3940</v>
      </c>
    </row>
    <row r="2994" ht="17" customHeight="1" spans="1:6">
      <c r="A2994" s="56">
        <v>3036</v>
      </c>
      <c r="B2994" s="120" t="s">
        <v>3941</v>
      </c>
      <c r="C2994" s="2">
        <v>2</v>
      </c>
      <c r="D2994" s="121">
        <v>0</v>
      </c>
      <c r="E2994" s="122"/>
      <c r="F2994" s="123" t="s">
        <v>3942</v>
      </c>
    </row>
    <row r="2995" ht="17" customHeight="1" spans="1:6">
      <c r="A2995" s="56">
        <v>3037</v>
      </c>
      <c r="B2995" s="120" t="s">
        <v>3943</v>
      </c>
      <c r="C2995" s="2">
        <f>289/30</f>
        <v>9.63333333333333</v>
      </c>
      <c r="D2995" s="121">
        <v>0</v>
      </c>
      <c r="E2995" s="122"/>
      <c r="F2995" s="123" t="s">
        <v>3944</v>
      </c>
    </row>
    <row r="2996" ht="17" customHeight="1" spans="1:6">
      <c r="A2996" s="56">
        <v>3038</v>
      </c>
      <c r="B2996" s="120" t="s">
        <v>3945</v>
      </c>
      <c r="C2996" s="2">
        <v>5</v>
      </c>
      <c r="D2996" s="121">
        <v>0</v>
      </c>
      <c r="E2996" s="122"/>
      <c r="F2996" s="123" t="s">
        <v>3946</v>
      </c>
    </row>
    <row r="2997" ht="17" customHeight="1" spans="1:6">
      <c r="A2997" s="56">
        <v>3039</v>
      </c>
      <c r="B2997" s="120" t="s">
        <v>3947</v>
      </c>
      <c r="C2997" s="2">
        <v>8</v>
      </c>
      <c r="D2997" s="121">
        <v>0</v>
      </c>
      <c r="E2997" s="122"/>
      <c r="F2997" s="123" t="s">
        <v>3948</v>
      </c>
    </row>
    <row r="2998" ht="17" customHeight="1" spans="1:6">
      <c r="A2998" s="56">
        <v>3040</v>
      </c>
      <c r="B2998" s="120" t="s">
        <v>3949</v>
      </c>
      <c r="C2998" s="122">
        <f>96/30+0.5</f>
        <v>3.7</v>
      </c>
      <c r="D2998" s="121">
        <v>0</v>
      </c>
      <c r="E2998" s="122"/>
      <c r="F2998" s="123" t="s">
        <v>3950</v>
      </c>
    </row>
    <row r="2999" ht="17" customHeight="1" spans="1:6">
      <c r="A2999" s="56">
        <v>3041</v>
      </c>
      <c r="B2999" s="120" t="s">
        <v>3951</v>
      </c>
      <c r="C2999" s="122">
        <f>70/30</f>
        <v>2.33333333333333</v>
      </c>
      <c r="D2999" s="121">
        <v>0</v>
      </c>
      <c r="E2999" s="122"/>
      <c r="F2999" s="123" t="s">
        <v>3952</v>
      </c>
    </row>
    <row r="3000" ht="17" customHeight="1" spans="1:6">
      <c r="A3000" s="56">
        <v>3042</v>
      </c>
      <c r="B3000" s="120" t="s">
        <v>3953</v>
      </c>
      <c r="C3000" s="122">
        <v>1</v>
      </c>
      <c r="D3000" s="121">
        <v>0</v>
      </c>
      <c r="E3000" s="122"/>
      <c r="F3000" s="123" t="s">
        <v>3954</v>
      </c>
    </row>
    <row r="3001" ht="17" customHeight="1" spans="1:6">
      <c r="A3001" s="56">
        <v>3043</v>
      </c>
      <c r="B3001" s="120" t="s">
        <v>3955</v>
      </c>
      <c r="C3001" s="122">
        <v>1</v>
      </c>
      <c r="D3001" s="121">
        <v>0</v>
      </c>
      <c r="E3001" s="122"/>
      <c r="F3001" s="123" t="s">
        <v>3956</v>
      </c>
    </row>
    <row r="3002" ht="17" customHeight="1" spans="1:6">
      <c r="A3002" s="56">
        <v>3044</v>
      </c>
      <c r="B3002" s="120" t="s">
        <v>3957</v>
      </c>
      <c r="C3002" s="122">
        <f>125/30</f>
        <v>4.16666666666667</v>
      </c>
      <c r="D3002" s="121">
        <v>0</v>
      </c>
      <c r="E3002" s="122"/>
      <c r="F3002" s="123" t="s">
        <v>3958</v>
      </c>
    </row>
    <row r="3003" ht="17" customHeight="1" spans="1:6">
      <c r="A3003" s="56">
        <v>3045</v>
      </c>
      <c r="B3003" s="120" t="s">
        <v>3959</v>
      </c>
      <c r="C3003" s="122">
        <v>1</v>
      </c>
      <c r="D3003" s="121">
        <v>0</v>
      </c>
      <c r="E3003" s="122"/>
      <c r="F3003" s="123" t="s">
        <v>3960</v>
      </c>
    </row>
    <row r="3004" ht="17" customHeight="1" spans="1:6">
      <c r="A3004" s="56">
        <v>3046</v>
      </c>
      <c r="B3004" s="120" t="s">
        <v>3961</v>
      </c>
      <c r="C3004" s="122">
        <f>125/30</f>
        <v>4.16666666666667</v>
      </c>
      <c r="D3004" s="121">
        <v>0</v>
      </c>
      <c r="E3004" s="122"/>
      <c r="F3004" s="123" t="s">
        <v>3962</v>
      </c>
    </row>
    <row r="3005" ht="17" customHeight="1" spans="1:6">
      <c r="A3005" s="56">
        <v>3047</v>
      </c>
      <c r="B3005" s="120" t="s">
        <v>3963</v>
      </c>
      <c r="C3005" s="122">
        <f>100/30</f>
        <v>3.33333333333333</v>
      </c>
      <c r="D3005" s="121">
        <v>0</v>
      </c>
      <c r="E3005" s="122"/>
      <c r="F3005" s="123" t="s">
        <v>3964</v>
      </c>
    </row>
    <row r="3006" ht="17" customHeight="1" spans="1:6">
      <c r="A3006" s="56">
        <v>3048</v>
      </c>
      <c r="B3006" s="120" t="s">
        <v>3965</v>
      </c>
      <c r="C3006" s="122">
        <v>1</v>
      </c>
      <c r="D3006" s="121">
        <v>0</v>
      </c>
      <c r="E3006" s="122"/>
      <c r="F3006" s="123" t="s">
        <v>3966</v>
      </c>
    </row>
    <row r="3007" ht="17" customHeight="1" spans="1:6">
      <c r="A3007" s="56">
        <v>3049</v>
      </c>
      <c r="B3007" s="120" t="s">
        <v>3967</v>
      </c>
      <c r="C3007" s="122">
        <f>110/30</f>
        <v>3.66666666666667</v>
      </c>
      <c r="D3007" s="121">
        <v>0</v>
      </c>
      <c r="E3007" s="122"/>
      <c r="F3007" s="123" t="s">
        <v>3968</v>
      </c>
    </row>
    <row r="3008" ht="17" customHeight="1" spans="1:6">
      <c r="A3008" s="56">
        <v>3050</v>
      </c>
      <c r="B3008" s="120" t="s">
        <v>3969</v>
      </c>
      <c r="C3008" s="122">
        <v>1</v>
      </c>
      <c r="D3008" s="121">
        <v>0</v>
      </c>
      <c r="E3008" s="122"/>
      <c r="F3008" s="123" t="s">
        <v>3970</v>
      </c>
    </row>
    <row r="3009" ht="17" customHeight="1" spans="1:6">
      <c r="A3009" s="56">
        <v>3051</v>
      </c>
      <c r="B3009" s="120" t="s">
        <v>3971</v>
      </c>
      <c r="C3009" s="122">
        <v>1</v>
      </c>
      <c r="D3009" s="121">
        <v>0</v>
      </c>
      <c r="E3009" s="122"/>
      <c r="F3009" s="123" t="s">
        <v>3972</v>
      </c>
    </row>
    <row r="3010" ht="17" customHeight="1" spans="1:6">
      <c r="A3010" s="56">
        <v>3052</v>
      </c>
      <c r="B3010" s="120" t="s">
        <v>3973</v>
      </c>
      <c r="C3010" s="122">
        <f>110/30</f>
        <v>3.66666666666667</v>
      </c>
      <c r="D3010" s="121">
        <v>0</v>
      </c>
      <c r="E3010" s="122"/>
      <c r="F3010" s="123" t="s">
        <v>3974</v>
      </c>
    </row>
    <row r="3011" ht="17" customHeight="1" spans="1:6">
      <c r="A3011" s="56">
        <v>3053</v>
      </c>
      <c r="B3011" s="120" t="s">
        <v>3975</v>
      </c>
      <c r="C3011" s="122">
        <f>215/30</f>
        <v>7.16666666666667</v>
      </c>
      <c r="D3011" s="2">
        <v>0</v>
      </c>
      <c r="E3011" s="122"/>
      <c r="F3011" s="123" t="s">
        <v>3976</v>
      </c>
    </row>
    <row r="3012" ht="17" customHeight="1" spans="1:6">
      <c r="A3012" s="56">
        <v>3054</v>
      </c>
      <c r="B3012" s="120" t="s">
        <v>3977</v>
      </c>
      <c r="C3012" s="122">
        <f>270/30</f>
        <v>9</v>
      </c>
      <c r="D3012" s="121">
        <v>0</v>
      </c>
      <c r="E3012" s="122"/>
      <c r="F3012" s="123" t="s">
        <v>3978</v>
      </c>
    </row>
    <row r="3013" ht="17" customHeight="1" spans="1:6">
      <c r="A3013" s="56">
        <v>3055</v>
      </c>
      <c r="B3013" s="120" t="s">
        <v>3979</v>
      </c>
      <c r="C3013" s="122">
        <f t="shared" ref="C3013:C3015" si="22">378/30</f>
        <v>12.6</v>
      </c>
      <c r="D3013" s="121">
        <v>0</v>
      </c>
      <c r="E3013" s="122"/>
      <c r="F3013" s="123" t="s">
        <v>3980</v>
      </c>
    </row>
    <row r="3014" ht="17" customHeight="1" spans="1:6">
      <c r="A3014" s="56">
        <v>3056</v>
      </c>
      <c r="B3014" s="120" t="s">
        <v>3981</v>
      </c>
      <c r="C3014" s="122">
        <f t="shared" si="22"/>
        <v>12.6</v>
      </c>
      <c r="D3014" s="121">
        <v>0</v>
      </c>
      <c r="E3014" s="122"/>
      <c r="F3014" s="123" t="s">
        <v>3982</v>
      </c>
    </row>
    <row r="3015" ht="17" customHeight="1" spans="1:6">
      <c r="A3015" s="56">
        <v>3057</v>
      </c>
      <c r="B3015" s="120" t="s">
        <v>3983</v>
      </c>
      <c r="C3015" s="122">
        <f t="shared" si="22"/>
        <v>12.6</v>
      </c>
      <c r="D3015" s="121">
        <v>0</v>
      </c>
      <c r="E3015" s="122"/>
      <c r="F3015" s="123" t="s">
        <v>3984</v>
      </c>
    </row>
    <row r="3016" ht="17" customHeight="1" spans="1:6">
      <c r="A3016" s="56">
        <v>3058</v>
      </c>
      <c r="B3016" s="120" t="s">
        <v>3985</v>
      </c>
      <c r="C3016" s="122">
        <v>12.6</v>
      </c>
      <c r="D3016" s="121">
        <v>0</v>
      </c>
      <c r="E3016" s="122"/>
      <c r="F3016" s="123" t="s">
        <v>3986</v>
      </c>
    </row>
    <row r="3017" ht="17" customHeight="1" spans="1:6">
      <c r="A3017" s="56">
        <v>3059</v>
      </c>
      <c r="B3017" s="120" t="s">
        <v>3987</v>
      </c>
      <c r="C3017" s="122">
        <f t="shared" ref="C3017:C3019" si="23">450/30</f>
        <v>15</v>
      </c>
      <c r="D3017" s="121">
        <v>0</v>
      </c>
      <c r="E3017" s="122"/>
      <c r="F3017" s="123" t="s">
        <v>3988</v>
      </c>
    </row>
    <row r="3018" ht="17" customHeight="1" spans="1:6">
      <c r="A3018" s="56">
        <v>3060</v>
      </c>
      <c r="B3018" s="120" t="s">
        <v>3989</v>
      </c>
      <c r="C3018" s="122">
        <f t="shared" si="23"/>
        <v>15</v>
      </c>
      <c r="D3018" s="121">
        <v>0</v>
      </c>
      <c r="E3018" s="122"/>
      <c r="F3018" s="123" t="s">
        <v>3990</v>
      </c>
    </row>
    <row r="3019" ht="17" customHeight="1" spans="1:6">
      <c r="A3019" s="56">
        <v>3061</v>
      </c>
      <c r="B3019" s="120" t="s">
        <v>3991</v>
      </c>
      <c r="C3019" s="122">
        <f t="shared" si="23"/>
        <v>15</v>
      </c>
      <c r="D3019" s="121">
        <v>0</v>
      </c>
      <c r="E3019" s="122"/>
      <c r="F3019" s="123" t="s">
        <v>3990</v>
      </c>
    </row>
    <row r="3020" ht="17" customHeight="1" spans="1:6">
      <c r="A3020" s="56">
        <v>3062</v>
      </c>
      <c r="B3020" s="120" t="s">
        <v>3992</v>
      </c>
      <c r="C3020" s="2">
        <f>73/30</f>
        <v>2.43333333333333</v>
      </c>
      <c r="D3020" s="121">
        <v>0</v>
      </c>
      <c r="E3020" s="122"/>
      <c r="F3020" s="123" t="s">
        <v>3993</v>
      </c>
    </row>
    <row r="3021" ht="17" customHeight="1" spans="1:6">
      <c r="A3021" s="56">
        <v>3063</v>
      </c>
      <c r="B3021" s="120" t="s">
        <v>3994</v>
      </c>
      <c r="C3021" s="122">
        <f>215/30</f>
        <v>7.16666666666667</v>
      </c>
      <c r="D3021" s="121">
        <v>0</v>
      </c>
      <c r="E3021" s="122"/>
      <c r="F3021" s="123" t="s">
        <v>3995</v>
      </c>
    </row>
    <row r="3022" ht="17" customHeight="1" spans="1:6">
      <c r="A3022" s="56">
        <v>3064</v>
      </c>
      <c r="B3022" s="120" t="s">
        <v>3996</v>
      </c>
      <c r="C3022" s="122">
        <v>0</v>
      </c>
      <c r="D3022" s="121">
        <v>1</v>
      </c>
      <c r="E3022" s="122"/>
      <c r="F3022" s="123" t="s">
        <v>3997</v>
      </c>
    </row>
    <row r="3023" ht="17" customHeight="1" spans="1:6">
      <c r="A3023" s="56">
        <v>3065</v>
      </c>
      <c r="B3023" s="120" t="s">
        <v>3998</v>
      </c>
      <c r="C3023" s="122">
        <v>0</v>
      </c>
      <c r="D3023" s="121">
        <v>1</v>
      </c>
      <c r="E3023" s="122"/>
      <c r="F3023" s="123" t="s">
        <v>3999</v>
      </c>
    </row>
    <row r="3024" ht="17" customHeight="1" spans="1:6">
      <c r="A3024" s="56">
        <v>3066</v>
      </c>
      <c r="B3024" s="120" t="s">
        <v>4000</v>
      </c>
      <c r="C3024" s="122">
        <v>0</v>
      </c>
      <c r="D3024" s="121">
        <v>1</v>
      </c>
      <c r="E3024" s="122"/>
      <c r="F3024" s="123" t="s">
        <v>4001</v>
      </c>
    </row>
    <row r="3025" ht="17" customHeight="1" spans="1:6">
      <c r="A3025" s="56">
        <v>3067</v>
      </c>
      <c r="B3025" s="120" t="s">
        <v>4002</v>
      </c>
      <c r="C3025" s="122">
        <f>100/30</f>
        <v>3.33333333333333</v>
      </c>
      <c r="D3025" s="121">
        <v>1</v>
      </c>
      <c r="E3025" s="122"/>
      <c r="F3025" s="123" t="s">
        <v>4003</v>
      </c>
    </row>
    <row r="3026" ht="17" customHeight="1" spans="1:6">
      <c r="A3026" s="56">
        <v>3068</v>
      </c>
      <c r="B3026" s="120" t="s">
        <v>4004</v>
      </c>
      <c r="C3026" s="122">
        <f>270/30</f>
        <v>9</v>
      </c>
      <c r="D3026" s="121">
        <v>0</v>
      </c>
      <c r="E3026" s="122"/>
      <c r="F3026" s="123" t="s">
        <v>4005</v>
      </c>
    </row>
    <row r="3027" ht="17" customHeight="1" spans="1:6">
      <c r="A3027" s="56">
        <v>3069</v>
      </c>
      <c r="B3027" s="120" t="s">
        <v>4006</v>
      </c>
      <c r="C3027" s="122">
        <v>1</v>
      </c>
      <c r="D3027" s="121">
        <v>0</v>
      </c>
      <c r="E3027" s="122"/>
      <c r="F3027" s="123" t="s">
        <v>4007</v>
      </c>
    </row>
    <row r="3028" ht="17" customHeight="1" spans="1:6">
      <c r="A3028" s="56">
        <v>3070</v>
      </c>
      <c r="B3028" s="120" t="s">
        <v>4008</v>
      </c>
      <c r="C3028" s="122">
        <v>1</v>
      </c>
      <c r="D3028" s="121">
        <v>0</v>
      </c>
      <c r="E3028" s="122"/>
      <c r="F3028" s="123" t="s">
        <v>4009</v>
      </c>
    </row>
    <row r="3029" ht="17" customHeight="1" spans="1:6">
      <c r="A3029" s="56">
        <v>3071</v>
      </c>
      <c r="B3029" s="120" t="s">
        <v>4010</v>
      </c>
      <c r="C3029" s="122">
        <v>1</v>
      </c>
      <c r="D3029" s="121">
        <v>0</v>
      </c>
      <c r="E3029" s="122"/>
      <c r="F3029" s="123" t="s">
        <v>4011</v>
      </c>
    </row>
    <row r="3030" ht="17" customHeight="1" spans="1:6">
      <c r="A3030" s="56">
        <v>3072</v>
      </c>
      <c r="B3030" s="120" t="s">
        <v>4012</v>
      </c>
      <c r="C3030" s="122">
        <f>25/30</f>
        <v>0.833333333333333</v>
      </c>
      <c r="D3030" s="121">
        <v>0</v>
      </c>
      <c r="E3030" s="122"/>
      <c r="F3030" s="123" t="s">
        <v>4013</v>
      </c>
    </row>
    <row r="3031" ht="17" customHeight="1" spans="1:6">
      <c r="A3031" s="56">
        <v>3073</v>
      </c>
      <c r="B3031" s="120" t="s">
        <v>4014</v>
      </c>
      <c r="C3031" s="122">
        <f>25/30</f>
        <v>0.833333333333333</v>
      </c>
      <c r="D3031" s="121">
        <v>0</v>
      </c>
      <c r="E3031" s="122"/>
      <c r="F3031" s="123" t="s">
        <v>4013</v>
      </c>
    </row>
    <row r="3032" ht="17" customHeight="1" spans="1:6">
      <c r="A3032" s="56">
        <v>3074</v>
      </c>
      <c r="B3032" s="120" t="s">
        <v>4015</v>
      </c>
      <c r="C3032" s="122">
        <f>27/30</f>
        <v>0.9</v>
      </c>
      <c r="D3032" s="121">
        <v>0</v>
      </c>
      <c r="E3032" s="122"/>
      <c r="F3032" s="123" t="s">
        <v>4016</v>
      </c>
    </row>
    <row r="3033" ht="17" customHeight="1" spans="1:6">
      <c r="A3033" s="56">
        <v>3075</v>
      </c>
      <c r="B3033" s="120" t="s">
        <v>4017</v>
      </c>
      <c r="C3033" s="122">
        <v>0.55</v>
      </c>
      <c r="D3033" s="121">
        <v>0</v>
      </c>
      <c r="E3033" s="122"/>
      <c r="F3033" s="123" t="s">
        <v>4018</v>
      </c>
    </row>
    <row r="3034" ht="17" customHeight="1" spans="1:6">
      <c r="A3034" s="56">
        <v>3076</v>
      </c>
      <c r="B3034" s="120" t="s">
        <v>4019</v>
      </c>
      <c r="C3034" s="122">
        <v>0.55</v>
      </c>
      <c r="D3034" s="121">
        <v>0</v>
      </c>
      <c r="E3034" s="122"/>
      <c r="F3034" s="123" t="s">
        <v>4020</v>
      </c>
    </row>
    <row r="3035" ht="17" customHeight="1" spans="1:6">
      <c r="A3035" s="56">
        <v>3077</v>
      </c>
      <c r="B3035" s="120" t="s">
        <v>4021</v>
      </c>
      <c r="C3035" s="122">
        <v>2</v>
      </c>
      <c r="D3035" s="121">
        <v>1</v>
      </c>
      <c r="E3035" s="122"/>
      <c r="F3035" s="123" t="s">
        <v>4022</v>
      </c>
    </row>
    <row r="3036" ht="17" customHeight="1" spans="1:6">
      <c r="A3036" s="56">
        <v>3078</v>
      </c>
      <c r="B3036" s="120" t="s">
        <v>4023</v>
      </c>
      <c r="C3036" s="122">
        <f>146/30</f>
        <v>4.86666666666667</v>
      </c>
      <c r="D3036" s="121">
        <v>0</v>
      </c>
      <c r="E3036" s="122"/>
      <c r="F3036" s="123" t="s">
        <v>4024</v>
      </c>
    </row>
    <row r="3037" ht="17" customHeight="1" spans="1:6">
      <c r="A3037" s="56">
        <v>3079</v>
      </c>
      <c r="B3037" s="120" t="s">
        <v>4025</v>
      </c>
      <c r="C3037" s="122">
        <f>146/30</f>
        <v>4.86666666666667</v>
      </c>
      <c r="D3037" s="121">
        <v>0</v>
      </c>
      <c r="E3037" s="122"/>
      <c r="F3037" s="123" t="s">
        <v>4024</v>
      </c>
    </row>
    <row r="3038" ht="17" customHeight="1" spans="1:6">
      <c r="A3038" s="56">
        <v>3080</v>
      </c>
      <c r="B3038" s="120" t="s">
        <v>4026</v>
      </c>
      <c r="C3038" s="122">
        <v>0</v>
      </c>
      <c r="D3038" s="121">
        <v>1</v>
      </c>
      <c r="E3038" s="122"/>
      <c r="F3038" s="123"/>
    </row>
    <row r="3039" ht="17" customHeight="1" spans="1:6">
      <c r="A3039" s="56">
        <v>3081</v>
      </c>
      <c r="B3039" s="120" t="s">
        <v>4027</v>
      </c>
      <c r="C3039" s="122">
        <v>0.55</v>
      </c>
      <c r="D3039" s="121">
        <v>0</v>
      </c>
      <c r="E3039" s="122"/>
      <c r="F3039" s="123" t="s">
        <v>4028</v>
      </c>
    </row>
    <row r="3040" ht="17" customHeight="1" spans="1:6">
      <c r="A3040" s="56">
        <v>3082</v>
      </c>
      <c r="B3040" s="120" t="s">
        <v>4029</v>
      </c>
      <c r="C3040" s="122">
        <v>0.55</v>
      </c>
      <c r="D3040" s="121">
        <v>0</v>
      </c>
      <c r="E3040" s="122"/>
      <c r="F3040" s="123" t="s">
        <v>4028</v>
      </c>
    </row>
    <row r="3041" ht="17" customHeight="1" spans="1:6">
      <c r="A3041" s="56">
        <v>3083</v>
      </c>
      <c r="B3041" s="120" t="s">
        <v>4030</v>
      </c>
      <c r="C3041" s="122">
        <v>0.55</v>
      </c>
      <c r="D3041" s="121">
        <v>0</v>
      </c>
      <c r="E3041" s="122"/>
      <c r="F3041" s="123" t="s">
        <v>4031</v>
      </c>
    </row>
    <row r="3042" ht="17" customHeight="1" spans="1:6">
      <c r="A3042" s="56">
        <v>3084</v>
      </c>
      <c r="B3042" s="120" t="s">
        <v>4032</v>
      </c>
      <c r="C3042" s="122">
        <v>2.56666666666667</v>
      </c>
      <c r="D3042" s="121">
        <v>0</v>
      </c>
      <c r="E3042" s="122"/>
      <c r="F3042" s="123" t="s">
        <v>4033</v>
      </c>
    </row>
    <row r="3043" ht="17" customHeight="1" spans="1:6">
      <c r="A3043" s="56">
        <v>3085</v>
      </c>
      <c r="B3043" s="120" t="s">
        <v>4034</v>
      </c>
      <c r="C3043" s="122">
        <v>2.23333333333333</v>
      </c>
      <c r="D3043" s="121">
        <v>0</v>
      </c>
      <c r="E3043" s="122"/>
      <c r="F3043" s="123" t="s">
        <v>4035</v>
      </c>
    </row>
    <row r="3044" ht="17" customHeight="1" spans="1:6">
      <c r="A3044" s="56">
        <v>3086</v>
      </c>
      <c r="B3044" s="120" t="s">
        <v>4036</v>
      </c>
      <c r="C3044" s="122">
        <v>1</v>
      </c>
      <c r="D3044" s="121">
        <v>0</v>
      </c>
      <c r="E3044" s="122"/>
      <c r="F3044" s="123" t="s">
        <v>4037</v>
      </c>
    </row>
    <row r="3045" ht="17" customHeight="1" spans="1:6">
      <c r="A3045" s="56">
        <v>3087</v>
      </c>
      <c r="B3045" s="120" t="s">
        <v>4038</v>
      </c>
      <c r="C3045" s="122">
        <v>1</v>
      </c>
      <c r="D3045" s="121">
        <v>0</v>
      </c>
      <c r="E3045" s="122"/>
      <c r="F3045" s="123" t="s">
        <v>4039</v>
      </c>
    </row>
    <row r="3046" ht="17" customHeight="1" spans="1:6">
      <c r="A3046" s="56">
        <v>3088</v>
      </c>
      <c r="B3046" s="120" t="s">
        <v>4040</v>
      </c>
      <c r="C3046" s="122">
        <v>2.43333333333333</v>
      </c>
      <c r="D3046" s="121">
        <v>0</v>
      </c>
      <c r="E3046" s="122"/>
      <c r="F3046" s="123" t="s">
        <v>4041</v>
      </c>
    </row>
    <row r="3047" ht="17" customHeight="1" spans="1:6">
      <c r="A3047" s="56">
        <v>3089</v>
      </c>
      <c r="B3047" s="120" t="s">
        <v>4042</v>
      </c>
      <c r="C3047" s="122">
        <v>1</v>
      </c>
      <c r="D3047" s="121">
        <v>0</v>
      </c>
      <c r="E3047" s="122"/>
      <c r="F3047" s="123" t="s">
        <v>4043</v>
      </c>
    </row>
    <row r="3048" ht="17" customHeight="1" spans="1:6">
      <c r="A3048" s="56">
        <v>3090</v>
      </c>
      <c r="B3048" s="120" t="s">
        <v>4044</v>
      </c>
      <c r="C3048" s="122">
        <v>9</v>
      </c>
      <c r="D3048" s="121">
        <v>0</v>
      </c>
      <c r="E3048" s="122"/>
      <c r="F3048" s="123" t="s">
        <v>4045</v>
      </c>
    </row>
    <row r="3049" ht="17" customHeight="1" spans="1:6">
      <c r="A3049" s="56">
        <v>3091</v>
      </c>
      <c r="B3049" s="120" t="s">
        <v>4046</v>
      </c>
      <c r="C3049" s="122">
        <v>6.93333333333333</v>
      </c>
      <c r="D3049" s="121">
        <v>0</v>
      </c>
      <c r="E3049" s="122"/>
      <c r="F3049" s="123" t="s">
        <v>4047</v>
      </c>
    </row>
    <row r="3050" ht="17" customHeight="1" spans="1:6">
      <c r="A3050" s="56">
        <v>3092</v>
      </c>
      <c r="B3050" s="120" t="s">
        <v>4048</v>
      </c>
      <c r="C3050" s="122">
        <v>2.26666666666667</v>
      </c>
      <c r="D3050" s="121">
        <v>0</v>
      </c>
      <c r="E3050" s="122"/>
      <c r="F3050" s="123" t="s">
        <v>4049</v>
      </c>
    </row>
    <row r="3051" ht="17" customHeight="1" spans="1:6">
      <c r="A3051" s="56">
        <v>3093</v>
      </c>
      <c r="B3051" s="120" t="s">
        <v>4050</v>
      </c>
      <c r="C3051" s="122">
        <v>4.43333333333333</v>
      </c>
      <c r="D3051" s="121">
        <v>0</v>
      </c>
      <c r="E3051" s="122"/>
      <c r="F3051" s="123" t="s">
        <v>4051</v>
      </c>
    </row>
    <row r="3052" ht="17" customHeight="1" spans="1:6">
      <c r="A3052" s="56">
        <v>3094</v>
      </c>
      <c r="B3052" s="120" t="s">
        <v>4052</v>
      </c>
      <c r="C3052" s="122">
        <v>2.16666666666667</v>
      </c>
      <c r="D3052" s="121">
        <v>0</v>
      </c>
      <c r="E3052" s="122"/>
      <c r="F3052" s="123" t="s">
        <v>4053</v>
      </c>
    </row>
    <row r="3053" ht="17" customHeight="1" spans="1:6">
      <c r="A3053" s="56">
        <v>3095</v>
      </c>
      <c r="B3053" s="120" t="s">
        <v>4054</v>
      </c>
      <c r="C3053" s="122">
        <v>1</v>
      </c>
      <c r="D3053" s="121">
        <v>0</v>
      </c>
      <c r="E3053" s="122"/>
      <c r="F3053" s="123" t="s">
        <v>4055</v>
      </c>
    </row>
    <row r="3054" ht="17" customHeight="1" spans="1:6">
      <c r="A3054" s="56">
        <v>3096</v>
      </c>
      <c r="B3054" s="120" t="s">
        <v>4056</v>
      </c>
      <c r="C3054" s="122">
        <v>8.36666666666667</v>
      </c>
      <c r="D3054" s="121">
        <v>0</v>
      </c>
      <c r="E3054" s="122"/>
      <c r="F3054" s="123" t="s">
        <v>4057</v>
      </c>
    </row>
    <row r="3055" ht="17" customHeight="1" spans="1:6">
      <c r="A3055" s="56">
        <v>3097</v>
      </c>
      <c r="B3055" s="120" t="s">
        <v>4058</v>
      </c>
      <c r="C3055" s="122">
        <v>0.8</v>
      </c>
      <c r="D3055" s="121">
        <v>0</v>
      </c>
      <c r="E3055" s="122"/>
      <c r="F3055" s="123" t="s">
        <v>4059</v>
      </c>
    </row>
    <row r="3056" ht="17" customHeight="1" spans="1:6">
      <c r="A3056" s="56">
        <v>3098</v>
      </c>
      <c r="B3056" s="120" t="s">
        <v>4060</v>
      </c>
      <c r="C3056" s="122">
        <v>0.8</v>
      </c>
      <c r="D3056" s="121">
        <v>0</v>
      </c>
      <c r="E3056" s="122"/>
      <c r="F3056" s="123" t="s">
        <v>4061</v>
      </c>
    </row>
    <row r="3057" ht="17" customHeight="1" spans="1:6">
      <c r="A3057" s="56">
        <v>3099</v>
      </c>
      <c r="B3057" s="120" t="s">
        <v>4062</v>
      </c>
      <c r="C3057" s="122">
        <v>4</v>
      </c>
      <c r="D3057" s="121">
        <v>1</v>
      </c>
      <c r="E3057" s="122"/>
      <c r="F3057" s="123" t="s">
        <v>4063</v>
      </c>
    </row>
    <row r="3058" ht="17" customHeight="1" spans="1:6">
      <c r="A3058" s="56">
        <v>3100</v>
      </c>
      <c r="B3058" s="120" t="s">
        <v>4064</v>
      </c>
      <c r="C3058" s="122">
        <v>1</v>
      </c>
      <c r="D3058" s="121">
        <v>0</v>
      </c>
      <c r="E3058" s="122"/>
      <c r="F3058" s="123" t="s">
        <v>4065</v>
      </c>
    </row>
    <row r="3059" ht="17" customHeight="1" spans="1:6">
      <c r="A3059" s="56">
        <v>3101</v>
      </c>
      <c r="B3059" s="120" t="s">
        <v>4066</v>
      </c>
      <c r="C3059" s="122">
        <v>1</v>
      </c>
      <c r="D3059" s="121">
        <v>0</v>
      </c>
      <c r="E3059" s="122"/>
      <c r="F3059" s="123" t="s">
        <v>4067</v>
      </c>
    </row>
    <row r="3060" ht="17" customHeight="1" spans="1:6">
      <c r="A3060" s="56">
        <v>3102</v>
      </c>
      <c r="B3060" s="120" t="s">
        <v>4068</v>
      </c>
      <c r="C3060" s="122">
        <v>1</v>
      </c>
      <c r="D3060" s="121">
        <v>0</v>
      </c>
      <c r="E3060" s="122"/>
      <c r="F3060" s="123" t="s">
        <v>4069</v>
      </c>
    </row>
    <row r="3061" ht="17" customHeight="1" spans="1:6">
      <c r="A3061" s="56">
        <v>3103</v>
      </c>
      <c r="B3061" s="120" t="s">
        <v>4070</v>
      </c>
      <c r="C3061" s="122">
        <v>0</v>
      </c>
      <c r="D3061" s="121">
        <v>1</v>
      </c>
      <c r="E3061" s="122"/>
      <c r="F3061" s="123" t="s">
        <v>4071</v>
      </c>
    </row>
    <row r="3062" ht="17" customHeight="1" spans="1:6">
      <c r="A3062" s="56">
        <v>3104</v>
      </c>
      <c r="B3062" s="120" t="s">
        <v>4072</v>
      </c>
      <c r="C3062" s="122">
        <v>4.43333333333333</v>
      </c>
      <c r="D3062" s="121">
        <v>0</v>
      </c>
      <c r="E3062" s="122"/>
      <c r="F3062" s="123" t="s">
        <v>4073</v>
      </c>
    </row>
    <row r="3063" ht="17" customHeight="1" spans="1:6">
      <c r="A3063" s="56">
        <v>3105</v>
      </c>
      <c r="B3063" s="120" t="s">
        <v>4074</v>
      </c>
      <c r="C3063" s="122">
        <v>0</v>
      </c>
      <c r="D3063" s="121">
        <v>1</v>
      </c>
      <c r="E3063" s="122"/>
      <c r="F3063" s="123" t="s">
        <v>4075</v>
      </c>
    </row>
    <row r="3064" ht="17" customHeight="1" spans="1:6">
      <c r="A3064" s="56">
        <v>3106</v>
      </c>
      <c r="B3064" s="120" t="s">
        <v>4076</v>
      </c>
      <c r="C3064" s="122">
        <v>0</v>
      </c>
      <c r="D3064" s="121">
        <v>1</v>
      </c>
      <c r="E3064" s="122"/>
      <c r="F3064" s="123" t="s">
        <v>4077</v>
      </c>
    </row>
    <row r="3065" ht="17" customHeight="1" spans="1:6">
      <c r="A3065" s="56">
        <v>3107</v>
      </c>
      <c r="B3065" s="120" t="s">
        <v>4078</v>
      </c>
      <c r="C3065" s="122">
        <v>1</v>
      </c>
      <c r="D3065" s="121">
        <v>0</v>
      </c>
      <c r="E3065" s="122"/>
      <c r="F3065" s="123" t="s">
        <v>4079</v>
      </c>
    </row>
    <row r="3066" ht="17" customHeight="1" spans="1:6">
      <c r="A3066" s="56">
        <v>3108</v>
      </c>
      <c r="B3066" s="120" t="s">
        <v>4080</v>
      </c>
      <c r="C3066" s="122">
        <v>1</v>
      </c>
      <c r="D3066" s="121">
        <v>0</v>
      </c>
      <c r="E3066" s="122"/>
      <c r="F3066" s="123" t="s">
        <v>4081</v>
      </c>
    </row>
    <row r="3067" ht="17" customHeight="1" spans="1:6">
      <c r="A3067" s="56">
        <v>3109</v>
      </c>
      <c r="B3067" s="120" t="s">
        <v>4082</v>
      </c>
      <c r="C3067" s="122">
        <v>1</v>
      </c>
      <c r="D3067" s="121">
        <v>0</v>
      </c>
      <c r="E3067" s="122"/>
      <c r="F3067" s="123" t="s">
        <v>4083</v>
      </c>
    </row>
    <row r="3068" ht="17" customHeight="1" spans="1:6">
      <c r="A3068" s="56">
        <v>3110</v>
      </c>
      <c r="B3068" s="120" t="s">
        <v>4084</v>
      </c>
      <c r="C3068" s="122">
        <f>145/30</f>
        <v>4.83333333333333</v>
      </c>
      <c r="D3068" s="121">
        <v>0</v>
      </c>
      <c r="E3068" s="122"/>
      <c r="F3068" s="123" t="s">
        <v>4085</v>
      </c>
    </row>
    <row r="3069" ht="17" customHeight="1" spans="1:6">
      <c r="A3069" s="56">
        <v>3111</v>
      </c>
      <c r="B3069" s="120" t="s">
        <v>4086</v>
      </c>
      <c r="C3069" s="122">
        <v>1</v>
      </c>
      <c r="D3069" s="121">
        <v>0</v>
      </c>
      <c r="E3069" s="122"/>
      <c r="F3069" s="123" t="s">
        <v>4087</v>
      </c>
    </row>
    <row r="3070" ht="17" customHeight="1" spans="1:6">
      <c r="A3070" s="56">
        <v>3112</v>
      </c>
      <c r="B3070" s="120" t="s">
        <v>4088</v>
      </c>
      <c r="C3070" s="122">
        <f>110/30</f>
        <v>3.66666666666667</v>
      </c>
      <c r="D3070" s="121">
        <v>0</v>
      </c>
      <c r="E3070" s="122"/>
      <c r="F3070" s="123" t="s">
        <v>4089</v>
      </c>
    </row>
    <row r="3071" ht="17" customHeight="1" spans="1:6">
      <c r="A3071" s="56">
        <v>3113</v>
      </c>
      <c r="B3071" s="120" t="s">
        <v>4090</v>
      </c>
      <c r="C3071" s="122">
        <v>1</v>
      </c>
      <c r="D3071" s="121">
        <v>0</v>
      </c>
      <c r="E3071" s="122"/>
      <c r="F3071" s="123" t="s">
        <v>4091</v>
      </c>
    </row>
    <row r="3072" ht="17" customHeight="1" spans="1:6">
      <c r="A3072" s="56">
        <v>3114</v>
      </c>
      <c r="B3072" s="120" t="s">
        <v>4092</v>
      </c>
      <c r="C3072" s="122">
        <f>54/30</f>
        <v>1.8</v>
      </c>
      <c r="D3072" s="121">
        <v>0</v>
      </c>
      <c r="E3072" s="122"/>
      <c r="F3072" s="123" t="s">
        <v>4093</v>
      </c>
    </row>
    <row r="3073" ht="17" customHeight="1" spans="1:6">
      <c r="A3073" s="56">
        <v>3115</v>
      </c>
      <c r="B3073" s="120" t="s">
        <v>4094</v>
      </c>
      <c r="C3073" s="122">
        <v>1</v>
      </c>
      <c r="D3073" s="121">
        <v>0</v>
      </c>
      <c r="E3073" s="122"/>
      <c r="F3073" s="123" t="s">
        <v>4095</v>
      </c>
    </row>
    <row r="3074" ht="17" customHeight="1" spans="1:6">
      <c r="A3074" s="56">
        <v>3116</v>
      </c>
      <c r="B3074" s="120" t="s">
        <v>4096</v>
      </c>
      <c r="C3074" s="122">
        <f>110/30+0.5</f>
        <v>4.16666666666667</v>
      </c>
      <c r="D3074" s="121">
        <v>0</v>
      </c>
      <c r="E3074" s="122"/>
      <c r="F3074" s="123" t="s">
        <v>4097</v>
      </c>
    </row>
    <row r="3075" ht="17" customHeight="1" spans="1:6">
      <c r="A3075" s="56">
        <v>3117</v>
      </c>
      <c r="B3075" s="120" t="s">
        <v>4098</v>
      </c>
      <c r="C3075" s="122">
        <f>110/30</f>
        <v>3.66666666666667</v>
      </c>
      <c r="D3075" s="121">
        <v>0</v>
      </c>
      <c r="E3075" s="122"/>
      <c r="F3075" s="123" t="s">
        <v>4099</v>
      </c>
    </row>
    <row r="3076" ht="17" customHeight="1" spans="1:6">
      <c r="A3076" s="56">
        <v>3118</v>
      </c>
      <c r="B3076" s="120" t="s">
        <v>4100</v>
      </c>
      <c r="C3076" s="122">
        <f>378/30</f>
        <v>12.6</v>
      </c>
      <c r="D3076" s="121">
        <v>0</v>
      </c>
      <c r="E3076" s="122"/>
      <c r="F3076" s="123" t="s">
        <v>4101</v>
      </c>
    </row>
    <row r="3077" ht="17" customHeight="1" spans="1:6">
      <c r="A3077" s="56">
        <v>3119</v>
      </c>
      <c r="B3077" s="120" t="s">
        <v>4102</v>
      </c>
      <c r="C3077" s="122">
        <f>296/30</f>
        <v>9.86666666666667</v>
      </c>
      <c r="D3077" s="121">
        <v>0</v>
      </c>
      <c r="E3077" s="122"/>
      <c r="F3077" s="123" t="s">
        <v>4103</v>
      </c>
    </row>
    <row r="3078" ht="17" customHeight="1" spans="1:6">
      <c r="A3078" s="56">
        <v>3120</v>
      </c>
      <c r="B3078" s="120" t="s">
        <v>4104</v>
      </c>
      <c r="C3078" s="122">
        <f>202/30</f>
        <v>6.73333333333333</v>
      </c>
      <c r="D3078" s="121">
        <v>0</v>
      </c>
      <c r="E3078" s="122"/>
      <c r="F3078" s="123" t="s">
        <v>4105</v>
      </c>
    </row>
    <row r="3079" ht="17" customHeight="1" spans="1:6">
      <c r="A3079" s="56">
        <v>3121</v>
      </c>
      <c r="B3079" s="120" t="s">
        <v>4106</v>
      </c>
      <c r="C3079" s="122">
        <f>175/30</f>
        <v>5.83333333333333</v>
      </c>
      <c r="D3079" s="121">
        <v>1</v>
      </c>
      <c r="E3079" s="122"/>
      <c r="F3079" s="123" t="s">
        <v>4107</v>
      </c>
    </row>
    <row r="3080" ht="17" customHeight="1" spans="1:6">
      <c r="A3080" s="56">
        <v>3122</v>
      </c>
      <c r="B3080" s="120" t="s">
        <v>4108</v>
      </c>
      <c r="C3080" s="122">
        <v>0</v>
      </c>
      <c r="D3080" s="121">
        <v>1</v>
      </c>
      <c r="E3080" s="122"/>
      <c r="F3080" s="123" t="s">
        <v>4109</v>
      </c>
    </row>
    <row r="3081" ht="17" customHeight="1" spans="1:6">
      <c r="A3081" s="56">
        <v>3123</v>
      </c>
      <c r="B3081" s="120" t="s">
        <v>4110</v>
      </c>
      <c r="C3081" s="122">
        <f>65/30</f>
        <v>2.16666666666667</v>
      </c>
      <c r="D3081" s="121">
        <v>0</v>
      </c>
      <c r="E3081" s="122"/>
      <c r="F3081" s="123" t="s">
        <v>4111</v>
      </c>
    </row>
    <row r="3082" ht="17" customHeight="1" spans="1:6">
      <c r="A3082" s="56">
        <v>3124</v>
      </c>
      <c r="B3082" s="120" t="s">
        <v>4112</v>
      </c>
      <c r="C3082" s="2">
        <f>87/30</f>
        <v>2.9</v>
      </c>
      <c r="D3082" s="121">
        <v>0</v>
      </c>
      <c r="E3082" s="122"/>
      <c r="F3082" s="123" t="s">
        <v>4113</v>
      </c>
    </row>
    <row r="3083" ht="17" customHeight="1" spans="1:6">
      <c r="A3083" s="56">
        <v>3125</v>
      </c>
      <c r="B3083" s="120" t="s">
        <v>4114</v>
      </c>
      <c r="C3083" s="2">
        <f>70/30</f>
        <v>2.33333333333333</v>
      </c>
      <c r="D3083" s="121">
        <v>0</v>
      </c>
      <c r="E3083" s="122"/>
      <c r="F3083" s="123" t="s">
        <v>4115</v>
      </c>
    </row>
    <row r="3084" ht="17" customHeight="1" spans="1:6">
      <c r="A3084" s="56">
        <v>3126</v>
      </c>
      <c r="B3084" s="120" t="s">
        <v>4116</v>
      </c>
      <c r="C3084" s="2">
        <f>100/30+0.3</f>
        <v>3.63333333333333</v>
      </c>
      <c r="D3084" s="121">
        <v>0</v>
      </c>
      <c r="E3084" s="122"/>
      <c r="F3084" s="123" t="s">
        <v>4117</v>
      </c>
    </row>
    <row r="3085" ht="17" customHeight="1" spans="1:6">
      <c r="A3085" s="56">
        <v>3127</v>
      </c>
      <c r="B3085" s="120" t="s">
        <v>4118</v>
      </c>
      <c r="C3085" s="2">
        <f>365/30</f>
        <v>12.1666666666667</v>
      </c>
      <c r="D3085" s="121">
        <v>0</v>
      </c>
      <c r="E3085" s="122"/>
      <c r="F3085" s="123" t="s">
        <v>4119</v>
      </c>
    </row>
    <row r="3086" ht="17" customHeight="1" spans="1:6">
      <c r="A3086" s="56">
        <v>3128</v>
      </c>
      <c r="B3086" s="120" t="s">
        <v>4120</v>
      </c>
      <c r="C3086" s="122">
        <v>1</v>
      </c>
      <c r="D3086" s="121">
        <v>0</v>
      </c>
      <c r="E3086" s="122"/>
      <c r="F3086" s="123" t="s">
        <v>4121</v>
      </c>
    </row>
    <row r="3087" ht="17" customHeight="1" spans="1:6">
      <c r="A3087" s="56">
        <v>3129</v>
      </c>
      <c r="B3087" s="120" t="s">
        <v>4122</v>
      </c>
      <c r="C3087" s="122">
        <v>1</v>
      </c>
      <c r="D3087" s="121">
        <v>0</v>
      </c>
      <c r="E3087" s="122"/>
      <c r="F3087" s="123" t="s">
        <v>4123</v>
      </c>
    </row>
    <row r="3088" ht="17" customHeight="1" spans="1:6">
      <c r="A3088" s="56">
        <v>3130</v>
      </c>
      <c r="B3088" s="120" t="s">
        <v>4124</v>
      </c>
      <c r="C3088" s="122">
        <v>1</v>
      </c>
      <c r="D3088" s="121">
        <v>0</v>
      </c>
      <c r="E3088" s="122"/>
      <c r="F3088" s="123" t="s">
        <v>4125</v>
      </c>
    </row>
    <row r="3089" ht="17" customHeight="1" spans="1:6">
      <c r="A3089" s="56">
        <v>3131</v>
      </c>
      <c r="B3089" s="120" t="s">
        <v>4126</v>
      </c>
      <c r="C3089" s="2">
        <f>100/30</f>
        <v>3.33333333333333</v>
      </c>
      <c r="D3089" s="121">
        <v>0</v>
      </c>
      <c r="E3089" s="122"/>
      <c r="F3089" s="123" t="s">
        <v>4127</v>
      </c>
    </row>
    <row r="3090" ht="17" customHeight="1" spans="1:6">
      <c r="A3090" s="56">
        <v>3132</v>
      </c>
      <c r="B3090" s="120" t="s">
        <v>4128</v>
      </c>
      <c r="C3090" s="2">
        <f>56/30</f>
        <v>1.86666666666667</v>
      </c>
      <c r="D3090" s="121">
        <v>0</v>
      </c>
      <c r="E3090" s="122"/>
      <c r="F3090" s="123" t="s">
        <v>4129</v>
      </c>
    </row>
    <row r="3091" ht="17" customHeight="1" spans="1:6">
      <c r="A3091" s="56">
        <v>3133</v>
      </c>
      <c r="B3091" s="120" t="s">
        <v>4130</v>
      </c>
      <c r="C3091" s="2">
        <v>1</v>
      </c>
      <c r="D3091" s="121">
        <v>0</v>
      </c>
      <c r="E3091" s="122"/>
      <c r="F3091" s="123" t="s">
        <v>4131</v>
      </c>
    </row>
    <row r="3092" ht="17" customHeight="1" spans="1:6">
      <c r="A3092" s="56">
        <v>3134</v>
      </c>
      <c r="B3092" s="120" t="s">
        <v>4132</v>
      </c>
      <c r="C3092" s="122">
        <f>296/30</f>
        <v>9.86666666666667</v>
      </c>
      <c r="D3092" s="121">
        <v>0</v>
      </c>
      <c r="E3092" s="122"/>
      <c r="F3092" s="123" t="s">
        <v>4133</v>
      </c>
    </row>
    <row r="3093" ht="17" customHeight="1" spans="1:6">
      <c r="A3093" s="56">
        <v>3135</v>
      </c>
      <c r="B3093" s="120" t="s">
        <v>4134</v>
      </c>
      <c r="C3093" s="122">
        <v>0</v>
      </c>
      <c r="D3093" s="121">
        <v>1</v>
      </c>
      <c r="E3093" s="122"/>
      <c r="F3093" s="123" t="s">
        <v>4135</v>
      </c>
    </row>
    <row r="3094" ht="17" customHeight="1" spans="1:6">
      <c r="A3094" s="56">
        <v>3136</v>
      </c>
      <c r="B3094" s="120" t="s">
        <v>4136</v>
      </c>
      <c r="C3094" s="2">
        <v>2.63333333333333</v>
      </c>
      <c r="D3094" s="121">
        <v>0</v>
      </c>
      <c r="E3094" s="122"/>
      <c r="F3094" s="123" t="s">
        <v>4137</v>
      </c>
    </row>
    <row r="3095" ht="17" customHeight="1" spans="1:6">
      <c r="A3095" s="56">
        <v>3137</v>
      </c>
      <c r="B3095" s="120" t="s">
        <v>4138</v>
      </c>
      <c r="C3095" s="2">
        <v>1</v>
      </c>
      <c r="D3095" s="121">
        <v>0</v>
      </c>
      <c r="E3095" s="122"/>
      <c r="F3095" s="123" t="s">
        <v>4139</v>
      </c>
    </row>
    <row r="3096" ht="17" customHeight="1" spans="1:6">
      <c r="A3096" s="56">
        <v>3138</v>
      </c>
      <c r="B3096" s="120" t="s">
        <v>4140</v>
      </c>
      <c r="C3096" s="2">
        <v>4.2</v>
      </c>
      <c r="D3096" s="121">
        <v>0</v>
      </c>
      <c r="E3096" s="122"/>
      <c r="F3096" s="123" t="s">
        <v>4141</v>
      </c>
    </row>
    <row r="3097" ht="17" customHeight="1" spans="1:6">
      <c r="A3097" s="56">
        <v>3139</v>
      </c>
      <c r="B3097" s="120" t="s">
        <v>4142</v>
      </c>
      <c r="C3097" s="2">
        <v>1</v>
      </c>
      <c r="D3097" s="121">
        <v>0</v>
      </c>
      <c r="E3097" s="122"/>
      <c r="F3097" s="123" t="s">
        <v>4143</v>
      </c>
    </row>
    <row r="3098" ht="17" customHeight="1" spans="1:6">
      <c r="A3098" s="56">
        <v>3140</v>
      </c>
      <c r="B3098" s="120" t="s">
        <v>4144</v>
      </c>
      <c r="C3098" s="2">
        <v>1</v>
      </c>
      <c r="D3098" s="121">
        <v>0</v>
      </c>
      <c r="E3098" s="122"/>
      <c r="F3098" s="123" t="s">
        <v>4145</v>
      </c>
    </row>
    <row r="3099" ht="17" customHeight="1" spans="1:6">
      <c r="A3099" s="56">
        <v>3141</v>
      </c>
      <c r="B3099" s="120" t="s">
        <v>4146</v>
      </c>
      <c r="C3099" s="2">
        <v>3.96666666666667</v>
      </c>
      <c r="D3099" s="121">
        <v>0</v>
      </c>
      <c r="E3099" s="122"/>
      <c r="F3099" s="123" t="s">
        <v>4147</v>
      </c>
    </row>
    <row r="3100" ht="17" customHeight="1" spans="1:6">
      <c r="A3100" s="56">
        <v>3142</v>
      </c>
      <c r="B3100" s="120" t="s">
        <v>4148</v>
      </c>
      <c r="C3100" s="2">
        <v>1</v>
      </c>
      <c r="D3100" s="121">
        <v>0</v>
      </c>
      <c r="E3100" s="122"/>
      <c r="F3100" s="123" t="s">
        <v>4149</v>
      </c>
    </row>
    <row r="3101" ht="17" customHeight="1" spans="1:6">
      <c r="A3101" s="56">
        <v>3143</v>
      </c>
      <c r="B3101" s="120" t="s">
        <v>4150</v>
      </c>
      <c r="C3101" s="2">
        <v>1</v>
      </c>
      <c r="D3101" s="121">
        <v>0</v>
      </c>
      <c r="E3101" s="122"/>
      <c r="F3101" s="123" t="s">
        <v>4151</v>
      </c>
    </row>
    <row r="3102" ht="17" customHeight="1" spans="1:6">
      <c r="A3102" s="56">
        <v>3144</v>
      </c>
      <c r="B3102" s="120" t="s">
        <v>4152</v>
      </c>
      <c r="C3102" s="2">
        <v>3.7</v>
      </c>
      <c r="D3102" s="121">
        <v>0</v>
      </c>
      <c r="E3102" s="122"/>
      <c r="F3102" s="123" t="s">
        <v>4153</v>
      </c>
    </row>
    <row r="3103" ht="17" customHeight="1" spans="1:6">
      <c r="A3103" s="56">
        <v>3145</v>
      </c>
      <c r="B3103" s="120" t="s">
        <v>4154</v>
      </c>
      <c r="C3103" s="2">
        <f>316/30</f>
        <v>10.5333333333333</v>
      </c>
      <c r="D3103" s="121">
        <v>0</v>
      </c>
      <c r="E3103" s="122"/>
      <c r="F3103" s="123" t="s">
        <v>4155</v>
      </c>
    </row>
    <row r="3104" ht="17" customHeight="1" spans="1:6">
      <c r="A3104" s="56">
        <v>3146</v>
      </c>
      <c r="B3104" s="120" t="s">
        <v>4156</v>
      </c>
      <c r="C3104" s="2">
        <f t="shared" ref="C3104:C3106" si="24">397/30</f>
        <v>13.2333333333333</v>
      </c>
      <c r="D3104" s="121">
        <v>0</v>
      </c>
      <c r="E3104" s="122"/>
      <c r="F3104" s="123" t="s">
        <v>4157</v>
      </c>
    </row>
    <row r="3105" ht="17" customHeight="1" spans="1:6">
      <c r="A3105" s="56">
        <v>3147</v>
      </c>
      <c r="B3105" s="120" t="s">
        <v>4158</v>
      </c>
      <c r="C3105" s="2">
        <f t="shared" si="24"/>
        <v>13.2333333333333</v>
      </c>
      <c r="D3105" s="121">
        <v>0</v>
      </c>
      <c r="E3105" s="122"/>
      <c r="F3105" s="123" t="s">
        <v>4159</v>
      </c>
    </row>
    <row r="3106" ht="17" customHeight="1" spans="1:6">
      <c r="A3106" s="56">
        <v>3148</v>
      </c>
      <c r="B3106" s="120" t="s">
        <v>4160</v>
      </c>
      <c r="C3106" s="2">
        <f t="shared" si="24"/>
        <v>13.2333333333333</v>
      </c>
      <c r="D3106" s="121">
        <v>0</v>
      </c>
      <c r="E3106" s="122"/>
      <c r="F3106" s="123" t="s">
        <v>4159</v>
      </c>
    </row>
    <row r="3107" ht="17" customHeight="1" spans="1:6">
      <c r="A3107" s="56">
        <v>3149</v>
      </c>
      <c r="B3107" s="120" t="s">
        <v>4161</v>
      </c>
      <c r="C3107" s="2">
        <v>9.46666666666667</v>
      </c>
      <c r="D3107" s="2">
        <v>0</v>
      </c>
      <c r="E3107" s="122"/>
      <c r="F3107" s="123" t="s">
        <v>4162</v>
      </c>
    </row>
    <row r="3108" ht="17" customHeight="1" spans="1:6">
      <c r="A3108" s="56">
        <v>3150</v>
      </c>
      <c r="B3108" s="120" t="s">
        <v>4163</v>
      </c>
      <c r="C3108" s="122">
        <f>105/30</f>
        <v>3.5</v>
      </c>
      <c r="D3108" s="121">
        <v>1</v>
      </c>
      <c r="E3108" s="122"/>
      <c r="F3108" s="123" t="s">
        <v>4164</v>
      </c>
    </row>
    <row r="3109" ht="17" customHeight="1" spans="1:6">
      <c r="A3109" s="56">
        <v>3151</v>
      </c>
      <c r="B3109" s="120" t="s">
        <v>4165</v>
      </c>
      <c r="C3109" s="122">
        <v>0</v>
      </c>
      <c r="D3109" s="121">
        <v>1</v>
      </c>
      <c r="E3109" s="122"/>
      <c r="F3109" s="123" t="s">
        <v>4166</v>
      </c>
    </row>
    <row r="3110" ht="17" customHeight="1" spans="1:6">
      <c r="A3110" s="56">
        <v>3152</v>
      </c>
      <c r="B3110" s="120" t="s">
        <v>4167</v>
      </c>
      <c r="C3110" s="122">
        <v>0</v>
      </c>
      <c r="D3110" s="121">
        <v>1</v>
      </c>
      <c r="E3110" s="122"/>
      <c r="F3110" s="123" t="s">
        <v>4168</v>
      </c>
    </row>
    <row r="3111" ht="17" customHeight="1" spans="1:6">
      <c r="A3111" s="56">
        <v>3153</v>
      </c>
      <c r="B3111" s="120" t="s">
        <v>4169</v>
      </c>
      <c r="C3111" s="122">
        <v>0</v>
      </c>
      <c r="D3111" s="121">
        <v>1</v>
      </c>
      <c r="E3111" s="122"/>
      <c r="F3111" s="123" t="s">
        <v>4170</v>
      </c>
    </row>
    <row r="3112" ht="17" customHeight="1" spans="1:6">
      <c r="A3112" s="56">
        <v>3154</v>
      </c>
      <c r="B3112" s="120" t="s">
        <v>4171</v>
      </c>
      <c r="C3112" s="122">
        <v>0</v>
      </c>
      <c r="D3112" s="121">
        <v>1</v>
      </c>
      <c r="E3112" s="122"/>
      <c r="F3112" s="123" t="s">
        <v>4172</v>
      </c>
    </row>
    <row r="3113" ht="17" customHeight="1" spans="1:6">
      <c r="A3113" s="56">
        <v>3155</v>
      </c>
      <c r="B3113" s="120" t="s">
        <v>4173</v>
      </c>
      <c r="C3113" s="122">
        <v>0</v>
      </c>
      <c r="D3113" s="121">
        <v>1</v>
      </c>
      <c r="E3113" s="122"/>
      <c r="F3113" s="123" t="s">
        <v>4174</v>
      </c>
    </row>
    <row r="3114" ht="17" customHeight="1" spans="1:6">
      <c r="A3114" s="56">
        <v>3156</v>
      </c>
      <c r="B3114" s="120" t="s">
        <v>4175</v>
      </c>
      <c r="C3114" s="122">
        <v>0</v>
      </c>
      <c r="D3114" s="121">
        <v>1</v>
      </c>
      <c r="E3114" s="122"/>
      <c r="F3114" s="123" t="s">
        <v>4176</v>
      </c>
    </row>
    <row r="3115" ht="17" customHeight="1" spans="1:6">
      <c r="A3115" s="56">
        <v>3157</v>
      </c>
      <c r="B3115" s="120" t="s">
        <v>4177</v>
      </c>
      <c r="C3115" s="122">
        <v>0</v>
      </c>
      <c r="D3115" s="121">
        <v>1</v>
      </c>
      <c r="E3115" s="122"/>
      <c r="F3115" s="123" t="s">
        <v>4178</v>
      </c>
    </row>
    <row r="3116" ht="17" customHeight="1" spans="1:6">
      <c r="A3116" s="56">
        <v>3158</v>
      </c>
      <c r="B3116" s="120" t="s">
        <v>4179</v>
      </c>
      <c r="C3116" s="122">
        <v>0</v>
      </c>
      <c r="D3116" s="121">
        <v>1</v>
      </c>
      <c r="E3116" s="122"/>
      <c r="F3116" s="123" t="s">
        <v>4180</v>
      </c>
    </row>
    <row r="3117" ht="17" customHeight="1" spans="1:6">
      <c r="A3117" s="56">
        <v>3159</v>
      </c>
      <c r="B3117" s="120" t="s">
        <v>4181</v>
      </c>
      <c r="C3117" s="122">
        <v>0</v>
      </c>
      <c r="D3117" s="121">
        <v>1</v>
      </c>
      <c r="E3117" s="122"/>
      <c r="F3117" s="123" t="s">
        <v>4182</v>
      </c>
    </row>
    <row r="3118" ht="17" customHeight="1" spans="1:6">
      <c r="A3118" s="56">
        <v>3160</v>
      </c>
      <c r="B3118" s="120" t="s">
        <v>4183</v>
      </c>
      <c r="C3118" s="122">
        <v>0</v>
      </c>
      <c r="D3118" s="121">
        <v>1</v>
      </c>
      <c r="E3118" s="122"/>
      <c r="F3118" s="123" t="s">
        <v>4184</v>
      </c>
    </row>
    <row r="3119" ht="17" customHeight="1" spans="1:6">
      <c r="A3119" s="56">
        <v>3161</v>
      </c>
      <c r="B3119" s="120" t="s">
        <v>4185</v>
      </c>
      <c r="C3119" s="122">
        <v>0</v>
      </c>
      <c r="D3119" s="121">
        <v>1</v>
      </c>
      <c r="E3119" s="122"/>
      <c r="F3119" s="123" t="s">
        <v>4186</v>
      </c>
    </row>
    <row r="3120" ht="17" customHeight="1" spans="1:6">
      <c r="A3120" s="56">
        <v>3162</v>
      </c>
      <c r="B3120" s="120" t="s">
        <v>4187</v>
      </c>
      <c r="C3120" s="122">
        <v>0</v>
      </c>
      <c r="D3120" s="121">
        <v>1</v>
      </c>
      <c r="E3120" s="122"/>
      <c r="F3120" s="123" t="s">
        <v>4188</v>
      </c>
    </row>
    <row r="3121" ht="17" customHeight="1" spans="1:6">
      <c r="A3121" s="56">
        <v>3163</v>
      </c>
      <c r="B3121" s="120" t="s">
        <v>4189</v>
      </c>
      <c r="C3121" s="122">
        <v>0</v>
      </c>
      <c r="D3121" s="121">
        <v>1</v>
      </c>
      <c r="E3121" s="122"/>
      <c r="F3121" s="123" t="s">
        <v>4190</v>
      </c>
    </row>
    <row r="3122" ht="17" customHeight="1" spans="1:6">
      <c r="A3122" s="56">
        <v>3164</v>
      </c>
      <c r="B3122" s="120" t="s">
        <v>4191</v>
      </c>
      <c r="C3122" s="122">
        <v>0</v>
      </c>
      <c r="D3122" s="121">
        <v>1</v>
      </c>
      <c r="E3122" s="122"/>
      <c r="F3122" s="123" t="s">
        <v>4192</v>
      </c>
    </row>
    <row r="3123" ht="17" customHeight="1" spans="1:6">
      <c r="A3123" s="56">
        <v>3165</v>
      </c>
      <c r="B3123" s="120" t="s">
        <v>4193</v>
      </c>
      <c r="C3123" s="122">
        <v>0</v>
      </c>
      <c r="D3123" s="121">
        <v>1</v>
      </c>
      <c r="E3123" s="122"/>
      <c r="F3123" s="123" t="s">
        <v>4194</v>
      </c>
    </row>
    <row r="3124" ht="17" customHeight="1" spans="1:6">
      <c r="A3124" s="56">
        <v>3166</v>
      </c>
      <c r="B3124" s="120" t="s">
        <v>4195</v>
      </c>
      <c r="C3124" s="122">
        <v>0</v>
      </c>
      <c r="D3124" s="121">
        <v>1</v>
      </c>
      <c r="E3124" s="122"/>
      <c r="F3124" s="123" t="s">
        <v>4196</v>
      </c>
    </row>
    <row r="3125" ht="17" customHeight="1" spans="1:6">
      <c r="A3125" s="56">
        <v>3167</v>
      </c>
      <c r="B3125" s="120" t="s">
        <v>4197</v>
      </c>
      <c r="C3125" s="122">
        <v>0</v>
      </c>
      <c r="D3125" s="121">
        <v>1</v>
      </c>
      <c r="E3125" s="122"/>
      <c r="F3125" s="123" t="s">
        <v>4198</v>
      </c>
    </row>
    <row r="3126" ht="17" customHeight="1" spans="1:6">
      <c r="A3126" s="56">
        <v>3168</v>
      </c>
      <c r="B3126" s="120" t="s">
        <v>4199</v>
      </c>
      <c r="C3126" s="2">
        <v>3.96666666666667</v>
      </c>
      <c r="D3126" s="121">
        <v>0</v>
      </c>
      <c r="E3126" s="122"/>
      <c r="F3126" s="123" t="s">
        <v>4200</v>
      </c>
    </row>
    <row r="3127" ht="17" customHeight="1" spans="1:6">
      <c r="A3127" s="56">
        <v>3169</v>
      </c>
      <c r="B3127" s="120" t="s">
        <v>4201</v>
      </c>
      <c r="C3127" s="122">
        <v>1</v>
      </c>
      <c r="D3127" s="121">
        <v>0</v>
      </c>
      <c r="E3127" s="122"/>
      <c r="F3127" s="123" t="s">
        <v>4202</v>
      </c>
    </row>
    <row r="3128" ht="17" customHeight="1" spans="1:6">
      <c r="A3128" s="56">
        <v>3170</v>
      </c>
      <c r="B3128" s="120" t="s">
        <v>4203</v>
      </c>
      <c r="C3128" s="2">
        <v>3.96666666666667</v>
      </c>
      <c r="D3128" s="121">
        <v>0</v>
      </c>
      <c r="E3128" s="122"/>
      <c r="F3128" s="123" t="s">
        <v>4204</v>
      </c>
    </row>
    <row r="3129" ht="17" customHeight="1" spans="1:6">
      <c r="A3129" s="56">
        <v>3171</v>
      </c>
      <c r="B3129" s="120" t="s">
        <v>4205</v>
      </c>
      <c r="C3129" s="2">
        <f>90/30</f>
        <v>3</v>
      </c>
      <c r="D3129" s="121">
        <v>0</v>
      </c>
      <c r="E3129" s="122"/>
      <c r="F3129" s="123" t="s">
        <v>4206</v>
      </c>
    </row>
    <row r="3130" ht="17" customHeight="1" spans="1:6">
      <c r="A3130" s="56">
        <v>3172</v>
      </c>
      <c r="B3130" s="120" t="s">
        <v>4207</v>
      </c>
      <c r="C3130" s="2">
        <v>1</v>
      </c>
      <c r="D3130" s="121">
        <v>0</v>
      </c>
      <c r="E3130" s="122"/>
      <c r="F3130" s="123" t="s">
        <v>4208</v>
      </c>
    </row>
    <row r="3131" ht="17" customHeight="1" spans="1:6">
      <c r="A3131" s="56">
        <v>3173</v>
      </c>
      <c r="B3131" s="120" t="s">
        <v>4209</v>
      </c>
      <c r="C3131" s="2">
        <v>1</v>
      </c>
      <c r="D3131" s="121">
        <v>0</v>
      </c>
      <c r="E3131" s="122"/>
      <c r="F3131" s="123" t="s">
        <v>4210</v>
      </c>
    </row>
    <row r="3132" ht="17" customHeight="1" spans="1:6">
      <c r="A3132" s="56">
        <v>3174</v>
      </c>
      <c r="B3132" s="120" t="s">
        <v>4211</v>
      </c>
      <c r="C3132" s="2">
        <f>113/30</f>
        <v>3.76666666666667</v>
      </c>
      <c r="D3132" s="121">
        <v>0</v>
      </c>
      <c r="E3132" s="122"/>
      <c r="F3132" s="123" t="s">
        <v>4212</v>
      </c>
    </row>
    <row r="3133" ht="17" customHeight="1" spans="1:6">
      <c r="A3133" s="56">
        <v>3175</v>
      </c>
      <c r="B3133" s="120" t="s">
        <v>4213</v>
      </c>
      <c r="C3133" s="2">
        <f>290/30</f>
        <v>9.66666666666667</v>
      </c>
      <c r="D3133" s="121">
        <v>0</v>
      </c>
      <c r="E3133" s="122"/>
      <c r="F3133" s="123" t="s">
        <v>4214</v>
      </c>
    </row>
    <row r="3134" ht="17" customHeight="1" spans="1:6">
      <c r="A3134" s="56">
        <v>3176</v>
      </c>
      <c r="B3134" s="120" t="s">
        <v>4215</v>
      </c>
      <c r="C3134" s="2">
        <f>290/30</f>
        <v>9.66666666666667</v>
      </c>
      <c r="D3134" s="121">
        <v>0</v>
      </c>
      <c r="E3134" s="122"/>
      <c r="F3134" s="123" t="s">
        <v>4216</v>
      </c>
    </row>
    <row r="3135" ht="17" customHeight="1" spans="1:6">
      <c r="A3135" s="56">
        <v>3177</v>
      </c>
      <c r="B3135" s="120" t="s">
        <v>4217</v>
      </c>
      <c r="C3135" s="2">
        <v>1</v>
      </c>
      <c r="D3135" s="121">
        <v>0</v>
      </c>
      <c r="E3135" s="122"/>
      <c r="F3135" s="123" t="s">
        <v>4218</v>
      </c>
    </row>
    <row r="3136" ht="17" customHeight="1" spans="1:6">
      <c r="A3136" s="56">
        <v>3178</v>
      </c>
      <c r="B3136" s="120" t="s">
        <v>4219</v>
      </c>
      <c r="C3136" s="2">
        <f>397/30</f>
        <v>13.2333333333333</v>
      </c>
      <c r="D3136" s="121">
        <v>0</v>
      </c>
      <c r="E3136" s="122"/>
      <c r="F3136" s="123" t="s">
        <v>4220</v>
      </c>
    </row>
    <row r="3137" ht="17" customHeight="1" spans="1:6">
      <c r="A3137" s="56">
        <v>3179</v>
      </c>
      <c r="B3137" s="120" t="s">
        <v>4221</v>
      </c>
      <c r="C3137" s="2">
        <v>9.46666666666667</v>
      </c>
      <c r="D3137" s="121">
        <v>0</v>
      </c>
      <c r="E3137" s="122"/>
      <c r="F3137" s="123" t="s">
        <v>4222</v>
      </c>
    </row>
    <row r="3138" ht="17" customHeight="1" spans="1:6">
      <c r="A3138" s="56">
        <v>3180</v>
      </c>
      <c r="B3138" s="120" t="s">
        <v>4223</v>
      </c>
      <c r="C3138" s="2">
        <v>0</v>
      </c>
      <c r="D3138" s="121">
        <v>1</v>
      </c>
      <c r="E3138" s="122"/>
      <c r="F3138" s="123" t="s">
        <v>4224</v>
      </c>
    </row>
    <row r="3139" ht="17" customHeight="1" spans="1:6">
      <c r="A3139" s="56">
        <v>3181</v>
      </c>
      <c r="B3139" s="120" t="s">
        <v>4225</v>
      </c>
      <c r="C3139" s="2">
        <v>0</v>
      </c>
      <c r="D3139" s="121">
        <v>1</v>
      </c>
      <c r="E3139" s="122"/>
      <c r="F3139" s="123" t="s">
        <v>4226</v>
      </c>
    </row>
    <row r="3140" ht="17" customHeight="1" spans="1:6">
      <c r="A3140" s="56">
        <v>3182</v>
      </c>
      <c r="B3140" s="120" t="s">
        <v>4227</v>
      </c>
      <c r="C3140" s="2">
        <v>0</v>
      </c>
      <c r="D3140" s="121">
        <v>1</v>
      </c>
      <c r="E3140" s="122"/>
      <c r="F3140" s="123" t="s">
        <v>4228</v>
      </c>
    </row>
    <row r="3141" ht="17" customHeight="1" spans="1:6">
      <c r="A3141" s="56">
        <v>3183</v>
      </c>
      <c r="B3141" s="120" t="s">
        <v>4229</v>
      </c>
      <c r="C3141" s="2">
        <v>0</v>
      </c>
      <c r="D3141" s="121">
        <v>1</v>
      </c>
      <c r="E3141" s="122"/>
      <c r="F3141" s="123" t="s">
        <v>4230</v>
      </c>
    </row>
    <row r="3142" ht="17" customHeight="1" spans="1:6">
      <c r="A3142" s="56">
        <v>3184</v>
      </c>
      <c r="B3142" s="120" t="s">
        <v>4231</v>
      </c>
      <c r="C3142" s="2">
        <v>0</v>
      </c>
      <c r="D3142" s="121">
        <v>1</v>
      </c>
      <c r="E3142" s="122"/>
      <c r="F3142" s="123" t="s">
        <v>4232</v>
      </c>
    </row>
    <row r="3143" ht="17" customHeight="1" spans="1:6">
      <c r="A3143" s="56">
        <v>3185</v>
      </c>
      <c r="B3143" s="120" t="s">
        <v>4233</v>
      </c>
      <c r="C3143" s="2">
        <v>0</v>
      </c>
      <c r="D3143" s="121">
        <v>1</v>
      </c>
      <c r="E3143" s="122"/>
      <c r="F3143" s="123" t="s">
        <v>4234</v>
      </c>
    </row>
    <row r="3144" ht="17" customHeight="1" spans="1:6">
      <c r="A3144" s="56">
        <v>3186</v>
      </c>
      <c r="B3144" s="120" t="s">
        <v>4235</v>
      </c>
      <c r="C3144" s="2">
        <v>0</v>
      </c>
      <c r="D3144" s="121">
        <v>1</v>
      </c>
      <c r="E3144" s="122"/>
      <c r="F3144" s="123" t="s">
        <v>4236</v>
      </c>
    </row>
    <row r="3145" ht="17" customHeight="1" spans="1:6">
      <c r="A3145" s="56">
        <v>3187</v>
      </c>
      <c r="B3145" s="120" t="s">
        <v>4237</v>
      </c>
      <c r="C3145" s="2">
        <v>0</v>
      </c>
      <c r="D3145" s="121">
        <v>1</v>
      </c>
      <c r="E3145" s="122"/>
      <c r="F3145" s="123" t="s">
        <v>4238</v>
      </c>
    </row>
    <row r="3146" ht="17" customHeight="1" spans="1:6">
      <c r="A3146" s="56">
        <v>3188</v>
      </c>
      <c r="B3146" s="120" t="s">
        <v>4239</v>
      </c>
      <c r="C3146" s="2">
        <v>0</v>
      </c>
      <c r="D3146" s="121">
        <v>1</v>
      </c>
      <c r="E3146" s="122"/>
      <c r="F3146" s="123" t="s">
        <v>4240</v>
      </c>
    </row>
    <row r="3147" ht="17" customHeight="1" spans="1:6">
      <c r="A3147" s="56">
        <v>3189</v>
      </c>
      <c r="B3147" s="120" t="s">
        <v>4241</v>
      </c>
      <c r="C3147" s="2">
        <v>0</v>
      </c>
      <c r="D3147" s="121">
        <v>1</v>
      </c>
      <c r="E3147" s="122"/>
      <c r="F3147" s="123" t="s">
        <v>4242</v>
      </c>
    </row>
    <row r="3148" ht="17" customHeight="1" spans="1:6">
      <c r="A3148" s="56">
        <v>3190</v>
      </c>
      <c r="B3148" s="120" t="s">
        <v>4243</v>
      </c>
      <c r="C3148" s="2">
        <v>0</v>
      </c>
      <c r="D3148" s="121">
        <v>1</v>
      </c>
      <c r="E3148" s="122"/>
      <c r="F3148" s="123" t="s">
        <v>4244</v>
      </c>
    </row>
    <row r="3149" ht="17" customHeight="1" spans="1:6">
      <c r="A3149" s="56">
        <v>3191</v>
      </c>
      <c r="B3149" s="120" t="s">
        <v>4245</v>
      </c>
      <c r="C3149" s="2">
        <v>0</v>
      </c>
      <c r="D3149" s="121">
        <v>1</v>
      </c>
      <c r="E3149" s="122"/>
      <c r="F3149" s="123" t="s">
        <v>4246</v>
      </c>
    </row>
    <row r="3150" ht="17" customHeight="1" spans="1:6">
      <c r="A3150" s="56">
        <v>3192</v>
      </c>
      <c r="B3150" s="120" t="s">
        <v>4247</v>
      </c>
      <c r="C3150" s="2">
        <v>0</v>
      </c>
      <c r="D3150" s="121">
        <v>1</v>
      </c>
      <c r="E3150" s="122"/>
      <c r="F3150" s="123" t="s">
        <v>4248</v>
      </c>
    </row>
    <row r="3151" ht="17" customHeight="1" spans="1:6">
      <c r="A3151" s="56">
        <v>3193</v>
      </c>
      <c r="B3151" s="120" t="s">
        <v>4249</v>
      </c>
      <c r="C3151" s="2">
        <v>0</v>
      </c>
      <c r="D3151" s="121">
        <v>1</v>
      </c>
      <c r="E3151" s="122"/>
      <c r="F3151" s="123" t="s">
        <v>4250</v>
      </c>
    </row>
    <row r="3152" ht="17" customHeight="1" spans="1:6">
      <c r="A3152" s="56">
        <v>3194</v>
      </c>
      <c r="B3152" s="120" t="s">
        <v>4251</v>
      </c>
      <c r="C3152" s="2">
        <v>0</v>
      </c>
      <c r="D3152" s="121">
        <v>1</v>
      </c>
      <c r="E3152" s="122"/>
      <c r="F3152" s="123" t="s">
        <v>4252</v>
      </c>
    </row>
    <row r="3153" ht="17" customHeight="1" spans="1:6">
      <c r="A3153" s="56">
        <v>3195</v>
      </c>
      <c r="B3153" s="120" t="s">
        <v>4253</v>
      </c>
      <c r="C3153" s="2">
        <v>10.5333333333333</v>
      </c>
      <c r="D3153" s="121">
        <v>0</v>
      </c>
      <c r="E3153" s="122"/>
      <c r="F3153" s="123" t="s">
        <v>4254</v>
      </c>
    </row>
    <row r="3154" ht="17" customHeight="1" spans="1:6">
      <c r="A3154" s="56">
        <v>3196</v>
      </c>
      <c r="B3154" s="120" t="s">
        <v>4255</v>
      </c>
      <c r="C3154" s="2">
        <f>78/30</f>
        <v>2.6</v>
      </c>
      <c r="D3154" s="121">
        <v>0</v>
      </c>
      <c r="E3154" s="122"/>
      <c r="F3154" s="123" t="s">
        <v>4256</v>
      </c>
    </row>
    <row r="3155" ht="17" customHeight="1" spans="1:6">
      <c r="A3155" s="56">
        <v>3197</v>
      </c>
      <c r="B3155" s="120" t="s">
        <v>4257</v>
      </c>
      <c r="C3155" s="2">
        <v>1</v>
      </c>
      <c r="D3155" s="121">
        <v>0</v>
      </c>
      <c r="E3155" s="122"/>
      <c r="F3155" s="123" t="s">
        <v>4258</v>
      </c>
    </row>
    <row r="3156" ht="17" customHeight="1" spans="1:6">
      <c r="A3156" s="56">
        <v>3198</v>
      </c>
      <c r="B3156" s="120" t="s">
        <v>4259</v>
      </c>
      <c r="C3156" s="2">
        <f>100/30</f>
        <v>3.33333333333333</v>
      </c>
      <c r="D3156" s="121">
        <v>0</v>
      </c>
      <c r="E3156" s="122"/>
      <c r="F3156" s="123" t="s">
        <v>4260</v>
      </c>
    </row>
    <row r="3157" ht="17" customHeight="1" spans="1:6">
      <c r="A3157" s="56">
        <v>3199</v>
      </c>
      <c r="B3157" s="120" t="s">
        <v>4261</v>
      </c>
      <c r="C3157" s="2">
        <v>1</v>
      </c>
      <c r="D3157" s="121">
        <v>0</v>
      </c>
      <c r="E3157" s="122"/>
      <c r="F3157" s="123" t="s">
        <v>4262</v>
      </c>
    </row>
    <row r="3158" ht="17" customHeight="1" spans="1:6">
      <c r="A3158" s="56">
        <v>3200</v>
      </c>
      <c r="B3158" s="120" t="s">
        <v>4263</v>
      </c>
      <c r="C3158" s="2">
        <f>107/30</f>
        <v>3.56666666666667</v>
      </c>
      <c r="D3158" s="121">
        <v>0</v>
      </c>
      <c r="E3158" s="122"/>
      <c r="F3158" s="123" t="s">
        <v>4256</v>
      </c>
    </row>
    <row r="3159" ht="17" customHeight="1" spans="1:6">
      <c r="A3159" s="56">
        <v>3201</v>
      </c>
      <c r="B3159" s="120" t="s">
        <v>4264</v>
      </c>
      <c r="C3159" s="2">
        <v>1</v>
      </c>
      <c r="D3159" s="121">
        <v>0</v>
      </c>
      <c r="E3159" s="122"/>
      <c r="F3159" s="123" t="s">
        <v>4265</v>
      </c>
    </row>
    <row r="3160" ht="17" customHeight="1" spans="1:6">
      <c r="A3160" s="56">
        <v>3202</v>
      </c>
      <c r="B3160" s="120" t="s">
        <v>4266</v>
      </c>
      <c r="C3160" s="2">
        <v>1</v>
      </c>
      <c r="D3160" s="121">
        <v>0</v>
      </c>
      <c r="E3160" s="122"/>
      <c r="F3160" s="123" t="s">
        <v>4267</v>
      </c>
    </row>
    <row r="3161" ht="17" customHeight="1" spans="1:6">
      <c r="A3161" s="56">
        <v>3203</v>
      </c>
      <c r="B3161" s="120" t="s">
        <v>4268</v>
      </c>
      <c r="C3161" s="2">
        <f>84/30</f>
        <v>2.8</v>
      </c>
      <c r="D3161" s="121">
        <v>0</v>
      </c>
      <c r="E3161" s="122"/>
      <c r="F3161" s="123" t="s">
        <v>4269</v>
      </c>
    </row>
    <row r="3162" ht="17" customHeight="1" spans="1:6">
      <c r="A3162" s="56">
        <v>3204</v>
      </c>
      <c r="B3162" s="120" t="s">
        <v>4270</v>
      </c>
      <c r="C3162" s="2">
        <v>1</v>
      </c>
      <c r="D3162" s="121">
        <v>0</v>
      </c>
      <c r="E3162" s="122"/>
      <c r="F3162" s="123" t="s">
        <v>4271</v>
      </c>
    </row>
    <row r="3163" ht="17" customHeight="1" spans="1:6">
      <c r="A3163" s="56">
        <v>3205</v>
      </c>
      <c r="B3163" s="120" t="s">
        <v>4272</v>
      </c>
      <c r="C3163" s="2">
        <v>1</v>
      </c>
      <c r="D3163" s="121">
        <v>0</v>
      </c>
      <c r="E3163" s="122"/>
      <c r="F3163" s="123" t="s">
        <v>4273</v>
      </c>
    </row>
    <row r="3164" ht="17" customHeight="1" spans="1:6">
      <c r="A3164" s="56">
        <v>3206</v>
      </c>
      <c r="B3164" s="120" t="s">
        <v>4274</v>
      </c>
      <c r="C3164" s="2">
        <f>270/30</f>
        <v>9</v>
      </c>
      <c r="D3164" s="121">
        <v>0</v>
      </c>
      <c r="E3164" s="122"/>
      <c r="F3164" s="123" t="s">
        <v>4275</v>
      </c>
    </row>
    <row r="3165" ht="17" customHeight="1" spans="1:6">
      <c r="A3165" s="56">
        <v>3207</v>
      </c>
      <c r="B3165" s="120" t="s">
        <v>4276</v>
      </c>
      <c r="C3165" s="2">
        <f>309/30</f>
        <v>10.3</v>
      </c>
      <c r="D3165" s="121">
        <v>0</v>
      </c>
      <c r="E3165" s="122"/>
      <c r="F3165" s="123" t="s">
        <v>4277</v>
      </c>
    </row>
    <row r="3166" ht="17" customHeight="1" spans="1:6">
      <c r="A3166" s="56">
        <v>3208</v>
      </c>
      <c r="B3166" s="120" t="s">
        <v>4278</v>
      </c>
      <c r="C3166" s="2">
        <f>290/30</f>
        <v>9.66666666666667</v>
      </c>
      <c r="D3166" s="121">
        <v>0</v>
      </c>
      <c r="E3166" s="122"/>
      <c r="F3166" s="123" t="s">
        <v>4279</v>
      </c>
    </row>
    <row r="3167" ht="17" customHeight="1" spans="1:6">
      <c r="A3167" s="56">
        <v>3209</v>
      </c>
      <c r="B3167" s="120" t="s">
        <v>4280</v>
      </c>
      <c r="C3167" s="2">
        <f>126/30</f>
        <v>4.2</v>
      </c>
      <c r="D3167" s="121">
        <v>1</v>
      </c>
      <c r="E3167" s="122"/>
      <c r="F3167" s="123" t="s">
        <v>4281</v>
      </c>
    </row>
    <row r="3168" ht="17" customHeight="1" spans="1:6">
      <c r="A3168" s="56">
        <v>3210</v>
      </c>
      <c r="B3168" s="120" t="s">
        <v>4282</v>
      </c>
      <c r="C3168" s="2">
        <v>0</v>
      </c>
      <c r="D3168" s="121">
        <v>1</v>
      </c>
      <c r="E3168" s="122"/>
      <c r="F3168" s="123" t="s">
        <v>4283</v>
      </c>
    </row>
    <row r="3169" ht="17" customHeight="1" spans="1:6">
      <c r="A3169" s="56">
        <v>3211</v>
      </c>
      <c r="B3169" s="120" t="s">
        <v>4284</v>
      </c>
      <c r="C3169" s="2">
        <f>107/30</f>
        <v>3.56666666666667</v>
      </c>
      <c r="D3169" s="121">
        <v>0</v>
      </c>
      <c r="E3169" s="122"/>
      <c r="F3169" s="123" t="s">
        <v>4285</v>
      </c>
    </row>
    <row r="3170" ht="17" customHeight="1" spans="1:6">
      <c r="A3170" s="56">
        <v>3212</v>
      </c>
      <c r="B3170" s="120" t="s">
        <v>4286</v>
      </c>
      <c r="C3170" s="2">
        <v>1</v>
      </c>
      <c r="D3170" s="121">
        <v>0</v>
      </c>
      <c r="E3170" s="122"/>
      <c r="F3170" s="123" t="s">
        <v>4287</v>
      </c>
    </row>
    <row r="3171" ht="17" customHeight="1" spans="1:6">
      <c r="A3171" s="56">
        <v>3213</v>
      </c>
      <c r="B3171" s="120" t="s">
        <v>4288</v>
      </c>
      <c r="C3171" s="2">
        <f>270/30</f>
        <v>9</v>
      </c>
      <c r="D3171" s="121">
        <v>0</v>
      </c>
      <c r="E3171" s="122"/>
      <c r="F3171" s="123" t="s">
        <v>4289</v>
      </c>
    </row>
    <row r="3172" ht="17" customHeight="1" spans="1:6">
      <c r="A3172" s="56">
        <v>3214</v>
      </c>
      <c r="B3172" s="120" t="s">
        <v>4290</v>
      </c>
      <c r="C3172" s="2">
        <f>270/30</f>
        <v>9</v>
      </c>
      <c r="D3172" s="121">
        <v>0</v>
      </c>
      <c r="E3172" s="122"/>
      <c r="F3172" s="123" t="s">
        <v>4289</v>
      </c>
    </row>
    <row r="3173" ht="17" customHeight="1" spans="1:6">
      <c r="A3173" s="56">
        <v>3215</v>
      </c>
      <c r="B3173" s="120" t="s">
        <v>4291</v>
      </c>
      <c r="C3173" s="2">
        <f>290/30</f>
        <v>9.66666666666667</v>
      </c>
      <c r="D3173" s="121">
        <v>0</v>
      </c>
      <c r="E3173" s="122"/>
      <c r="F3173" s="123" t="s">
        <v>4292</v>
      </c>
    </row>
    <row r="3174" ht="17" customHeight="1" spans="1:6">
      <c r="A3174" s="56">
        <v>3216</v>
      </c>
      <c r="B3174" s="120" t="s">
        <v>4293</v>
      </c>
      <c r="C3174" s="2">
        <v>1</v>
      </c>
      <c r="D3174" s="121">
        <v>0</v>
      </c>
      <c r="E3174" s="122"/>
      <c r="F3174" s="123" t="s">
        <v>4294</v>
      </c>
    </row>
    <row r="3175" ht="17" customHeight="1" spans="1:6">
      <c r="A3175" s="56">
        <v>3217</v>
      </c>
      <c r="B3175" s="120" t="s">
        <v>4295</v>
      </c>
      <c r="C3175" s="2">
        <f>290/30</f>
        <v>9.66666666666667</v>
      </c>
      <c r="D3175" s="121">
        <v>0</v>
      </c>
      <c r="E3175" s="122"/>
      <c r="F3175" s="123" t="s">
        <v>4296</v>
      </c>
    </row>
    <row r="3176" ht="17" customHeight="1" spans="1:6">
      <c r="A3176" s="56">
        <v>3218</v>
      </c>
      <c r="B3176" s="120" t="s">
        <v>4297</v>
      </c>
      <c r="C3176" s="2">
        <v>3</v>
      </c>
      <c r="D3176" s="121">
        <v>0</v>
      </c>
      <c r="E3176" s="122"/>
      <c r="F3176" s="123" t="s">
        <v>4298</v>
      </c>
    </row>
    <row r="3177" ht="17" customHeight="1" spans="1:6">
      <c r="A3177" s="56">
        <v>3219</v>
      </c>
      <c r="B3177" s="120" t="s">
        <v>4299</v>
      </c>
      <c r="C3177" s="2">
        <v>2</v>
      </c>
      <c r="D3177" s="121">
        <v>0</v>
      </c>
      <c r="E3177" s="122"/>
      <c r="F3177" s="123" t="s">
        <v>4300</v>
      </c>
    </row>
    <row r="3178" ht="17" customHeight="1" spans="1:6">
      <c r="A3178" s="56">
        <v>3220</v>
      </c>
      <c r="B3178" s="120" t="s">
        <v>4301</v>
      </c>
      <c r="C3178" s="2">
        <v>2</v>
      </c>
      <c r="D3178" s="121">
        <v>0</v>
      </c>
      <c r="E3178" s="122"/>
      <c r="F3178" s="123" t="s">
        <v>4300</v>
      </c>
    </row>
    <row r="3179" ht="17" customHeight="1" spans="1:6">
      <c r="A3179" s="56">
        <v>3221</v>
      </c>
      <c r="B3179" s="120" t="s">
        <v>4302</v>
      </c>
      <c r="C3179" s="2">
        <v>2</v>
      </c>
      <c r="D3179" s="121">
        <v>0</v>
      </c>
      <c r="E3179" s="122"/>
      <c r="F3179" s="123" t="s">
        <v>4300</v>
      </c>
    </row>
    <row r="3180" ht="17" customHeight="1" spans="1:6">
      <c r="A3180" s="56">
        <v>3222</v>
      </c>
      <c r="B3180" s="120" t="s">
        <v>4303</v>
      </c>
      <c r="C3180" s="2">
        <v>1.7</v>
      </c>
      <c r="D3180" s="121">
        <v>0</v>
      </c>
      <c r="E3180" s="122"/>
      <c r="F3180" s="123" t="s">
        <v>4304</v>
      </c>
    </row>
    <row r="3181" ht="17" customHeight="1" spans="1:6">
      <c r="A3181" s="56">
        <v>3223</v>
      </c>
      <c r="B3181" s="120" t="s">
        <v>4305</v>
      </c>
      <c r="C3181" s="2">
        <v>0</v>
      </c>
      <c r="D3181" s="121">
        <v>1</v>
      </c>
      <c r="E3181" s="122"/>
      <c r="F3181" s="123" t="s">
        <v>4306</v>
      </c>
    </row>
    <row r="3182" ht="17" customHeight="1" spans="1:6">
      <c r="A3182" s="56">
        <v>3224</v>
      </c>
      <c r="B3182" s="120" t="s">
        <v>4307</v>
      </c>
      <c r="C3182" s="2">
        <v>3.43333333333333</v>
      </c>
      <c r="D3182" s="121">
        <v>0</v>
      </c>
      <c r="E3182" s="122"/>
      <c r="F3182" s="123" t="s">
        <v>4308</v>
      </c>
    </row>
    <row r="3183" ht="17" customHeight="1" spans="1:6">
      <c r="A3183" s="56">
        <v>3225</v>
      </c>
      <c r="B3183" s="120" t="s">
        <v>4309</v>
      </c>
      <c r="C3183" s="2">
        <v>1</v>
      </c>
      <c r="D3183" s="121">
        <v>0</v>
      </c>
      <c r="E3183" s="122"/>
      <c r="F3183" s="123" t="s">
        <v>4310</v>
      </c>
    </row>
    <row r="3184" ht="17" customHeight="1" spans="1:6">
      <c r="A3184" s="56">
        <v>3226</v>
      </c>
      <c r="B3184" s="120" t="s">
        <v>4311</v>
      </c>
      <c r="C3184" s="2">
        <v>2.33333333333333</v>
      </c>
      <c r="D3184" s="121">
        <v>0</v>
      </c>
      <c r="E3184" s="122"/>
      <c r="F3184" s="123" t="s">
        <v>4312</v>
      </c>
    </row>
    <row r="3185" ht="17" customHeight="1" spans="1:6">
      <c r="A3185" s="56">
        <v>3227</v>
      </c>
      <c r="B3185" s="120" t="s">
        <v>4313</v>
      </c>
      <c r="C3185" s="2">
        <v>2.33333333333333</v>
      </c>
      <c r="D3185" s="121">
        <v>0</v>
      </c>
      <c r="E3185" s="122"/>
      <c r="F3185" s="123" t="s">
        <v>4314</v>
      </c>
    </row>
    <row r="3186" ht="17" customHeight="1" spans="1:6">
      <c r="A3186" s="56">
        <v>3228</v>
      </c>
      <c r="B3186" s="120" t="s">
        <v>4315</v>
      </c>
      <c r="C3186" s="2">
        <v>1</v>
      </c>
      <c r="D3186" s="121">
        <v>0</v>
      </c>
      <c r="E3186" s="122"/>
      <c r="F3186" s="123" t="s">
        <v>4316</v>
      </c>
    </row>
    <row r="3187" ht="17" customHeight="1" spans="1:6">
      <c r="A3187" s="56">
        <v>3229</v>
      </c>
      <c r="B3187" s="120" t="s">
        <v>4317</v>
      </c>
      <c r="C3187" s="2">
        <v>3.3</v>
      </c>
      <c r="D3187" s="121">
        <v>0</v>
      </c>
      <c r="E3187" s="122"/>
      <c r="F3187" s="123" t="s">
        <v>4318</v>
      </c>
    </row>
    <row r="3188" ht="17" customHeight="1" spans="1:6">
      <c r="A3188" s="56">
        <v>3230</v>
      </c>
      <c r="B3188" s="120" t="s">
        <v>4319</v>
      </c>
      <c r="C3188" s="2">
        <v>3.3</v>
      </c>
      <c r="D3188" s="121">
        <v>0</v>
      </c>
      <c r="E3188" s="122"/>
      <c r="F3188" s="123" t="s">
        <v>4314</v>
      </c>
    </row>
    <row r="3189" ht="17" customHeight="1" spans="1:6">
      <c r="A3189" s="56">
        <v>3231</v>
      </c>
      <c r="B3189" s="120" t="s">
        <v>4320</v>
      </c>
      <c r="C3189" s="2">
        <v>1</v>
      </c>
      <c r="D3189" s="121">
        <v>0</v>
      </c>
      <c r="E3189" s="122"/>
      <c r="F3189" s="123" t="s">
        <v>4321</v>
      </c>
    </row>
    <row r="3190" ht="17" customHeight="1" spans="1:6">
      <c r="A3190" s="56">
        <v>3232</v>
      </c>
      <c r="B3190" s="120" t="s">
        <v>4322</v>
      </c>
      <c r="C3190" s="2">
        <v>4.06666666666667</v>
      </c>
      <c r="D3190" s="121">
        <v>0</v>
      </c>
      <c r="E3190" s="122"/>
      <c r="F3190" s="123" t="s">
        <v>4323</v>
      </c>
    </row>
    <row r="3191" ht="17" customHeight="1" spans="1:6">
      <c r="A3191" s="56">
        <v>3233</v>
      </c>
      <c r="B3191" s="120" t="s">
        <v>4324</v>
      </c>
      <c r="C3191" s="2">
        <v>4.06666666666667</v>
      </c>
      <c r="D3191" s="121">
        <v>0</v>
      </c>
      <c r="E3191" s="122"/>
      <c r="F3191" s="123" t="s">
        <v>4314</v>
      </c>
    </row>
    <row r="3192" ht="17" customHeight="1" spans="1:6">
      <c r="A3192" s="56">
        <v>3234</v>
      </c>
      <c r="B3192" s="120" t="s">
        <v>4325</v>
      </c>
      <c r="C3192" s="2">
        <v>1</v>
      </c>
      <c r="D3192" s="121">
        <v>0</v>
      </c>
      <c r="E3192" s="122"/>
      <c r="F3192" s="123" t="s">
        <v>4326</v>
      </c>
    </row>
    <row r="3193" ht="17" customHeight="1" spans="1:6">
      <c r="A3193" s="56">
        <v>3235</v>
      </c>
      <c r="B3193" s="120" t="s">
        <v>4327</v>
      </c>
      <c r="C3193" s="2">
        <v>1</v>
      </c>
      <c r="D3193" s="121">
        <v>0</v>
      </c>
      <c r="E3193" s="122"/>
      <c r="F3193" s="123" t="s">
        <v>4328</v>
      </c>
    </row>
    <row r="3194" ht="17" customHeight="1" spans="1:6">
      <c r="A3194" s="56">
        <v>3236</v>
      </c>
      <c r="B3194" s="120" t="s">
        <v>4329</v>
      </c>
      <c r="C3194" s="2">
        <v>2.83333333333333</v>
      </c>
      <c r="D3194" s="121">
        <v>0</v>
      </c>
      <c r="E3194" s="122"/>
      <c r="F3194" s="123" t="s">
        <v>4330</v>
      </c>
    </row>
    <row r="3195" ht="17" customHeight="1" spans="1:6">
      <c r="A3195" s="56">
        <v>3237</v>
      </c>
      <c r="B3195" s="120" t="s">
        <v>4331</v>
      </c>
      <c r="C3195" s="2">
        <v>1</v>
      </c>
      <c r="D3195" s="121">
        <v>0</v>
      </c>
      <c r="E3195" s="122"/>
      <c r="F3195" s="123" t="s">
        <v>4332</v>
      </c>
    </row>
    <row r="3196" ht="17" customHeight="1" spans="1:6">
      <c r="A3196" s="56">
        <v>3238</v>
      </c>
      <c r="B3196" s="120" t="s">
        <v>4333</v>
      </c>
      <c r="C3196" s="2">
        <v>1</v>
      </c>
      <c r="D3196" s="121">
        <v>0</v>
      </c>
      <c r="E3196" s="122"/>
      <c r="F3196" s="123" t="s">
        <v>4334</v>
      </c>
    </row>
    <row r="3197" ht="17" customHeight="1" spans="1:6">
      <c r="A3197" s="56">
        <v>3239</v>
      </c>
      <c r="B3197" s="120" t="s">
        <v>4335</v>
      </c>
      <c r="C3197" s="2">
        <v>4.26666666666667</v>
      </c>
      <c r="D3197" s="121">
        <v>0</v>
      </c>
      <c r="E3197" s="122"/>
      <c r="F3197" s="123" t="s">
        <v>4336</v>
      </c>
    </row>
    <row r="3198" ht="17" customHeight="1" spans="1:6">
      <c r="A3198" s="56">
        <v>3240</v>
      </c>
      <c r="B3198" s="120" t="s">
        <v>4337</v>
      </c>
      <c r="C3198" s="2">
        <v>4.26666666666667</v>
      </c>
      <c r="D3198" s="121">
        <v>0</v>
      </c>
      <c r="E3198" s="122"/>
      <c r="F3198" s="123" t="s">
        <v>4314</v>
      </c>
    </row>
    <row r="3199" ht="17" customHeight="1" spans="1:6">
      <c r="A3199" s="56">
        <v>3241</v>
      </c>
      <c r="B3199" s="120" t="s">
        <v>4338</v>
      </c>
      <c r="C3199" s="2">
        <v>4.26666666666667</v>
      </c>
      <c r="D3199" s="121">
        <v>0</v>
      </c>
      <c r="E3199" s="122"/>
      <c r="F3199" s="123" t="s">
        <v>4314</v>
      </c>
    </row>
    <row r="3200" ht="17" customHeight="1" spans="1:6">
      <c r="A3200" s="56">
        <v>3242</v>
      </c>
      <c r="B3200" s="120" t="s">
        <v>4339</v>
      </c>
      <c r="C3200" s="2">
        <v>1</v>
      </c>
      <c r="D3200" s="121">
        <v>0</v>
      </c>
      <c r="E3200" s="122"/>
      <c r="F3200" s="123" t="s">
        <v>4340</v>
      </c>
    </row>
    <row r="3201" ht="17" customHeight="1" spans="1:6">
      <c r="A3201" s="56">
        <v>3243</v>
      </c>
      <c r="B3201" s="120" t="s">
        <v>4341</v>
      </c>
      <c r="C3201" s="2">
        <v>2.66666666666667</v>
      </c>
      <c r="D3201" s="121">
        <v>1</v>
      </c>
      <c r="E3201" s="122"/>
      <c r="F3201" s="123" t="s">
        <v>4342</v>
      </c>
    </row>
    <row r="3202" ht="17" customHeight="1" spans="1:6">
      <c r="A3202" s="56">
        <v>3244</v>
      </c>
      <c r="B3202" s="120" t="s">
        <v>4343</v>
      </c>
      <c r="C3202" s="2">
        <v>2.66666666666667</v>
      </c>
      <c r="D3202" s="121">
        <v>0</v>
      </c>
      <c r="E3202" s="122"/>
      <c r="F3202" s="123" t="s">
        <v>4344</v>
      </c>
    </row>
    <row r="3203" ht="17" customHeight="1" spans="1:6">
      <c r="A3203" s="56">
        <v>3245</v>
      </c>
      <c r="B3203" s="120" t="s">
        <v>4345</v>
      </c>
      <c r="C3203" s="2">
        <v>2.7</v>
      </c>
      <c r="D3203" s="121">
        <v>0</v>
      </c>
      <c r="E3203" s="122"/>
      <c r="F3203" s="123" t="s">
        <v>4346</v>
      </c>
    </row>
    <row r="3204" ht="17" customHeight="1" spans="1:6">
      <c r="A3204" s="56">
        <v>3246</v>
      </c>
      <c r="B3204" s="120" t="s">
        <v>4347</v>
      </c>
      <c r="C3204" s="2">
        <v>8.33333333333333</v>
      </c>
      <c r="D3204" s="121">
        <v>0</v>
      </c>
      <c r="E3204" s="122"/>
      <c r="F3204" s="123" t="s">
        <v>4348</v>
      </c>
    </row>
    <row r="3205" ht="17" customHeight="1" spans="1:6">
      <c r="A3205" s="56">
        <v>3247</v>
      </c>
      <c r="B3205" s="120" t="s">
        <v>4349</v>
      </c>
      <c r="C3205" s="2">
        <v>8.33333333333333</v>
      </c>
      <c r="D3205" s="121">
        <v>0</v>
      </c>
      <c r="E3205" s="122"/>
      <c r="F3205" s="123" t="s">
        <v>4350</v>
      </c>
    </row>
    <row r="3206" ht="17" customHeight="1" spans="1:6">
      <c r="A3206" s="56">
        <v>3248</v>
      </c>
      <c r="B3206" s="120" t="s">
        <v>4351</v>
      </c>
      <c r="C3206" s="2">
        <v>2.66666666666667</v>
      </c>
      <c r="D3206" s="121">
        <v>1</v>
      </c>
      <c r="E3206" s="122"/>
      <c r="F3206" s="123" t="s">
        <v>4352</v>
      </c>
    </row>
    <row r="3207" ht="17" customHeight="1" spans="1:6">
      <c r="A3207" s="56">
        <v>3249</v>
      </c>
      <c r="B3207" s="120" t="s">
        <v>4353</v>
      </c>
      <c r="C3207" s="2">
        <v>2.66666666666667</v>
      </c>
      <c r="D3207" s="121">
        <v>1</v>
      </c>
      <c r="E3207" s="122"/>
      <c r="F3207" s="123" t="s">
        <v>4354</v>
      </c>
    </row>
    <row r="3208" ht="17" customHeight="1" spans="1:6">
      <c r="A3208" s="56">
        <v>3250</v>
      </c>
      <c r="B3208" s="120" t="s">
        <v>4355</v>
      </c>
      <c r="C3208" s="2">
        <v>2.66666666666667</v>
      </c>
      <c r="D3208" s="121">
        <v>1</v>
      </c>
      <c r="E3208" s="122"/>
      <c r="F3208" s="123" t="s">
        <v>4354</v>
      </c>
    </row>
    <row r="3209" ht="17" customHeight="1" spans="1:6">
      <c r="A3209" s="56">
        <v>3251</v>
      </c>
      <c r="B3209" s="120" t="s">
        <v>4356</v>
      </c>
      <c r="C3209" s="2">
        <v>16.5</v>
      </c>
      <c r="D3209" s="121">
        <v>0</v>
      </c>
      <c r="E3209" s="122"/>
      <c r="F3209" s="123" t="s">
        <v>4357</v>
      </c>
    </row>
    <row r="3210" ht="17" customHeight="1" spans="1:6">
      <c r="A3210" s="56">
        <v>3252</v>
      </c>
      <c r="B3210" s="120" t="s">
        <v>4358</v>
      </c>
      <c r="C3210" s="2">
        <v>16.5</v>
      </c>
      <c r="D3210" s="121">
        <v>0</v>
      </c>
      <c r="E3210" s="122"/>
      <c r="F3210" s="123" t="s">
        <v>4314</v>
      </c>
    </row>
    <row r="3211" ht="17" customHeight="1" spans="1:6">
      <c r="A3211" s="56">
        <v>3253</v>
      </c>
      <c r="B3211" s="120" t="s">
        <v>4359</v>
      </c>
      <c r="C3211" s="2">
        <v>16.5</v>
      </c>
      <c r="D3211" s="121">
        <v>0</v>
      </c>
      <c r="E3211" s="122"/>
      <c r="F3211" s="123" t="s">
        <v>4314</v>
      </c>
    </row>
    <row r="3212" ht="17" customHeight="1" spans="1:6">
      <c r="A3212" s="56">
        <v>3254</v>
      </c>
      <c r="B3212" s="120" t="s">
        <v>4360</v>
      </c>
      <c r="C3212" s="2">
        <v>1</v>
      </c>
      <c r="D3212" s="121">
        <v>0</v>
      </c>
      <c r="E3212" s="122"/>
      <c r="F3212" s="123" t="s">
        <v>4361</v>
      </c>
    </row>
    <row r="3213" ht="17" customHeight="1" spans="1:6">
      <c r="A3213" s="56">
        <v>3255</v>
      </c>
      <c r="B3213" s="120" t="s">
        <v>4362</v>
      </c>
      <c r="C3213" s="2">
        <v>11.4</v>
      </c>
      <c r="D3213" s="121">
        <v>0</v>
      </c>
      <c r="E3213" s="122"/>
      <c r="F3213" s="123" t="s">
        <v>4363</v>
      </c>
    </row>
    <row r="3214" ht="17" customHeight="1" spans="1:6">
      <c r="A3214" s="56">
        <v>3256</v>
      </c>
      <c r="B3214" s="120" t="s">
        <v>4364</v>
      </c>
      <c r="C3214" s="2">
        <v>11.4</v>
      </c>
      <c r="D3214" s="121">
        <v>0</v>
      </c>
      <c r="E3214" s="122"/>
      <c r="F3214" s="123" t="s">
        <v>4314</v>
      </c>
    </row>
    <row r="3215" ht="17" customHeight="1" spans="1:6">
      <c r="A3215" s="56">
        <v>3257</v>
      </c>
      <c r="B3215" s="120" t="s">
        <v>4365</v>
      </c>
      <c r="C3215" s="2">
        <v>11.4</v>
      </c>
      <c r="D3215" s="121">
        <v>0</v>
      </c>
      <c r="E3215" s="122"/>
      <c r="F3215" s="123" t="s">
        <v>4314</v>
      </c>
    </row>
    <row r="3216" ht="17" customHeight="1" spans="1:6">
      <c r="A3216" s="56">
        <v>3258</v>
      </c>
      <c r="B3216" s="120" t="s">
        <v>4366</v>
      </c>
      <c r="C3216" s="2">
        <v>11.4</v>
      </c>
      <c r="D3216" s="121">
        <v>0</v>
      </c>
      <c r="E3216" s="122"/>
      <c r="F3216" s="123" t="s">
        <v>4314</v>
      </c>
    </row>
    <row r="3217" ht="17" customHeight="1" spans="1:6">
      <c r="A3217" s="56">
        <v>3259</v>
      </c>
      <c r="B3217" s="120" t="s">
        <v>4367</v>
      </c>
      <c r="C3217" s="2">
        <v>0</v>
      </c>
      <c r="D3217" s="121">
        <v>1</v>
      </c>
      <c r="E3217" s="122"/>
      <c r="F3217" s="123" t="s">
        <v>4368</v>
      </c>
    </row>
    <row r="3218" ht="17" customHeight="1" spans="1:6">
      <c r="A3218" s="56">
        <v>3260</v>
      </c>
      <c r="B3218" s="120" t="s">
        <v>4369</v>
      </c>
      <c r="C3218" s="2">
        <v>0</v>
      </c>
      <c r="D3218" s="121">
        <v>1</v>
      </c>
      <c r="E3218" s="122"/>
      <c r="F3218" s="123" t="s">
        <v>4370</v>
      </c>
    </row>
    <row r="3219" ht="17" customHeight="1" spans="1:6">
      <c r="A3219" s="56">
        <v>3261</v>
      </c>
      <c r="B3219" s="120" t="s">
        <v>4371</v>
      </c>
      <c r="C3219" s="2">
        <v>3</v>
      </c>
      <c r="D3219" s="121">
        <v>0</v>
      </c>
      <c r="E3219" s="122"/>
      <c r="F3219" s="123" t="s">
        <v>4372</v>
      </c>
    </row>
    <row r="3220" ht="17" customHeight="1" spans="1:6">
      <c r="A3220" s="56">
        <v>3262</v>
      </c>
      <c r="B3220" s="120" t="s">
        <v>4373</v>
      </c>
      <c r="C3220" s="2">
        <v>0</v>
      </c>
      <c r="D3220" s="121">
        <v>1</v>
      </c>
      <c r="E3220" s="122"/>
      <c r="F3220" s="123" t="s">
        <v>4374</v>
      </c>
    </row>
    <row r="3221" ht="17" customHeight="1" spans="1:6">
      <c r="A3221" s="56">
        <v>3263</v>
      </c>
      <c r="B3221" s="120" t="s">
        <v>4375</v>
      </c>
      <c r="C3221" s="2">
        <v>1</v>
      </c>
      <c r="D3221" s="121">
        <v>0</v>
      </c>
      <c r="E3221" s="122"/>
      <c r="F3221" s="123" t="s">
        <v>4376</v>
      </c>
    </row>
    <row r="3222" ht="17" customHeight="1" spans="1:6">
      <c r="A3222" s="56">
        <v>3264</v>
      </c>
      <c r="B3222" s="120" t="s">
        <v>4377</v>
      </c>
      <c r="C3222" s="2">
        <v>1</v>
      </c>
      <c r="D3222" s="121">
        <v>0</v>
      </c>
      <c r="E3222" s="122"/>
      <c r="F3222" s="123" t="s">
        <v>4378</v>
      </c>
    </row>
    <row r="3223" ht="17" customHeight="1" spans="1:6">
      <c r="A3223" s="56">
        <v>3265</v>
      </c>
      <c r="B3223" s="120" t="s">
        <v>4379</v>
      </c>
      <c r="C3223" s="2">
        <v>2</v>
      </c>
      <c r="D3223" s="121">
        <v>0</v>
      </c>
      <c r="E3223" s="122"/>
      <c r="F3223" s="123" t="s">
        <v>4380</v>
      </c>
    </row>
    <row r="3224" ht="17" customHeight="1" spans="1:6">
      <c r="A3224" s="56">
        <v>3266</v>
      </c>
      <c r="B3224" s="120" t="s">
        <v>4381</v>
      </c>
      <c r="C3224" s="2">
        <v>2</v>
      </c>
      <c r="D3224" s="121">
        <v>0</v>
      </c>
      <c r="E3224" s="122"/>
      <c r="F3224" s="123" t="s">
        <v>4382</v>
      </c>
    </row>
    <row r="3225" ht="17" customHeight="1" spans="1:6">
      <c r="A3225" s="56">
        <v>3267</v>
      </c>
      <c r="B3225" s="120" t="s">
        <v>4383</v>
      </c>
      <c r="C3225" s="2">
        <v>1</v>
      </c>
      <c r="D3225" s="121">
        <v>0</v>
      </c>
      <c r="E3225" s="122"/>
      <c r="F3225" s="123" t="s">
        <v>4384</v>
      </c>
    </row>
    <row r="3226" ht="17" customHeight="1" spans="1:6">
      <c r="A3226" s="56">
        <v>3268</v>
      </c>
      <c r="B3226" s="120" t="s">
        <v>4385</v>
      </c>
      <c r="C3226" s="2">
        <v>2.33333333333333</v>
      </c>
      <c r="D3226" s="121">
        <v>0</v>
      </c>
      <c r="E3226" s="122"/>
      <c r="F3226" s="123" t="s">
        <v>4386</v>
      </c>
    </row>
    <row r="3227" ht="17" customHeight="1" spans="1:6">
      <c r="A3227" s="56">
        <v>3269</v>
      </c>
      <c r="B3227" s="120" t="s">
        <v>4387</v>
      </c>
      <c r="C3227" s="2">
        <v>1</v>
      </c>
      <c r="D3227" s="121">
        <v>0</v>
      </c>
      <c r="E3227" s="122"/>
      <c r="F3227" s="123" t="s">
        <v>4388</v>
      </c>
    </row>
    <row r="3228" ht="17" customHeight="1" spans="1:6">
      <c r="A3228" s="56">
        <v>3270</v>
      </c>
      <c r="B3228" s="120" t="s">
        <v>4389</v>
      </c>
      <c r="C3228" s="2">
        <v>1</v>
      </c>
      <c r="D3228" s="121">
        <v>0</v>
      </c>
      <c r="E3228" s="122"/>
      <c r="F3228" s="123" t="s">
        <v>4390</v>
      </c>
    </row>
    <row r="3229" ht="17" customHeight="1" spans="1:6">
      <c r="A3229" s="56">
        <v>3271</v>
      </c>
      <c r="B3229" s="120" t="s">
        <v>4391</v>
      </c>
      <c r="C3229" s="2">
        <v>2.16666666666667</v>
      </c>
      <c r="D3229" s="121">
        <v>0</v>
      </c>
      <c r="E3229" s="122"/>
      <c r="F3229" s="123" t="s">
        <v>4392</v>
      </c>
    </row>
    <row r="3230" ht="17" customHeight="1" spans="1:6">
      <c r="A3230" s="56">
        <v>3272</v>
      </c>
      <c r="B3230" s="120" t="s">
        <v>4393</v>
      </c>
      <c r="C3230" s="2">
        <v>1</v>
      </c>
      <c r="D3230" s="121">
        <v>0</v>
      </c>
      <c r="E3230" s="122"/>
      <c r="F3230" s="123" t="s">
        <v>4394</v>
      </c>
    </row>
    <row r="3231" ht="17" customHeight="1" spans="1:6">
      <c r="A3231" s="56">
        <v>3273</v>
      </c>
      <c r="B3231" s="120" t="s">
        <v>4395</v>
      </c>
      <c r="C3231" s="2">
        <v>3.4</v>
      </c>
      <c r="D3231" s="121">
        <v>0</v>
      </c>
      <c r="E3231" s="122"/>
      <c r="F3231" s="123" t="s">
        <v>4396</v>
      </c>
    </row>
    <row r="3232" ht="17" customHeight="1" spans="1:6">
      <c r="A3232" s="56">
        <v>3274</v>
      </c>
      <c r="B3232" s="120" t="s">
        <v>4397</v>
      </c>
      <c r="C3232" s="2">
        <v>1</v>
      </c>
      <c r="D3232" s="121">
        <v>0</v>
      </c>
      <c r="E3232" s="122"/>
      <c r="F3232" s="123" t="s">
        <v>4398</v>
      </c>
    </row>
    <row r="3233" ht="17" customHeight="1" spans="1:6">
      <c r="A3233" s="56">
        <v>3275</v>
      </c>
      <c r="B3233" s="120" t="s">
        <v>4399</v>
      </c>
      <c r="C3233" s="2">
        <v>2.83333333333333</v>
      </c>
      <c r="D3233" s="121">
        <v>0</v>
      </c>
      <c r="E3233" s="122"/>
      <c r="F3233" s="123" t="s">
        <v>4400</v>
      </c>
    </row>
    <row r="3234" ht="17" customHeight="1" spans="1:6">
      <c r="A3234" s="56">
        <v>3276</v>
      </c>
      <c r="B3234" s="120" t="s">
        <v>4401</v>
      </c>
      <c r="C3234" s="2">
        <v>3</v>
      </c>
      <c r="D3234" s="121">
        <v>0</v>
      </c>
      <c r="E3234" s="122"/>
      <c r="F3234" s="123" t="s">
        <v>4402</v>
      </c>
    </row>
    <row r="3235" ht="17" customHeight="1" spans="1:6">
      <c r="A3235" s="56">
        <v>3277</v>
      </c>
      <c r="B3235" s="120" t="s">
        <v>4403</v>
      </c>
      <c r="C3235" s="2">
        <v>2.83333333333333</v>
      </c>
      <c r="D3235" s="121">
        <v>0</v>
      </c>
      <c r="E3235" s="122"/>
      <c r="F3235" s="123" t="s">
        <v>4404</v>
      </c>
    </row>
    <row r="3236" ht="17" customHeight="1" spans="1:6">
      <c r="A3236" s="56">
        <v>3278</v>
      </c>
      <c r="B3236" s="120" t="s">
        <v>4405</v>
      </c>
      <c r="C3236" s="2">
        <v>3.33333333333333</v>
      </c>
      <c r="D3236" s="121">
        <v>0</v>
      </c>
      <c r="E3236" s="122"/>
      <c r="F3236" s="123" t="s">
        <v>4406</v>
      </c>
    </row>
    <row r="3237" ht="17" customHeight="1" spans="1:6">
      <c r="A3237" s="56">
        <v>3279</v>
      </c>
      <c r="B3237" s="120" t="s">
        <v>4407</v>
      </c>
      <c r="C3237" s="2">
        <v>1</v>
      </c>
      <c r="D3237" s="121">
        <v>0</v>
      </c>
      <c r="E3237" s="122"/>
      <c r="F3237" s="123" t="s">
        <v>4408</v>
      </c>
    </row>
    <row r="3238" ht="17" customHeight="1" spans="1:6">
      <c r="A3238" s="56">
        <v>3280</v>
      </c>
      <c r="B3238" s="120" t="s">
        <v>4409</v>
      </c>
      <c r="C3238" s="2">
        <v>3.33333333333333</v>
      </c>
      <c r="D3238" s="121">
        <v>0</v>
      </c>
      <c r="E3238" s="122"/>
      <c r="F3238" s="123" t="s">
        <v>4410</v>
      </c>
    </row>
    <row r="3239" ht="17" customHeight="1" spans="1:6">
      <c r="A3239" s="56">
        <v>3281</v>
      </c>
      <c r="B3239" s="120" t="s">
        <v>4411</v>
      </c>
      <c r="C3239" s="2">
        <v>8.83333333333333</v>
      </c>
      <c r="D3239" s="121">
        <v>0</v>
      </c>
      <c r="E3239" s="122"/>
      <c r="F3239" s="123" t="s">
        <v>4412</v>
      </c>
    </row>
    <row r="3240" ht="17" customHeight="1" spans="1:6">
      <c r="A3240" s="56">
        <v>3282</v>
      </c>
      <c r="B3240" s="120" t="s">
        <v>4413</v>
      </c>
      <c r="C3240" s="2">
        <v>10.3333333333333</v>
      </c>
      <c r="D3240" s="121">
        <v>0</v>
      </c>
      <c r="E3240" s="122"/>
      <c r="F3240" s="123" t="s">
        <v>4414</v>
      </c>
    </row>
    <row r="3241" ht="17" customHeight="1" spans="1:6">
      <c r="A3241" s="56">
        <v>3283</v>
      </c>
      <c r="B3241" s="120" t="s">
        <v>4415</v>
      </c>
      <c r="C3241" s="2">
        <v>7</v>
      </c>
      <c r="D3241" s="121">
        <v>0</v>
      </c>
      <c r="E3241" s="122"/>
      <c r="F3241" s="123" t="s">
        <v>4416</v>
      </c>
    </row>
    <row r="3242" ht="17" customHeight="1" spans="1:6">
      <c r="A3242" s="56">
        <v>3284</v>
      </c>
      <c r="B3242" s="120" t="s">
        <v>4417</v>
      </c>
      <c r="C3242" s="2">
        <v>7</v>
      </c>
      <c r="D3242" s="121">
        <v>0</v>
      </c>
      <c r="E3242" s="122"/>
      <c r="F3242" s="123" t="s">
        <v>4418</v>
      </c>
    </row>
    <row r="3243" ht="17" customHeight="1" spans="1:6">
      <c r="A3243" s="56">
        <v>3285</v>
      </c>
      <c r="B3243" s="120" t="s">
        <v>4419</v>
      </c>
      <c r="C3243" s="2">
        <v>3</v>
      </c>
      <c r="D3243" s="121">
        <v>0</v>
      </c>
      <c r="E3243" s="122"/>
      <c r="F3243" s="123" t="s">
        <v>4420</v>
      </c>
    </row>
    <row r="3244" ht="17" customHeight="1" spans="1:6">
      <c r="A3244" s="56">
        <v>3286</v>
      </c>
      <c r="B3244" s="120" t="s">
        <v>4421</v>
      </c>
      <c r="C3244" s="2">
        <v>2.36666666666667</v>
      </c>
      <c r="D3244" s="121">
        <v>0</v>
      </c>
      <c r="E3244" s="122"/>
      <c r="F3244" s="123" t="s">
        <v>4422</v>
      </c>
    </row>
    <row r="3245" ht="17" customHeight="1" spans="1:6">
      <c r="A3245" s="56">
        <v>3287</v>
      </c>
      <c r="B3245" s="120" t="s">
        <v>4423</v>
      </c>
      <c r="C3245" s="2">
        <v>1</v>
      </c>
      <c r="D3245" s="121">
        <v>0</v>
      </c>
      <c r="E3245" s="122"/>
      <c r="F3245" s="123" t="s">
        <v>4424</v>
      </c>
    </row>
    <row r="3246" ht="17" customHeight="1" spans="1:6">
      <c r="A3246" s="56">
        <v>3288</v>
      </c>
      <c r="B3246" s="120" t="s">
        <v>4425</v>
      </c>
      <c r="C3246" s="2">
        <v>2.83333333333333</v>
      </c>
      <c r="D3246" s="121">
        <v>0</v>
      </c>
      <c r="E3246" s="122"/>
      <c r="F3246" s="123" t="s">
        <v>4426</v>
      </c>
    </row>
    <row r="3247" ht="17" customHeight="1" spans="1:6">
      <c r="A3247" s="56">
        <v>3289</v>
      </c>
      <c r="B3247" s="120" t="s">
        <v>4427</v>
      </c>
      <c r="C3247" s="2">
        <v>3.23333333333333</v>
      </c>
      <c r="D3247" s="121">
        <v>0</v>
      </c>
      <c r="E3247" s="122"/>
      <c r="F3247" s="123" t="s">
        <v>4428</v>
      </c>
    </row>
    <row r="3248" ht="17" customHeight="1" spans="1:6">
      <c r="A3248" s="56">
        <v>3290</v>
      </c>
      <c r="B3248" s="120" t="s">
        <v>4429</v>
      </c>
      <c r="C3248" s="2">
        <v>3.83333333333333</v>
      </c>
      <c r="D3248" s="121">
        <v>0</v>
      </c>
      <c r="E3248" s="122"/>
      <c r="F3248" s="123" t="s">
        <v>4430</v>
      </c>
    </row>
    <row r="3249" ht="17" customHeight="1" spans="1:6">
      <c r="A3249" s="56">
        <v>3291</v>
      </c>
      <c r="B3249" s="120" t="s">
        <v>4431</v>
      </c>
      <c r="C3249" s="2">
        <v>1</v>
      </c>
      <c r="D3249" s="121">
        <v>0</v>
      </c>
      <c r="E3249" s="122"/>
      <c r="F3249" s="123" t="s">
        <v>4432</v>
      </c>
    </row>
    <row r="3250" ht="17" customHeight="1" spans="1:6">
      <c r="A3250" s="56">
        <v>3292</v>
      </c>
      <c r="B3250" s="120" t="s">
        <v>4433</v>
      </c>
      <c r="C3250" s="2">
        <v>3.66666666666667</v>
      </c>
      <c r="D3250" s="121">
        <v>0</v>
      </c>
      <c r="E3250" s="122"/>
      <c r="F3250" s="123" t="s">
        <v>4434</v>
      </c>
    </row>
    <row r="3251" ht="17" customHeight="1" spans="1:6">
      <c r="A3251" s="56">
        <v>3293</v>
      </c>
      <c r="B3251" s="120" t="s">
        <v>4435</v>
      </c>
      <c r="C3251" s="2">
        <v>1</v>
      </c>
      <c r="D3251" s="121">
        <v>0</v>
      </c>
      <c r="E3251" s="122"/>
      <c r="F3251" s="123" t="s">
        <v>4436</v>
      </c>
    </row>
    <row r="3252" ht="17" customHeight="1" spans="1:6">
      <c r="A3252" s="56">
        <v>3294</v>
      </c>
      <c r="B3252" s="120" t="s">
        <v>4437</v>
      </c>
      <c r="C3252" s="35">
        <v>9.93333333333333</v>
      </c>
      <c r="D3252" s="121">
        <v>0</v>
      </c>
      <c r="E3252" s="122"/>
      <c r="F3252" s="123" t="s">
        <v>4438</v>
      </c>
    </row>
    <row r="3253" ht="17" customHeight="1" spans="1:6">
      <c r="A3253" s="56">
        <v>3295</v>
      </c>
      <c r="B3253" s="120" t="s">
        <v>4439</v>
      </c>
      <c r="C3253" s="2">
        <v>14</v>
      </c>
      <c r="D3253" s="121">
        <v>0</v>
      </c>
      <c r="E3253" s="122"/>
      <c r="F3253" s="123" t="s">
        <v>4440</v>
      </c>
    </row>
    <row r="3254" ht="17" customHeight="1" spans="1:6">
      <c r="A3254" s="56">
        <v>3296</v>
      </c>
      <c r="B3254" s="120" t="s">
        <v>4441</v>
      </c>
      <c r="C3254" s="2">
        <v>6</v>
      </c>
      <c r="D3254" s="121">
        <v>1</v>
      </c>
      <c r="E3254" s="122"/>
      <c r="F3254" s="123" t="s">
        <v>4442</v>
      </c>
    </row>
    <row r="3255" ht="17" customHeight="1" spans="1:6">
      <c r="A3255" s="56">
        <v>3297</v>
      </c>
      <c r="B3255" s="120" t="s">
        <v>4443</v>
      </c>
      <c r="C3255" s="2">
        <v>0</v>
      </c>
      <c r="D3255" s="121">
        <v>1</v>
      </c>
      <c r="E3255" s="122"/>
      <c r="F3255" s="123" t="s">
        <v>4444</v>
      </c>
    </row>
    <row r="3256" ht="17" customHeight="1" spans="1:6">
      <c r="A3256" s="56">
        <v>3298</v>
      </c>
      <c r="B3256" s="120" t="s">
        <v>4445</v>
      </c>
      <c r="C3256" s="2">
        <v>3.23333333333333</v>
      </c>
      <c r="D3256" s="121">
        <v>0</v>
      </c>
      <c r="E3256" s="122"/>
      <c r="F3256" s="123" t="s">
        <v>4446</v>
      </c>
    </row>
    <row r="3257" ht="17" customHeight="1" spans="1:6">
      <c r="A3257" s="56">
        <v>3299</v>
      </c>
      <c r="B3257" s="120" t="s">
        <v>4447</v>
      </c>
      <c r="C3257" s="2">
        <v>10.0666666666667</v>
      </c>
      <c r="D3257" s="121">
        <v>0</v>
      </c>
      <c r="E3257" s="122"/>
      <c r="F3257" s="123" t="s">
        <v>4448</v>
      </c>
    </row>
    <row r="3258" ht="17" customHeight="1" spans="1:6">
      <c r="A3258" s="56">
        <v>3300</v>
      </c>
      <c r="B3258" s="120" t="s">
        <v>4449</v>
      </c>
      <c r="C3258" s="2">
        <v>1</v>
      </c>
      <c r="D3258" s="121">
        <v>0</v>
      </c>
      <c r="E3258" s="122"/>
      <c r="F3258" s="123" t="s">
        <v>4450</v>
      </c>
    </row>
    <row r="3259" ht="17" customHeight="1" spans="1:6">
      <c r="A3259" s="56">
        <v>3301</v>
      </c>
      <c r="B3259" s="120" t="s">
        <v>4451</v>
      </c>
      <c r="C3259" s="2">
        <v>1</v>
      </c>
      <c r="D3259" s="121">
        <v>0</v>
      </c>
      <c r="E3259" s="122"/>
      <c r="F3259" s="123" t="s">
        <v>4452</v>
      </c>
    </row>
    <row r="3260" ht="17" customHeight="1" spans="1:6">
      <c r="A3260" s="56">
        <v>3302</v>
      </c>
      <c r="B3260" s="120" t="s">
        <v>4453</v>
      </c>
      <c r="C3260" s="35">
        <v>9.93333333333333</v>
      </c>
      <c r="D3260" s="121">
        <v>0</v>
      </c>
      <c r="E3260" s="122"/>
      <c r="F3260" s="123" t="s">
        <v>4454</v>
      </c>
    </row>
    <row r="3261" ht="17" customHeight="1" spans="1:6">
      <c r="A3261" s="56">
        <v>3303</v>
      </c>
      <c r="B3261" s="120" t="s">
        <v>4455</v>
      </c>
      <c r="C3261" s="2">
        <v>14</v>
      </c>
      <c r="D3261" s="121">
        <v>0</v>
      </c>
      <c r="E3261" s="122"/>
      <c r="F3261" s="123" t="s">
        <v>4456</v>
      </c>
    </row>
    <row r="3262" ht="17" customHeight="1" spans="1:6">
      <c r="A3262" s="56">
        <v>3304</v>
      </c>
      <c r="B3262" s="120" t="s">
        <v>4457</v>
      </c>
      <c r="C3262" s="2">
        <v>0.3</v>
      </c>
      <c r="D3262" s="121">
        <v>0</v>
      </c>
      <c r="E3262" s="122"/>
      <c r="F3262" s="123" t="s">
        <v>4458</v>
      </c>
    </row>
    <row r="3263" ht="17" customHeight="1" spans="1:6">
      <c r="A3263" s="56">
        <v>3305</v>
      </c>
      <c r="B3263" s="120" t="s">
        <v>4459</v>
      </c>
      <c r="C3263" s="2">
        <v>1</v>
      </c>
      <c r="D3263" s="121">
        <v>1</v>
      </c>
      <c r="E3263" s="122"/>
      <c r="F3263" s="123" t="s">
        <v>4460</v>
      </c>
    </row>
    <row r="3264" ht="17" customHeight="1" spans="1:6">
      <c r="A3264" s="56">
        <v>3306</v>
      </c>
      <c r="B3264" s="120" t="s">
        <v>4461</v>
      </c>
      <c r="C3264" s="2">
        <v>1</v>
      </c>
      <c r="D3264" s="121">
        <v>1</v>
      </c>
      <c r="E3264" s="122"/>
      <c r="F3264" s="123" t="s">
        <v>4462</v>
      </c>
    </row>
    <row r="3265" s="17" customFormat="1" ht="17" customHeight="1" spans="1:6">
      <c r="A3265" s="124">
        <v>3307</v>
      </c>
      <c r="B3265" s="125" t="s">
        <v>4463</v>
      </c>
      <c r="C3265" s="17">
        <v>3.2</v>
      </c>
      <c r="D3265" s="126">
        <v>0</v>
      </c>
      <c r="E3265" s="127"/>
      <c r="F3265" s="128" t="s">
        <v>4464</v>
      </c>
    </row>
    <row r="3266" s="17" customFormat="1" ht="17" customHeight="1" spans="1:6">
      <c r="A3266" s="124">
        <v>3308</v>
      </c>
      <c r="B3266" s="125" t="s">
        <v>4465</v>
      </c>
      <c r="C3266" s="17">
        <v>1</v>
      </c>
      <c r="D3266" s="126">
        <v>0</v>
      </c>
      <c r="E3266" s="127"/>
      <c r="F3266" s="128" t="s">
        <v>4466</v>
      </c>
    </row>
    <row r="3267" s="17" customFormat="1" ht="17" customHeight="1" spans="1:6">
      <c r="A3267" s="124">
        <v>3309</v>
      </c>
      <c r="B3267" s="125" t="s">
        <v>4467</v>
      </c>
      <c r="C3267" s="17">
        <v>3.33333333333333</v>
      </c>
      <c r="D3267" s="126">
        <v>0</v>
      </c>
      <c r="E3267" s="127"/>
      <c r="F3267" s="128" t="s">
        <v>4468</v>
      </c>
    </row>
    <row r="3268" s="17" customFormat="1" ht="17" customHeight="1" spans="1:6">
      <c r="A3268" s="124">
        <v>3310</v>
      </c>
      <c r="B3268" s="125" t="s">
        <v>4469</v>
      </c>
      <c r="C3268" s="17">
        <v>3.33333333333333</v>
      </c>
      <c r="D3268" s="126">
        <v>0</v>
      </c>
      <c r="E3268" s="127"/>
      <c r="F3268" s="128" t="s">
        <v>4470</v>
      </c>
    </row>
    <row r="3269" s="17" customFormat="1" ht="17" customHeight="1" spans="1:6">
      <c r="A3269" s="124">
        <v>3311</v>
      </c>
      <c r="B3269" s="125" t="s">
        <v>4471</v>
      </c>
      <c r="C3269" s="17">
        <v>3.73333333333333</v>
      </c>
      <c r="D3269" s="126">
        <v>0</v>
      </c>
      <c r="E3269" s="127"/>
      <c r="F3269" s="128" t="s">
        <v>4472</v>
      </c>
    </row>
    <row r="3270" s="17" customFormat="1" ht="17" customHeight="1" spans="1:6">
      <c r="A3270" s="124">
        <v>3312</v>
      </c>
      <c r="B3270" s="125" t="s">
        <v>4473</v>
      </c>
      <c r="C3270" s="17">
        <v>1</v>
      </c>
      <c r="D3270" s="126">
        <v>0</v>
      </c>
      <c r="E3270" s="127"/>
      <c r="F3270" s="128" t="s">
        <v>4474</v>
      </c>
    </row>
    <row r="3271" s="17" customFormat="1" ht="17" customHeight="1" spans="1:6">
      <c r="A3271" s="124">
        <v>3313</v>
      </c>
      <c r="B3271" s="125" t="s">
        <v>4475</v>
      </c>
      <c r="C3271" s="17">
        <v>3.86666666666667</v>
      </c>
      <c r="D3271" s="126">
        <v>0</v>
      </c>
      <c r="E3271" s="127"/>
      <c r="F3271" s="128" t="s">
        <v>4476</v>
      </c>
    </row>
    <row r="3272" s="17" customFormat="1" ht="17" customHeight="1" spans="1:6">
      <c r="A3272" s="124">
        <v>3314</v>
      </c>
      <c r="B3272" s="125" t="s">
        <v>4477</v>
      </c>
      <c r="C3272" s="17">
        <v>3.86666666666667</v>
      </c>
      <c r="D3272" s="126">
        <v>0</v>
      </c>
      <c r="E3272" s="127"/>
      <c r="F3272" s="128" t="s">
        <v>4478</v>
      </c>
    </row>
    <row r="3273" s="17" customFormat="1" ht="17" customHeight="1" spans="1:6">
      <c r="A3273" s="124">
        <v>3315</v>
      </c>
      <c r="B3273" s="125" t="s">
        <v>4479</v>
      </c>
      <c r="C3273" s="17">
        <v>4.4</v>
      </c>
      <c r="D3273" s="126">
        <v>0</v>
      </c>
      <c r="E3273" s="127"/>
      <c r="F3273" s="128" t="s">
        <v>4480</v>
      </c>
    </row>
    <row r="3274" s="17" customFormat="1" ht="17" customHeight="1" spans="1:6">
      <c r="A3274" s="124">
        <v>3316</v>
      </c>
      <c r="B3274" s="125" t="s">
        <v>4481</v>
      </c>
      <c r="C3274" s="17">
        <v>4.4</v>
      </c>
      <c r="D3274" s="126">
        <v>0</v>
      </c>
      <c r="E3274" s="127"/>
      <c r="F3274" s="128" t="s">
        <v>4482</v>
      </c>
    </row>
    <row r="3275" s="17" customFormat="1" ht="17" customHeight="1" spans="1:6">
      <c r="A3275" s="124">
        <v>3317</v>
      </c>
      <c r="B3275" s="125" t="s">
        <v>4483</v>
      </c>
      <c r="C3275" s="17">
        <v>9.5</v>
      </c>
      <c r="D3275" s="126">
        <v>0</v>
      </c>
      <c r="E3275" s="127"/>
      <c r="F3275" s="128" t="s">
        <v>4484</v>
      </c>
    </row>
    <row r="3276" s="17" customFormat="1" ht="17" customHeight="1" spans="1:6">
      <c r="A3276" s="124">
        <v>3318</v>
      </c>
      <c r="B3276" s="125" t="s">
        <v>4485</v>
      </c>
      <c r="C3276" s="17">
        <v>9.5</v>
      </c>
      <c r="D3276" s="126">
        <v>0</v>
      </c>
      <c r="E3276" s="127"/>
      <c r="F3276" s="128" t="s">
        <v>4486</v>
      </c>
    </row>
    <row r="3277" s="17" customFormat="1" ht="17" customHeight="1" spans="1:6">
      <c r="A3277" s="124">
        <v>3319</v>
      </c>
      <c r="B3277" s="125" t="s">
        <v>4487</v>
      </c>
      <c r="C3277" s="17">
        <v>12</v>
      </c>
      <c r="D3277" s="126">
        <v>0</v>
      </c>
      <c r="E3277" s="127"/>
      <c r="F3277" s="128" t="s">
        <v>4488</v>
      </c>
    </row>
    <row r="3278" s="17" customFormat="1" ht="17" customHeight="1" spans="1:6">
      <c r="A3278" s="124">
        <v>3320</v>
      </c>
      <c r="B3278" s="125" t="s">
        <v>4489</v>
      </c>
      <c r="C3278" s="17">
        <v>4</v>
      </c>
      <c r="D3278" s="126">
        <v>1</v>
      </c>
      <c r="E3278" s="127"/>
      <c r="F3278" s="128" t="s">
        <v>4490</v>
      </c>
    </row>
    <row r="3279" s="17" customFormat="1" ht="17" customHeight="1" spans="1:6">
      <c r="A3279" s="124">
        <v>3321</v>
      </c>
      <c r="B3279" s="125" t="s">
        <v>4491</v>
      </c>
      <c r="C3279" s="17">
        <v>0</v>
      </c>
      <c r="D3279" s="126">
        <v>1</v>
      </c>
      <c r="E3279" s="127"/>
      <c r="F3279" s="128" t="s">
        <v>4492</v>
      </c>
    </row>
    <row r="3280" s="17" customFormat="1" ht="17" customHeight="1" spans="1:6">
      <c r="A3280" s="124">
        <v>3322</v>
      </c>
      <c r="B3280" s="125" t="s">
        <v>4493</v>
      </c>
      <c r="C3280" s="17">
        <v>12</v>
      </c>
      <c r="D3280" s="126">
        <v>0</v>
      </c>
      <c r="E3280" s="127"/>
      <c r="F3280" s="128" t="s">
        <v>4494</v>
      </c>
    </row>
    <row r="3281" s="17" customFormat="1" ht="17" customHeight="1" spans="1:6">
      <c r="A3281" s="124">
        <v>3323</v>
      </c>
      <c r="B3281" s="125" t="s">
        <v>4495</v>
      </c>
      <c r="C3281" s="17">
        <v>12.9</v>
      </c>
      <c r="D3281" s="126">
        <v>0</v>
      </c>
      <c r="E3281" s="127"/>
      <c r="F3281" s="128" t="s">
        <v>4496</v>
      </c>
    </row>
    <row r="3282" s="17" customFormat="1" ht="17" customHeight="1" spans="1:6">
      <c r="A3282" s="124">
        <v>3324</v>
      </c>
      <c r="B3282" s="125" t="s">
        <v>4497</v>
      </c>
      <c r="C3282" s="17">
        <v>12.9</v>
      </c>
      <c r="D3282" s="126">
        <v>0</v>
      </c>
      <c r="E3282" s="127"/>
      <c r="F3282" s="128" t="s">
        <v>4498</v>
      </c>
    </row>
    <row r="3283" s="17" customFormat="1" ht="17" customHeight="1" spans="1:6">
      <c r="A3283" s="124">
        <v>3325</v>
      </c>
      <c r="B3283" s="125" t="s">
        <v>4499</v>
      </c>
      <c r="C3283" s="17">
        <v>4</v>
      </c>
      <c r="D3283" s="126">
        <v>1</v>
      </c>
      <c r="E3283" s="127"/>
      <c r="F3283" s="128" t="s">
        <v>4500</v>
      </c>
    </row>
    <row r="3284" s="17" customFormat="1" ht="17" customHeight="1" spans="1:6">
      <c r="A3284" s="124">
        <v>3326</v>
      </c>
      <c r="B3284" s="125" t="s">
        <v>4501</v>
      </c>
      <c r="C3284" s="17">
        <v>2</v>
      </c>
      <c r="D3284" s="126">
        <v>1</v>
      </c>
      <c r="E3284" s="127"/>
      <c r="F3284" s="128" t="s">
        <v>4502</v>
      </c>
    </row>
    <row r="3285" s="17" customFormat="1" ht="17" customHeight="1" spans="1:6">
      <c r="A3285" s="124">
        <v>3327</v>
      </c>
      <c r="B3285" s="125" t="s">
        <v>4503</v>
      </c>
      <c r="C3285" s="17">
        <v>2</v>
      </c>
      <c r="D3285" s="126">
        <v>0</v>
      </c>
      <c r="E3285" s="127"/>
      <c r="F3285" s="128" t="s">
        <v>4504</v>
      </c>
    </row>
    <row r="3286" s="17" customFormat="1" ht="17" customHeight="1" spans="1:6">
      <c r="A3286" s="124">
        <v>3328</v>
      </c>
      <c r="B3286" s="125" t="s">
        <v>4505</v>
      </c>
      <c r="C3286" s="17">
        <v>2</v>
      </c>
      <c r="D3286" s="126">
        <v>0</v>
      </c>
      <c r="E3286" s="127"/>
      <c r="F3286" s="128" t="s">
        <v>4506</v>
      </c>
    </row>
    <row r="3287" s="17" customFormat="1" ht="17" customHeight="1" spans="1:6">
      <c r="A3287" s="124">
        <v>3329</v>
      </c>
      <c r="B3287" s="125" t="s">
        <v>4507</v>
      </c>
      <c r="C3287" s="17">
        <v>3.36666666666667</v>
      </c>
      <c r="D3287" s="126">
        <v>1</v>
      </c>
      <c r="E3287" s="127"/>
      <c r="F3287" s="128" t="s">
        <v>4508</v>
      </c>
    </row>
    <row r="3288" s="17" customFormat="1" ht="17" customHeight="1" spans="1:6">
      <c r="A3288" s="124">
        <v>3330</v>
      </c>
      <c r="B3288" s="125" t="s">
        <v>4509</v>
      </c>
      <c r="C3288" s="17">
        <v>0</v>
      </c>
      <c r="D3288" s="126">
        <v>1</v>
      </c>
      <c r="E3288" s="127"/>
      <c r="F3288" s="128" t="s">
        <v>4510</v>
      </c>
    </row>
    <row r="3289" s="17" customFormat="1" ht="17" customHeight="1" spans="1:6">
      <c r="A3289" s="124">
        <v>3331</v>
      </c>
      <c r="B3289" s="125" t="s">
        <v>4511</v>
      </c>
      <c r="C3289" s="17">
        <v>0</v>
      </c>
      <c r="D3289" s="126">
        <v>1</v>
      </c>
      <c r="E3289" s="127"/>
      <c r="F3289" s="128" t="s">
        <v>4512</v>
      </c>
    </row>
    <row r="3290" s="17" customFormat="1" ht="17" customHeight="1" spans="1:6">
      <c r="A3290" s="124">
        <v>3332</v>
      </c>
      <c r="B3290" s="125" t="s">
        <v>4513</v>
      </c>
      <c r="C3290" s="17">
        <v>0</v>
      </c>
      <c r="D3290" s="126">
        <v>1</v>
      </c>
      <c r="E3290" s="127"/>
      <c r="F3290" s="128" t="s">
        <v>4514</v>
      </c>
    </row>
    <row r="3291" s="18" customFormat="1" ht="17" customHeight="1" spans="1:8">
      <c r="A3291" s="129">
        <v>3333</v>
      </c>
      <c r="B3291" s="129" t="s">
        <v>4515</v>
      </c>
      <c r="C3291" s="129">
        <v>1.66666666666667</v>
      </c>
      <c r="D3291" s="129">
        <v>0</v>
      </c>
      <c r="E3291" s="129"/>
      <c r="F3291" s="129" t="s">
        <v>4516</v>
      </c>
      <c r="G3291" s="48"/>
      <c r="H3291" s="48"/>
    </row>
    <row r="3292" s="18" customFormat="1" ht="17" customHeight="1" spans="1:8">
      <c r="A3292" s="129">
        <v>3334</v>
      </c>
      <c r="B3292" s="129" t="s">
        <v>4517</v>
      </c>
      <c r="C3292" s="129">
        <v>1.66666666666667</v>
      </c>
      <c r="D3292" s="129">
        <v>0</v>
      </c>
      <c r="E3292" s="129"/>
      <c r="F3292" s="129" t="s">
        <v>4518</v>
      </c>
      <c r="G3292" s="48"/>
      <c r="H3292" s="48"/>
    </row>
    <row r="3293" s="18" customFormat="1" ht="17" customHeight="1" spans="1:8">
      <c r="A3293" s="129">
        <v>3335</v>
      </c>
      <c r="B3293" s="129" t="s">
        <v>4519</v>
      </c>
      <c r="C3293" s="129">
        <v>2.13333333333333</v>
      </c>
      <c r="D3293" s="129">
        <v>0</v>
      </c>
      <c r="E3293" s="129"/>
      <c r="F3293" s="129" t="s">
        <v>4520</v>
      </c>
      <c r="G3293" s="48"/>
      <c r="H3293" s="48"/>
    </row>
    <row r="3294" s="18" customFormat="1" ht="17" customHeight="1" spans="1:8">
      <c r="A3294" s="129">
        <v>3336</v>
      </c>
      <c r="B3294" s="129" t="s">
        <v>4521</v>
      </c>
      <c r="C3294" s="129">
        <v>2.13333333333333</v>
      </c>
      <c r="D3294" s="129">
        <v>0</v>
      </c>
      <c r="E3294" s="129"/>
      <c r="F3294" s="129" t="s">
        <v>4522</v>
      </c>
      <c r="G3294" s="48"/>
      <c r="H3294" s="48"/>
    </row>
    <row r="3295" s="18" customFormat="1" ht="17" customHeight="1" spans="1:8">
      <c r="A3295" s="129">
        <v>3337</v>
      </c>
      <c r="B3295" s="129" t="s">
        <v>4523</v>
      </c>
      <c r="C3295" s="129">
        <v>4.9</v>
      </c>
      <c r="D3295" s="129">
        <v>0</v>
      </c>
      <c r="E3295" s="129"/>
      <c r="F3295" s="129" t="s">
        <v>4524</v>
      </c>
      <c r="G3295" s="48"/>
      <c r="H3295" s="48"/>
    </row>
    <row r="3296" s="18" customFormat="1" ht="17" customHeight="1" spans="1:8">
      <c r="A3296" s="129">
        <v>3338</v>
      </c>
      <c r="B3296" s="129" t="s">
        <v>4525</v>
      </c>
      <c r="C3296" s="129">
        <v>4.9</v>
      </c>
      <c r="D3296" s="129">
        <v>0</v>
      </c>
      <c r="E3296" s="129"/>
      <c r="F3296" s="129" t="s">
        <v>4526</v>
      </c>
      <c r="G3296" s="48"/>
      <c r="H3296" s="48"/>
    </row>
    <row r="3297" s="19" customFormat="1" ht="17" customHeight="1" spans="1:8">
      <c r="A3297" s="129">
        <v>3339</v>
      </c>
      <c r="B3297" s="129" t="s">
        <v>4527</v>
      </c>
      <c r="C3297" s="129">
        <v>2.96666666666667</v>
      </c>
      <c r="D3297" s="129">
        <v>0</v>
      </c>
      <c r="E3297" s="129"/>
      <c r="F3297" s="129" t="s">
        <v>4528</v>
      </c>
      <c r="G3297" s="11"/>
      <c r="H3297" s="11"/>
    </row>
    <row r="3298" s="19" customFormat="1" ht="17" customHeight="1" spans="1:8">
      <c r="A3298" s="129">
        <v>3340</v>
      </c>
      <c r="B3298" s="129" t="s">
        <v>4529</v>
      </c>
      <c r="C3298" s="129">
        <v>2.96666666666667</v>
      </c>
      <c r="D3298" s="129">
        <v>0</v>
      </c>
      <c r="E3298" s="129"/>
      <c r="F3298" s="129" t="s">
        <v>4530</v>
      </c>
      <c r="G3298" s="11"/>
      <c r="H3298" s="11"/>
    </row>
    <row r="3299" s="18" customFormat="1" ht="17" customHeight="1" spans="1:8">
      <c r="A3299" s="129">
        <v>3341</v>
      </c>
      <c r="B3299" s="129" t="s">
        <v>4531</v>
      </c>
      <c r="C3299" s="129">
        <v>5.3</v>
      </c>
      <c r="D3299" s="129">
        <v>0</v>
      </c>
      <c r="E3299" s="129"/>
      <c r="F3299" s="129" t="s">
        <v>4532</v>
      </c>
      <c r="G3299" s="48"/>
      <c r="H3299" s="48"/>
    </row>
    <row r="3300" s="18" customFormat="1" ht="17" customHeight="1" spans="1:8">
      <c r="A3300" s="129">
        <v>3342</v>
      </c>
      <c r="B3300" s="129" t="s">
        <v>4533</v>
      </c>
      <c r="C3300" s="129">
        <v>17.6166666666667</v>
      </c>
      <c r="D3300" s="129">
        <v>0</v>
      </c>
      <c r="E3300" s="129"/>
      <c r="F3300" s="129" t="s">
        <v>4534</v>
      </c>
      <c r="G3300" s="48"/>
      <c r="H3300" s="48"/>
    </row>
    <row r="3301" s="18" customFormat="1" ht="17" customHeight="1" spans="1:8">
      <c r="A3301" s="129">
        <v>3343</v>
      </c>
      <c r="B3301" s="129" t="s">
        <v>4535</v>
      </c>
      <c r="C3301" s="129">
        <v>1</v>
      </c>
      <c r="D3301" s="129">
        <v>0</v>
      </c>
      <c r="E3301" s="129"/>
      <c r="F3301" s="129" t="s">
        <v>4536</v>
      </c>
      <c r="G3301" s="48"/>
      <c r="H3301" s="48"/>
    </row>
    <row r="3302" s="19" customFormat="1" ht="17" customHeight="1" spans="1:8">
      <c r="A3302" s="129">
        <v>3344</v>
      </c>
      <c r="B3302" s="129" t="s">
        <v>4537</v>
      </c>
      <c r="C3302" s="129">
        <v>8.8</v>
      </c>
      <c r="D3302" s="129">
        <v>0</v>
      </c>
      <c r="E3302" s="129"/>
      <c r="F3302" s="129" t="s">
        <v>4538</v>
      </c>
      <c r="G3302" s="11"/>
      <c r="H3302" s="11"/>
    </row>
    <row r="3303" s="19" customFormat="1" ht="17" customHeight="1" spans="1:8">
      <c r="A3303" s="129">
        <v>3345</v>
      </c>
      <c r="B3303" s="129" t="s">
        <v>4539</v>
      </c>
      <c r="C3303" s="129">
        <v>1</v>
      </c>
      <c r="D3303" s="129">
        <v>0</v>
      </c>
      <c r="E3303" s="129"/>
      <c r="F3303" s="129" t="s">
        <v>4540</v>
      </c>
      <c r="G3303" s="11"/>
      <c r="H3303" s="11"/>
    </row>
    <row r="3304" s="18" customFormat="1" ht="17" customHeight="1" spans="1:8">
      <c r="A3304" s="129">
        <v>3346</v>
      </c>
      <c r="B3304" s="129" t="s">
        <v>4541</v>
      </c>
      <c r="C3304" s="129">
        <v>16.2</v>
      </c>
      <c r="D3304" s="129">
        <v>0</v>
      </c>
      <c r="E3304" s="129"/>
      <c r="F3304" s="129" t="s">
        <v>4542</v>
      </c>
      <c r="G3304" s="48"/>
      <c r="H3304" s="48"/>
    </row>
    <row r="3305" s="18" customFormat="1" ht="17" customHeight="1" spans="1:8">
      <c r="A3305" s="129">
        <v>3347</v>
      </c>
      <c r="B3305" s="129" t="s">
        <v>4543</v>
      </c>
      <c r="C3305" s="129">
        <v>1</v>
      </c>
      <c r="D3305" s="129">
        <v>0</v>
      </c>
      <c r="E3305" s="129"/>
      <c r="F3305" s="129" t="s">
        <v>4544</v>
      </c>
      <c r="G3305" s="48"/>
      <c r="H3305" s="48"/>
    </row>
    <row r="3306" s="18" customFormat="1" ht="17" customHeight="1" spans="1:8">
      <c r="A3306" s="129">
        <v>3348</v>
      </c>
      <c r="B3306" s="129" t="s">
        <v>4545</v>
      </c>
      <c r="C3306" s="129">
        <v>0</v>
      </c>
      <c r="D3306" s="129">
        <v>1</v>
      </c>
      <c r="E3306" s="129"/>
      <c r="F3306" s="18" t="s">
        <v>4546</v>
      </c>
      <c r="G3306" s="48"/>
      <c r="H3306" s="48"/>
    </row>
    <row r="3307" s="18" customFormat="1" ht="17" customHeight="1" spans="1:8">
      <c r="A3307" s="129">
        <v>3349</v>
      </c>
      <c r="B3307" s="129" t="s">
        <v>4547</v>
      </c>
      <c r="C3307" s="129">
        <v>0</v>
      </c>
      <c r="D3307" s="129">
        <v>1</v>
      </c>
      <c r="E3307" s="129"/>
      <c r="F3307" s="18" t="s">
        <v>4548</v>
      </c>
      <c r="G3307" s="48"/>
      <c r="H3307" s="48"/>
    </row>
    <row r="3308" s="18" customFormat="1" ht="17" customHeight="1" spans="1:8">
      <c r="A3308" s="129">
        <v>3350</v>
      </c>
      <c r="B3308" s="129" t="s">
        <v>4549</v>
      </c>
      <c r="C3308" s="129">
        <v>16.2</v>
      </c>
      <c r="D3308" s="129">
        <v>0</v>
      </c>
      <c r="E3308" s="129"/>
      <c r="F3308" s="129" t="s">
        <v>4550</v>
      </c>
      <c r="G3308" s="48"/>
      <c r="H3308" s="48"/>
    </row>
    <row r="3309" s="18" customFormat="1" ht="17" customHeight="1" spans="1:8">
      <c r="A3309" s="129">
        <v>3351</v>
      </c>
      <c r="B3309" s="129" t="s">
        <v>4551</v>
      </c>
      <c r="C3309" s="129">
        <v>1</v>
      </c>
      <c r="D3309" s="129">
        <v>0</v>
      </c>
      <c r="E3309" s="129"/>
      <c r="F3309" s="129" t="s">
        <v>4552</v>
      </c>
      <c r="G3309" s="48"/>
      <c r="H3309" s="48"/>
    </row>
    <row r="3310" s="18" customFormat="1" ht="17" customHeight="1" spans="1:8">
      <c r="A3310" s="129">
        <v>3352</v>
      </c>
      <c r="B3310" s="129" t="s">
        <v>4553</v>
      </c>
      <c r="C3310" s="18">
        <v>0</v>
      </c>
      <c r="D3310" s="121">
        <v>1</v>
      </c>
      <c r="E3310" s="129"/>
      <c r="F3310" s="129" t="s">
        <v>4554</v>
      </c>
      <c r="G3310" s="48"/>
      <c r="H3310" s="48"/>
    </row>
    <row r="3311" s="18" customFormat="1" ht="17" customHeight="1" spans="1:8">
      <c r="A3311" s="129">
        <v>3353</v>
      </c>
      <c r="B3311" s="129" t="s">
        <v>4555</v>
      </c>
      <c r="C3311" s="18">
        <v>0</v>
      </c>
      <c r="D3311" s="121">
        <v>1</v>
      </c>
      <c r="E3311" s="129"/>
      <c r="F3311" s="129" t="s">
        <v>4556</v>
      </c>
      <c r="G3311" s="48"/>
      <c r="H3311" s="48"/>
    </row>
    <row r="3312" s="18" customFormat="1" ht="17" customHeight="1" spans="1:8">
      <c r="A3312" s="18">
        <v>3354</v>
      </c>
      <c r="B3312" s="18" t="s">
        <v>4557</v>
      </c>
      <c r="C3312" s="18">
        <v>3.5</v>
      </c>
      <c r="D3312" s="121">
        <v>0</v>
      </c>
      <c r="F3312" s="18" t="s">
        <v>4558</v>
      </c>
      <c r="G3312" s="48"/>
      <c r="H3312" s="48"/>
    </row>
    <row r="3313" s="18" customFormat="1" ht="17" customHeight="1" spans="1:8">
      <c r="A3313" s="18">
        <v>3355</v>
      </c>
      <c r="B3313" s="18" t="s">
        <v>4559</v>
      </c>
      <c r="C3313" s="18">
        <v>3.5</v>
      </c>
      <c r="D3313" s="18">
        <v>0</v>
      </c>
      <c r="E3313" s="121"/>
      <c r="F3313" s="18" t="s">
        <v>4560</v>
      </c>
      <c r="H3313" s="48"/>
    </row>
    <row r="3314" s="18" customFormat="1" ht="17" customHeight="1" spans="1:8">
      <c r="A3314" s="18">
        <v>3356</v>
      </c>
      <c r="B3314" s="18" t="s">
        <v>4561</v>
      </c>
      <c r="C3314" s="18">
        <v>1</v>
      </c>
      <c r="D3314" s="18">
        <v>0</v>
      </c>
      <c r="E3314" s="121"/>
      <c r="F3314" s="18" t="s">
        <v>4562</v>
      </c>
      <c r="H3314" s="48"/>
    </row>
    <row r="3315" s="18" customFormat="1" spans="1:8">
      <c r="A3315" s="18">
        <v>3357</v>
      </c>
      <c r="B3315" s="18" t="s">
        <v>4563</v>
      </c>
      <c r="C3315" s="18">
        <v>2.36666666666667</v>
      </c>
      <c r="D3315" s="121">
        <v>0</v>
      </c>
      <c r="E3315" s="121"/>
      <c r="F3315" s="18" t="s">
        <v>4564</v>
      </c>
      <c r="H3315" s="48"/>
    </row>
    <row r="3316" s="18" customFormat="1" spans="1:8">
      <c r="A3316" s="18">
        <v>3358</v>
      </c>
      <c r="B3316" s="18" t="s">
        <v>4565</v>
      </c>
      <c r="C3316" s="18">
        <v>2.36666666666667</v>
      </c>
      <c r="D3316" s="121">
        <v>0</v>
      </c>
      <c r="E3316" s="121"/>
      <c r="F3316" s="18" t="s">
        <v>4566</v>
      </c>
      <c r="G3316" s="48"/>
      <c r="H3316" s="48"/>
    </row>
    <row r="3317" s="18" customFormat="1" spans="1:8">
      <c r="A3317" s="18">
        <v>3359</v>
      </c>
      <c r="B3317" s="18" t="s">
        <v>4567</v>
      </c>
      <c r="C3317" s="18">
        <v>1</v>
      </c>
      <c r="D3317" s="121">
        <v>0</v>
      </c>
      <c r="E3317" s="121"/>
      <c r="F3317" s="18" t="s">
        <v>4568</v>
      </c>
      <c r="G3317" s="48"/>
      <c r="H3317" s="48"/>
    </row>
    <row r="3318" s="18" customFormat="1" ht="17" customHeight="1" spans="1:8">
      <c r="A3318" s="18">
        <v>3360</v>
      </c>
      <c r="B3318" s="18" t="s">
        <v>4569</v>
      </c>
      <c r="C3318" s="18">
        <v>2.6</v>
      </c>
      <c r="D3318" s="121">
        <v>0</v>
      </c>
      <c r="E3318" s="121"/>
      <c r="F3318" s="18" t="s">
        <v>4570</v>
      </c>
      <c r="G3318" s="48"/>
      <c r="H3318" s="48"/>
    </row>
    <row r="3319" s="18" customFormat="1" ht="13" customHeight="1" spans="1:8">
      <c r="A3319" s="18">
        <v>3361</v>
      </c>
      <c r="B3319" s="18" t="s">
        <v>4571</v>
      </c>
      <c r="C3319" s="18">
        <v>1</v>
      </c>
      <c r="D3319" s="121">
        <v>0</v>
      </c>
      <c r="E3319" s="129"/>
      <c r="F3319" s="18" t="s">
        <v>4572</v>
      </c>
      <c r="G3319" s="48"/>
      <c r="H3319" s="48"/>
    </row>
    <row r="3320" s="18" customFormat="1" ht="17" customHeight="1" spans="1:8">
      <c r="A3320" s="18">
        <v>3362</v>
      </c>
      <c r="B3320" s="18" t="s">
        <v>4573</v>
      </c>
      <c r="C3320" s="18">
        <v>1</v>
      </c>
      <c r="D3320" s="121">
        <v>0</v>
      </c>
      <c r="E3320" s="129"/>
      <c r="F3320" s="18" t="s">
        <v>4574</v>
      </c>
      <c r="G3320" s="48"/>
      <c r="H3320" s="48"/>
    </row>
    <row r="3321" s="18" customFormat="1" ht="17" customHeight="1" spans="1:8">
      <c r="A3321" s="18">
        <v>3363</v>
      </c>
      <c r="B3321" s="18" t="s">
        <v>4575</v>
      </c>
      <c r="C3321" s="18">
        <v>2.8</v>
      </c>
      <c r="D3321" s="121">
        <v>0</v>
      </c>
      <c r="E3321" s="129"/>
      <c r="F3321" s="18" t="s">
        <v>4576</v>
      </c>
      <c r="G3321" s="48"/>
      <c r="H3321" s="48"/>
    </row>
    <row r="3322" s="18" customFormat="1" ht="17" customHeight="1" spans="1:8">
      <c r="A3322" s="18">
        <v>3364</v>
      </c>
      <c r="B3322" s="18" t="s">
        <v>4577</v>
      </c>
      <c r="C3322" s="18">
        <v>2.8</v>
      </c>
      <c r="D3322" s="121">
        <v>0</v>
      </c>
      <c r="E3322" s="121"/>
      <c r="F3322" s="18" t="s">
        <v>4578</v>
      </c>
      <c r="G3322" s="48"/>
      <c r="H3322" s="48"/>
    </row>
    <row r="3323" s="18" customFormat="1" ht="17" customHeight="1" spans="1:8">
      <c r="A3323" s="18">
        <v>3365</v>
      </c>
      <c r="B3323" s="18" t="s">
        <v>4579</v>
      </c>
      <c r="C3323" s="18">
        <v>1</v>
      </c>
      <c r="D3323" s="121">
        <v>0</v>
      </c>
      <c r="E3323" s="129"/>
      <c r="F3323" s="18" t="s">
        <v>4580</v>
      </c>
      <c r="G3323" s="48"/>
      <c r="H3323" s="48"/>
    </row>
    <row r="3324" s="18" customFormat="1" ht="17" customHeight="1" spans="1:8">
      <c r="A3324" s="18">
        <v>3366</v>
      </c>
      <c r="B3324" s="18" t="s">
        <v>4581</v>
      </c>
      <c r="C3324" s="18">
        <v>1</v>
      </c>
      <c r="D3324" s="121">
        <v>0</v>
      </c>
      <c r="E3324" s="129"/>
      <c r="F3324" s="18" t="s">
        <v>4582</v>
      </c>
      <c r="G3324" s="48"/>
      <c r="H3324" s="48"/>
    </row>
    <row r="3325" s="18" customFormat="1" ht="17" customHeight="1" spans="1:8">
      <c r="A3325" s="18">
        <v>3367</v>
      </c>
      <c r="B3325" s="18" t="s">
        <v>4583</v>
      </c>
      <c r="C3325" s="18">
        <v>2.36666666666667</v>
      </c>
      <c r="D3325" s="121">
        <v>0</v>
      </c>
      <c r="E3325" s="129"/>
      <c r="F3325" s="18" t="s">
        <v>4584</v>
      </c>
      <c r="G3325" s="48"/>
      <c r="H3325" s="129"/>
    </row>
    <row r="3326" s="18" customFormat="1" ht="17" customHeight="1" spans="1:8">
      <c r="A3326" s="18">
        <v>3368</v>
      </c>
      <c r="B3326" s="18" t="s">
        <v>4585</v>
      </c>
      <c r="C3326" s="18">
        <v>1</v>
      </c>
      <c r="D3326" s="121">
        <v>0</v>
      </c>
      <c r="E3326" s="129"/>
      <c r="F3326" s="18" t="s">
        <v>4586</v>
      </c>
      <c r="G3326" s="48"/>
      <c r="H3326" s="129"/>
    </row>
    <row r="3327" s="18" customFormat="1" ht="17" customHeight="1" spans="1:8">
      <c r="A3327" s="18">
        <v>3369</v>
      </c>
      <c r="B3327" s="18" t="s">
        <v>4587</v>
      </c>
      <c r="C3327" s="18">
        <v>1</v>
      </c>
      <c r="D3327" s="121">
        <v>0</v>
      </c>
      <c r="E3327" s="129"/>
      <c r="F3327" s="18" t="s">
        <v>4588</v>
      </c>
      <c r="G3327" s="48"/>
      <c r="H3327" s="129"/>
    </row>
    <row r="3328" s="18" customFormat="1" ht="17" customHeight="1" spans="1:8">
      <c r="A3328" s="18">
        <v>3370</v>
      </c>
      <c r="B3328" s="18" t="s">
        <v>4589</v>
      </c>
      <c r="C3328" s="18">
        <v>11</v>
      </c>
      <c r="D3328" s="121">
        <v>0</v>
      </c>
      <c r="E3328" s="129"/>
      <c r="F3328" s="18" t="s">
        <v>4590</v>
      </c>
      <c r="G3328" s="48"/>
      <c r="H3328" s="48"/>
    </row>
    <row r="3329" s="18" customFormat="1" ht="17" customHeight="1" spans="1:8">
      <c r="A3329" s="18">
        <v>3371</v>
      </c>
      <c r="B3329" s="18" t="s">
        <v>4591</v>
      </c>
      <c r="C3329" s="18">
        <v>11</v>
      </c>
      <c r="D3329" s="121">
        <v>0</v>
      </c>
      <c r="E3329" s="129"/>
      <c r="F3329" s="18" t="s">
        <v>4592</v>
      </c>
      <c r="G3329" s="48"/>
      <c r="H3329" s="48"/>
    </row>
    <row r="3330" s="18" customFormat="1" ht="17" customHeight="1" spans="1:8">
      <c r="A3330" s="18">
        <v>3372</v>
      </c>
      <c r="B3330" s="18" t="s">
        <v>4593</v>
      </c>
      <c r="C3330" s="18">
        <v>11.1666666666667</v>
      </c>
      <c r="D3330" s="121">
        <v>0</v>
      </c>
      <c r="E3330" s="129"/>
      <c r="F3330" s="18" t="s">
        <v>4594</v>
      </c>
      <c r="G3330" s="48"/>
      <c r="H3330" s="48"/>
    </row>
    <row r="3331" s="18" customFormat="1" ht="17" customHeight="1" spans="1:8">
      <c r="A3331" s="18">
        <v>3373</v>
      </c>
      <c r="B3331" s="18" t="s">
        <v>4595</v>
      </c>
      <c r="C3331" s="18">
        <v>11.1666666666667</v>
      </c>
      <c r="D3331" s="121">
        <v>0</v>
      </c>
      <c r="E3331" s="129"/>
      <c r="F3331" s="18" t="s">
        <v>4596</v>
      </c>
      <c r="G3331" s="48"/>
      <c r="H3331" s="48"/>
    </row>
    <row r="3332" s="18" customFormat="1" ht="17" customHeight="1" spans="1:8">
      <c r="A3332" s="18">
        <v>3374</v>
      </c>
      <c r="B3332" s="18" t="s">
        <v>4597</v>
      </c>
      <c r="C3332" s="18">
        <v>0</v>
      </c>
      <c r="D3332" s="121">
        <v>1</v>
      </c>
      <c r="E3332" s="129"/>
      <c r="F3332" s="18" t="s">
        <v>4598</v>
      </c>
      <c r="G3332" s="48"/>
      <c r="H3332" s="48"/>
    </row>
    <row r="3333" s="18" customFormat="1" ht="17" customHeight="1" spans="1:8">
      <c r="A3333" s="18">
        <v>3375</v>
      </c>
      <c r="B3333" s="18" t="s">
        <v>4599</v>
      </c>
      <c r="C3333" s="18">
        <v>0</v>
      </c>
      <c r="D3333" s="121">
        <v>1</v>
      </c>
      <c r="E3333" s="129"/>
      <c r="F3333" s="18" t="s">
        <v>4600</v>
      </c>
      <c r="G3333" s="48"/>
      <c r="H3333" s="48"/>
    </row>
    <row r="3334" s="18" customFormat="1" ht="17" customHeight="1" spans="1:8">
      <c r="A3334" s="18">
        <v>3376</v>
      </c>
      <c r="B3334" s="18" t="s">
        <v>4601</v>
      </c>
      <c r="C3334" s="18">
        <v>14.5</v>
      </c>
      <c r="D3334" s="121">
        <v>0</v>
      </c>
      <c r="E3334" s="129"/>
      <c r="F3334" s="18" t="s">
        <v>4602</v>
      </c>
      <c r="G3334" s="48"/>
      <c r="H3334" s="48"/>
    </row>
    <row r="3335" s="18" customFormat="1" ht="17" customHeight="1" spans="1:8">
      <c r="A3335" s="18">
        <v>3377</v>
      </c>
      <c r="B3335" s="18" t="s">
        <v>4603</v>
      </c>
      <c r="C3335" s="18">
        <v>2</v>
      </c>
      <c r="D3335" s="121">
        <v>0</v>
      </c>
      <c r="E3335" s="129"/>
      <c r="F3335" s="18" t="s">
        <v>4604</v>
      </c>
      <c r="G3335" s="48"/>
      <c r="H3335" s="48"/>
    </row>
    <row r="3336" s="18" customFormat="1" ht="17" customHeight="1" spans="1:8">
      <c r="A3336" s="18">
        <v>3378</v>
      </c>
      <c r="B3336" s="18" t="s">
        <v>4605</v>
      </c>
      <c r="C3336" s="18">
        <v>0</v>
      </c>
      <c r="D3336" s="121">
        <v>1</v>
      </c>
      <c r="E3336" s="129"/>
      <c r="F3336" s="18" t="s">
        <v>4606</v>
      </c>
      <c r="G3336" s="48"/>
      <c r="H3336" s="48"/>
    </row>
    <row r="3337" s="18" customFormat="1" ht="17" customHeight="1" spans="1:8">
      <c r="A3337" s="18">
        <v>3379</v>
      </c>
      <c r="B3337" s="18" t="s">
        <v>4607</v>
      </c>
      <c r="C3337" s="18">
        <v>0</v>
      </c>
      <c r="D3337" s="121">
        <v>1</v>
      </c>
      <c r="E3337" s="129"/>
      <c r="F3337" s="18" t="s">
        <v>4608</v>
      </c>
      <c r="G3337" s="48"/>
      <c r="H3337" s="48"/>
    </row>
    <row r="3338" s="18" customFormat="1" ht="17" customHeight="1" spans="1:8">
      <c r="A3338" s="18">
        <v>3380</v>
      </c>
      <c r="B3338" s="18" t="s">
        <v>4609</v>
      </c>
      <c r="C3338" s="18">
        <v>0</v>
      </c>
      <c r="D3338" s="121">
        <v>1</v>
      </c>
      <c r="E3338" s="129"/>
      <c r="F3338" s="18" t="s">
        <v>4610</v>
      </c>
      <c r="G3338" s="48"/>
      <c r="H3338" s="48"/>
    </row>
    <row r="3339" s="20" customFormat="1" ht="17" customHeight="1" spans="1:6">
      <c r="A3339" s="20">
        <v>3381</v>
      </c>
      <c r="B3339" s="130" t="s">
        <v>4611</v>
      </c>
      <c r="C3339" s="20">
        <f>69/30</f>
        <v>2.3</v>
      </c>
      <c r="D3339" s="131">
        <v>0</v>
      </c>
      <c r="E3339" s="132"/>
      <c r="F3339" s="133" t="s">
        <v>4612</v>
      </c>
    </row>
    <row r="3340" s="20" customFormat="1" ht="17" customHeight="1" spans="1:6">
      <c r="A3340" s="20">
        <v>3382</v>
      </c>
      <c r="B3340" s="130" t="s">
        <v>4613</v>
      </c>
      <c r="C3340" s="20">
        <f>69/30</f>
        <v>2.3</v>
      </c>
      <c r="D3340" s="131">
        <v>0</v>
      </c>
      <c r="E3340" s="132"/>
      <c r="F3340" s="133" t="s">
        <v>4614</v>
      </c>
    </row>
    <row r="3341" s="20" customFormat="1" ht="17" customHeight="1" spans="1:6">
      <c r="A3341" s="20">
        <v>3383</v>
      </c>
      <c r="B3341" s="130" t="s">
        <v>4615</v>
      </c>
      <c r="C3341" s="20">
        <v>1</v>
      </c>
      <c r="D3341" s="131">
        <v>0</v>
      </c>
      <c r="E3341" s="132"/>
      <c r="F3341" s="133" t="s">
        <v>4616</v>
      </c>
    </row>
    <row r="3342" s="20" customFormat="1" ht="17" customHeight="1" spans="1:6">
      <c r="A3342" s="20">
        <v>3384</v>
      </c>
      <c r="B3342" s="130" t="s">
        <v>4617</v>
      </c>
      <c r="C3342" s="20">
        <f>79/30</f>
        <v>2.63333333333333</v>
      </c>
      <c r="D3342" s="131">
        <v>0</v>
      </c>
      <c r="E3342" s="132"/>
      <c r="F3342" s="133" t="s">
        <v>4618</v>
      </c>
    </row>
    <row r="3343" s="20" customFormat="1" ht="17" customHeight="1" spans="1:6">
      <c r="A3343" s="20">
        <v>3385</v>
      </c>
      <c r="B3343" s="130" t="s">
        <v>4619</v>
      </c>
      <c r="C3343" s="20">
        <f>79/30</f>
        <v>2.63333333333333</v>
      </c>
      <c r="D3343" s="131">
        <v>0</v>
      </c>
      <c r="E3343" s="132"/>
      <c r="F3343" s="133" t="s">
        <v>4620</v>
      </c>
    </row>
    <row r="3344" s="20" customFormat="1" ht="17" customHeight="1" spans="1:6">
      <c r="A3344" s="20">
        <v>3386</v>
      </c>
      <c r="B3344" s="130" t="s">
        <v>4621</v>
      </c>
      <c r="C3344" s="20">
        <v>1</v>
      </c>
      <c r="D3344" s="131">
        <v>0</v>
      </c>
      <c r="E3344" s="132"/>
      <c r="F3344" s="133" t="s">
        <v>4622</v>
      </c>
    </row>
    <row r="3345" s="20" customFormat="1" ht="17" customHeight="1" spans="1:6">
      <c r="A3345" s="20">
        <v>3387</v>
      </c>
      <c r="B3345" s="130" t="s">
        <v>4623</v>
      </c>
      <c r="C3345" s="20">
        <v>1.86666666666667</v>
      </c>
      <c r="D3345" s="131">
        <v>0</v>
      </c>
      <c r="E3345" s="132"/>
      <c r="F3345" s="133" t="s">
        <v>4624</v>
      </c>
    </row>
    <row r="3346" s="20" customFormat="1" ht="17" customHeight="1" spans="1:6">
      <c r="A3346" s="20">
        <v>3388</v>
      </c>
      <c r="B3346" s="130" t="s">
        <v>4625</v>
      </c>
      <c r="C3346" s="20">
        <v>1.86666666666667</v>
      </c>
      <c r="D3346" s="131">
        <v>0</v>
      </c>
      <c r="E3346" s="132"/>
      <c r="F3346" s="133" t="s">
        <v>4626</v>
      </c>
    </row>
    <row r="3347" s="20" customFormat="1" ht="17" customHeight="1" spans="1:6">
      <c r="A3347" s="20">
        <v>3389</v>
      </c>
      <c r="B3347" s="130" t="s">
        <v>4627</v>
      </c>
      <c r="C3347" s="20">
        <v>1.93333333333333</v>
      </c>
      <c r="D3347" s="131">
        <v>0</v>
      </c>
      <c r="E3347" s="132"/>
      <c r="F3347" s="133" t="s">
        <v>4628</v>
      </c>
    </row>
    <row r="3348" s="20" customFormat="1" ht="17" customHeight="1" spans="1:6">
      <c r="A3348" s="20">
        <v>3390</v>
      </c>
      <c r="B3348" s="130" t="s">
        <v>4629</v>
      </c>
      <c r="C3348" s="20">
        <v>1.93333333333333</v>
      </c>
      <c r="D3348" s="131">
        <v>0</v>
      </c>
      <c r="E3348" s="132"/>
      <c r="F3348" s="133" t="s">
        <v>4630</v>
      </c>
    </row>
    <row r="3349" s="20" customFormat="1" ht="17" customHeight="1" spans="1:6">
      <c r="A3349" s="20">
        <v>3391</v>
      </c>
      <c r="B3349" s="130" t="s">
        <v>4631</v>
      </c>
      <c r="C3349" s="20">
        <v>1.93333333333333</v>
      </c>
      <c r="D3349" s="131">
        <v>0</v>
      </c>
      <c r="E3349" s="132"/>
      <c r="F3349" s="133" t="s">
        <v>4632</v>
      </c>
    </row>
    <row r="3350" s="20" customFormat="1" ht="17" customHeight="1" spans="1:6">
      <c r="A3350" s="20">
        <v>3392</v>
      </c>
      <c r="B3350" s="130" t="s">
        <v>4633</v>
      </c>
      <c r="C3350" s="20">
        <v>2.13333333333333</v>
      </c>
      <c r="D3350" s="131">
        <v>0</v>
      </c>
      <c r="E3350" s="132"/>
      <c r="F3350" s="133" t="s">
        <v>4634</v>
      </c>
    </row>
    <row r="3351" s="20" customFormat="1" ht="17" customHeight="1" spans="1:6">
      <c r="A3351" s="20">
        <v>3393</v>
      </c>
      <c r="B3351" s="130" t="s">
        <v>4635</v>
      </c>
      <c r="C3351" s="20">
        <v>2.13333333333333</v>
      </c>
      <c r="D3351" s="131">
        <v>0</v>
      </c>
      <c r="E3351" s="132"/>
      <c r="F3351" s="133" t="s">
        <v>4636</v>
      </c>
    </row>
    <row r="3352" s="20" customFormat="1" ht="17" customHeight="1" spans="1:6">
      <c r="A3352" s="20">
        <v>3394</v>
      </c>
      <c r="B3352" s="130" t="s">
        <v>4637</v>
      </c>
      <c r="C3352" s="20">
        <v>2.13333333333333</v>
      </c>
      <c r="D3352" s="131">
        <v>0</v>
      </c>
      <c r="E3352" s="132"/>
      <c r="F3352" s="133" t="s">
        <v>4638</v>
      </c>
    </row>
    <row r="3353" s="20" customFormat="1" ht="17" customHeight="1" spans="1:6">
      <c r="A3353" s="20">
        <v>3395</v>
      </c>
      <c r="B3353" s="130" t="s">
        <v>4639</v>
      </c>
      <c r="C3353" s="20">
        <v>3.26666666666667</v>
      </c>
      <c r="D3353" s="131">
        <v>0</v>
      </c>
      <c r="E3353" s="132"/>
      <c r="F3353" s="133" t="s">
        <v>4640</v>
      </c>
    </row>
    <row r="3354" s="20" customFormat="1" ht="17" customHeight="1" spans="1:6">
      <c r="A3354" s="20">
        <v>3396</v>
      </c>
      <c r="B3354" s="130" t="s">
        <v>4641</v>
      </c>
      <c r="C3354" s="20">
        <v>3.26666666666667</v>
      </c>
      <c r="D3354" s="131">
        <v>0</v>
      </c>
      <c r="E3354" s="132"/>
      <c r="F3354" s="133" t="s">
        <v>4642</v>
      </c>
    </row>
    <row r="3355" s="20" customFormat="1" ht="17" customHeight="1" spans="1:6">
      <c r="A3355" s="20">
        <v>3397</v>
      </c>
      <c r="B3355" s="130" t="s">
        <v>4643</v>
      </c>
      <c r="C3355" s="20">
        <v>2.03333333333333</v>
      </c>
      <c r="D3355" s="131">
        <v>0</v>
      </c>
      <c r="E3355" s="132"/>
      <c r="F3355" s="133" t="s">
        <v>4644</v>
      </c>
    </row>
    <row r="3356" s="20" customFormat="1" ht="17" customHeight="1" spans="1:6">
      <c r="A3356" s="20">
        <v>3398</v>
      </c>
      <c r="B3356" s="130" t="s">
        <v>4645</v>
      </c>
      <c r="C3356" s="20">
        <v>2.7</v>
      </c>
      <c r="D3356" s="131">
        <v>0</v>
      </c>
      <c r="E3356" s="132"/>
      <c r="F3356" s="133" t="s">
        <v>4646</v>
      </c>
    </row>
    <row r="3357" s="20" customFormat="1" ht="17" customHeight="1" spans="1:6">
      <c r="A3357" s="20">
        <v>3399</v>
      </c>
      <c r="B3357" s="130" t="s">
        <v>4647</v>
      </c>
      <c r="C3357" s="20">
        <v>2.7</v>
      </c>
      <c r="D3357" s="131">
        <v>0</v>
      </c>
      <c r="E3357" s="132"/>
      <c r="F3357" s="133" t="s">
        <v>4648</v>
      </c>
    </row>
    <row r="3358" s="20" customFormat="1" ht="17" customHeight="1" spans="1:6">
      <c r="A3358" s="20">
        <v>3400</v>
      </c>
      <c r="B3358" s="130" t="s">
        <v>4649</v>
      </c>
      <c r="C3358" s="20">
        <v>2.26666666666667</v>
      </c>
      <c r="D3358" s="131">
        <v>0</v>
      </c>
      <c r="E3358" s="132"/>
      <c r="F3358" s="133" t="s">
        <v>4650</v>
      </c>
    </row>
    <row r="3359" s="20" customFormat="1" ht="17" customHeight="1" spans="1:6">
      <c r="A3359" s="20">
        <v>3401</v>
      </c>
      <c r="B3359" s="130" t="s">
        <v>4651</v>
      </c>
      <c r="C3359" s="20">
        <v>2.26666666666667</v>
      </c>
      <c r="D3359" s="131">
        <v>0</v>
      </c>
      <c r="E3359" s="132"/>
      <c r="F3359" s="133" t="s">
        <v>4652</v>
      </c>
    </row>
    <row r="3360" s="20" customFormat="1" ht="17" customHeight="1" spans="1:6">
      <c r="A3360" s="20">
        <v>3402</v>
      </c>
      <c r="B3360" s="130" t="s">
        <v>4653</v>
      </c>
      <c r="C3360" s="20">
        <v>2.43333333333333</v>
      </c>
      <c r="D3360" s="131">
        <v>0</v>
      </c>
      <c r="E3360" s="132"/>
      <c r="F3360" s="133" t="s">
        <v>4654</v>
      </c>
    </row>
    <row r="3361" s="20" customFormat="1" ht="17" customHeight="1" spans="1:6">
      <c r="A3361" s="20">
        <v>3403</v>
      </c>
      <c r="B3361" s="130" t="s">
        <v>4655</v>
      </c>
      <c r="C3361" s="20">
        <v>2.43333333333333</v>
      </c>
      <c r="D3361" s="131">
        <v>0</v>
      </c>
      <c r="E3361" s="132"/>
      <c r="F3361" s="133" t="s">
        <v>4656</v>
      </c>
    </row>
    <row r="3362" s="20" customFormat="1" ht="17" customHeight="1" spans="1:6">
      <c r="A3362" s="20">
        <v>3404</v>
      </c>
      <c r="B3362" s="130" t="s">
        <v>4657</v>
      </c>
      <c r="C3362" s="20">
        <v>2.43333333333333</v>
      </c>
      <c r="D3362" s="131">
        <v>0</v>
      </c>
      <c r="E3362" s="132"/>
      <c r="F3362" s="133" t="s">
        <v>4658</v>
      </c>
    </row>
    <row r="3363" s="20" customFormat="1" ht="17" customHeight="1" spans="1:6">
      <c r="A3363" s="20">
        <v>3405</v>
      </c>
      <c r="B3363" s="130" t="s">
        <v>4659</v>
      </c>
      <c r="C3363" s="20">
        <v>3.06666666666667</v>
      </c>
      <c r="D3363" s="131">
        <v>0</v>
      </c>
      <c r="E3363" s="132"/>
      <c r="F3363" s="133" t="s">
        <v>4660</v>
      </c>
    </row>
    <row r="3364" s="20" customFormat="1" ht="17" customHeight="1" spans="1:6">
      <c r="A3364" s="20">
        <v>3406</v>
      </c>
      <c r="B3364" s="130" t="s">
        <v>4661</v>
      </c>
      <c r="C3364" s="20">
        <v>4.06666666666667</v>
      </c>
      <c r="D3364" s="131">
        <v>0</v>
      </c>
      <c r="E3364" s="132"/>
      <c r="F3364" s="133" t="s">
        <v>4662</v>
      </c>
    </row>
    <row r="3365" s="20" customFormat="1" ht="17" customHeight="1" spans="1:6">
      <c r="A3365" s="20">
        <v>3407</v>
      </c>
      <c r="B3365" s="130" t="s">
        <v>4663</v>
      </c>
      <c r="C3365" s="20">
        <v>4.06666666666667</v>
      </c>
      <c r="D3365" s="131">
        <v>0</v>
      </c>
      <c r="E3365" s="132"/>
      <c r="F3365" s="133" t="s">
        <v>4664</v>
      </c>
    </row>
    <row r="3366" s="20" customFormat="1" ht="17" customHeight="1" spans="1:6">
      <c r="A3366" s="20">
        <v>3408</v>
      </c>
      <c r="B3366" s="130" t="s">
        <v>4665</v>
      </c>
      <c r="C3366" s="20">
        <v>4.06666666666667</v>
      </c>
      <c r="D3366" s="131">
        <v>0</v>
      </c>
      <c r="E3366" s="132"/>
      <c r="F3366" s="133" t="s">
        <v>4666</v>
      </c>
    </row>
    <row r="3367" s="20" customFormat="1" ht="17" customHeight="1" spans="1:6">
      <c r="A3367" s="20">
        <v>3409</v>
      </c>
      <c r="B3367" s="130" t="s">
        <v>4667</v>
      </c>
      <c r="C3367" s="20">
        <v>2.7</v>
      </c>
      <c r="D3367" s="131">
        <v>0</v>
      </c>
      <c r="E3367" s="132"/>
      <c r="F3367" s="133" t="s">
        <v>4668</v>
      </c>
    </row>
    <row r="3368" s="20" customFormat="1" ht="17" customHeight="1" spans="1:6">
      <c r="A3368" s="20">
        <v>3410</v>
      </c>
      <c r="B3368" s="130" t="s">
        <v>4669</v>
      </c>
      <c r="C3368" s="20">
        <v>2.7</v>
      </c>
      <c r="D3368" s="131">
        <v>0</v>
      </c>
      <c r="E3368" s="132"/>
      <c r="F3368" s="133" t="s">
        <v>4670</v>
      </c>
    </row>
    <row r="3369" s="20" customFormat="1" ht="17" customHeight="1" spans="1:6">
      <c r="A3369" s="20">
        <v>3411</v>
      </c>
      <c r="B3369" s="130" t="s">
        <v>4671</v>
      </c>
      <c r="C3369" s="20">
        <v>3.33333333333333</v>
      </c>
      <c r="D3369" s="131">
        <v>0</v>
      </c>
      <c r="E3369" s="132"/>
      <c r="F3369" s="133" t="s">
        <v>4672</v>
      </c>
    </row>
    <row r="3370" s="20" customFormat="1" ht="17" customHeight="1" spans="1:6">
      <c r="A3370" s="20">
        <v>3412</v>
      </c>
      <c r="B3370" s="130" t="s">
        <v>4673</v>
      </c>
      <c r="C3370" s="20">
        <v>3.93333333333333</v>
      </c>
      <c r="D3370" s="131">
        <v>0</v>
      </c>
      <c r="E3370" s="132"/>
      <c r="F3370" s="133" t="s">
        <v>4674</v>
      </c>
    </row>
    <row r="3371" s="20" customFormat="1" ht="17" customHeight="1" spans="1:6">
      <c r="A3371" s="20">
        <v>3413</v>
      </c>
      <c r="B3371" s="130" t="s">
        <v>4675</v>
      </c>
      <c r="C3371" s="20">
        <v>3.93333333333333</v>
      </c>
      <c r="D3371" s="131">
        <v>0</v>
      </c>
      <c r="E3371" s="132"/>
      <c r="F3371" s="133" t="s">
        <v>4674</v>
      </c>
    </row>
    <row r="3372" s="20" customFormat="1" ht="17" customHeight="1" spans="1:6">
      <c r="A3372" s="20">
        <v>3414</v>
      </c>
      <c r="B3372" s="130" t="s">
        <v>4676</v>
      </c>
      <c r="C3372" s="20">
        <v>3.93333333333333</v>
      </c>
      <c r="D3372" s="131">
        <v>0</v>
      </c>
      <c r="E3372" s="132"/>
      <c r="F3372" s="133" t="s">
        <v>4674</v>
      </c>
    </row>
    <row r="3373" s="20" customFormat="1" ht="17" customHeight="1" spans="1:6">
      <c r="A3373" s="20">
        <v>3415</v>
      </c>
      <c r="B3373" s="130" t="s">
        <v>4677</v>
      </c>
      <c r="C3373" s="20">
        <v>3.93333333333333</v>
      </c>
      <c r="D3373" s="131">
        <v>0</v>
      </c>
      <c r="E3373" s="132"/>
      <c r="F3373" s="133" t="s">
        <v>4674</v>
      </c>
    </row>
    <row r="3374" s="20" customFormat="1" ht="17" customHeight="1" spans="1:6">
      <c r="A3374" s="20">
        <v>3416</v>
      </c>
      <c r="B3374" s="130" t="s">
        <v>4678</v>
      </c>
      <c r="C3374" s="20">
        <v>3.93333333333333</v>
      </c>
      <c r="D3374" s="131">
        <v>0</v>
      </c>
      <c r="E3374" s="132"/>
      <c r="F3374" s="133" t="s">
        <v>4674</v>
      </c>
    </row>
    <row r="3375" s="20" customFormat="1" ht="17" customHeight="1" spans="1:6">
      <c r="A3375" s="20">
        <v>3417</v>
      </c>
      <c r="B3375" s="130" t="s">
        <v>4679</v>
      </c>
      <c r="C3375" s="20">
        <v>3.93333333333333</v>
      </c>
      <c r="D3375" s="131">
        <v>0</v>
      </c>
      <c r="E3375" s="132"/>
      <c r="F3375" s="133" t="s">
        <v>4674</v>
      </c>
    </row>
    <row r="3376" s="20" customFormat="1" ht="17" customHeight="1" spans="1:6">
      <c r="A3376" s="20">
        <v>3418</v>
      </c>
      <c r="B3376" s="130" t="s">
        <v>4680</v>
      </c>
      <c r="C3376" s="20">
        <v>3.93333333333333</v>
      </c>
      <c r="D3376" s="131">
        <v>0</v>
      </c>
      <c r="E3376" s="132"/>
      <c r="F3376" s="133" t="s">
        <v>4674</v>
      </c>
    </row>
    <row r="3377" s="20" customFormat="1" ht="17" customHeight="1" spans="1:6">
      <c r="A3377" s="20">
        <v>3419</v>
      </c>
      <c r="B3377" s="130" t="s">
        <v>4681</v>
      </c>
      <c r="C3377" s="20">
        <v>3.93333333333333</v>
      </c>
      <c r="D3377" s="131">
        <v>0</v>
      </c>
      <c r="E3377" s="132"/>
      <c r="F3377" s="133" t="s">
        <v>4674</v>
      </c>
    </row>
    <row r="3378" s="20" customFormat="1" ht="17" customHeight="1" spans="1:6">
      <c r="A3378" s="20">
        <v>3420</v>
      </c>
      <c r="B3378" s="130" t="s">
        <v>4682</v>
      </c>
      <c r="C3378" s="20">
        <v>2.166666667</v>
      </c>
      <c r="D3378" s="131">
        <v>0</v>
      </c>
      <c r="E3378" s="132"/>
      <c r="F3378" s="133" t="s">
        <v>4683</v>
      </c>
    </row>
    <row r="3379" s="20" customFormat="1" ht="17" customHeight="1" spans="1:6">
      <c r="A3379" s="20">
        <v>3421</v>
      </c>
      <c r="B3379" s="130" t="s">
        <v>4684</v>
      </c>
      <c r="C3379" s="20">
        <v>2.166666667</v>
      </c>
      <c r="D3379" s="131">
        <v>0</v>
      </c>
      <c r="E3379" s="132"/>
      <c r="F3379" s="133" t="s">
        <v>4685</v>
      </c>
    </row>
    <row r="3380" s="20" customFormat="1" ht="17" customHeight="1" spans="1:6">
      <c r="A3380" s="20">
        <v>3422</v>
      </c>
      <c r="B3380" s="130" t="s">
        <v>4686</v>
      </c>
      <c r="C3380" s="20">
        <v>2.133333333</v>
      </c>
      <c r="D3380" s="131">
        <v>0</v>
      </c>
      <c r="E3380" s="132"/>
      <c r="F3380" s="133" t="s">
        <v>4687</v>
      </c>
    </row>
    <row r="3381" s="20" customFormat="1" ht="17" customHeight="1" spans="1:6">
      <c r="A3381" s="20">
        <v>3423</v>
      </c>
      <c r="B3381" s="130" t="s">
        <v>4688</v>
      </c>
      <c r="C3381" s="20">
        <v>2.133333333</v>
      </c>
      <c r="D3381" s="131">
        <v>0</v>
      </c>
      <c r="E3381" s="132"/>
      <c r="F3381" s="133" t="s">
        <v>4689</v>
      </c>
    </row>
    <row r="3382" s="20" customFormat="1" ht="17" customHeight="1" spans="1:6">
      <c r="A3382" s="20">
        <v>3424</v>
      </c>
      <c r="B3382" s="130" t="s">
        <v>4690</v>
      </c>
      <c r="C3382" s="20">
        <f>132/30</f>
        <v>4.4</v>
      </c>
      <c r="D3382" s="131">
        <v>0</v>
      </c>
      <c r="E3382" s="132"/>
      <c r="F3382" s="133" t="s">
        <v>4691</v>
      </c>
    </row>
    <row r="3383" s="20" customFormat="1" ht="17" customHeight="1" spans="1:6">
      <c r="A3383" s="20">
        <v>3425</v>
      </c>
      <c r="B3383" s="130" t="s">
        <v>4692</v>
      </c>
      <c r="C3383" s="20">
        <f>132/30</f>
        <v>4.4</v>
      </c>
      <c r="D3383" s="131">
        <v>0</v>
      </c>
      <c r="E3383" s="132"/>
      <c r="F3383" s="133" t="s">
        <v>4693</v>
      </c>
    </row>
    <row r="3384" s="20" customFormat="1" ht="17" customHeight="1" spans="1:6">
      <c r="A3384" s="20">
        <v>3426</v>
      </c>
      <c r="B3384" s="130" t="s">
        <v>4694</v>
      </c>
      <c r="C3384" s="20">
        <f>144/30</f>
        <v>4.8</v>
      </c>
      <c r="D3384" s="131">
        <v>0</v>
      </c>
      <c r="E3384" s="132"/>
      <c r="F3384" s="133" t="s">
        <v>4695</v>
      </c>
    </row>
    <row r="3385" s="20" customFormat="1" ht="17" customHeight="1" spans="1:6">
      <c r="A3385" s="20">
        <v>3427</v>
      </c>
      <c r="B3385" s="130" t="s">
        <v>4696</v>
      </c>
      <c r="C3385" s="20">
        <f>89/30</f>
        <v>2.96666666666667</v>
      </c>
      <c r="D3385" s="131">
        <v>0</v>
      </c>
      <c r="E3385" s="132"/>
      <c r="F3385" s="133" t="s">
        <v>4697</v>
      </c>
    </row>
    <row r="3386" s="20" customFormat="1" ht="17" customHeight="1" spans="1:6">
      <c r="A3386" s="20">
        <v>3428</v>
      </c>
      <c r="B3386" s="130" t="s">
        <v>4698</v>
      </c>
      <c r="C3386" s="20">
        <f>128/30</f>
        <v>4.26666666666667</v>
      </c>
      <c r="D3386" s="131">
        <v>0</v>
      </c>
      <c r="E3386" s="132"/>
      <c r="F3386" s="133" t="s">
        <v>4699</v>
      </c>
    </row>
    <row r="3387" s="20" customFormat="1" ht="17" customHeight="1" spans="1:6">
      <c r="A3387" s="20">
        <v>3429</v>
      </c>
      <c r="B3387" s="130" t="s">
        <v>4700</v>
      </c>
      <c r="C3387" s="20">
        <f>103/30</f>
        <v>3.43333333333333</v>
      </c>
      <c r="D3387" s="131">
        <v>0</v>
      </c>
      <c r="E3387" s="132"/>
      <c r="F3387" s="133" t="s">
        <v>4701</v>
      </c>
    </row>
    <row r="3388" s="20" customFormat="1" ht="17" customHeight="1" spans="1:6">
      <c r="A3388" s="20">
        <v>3430</v>
      </c>
      <c r="B3388" s="130" t="s">
        <v>4702</v>
      </c>
      <c r="C3388" s="20">
        <f>150/30</f>
        <v>5</v>
      </c>
      <c r="D3388" s="131">
        <v>0</v>
      </c>
      <c r="E3388" s="132"/>
      <c r="F3388" s="133" t="s">
        <v>4703</v>
      </c>
    </row>
    <row r="3389" s="20" customFormat="1" ht="17" customHeight="1" spans="1:6">
      <c r="A3389" s="20">
        <v>3431</v>
      </c>
      <c r="B3389" s="134" t="s">
        <v>4704</v>
      </c>
      <c r="C3389" s="135">
        <v>3.433333333</v>
      </c>
      <c r="D3389" s="131">
        <v>0</v>
      </c>
      <c r="E3389" s="132"/>
      <c r="F3389" s="133" t="s">
        <v>4705</v>
      </c>
    </row>
    <row r="3390" s="20" customFormat="1" ht="17" customHeight="1" spans="1:6">
      <c r="A3390" s="20">
        <v>3432</v>
      </c>
      <c r="B3390" s="134" t="s">
        <v>4706</v>
      </c>
      <c r="C3390" s="135">
        <v>3.433333333</v>
      </c>
      <c r="D3390" s="131">
        <v>0</v>
      </c>
      <c r="E3390" s="132"/>
      <c r="F3390" s="133" t="s">
        <v>4705</v>
      </c>
    </row>
    <row r="3391" s="20" customFormat="1" ht="17" customHeight="1" spans="1:6">
      <c r="A3391" s="20">
        <v>3433</v>
      </c>
      <c r="B3391" s="134" t="s">
        <v>4707</v>
      </c>
      <c r="C3391" s="135">
        <v>3.433333333</v>
      </c>
      <c r="D3391" s="131">
        <v>0</v>
      </c>
      <c r="E3391" s="132"/>
      <c r="F3391" s="133" t="s">
        <v>4708</v>
      </c>
    </row>
    <row r="3392" s="20" customFormat="1" ht="17" customHeight="1" spans="1:6">
      <c r="A3392" s="20">
        <v>3434</v>
      </c>
      <c r="B3392" s="134" t="s">
        <v>4709</v>
      </c>
      <c r="C3392" s="20">
        <v>3.3</v>
      </c>
      <c r="D3392" s="131">
        <v>0</v>
      </c>
      <c r="E3392" s="132"/>
      <c r="F3392" s="133" t="s">
        <v>4710</v>
      </c>
    </row>
    <row r="3393" s="20" customFormat="1" ht="17" customHeight="1" spans="1:6">
      <c r="A3393" s="20">
        <v>3435</v>
      </c>
      <c r="B3393" s="134" t="s">
        <v>4711</v>
      </c>
      <c r="C3393" s="20">
        <v>3.3</v>
      </c>
      <c r="D3393" s="131">
        <v>0</v>
      </c>
      <c r="E3393" s="132"/>
      <c r="F3393" s="133" t="s">
        <v>4710</v>
      </c>
    </row>
    <row r="3394" s="20" customFormat="1" ht="17" customHeight="1" spans="1:6">
      <c r="A3394" s="20">
        <v>3436</v>
      </c>
      <c r="B3394" s="134" t="s">
        <v>4712</v>
      </c>
      <c r="C3394" s="20">
        <v>3.3</v>
      </c>
      <c r="D3394" s="131">
        <v>0</v>
      </c>
      <c r="E3394" s="132"/>
      <c r="F3394" s="133" t="s">
        <v>4713</v>
      </c>
    </row>
    <row r="3395" s="20" customFormat="1" ht="17" customHeight="1" spans="1:6">
      <c r="A3395" s="20">
        <v>3437</v>
      </c>
      <c r="B3395" s="134" t="s">
        <v>4714</v>
      </c>
      <c r="C3395" s="20">
        <f>64/30</f>
        <v>2.13333333333333</v>
      </c>
      <c r="D3395" s="131">
        <v>0</v>
      </c>
      <c r="E3395" s="132"/>
      <c r="F3395" s="133" t="s">
        <v>4715</v>
      </c>
    </row>
    <row r="3396" s="20" customFormat="1" ht="17" customHeight="1" spans="1:6">
      <c r="A3396" s="20">
        <v>3438</v>
      </c>
      <c r="B3396" s="134" t="s">
        <v>4716</v>
      </c>
      <c r="C3396" s="20">
        <f>64/30</f>
        <v>2.13333333333333</v>
      </c>
      <c r="D3396" s="131">
        <v>0</v>
      </c>
      <c r="E3396" s="132"/>
      <c r="F3396" s="133" t="s">
        <v>4717</v>
      </c>
    </row>
    <row r="3397" s="20" customFormat="1" ht="17" customHeight="1" spans="1:6">
      <c r="A3397" s="20">
        <v>3439</v>
      </c>
      <c r="B3397" s="134" t="s">
        <v>4718</v>
      </c>
      <c r="C3397" s="20">
        <v>1</v>
      </c>
      <c r="D3397" s="131">
        <v>0</v>
      </c>
      <c r="E3397" s="132"/>
      <c r="F3397" s="133" t="s">
        <v>4719</v>
      </c>
    </row>
    <row r="3398" s="20" customFormat="1" ht="17" customHeight="1" spans="1:6">
      <c r="A3398" s="20">
        <v>3440</v>
      </c>
      <c r="B3398" s="134" t="s">
        <v>4720</v>
      </c>
      <c r="C3398" s="20">
        <f>520/30</f>
        <v>17.3333333333333</v>
      </c>
      <c r="D3398" s="131">
        <v>0</v>
      </c>
      <c r="E3398" s="132"/>
      <c r="F3398" s="133" t="s">
        <v>4721</v>
      </c>
    </row>
    <row r="3399" s="20" customFormat="1" ht="17" customHeight="1" spans="1:6">
      <c r="A3399" s="20">
        <v>3441</v>
      </c>
      <c r="B3399" s="134" t="s">
        <v>4722</v>
      </c>
      <c r="C3399" s="20">
        <f t="shared" ref="C3399:C3404" si="25">520/30</f>
        <v>17.3333333333333</v>
      </c>
      <c r="D3399" s="131">
        <v>0</v>
      </c>
      <c r="E3399" s="132"/>
      <c r="F3399" s="133" t="s">
        <v>4723</v>
      </c>
    </row>
    <row r="3400" s="20" customFormat="1" ht="17" customHeight="1" spans="1:6">
      <c r="A3400" s="20">
        <v>3442</v>
      </c>
      <c r="B3400" s="134" t="s">
        <v>4724</v>
      </c>
      <c r="C3400" s="20">
        <f t="shared" si="25"/>
        <v>17.3333333333333</v>
      </c>
      <c r="D3400" s="131">
        <v>0</v>
      </c>
      <c r="E3400" s="132"/>
      <c r="F3400" s="133" t="s">
        <v>4723</v>
      </c>
    </row>
    <row r="3401" s="20" customFormat="1" ht="17" customHeight="1" spans="1:6">
      <c r="A3401" s="20">
        <v>3443</v>
      </c>
      <c r="B3401" s="134" t="s">
        <v>4725</v>
      </c>
      <c r="C3401" s="20">
        <f t="shared" si="25"/>
        <v>17.3333333333333</v>
      </c>
      <c r="D3401" s="131">
        <v>0</v>
      </c>
      <c r="E3401" s="132"/>
      <c r="F3401" s="133" t="s">
        <v>4723</v>
      </c>
    </row>
    <row r="3402" s="20" customFormat="1" ht="17" customHeight="1" spans="1:6">
      <c r="A3402" s="20">
        <v>3444</v>
      </c>
      <c r="B3402" s="134" t="s">
        <v>4726</v>
      </c>
      <c r="C3402" s="20">
        <f t="shared" si="25"/>
        <v>17.3333333333333</v>
      </c>
      <c r="D3402" s="131">
        <v>0</v>
      </c>
      <c r="E3402" s="132"/>
      <c r="F3402" s="133" t="s">
        <v>4723</v>
      </c>
    </row>
    <row r="3403" s="20" customFormat="1" ht="17" customHeight="1" spans="1:6">
      <c r="A3403" s="20">
        <v>3445</v>
      </c>
      <c r="B3403" s="134" t="s">
        <v>4727</v>
      </c>
      <c r="C3403" s="20">
        <f t="shared" si="25"/>
        <v>17.3333333333333</v>
      </c>
      <c r="D3403" s="131">
        <v>0</v>
      </c>
      <c r="E3403" s="132"/>
      <c r="F3403" s="133" t="s">
        <v>4723</v>
      </c>
    </row>
    <row r="3404" s="20" customFormat="1" ht="17" customHeight="1" spans="1:6">
      <c r="A3404" s="20">
        <v>3446</v>
      </c>
      <c r="B3404" s="134" t="s">
        <v>4728</v>
      </c>
      <c r="C3404" s="20">
        <f t="shared" si="25"/>
        <v>17.3333333333333</v>
      </c>
      <c r="D3404" s="131">
        <v>0</v>
      </c>
      <c r="E3404" s="132"/>
      <c r="F3404" s="133" t="s">
        <v>4723</v>
      </c>
    </row>
    <row r="3405" s="20" customFormat="1" ht="17" customHeight="1" spans="1:6">
      <c r="A3405" s="20">
        <v>3447</v>
      </c>
      <c r="B3405" s="134" t="s">
        <v>4729</v>
      </c>
      <c r="C3405" s="20">
        <v>1</v>
      </c>
      <c r="D3405" s="131">
        <v>0</v>
      </c>
      <c r="E3405" s="132"/>
      <c r="F3405" s="133" t="s">
        <v>4730</v>
      </c>
    </row>
    <row r="3406" s="20" customFormat="1" ht="17" customHeight="1" spans="1:6">
      <c r="A3406" s="20">
        <v>3448</v>
      </c>
      <c r="B3406" s="134" t="s">
        <v>4731</v>
      </c>
      <c r="C3406" s="20">
        <v>1</v>
      </c>
      <c r="D3406" s="131">
        <v>0</v>
      </c>
      <c r="E3406" s="132"/>
      <c r="F3406" s="133" t="s">
        <v>4732</v>
      </c>
    </row>
    <row r="3407" s="20" customFormat="1" ht="17" customHeight="1" spans="1:6">
      <c r="A3407" s="20">
        <v>3449</v>
      </c>
      <c r="B3407" s="134" t="s">
        <v>4733</v>
      </c>
      <c r="C3407" s="20">
        <v>0</v>
      </c>
      <c r="D3407" s="131">
        <v>1</v>
      </c>
      <c r="E3407" s="132"/>
      <c r="F3407" s="133" t="s">
        <v>4734</v>
      </c>
    </row>
    <row r="3408" s="5" customFormat="1" ht="17" customHeight="1" spans="1:6">
      <c r="A3408" s="5">
        <v>3450</v>
      </c>
      <c r="B3408" s="118" t="s">
        <v>4735</v>
      </c>
      <c r="C3408" s="5">
        <f t="shared" ref="C3408:C3410" si="26">69/30</f>
        <v>2.3</v>
      </c>
      <c r="D3408" s="136">
        <v>0</v>
      </c>
      <c r="E3408" s="137"/>
      <c r="F3408" s="138" t="s">
        <v>4736</v>
      </c>
    </row>
    <row r="3409" s="5" customFormat="1" ht="17" customHeight="1" spans="1:6">
      <c r="A3409" s="5">
        <v>3451</v>
      </c>
      <c r="B3409" s="118" t="s">
        <v>4737</v>
      </c>
      <c r="C3409" s="5">
        <f t="shared" si="26"/>
        <v>2.3</v>
      </c>
      <c r="D3409" s="136">
        <v>0</v>
      </c>
      <c r="E3409" s="137"/>
      <c r="F3409" s="138" t="s">
        <v>4738</v>
      </c>
    </row>
    <row r="3410" s="5" customFormat="1" ht="17" customHeight="1" spans="1:6">
      <c r="A3410" s="5">
        <v>3452</v>
      </c>
      <c r="B3410" s="118" t="s">
        <v>4739</v>
      </c>
      <c r="C3410" s="5">
        <f t="shared" si="26"/>
        <v>2.3</v>
      </c>
      <c r="D3410" s="136">
        <v>0</v>
      </c>
      <c r="E3410" s="137"/>
      <c r="F3410" s="138" t="s">
        <v>4738</v>
      </c>
    </row>
    <row r="3411" s="5" customFormat="1" ht="17" customHeight="1" spans="1:6">
      <c r="A3411" s="5">
        <v>3453</v>
      </c>
      <c r="B3411" s="118" t="s">
        <v>4740</v>
      </c>
      <c r="C3411" s="5">
        <v>1</v>
      </c>
      <c r="D3411" s="136">
        <v>0</v>
      </c>
      <c r="E3411" s="137"/>
      <c r="F3411" s="138" t="s">
        <v>4741</v>
      </c>
    </row>
    <row r="3412" s="5" customFormat="1" ht="17" customHeight="1" spans="1:6">
      <c r="A3412" s="5">
        <v>3454</v>
      </c>
      <c r="B3412" s="118" t="s">
        <v>4742</v>
      </c>
      <c r="C3412" s="5">
        <v>1</v>
      </c>
      <c r="D3412" s="136">
        <v>0</v>
      </c>
      <c r="E3412" s="137"/>
      <c r="F3412" s="138" t="s">
        <v>4743</v>
      </c>
    </row>
    <row r="3413" s="5" customFormat="1" ht="17" customHeight="1" spans="1:6">
      <c r="A3413" s="5">
        <v>3455</v>
      </c>
      <c r="B3413" s="118" t="s">
        <v>4744</v>
      </c>
      <c r="C3413" s="5">
        <v>1</v>
      </c>
      <c r="D3413" s="136">
        <v>0</v>
      </c>
      <c r="E3413" s="137"/>
      <c r="F3413" s="138" t="s">
        <v>4745</v>
      </c>
    </row>
    <row r="3414" s="5" customFormat="1" ht="17" customHeight="1" spans="1:6">
      <c r="A3414" s="5">
        <v>3456</v>
      </c>
      <c r="B3414" s="118" t="s">
        <v>4746</v>
      </c>
      <c r="C3414" s="5">
        <f t="shared" ref="C3414:C3419" si="27">89/30</f>
        <v>2.96666666666667</v>
      </c>
      <c r="D3414" s="136">
        <v>0</v>
      </c>
      <c r="E3414" s="137"/>
      <c r="F3414" s="138" t="s">
        <v>4747</v>
      </c>
    </row>
    <row r="3415" s="5" customFormat="1" ht="17" customHeight="1" spans="1:6">
      <c r="A3415" s="5">
        <v>3457</v>
      </c>
      <c r="B3415" s="118" t="s">
        <v>4748</v>
      </c>
      <c r="C3415" s="5">
        <v>1</v>
      </c>
      <c r="D3415" s="136">
        <v>0</v>
      </c>
      <c r="E3415" s="137"/>
      <c r="F3415" s="138" t="s">
        <v>4749</v>
      </c>
    </row>
    <row r="3416" s="5" customFormat="1" ht="17" customHeight="1" spans="1:6">
      <c r="A3416" s="5">
        <v>3458</v>
      </c>
      <c r="B3416" s="118" t="s">
        <v>4750</v>
      </c>
      <c r="C3416" s="5">
        <v>1</v>
      </c>
      <c r="D3416" s="136">
        <v>0</v>
      </c>
      <c r="E3416" s="137"/>
      <c r="F3416" s="138" t="s">
        <v>4749</v>
      </c>
    </row>
    <row r="3417" s="5" customFormat="1" ht="17" customHeight="1" spans="1:6">
      <c r="A3417" s="5">
        <v>3459</v>
      </c>
      <c r="B3417" s="118" t="s">
        <v>4751</v>
      </c>
      <c r="C3417" s="5">
        <f t="shared" si="27"/>
        <v>2.96666666666667</v>
      </c>
      <c r="D3417" s="136">
        <v>0</v>
      </c>
      <c r="E3417" s="137"/>
      <c r="F3417" s="138" t="s">
        <v>4752</v>
      </c>
    </row>
    <row r="3418" s="5" customFormat="1" ht="17" customHeight="1" spans="1:6">
      <c r="A3418" s="5">
        <v>3460</v>
      </c>
      <c r="B3418" s="118" t="s">
        <v>4753</v>
      </c>
      <c r="C3418" s="5">
        <f t="shared" si="27"/>
        <v>2.96666666666667</v>
      </c>
      <c r="D3418" s="136">
        <v>0</v>
      </c>
      <c r="E3418" s="137"/>
      <c r="F3418" s="138" t="s">
        <v>4754</v>
      </c>
    </row>
    <row r="3419" s="5" customFormat="1" ht="17" customHeight="1" spans="1:6">
      <c r="A3419" s="5">
        <v>3461</v>
      </c>
      <c r="B3419" s="118" t="s">
        <v>4755</v>
      </c>
      <c r="C3419" s="5">
        <f t="shared" si="27"/>
        <v>2.96666666666667</v>
      </c>
      <c r="D3419" s="136">
        <v>0</v>
      </c>
      <c r="E3419" s="137"/>
      <c r="F3419" s="138" t="s">
        <v>4756</v>
      </c>
    </row>
    <row r="3420" s="5" customFormat="1" ht="17" customHeight="1" spans="1:6">
      <c r="A3420" s="5">
        <v>3462</v>
      </c>
      <c r="B3420" s="118" t="s">
        <v>4757</v>
      </c>
      <c r="C3420" s="5">
        <v>3.5</v>
      </c>
      <c r="D3420" s="136">
        <v>0</v>
      </c>
      <c r="E3420" s="137"/>
      <c r="F3420" s="138" t="s">
        <v>4758</v>
      </c>
    </row>
    <row r="3421" s="5" customFormat="1" ht="17" customHeight="1" spans="1:6">
      <c r="A3421" s="5">
        <v>3463</v>
      </c>
      <c r="B3421" s="118" t="s">
        <v>4759</v>
      </c>
      <c r="C3421" s="5">
        <v>3.5</v>
      </c>
      <c r="D3421" s="136">
        <v>0</v>
      </c>
      <c r="E3421" s="137"/>
      <c r="F3421" s="138" t="s">
        <v>4760</v>
      </c>
    </row>
    <row r="3422" s="5" customFormat="1" ht="17" customHeight="1" spans="1:6">
      <c r="A3422" s="5">
        <v>3464</v>
      </c>
      <c r="B3422" s="118" t="s">
        <v>4761</v>
      </c>
      <c r="C3422" s="5">
        <v>1</v>
      </c>
      <c r="D3422" s="136">
        <v>0</v>
      </c>
      <c r="E3422" s="137"/>
      <c r="F3422" s="138" t="s">
        <v>4762</v>
      </c>
    </row>
    <row r="3423" s="5" customFormat="1" ht="17" customHeight="1" spans="1:6">
      <c r="A3423" s="5">
        <v>3465</v>
      </c>
      <c r="B3423" s="118" t="s">
        <v>4763</v>
      </c>
      <c r="C3423" s="5">
        <v>1.6</v>
      </c>
      <c r="D3423" s="136">
        <v>0</v>
      </c>
      <c r="E3423" s="137"/>
      <c r="F3423" s="138" t="s">
        <v>4762</v>
      </c>
    </row>
    <row r="3424" s="5" customFormat="1" ht="17" customHeight="1" spans="1:6">
      <c r="A3424" s="5">
        <v>3466</v>
      </c>
      <c r="B3424" s="118" t="s">
        <v>4764</v>
      </c>
      <c r="C3424" s="5">
        <f>79/30</f>
        <v>2.63333333333333</v>
      </c>
      <c r="D3424" s="136">
        <v>0</v>
      </c>
      <c r="E3424" s="137"/>
      <c r="F3424" s="138" t="s">
        <v>4765</v>
      </c>
    </row>
    <row r="3425" s="5" customFormat="1" ht="17" customHeight="1" spans="1:6">
      <c r="A3425" s="5">
        <v>3467</v>
      </c>
      <c r="B3425" s="118" t="s">
        <v>4766</v>
      </c>
      <c r="C3425" s="5">
        <v>1</v>
      </c>
      <c r="D3425" s="136">
        <v>0</v>
      </c>
      <c r="E3425" s="137"/>
      <c r="F3425" s="138" t="s">
        <v>4767</v>
      </c>
    </row>
    <row r="3426" s="5" customFormat="1" ht="17" customHeight="1" spans="1:6">
      <c r="A3426" s="5">
        <v>3468</v>
      </c>
      <c r="B3426" s="118" t="s">
        <v>4768</v>
      </c>
      <c r="C3426" s="5">
        <f>235/30</f>
        <v>7.83333333333333</v>
      </c>
      <c r="D3426" s="136">
        <v>0</v>
      </c>
      <c r="E3426" s="137"/>
      <c r="F3426" s="138" t="s">
        <v>4769</v>
      </c>
    </row>
    <row r="3427" s="5" customFormat="1" ht="17" customHeight="1" spans="1:6">
      <c r="A3427" s="5">
        <v>3469</v>
      </c>
      <c r="B3427" s="118" t="s">
        <v>4770</v>
      </c>
      <c r="C3427" s="5">
        <f>235/30</f>
        <v>7.83333333333333</v>
      </c>
      <c r="D3427" s="136">
        <v>0</v>
      </c>
      <c r="E3427" s="137"/>
      <c r="F3427" s="138" t="s">
        <v>4771</v>
      </c>
    </row>
    <row r="3428" s="5" customFormat="1" ht="17" customHeight="1" spans="1:6">
      <c r="A3428" s="5">
        <v>3470</v>
      </c>
      <c r="B3428" s="118" t="s">
        <v>4772</v>
      </c>
      <c r="C3428" s="5">
        <f>350/30</f>
        <v>11.6666666666667</v>
      </c>
      <c r="D3428" s="136">
        <v>0</v>
      </c>
      <c r="E3428" s="137"/>
      <c r="F3428" s="138" t="s">
        <v>4773</v>
      </c>
    </row>
    <row r="3429" s="5" customFormat="1" ht="17" customHeight="1" spans="1:6">
      <c r="A3429" s="5">
        <v>3471</v>
      </c>
      <c r="B3429" s="118" t="s">
        <v>4774</v>
      </c>
      <c r="C3429" s="5">
        <f>350/30</f>
        <v>11.6666666666667</v>
      </c>
      <c r="D3429" s="136">
        <v>0</v>
      </c>
      <c r="E3429" s="137"/>
      <c r="F3429" s="138" t="s">
        <v>4775</v>
      </c>
    </row>
    <row r="3430" s="5" customFormat="1" ht="17" customHeight="1" spans="1:6">
      <c r="A3430" s="5">
        <v>3472</v>
      </c>
      <c r="B3430" s="118" t="s">
        <v>4776</v>
      </c>
      <c r="C3430" s="5">
        <f>350/30</f>
        <v>11.6666666666667</v>
      </c>
      <c r="D3430" s="136">
        <v>0</v>
      </c>
      <c r="E3430" s="137"/>
      <c r="F3430" s="138" t="s">
        <v>4775</v>
      </c>
    </row>
    <row r="3431" s="5" customFormat="1" ht="17" customHeight="1" spans="1:6">
      <c r="A3431" s="5">
        <v>3473</v>
      </c>
      <c r="B3431" s="118" t="s">
        <v>4777</v>
      </c>
      <c r="C3431" s="5">
        <f>450/30</f>
        <v>15</v>
      </c>
      <c r="D3431" s="136">
        <v>0</v>
      </c>
      <c r="E3431" s="137"/>
      <c r="F3431" s="138" t="s">
        <v>4778</v>
      </c>
    </row>
    <row r="3432" s="5" customFormat="1" ht="17" customHeight="1" spans="1:6">
      <c r="A3432" s="5">
        <v>3474</v>
      </c>
      <c r="B3432" s="118" t="s">
        <v>4779</v>
      </c>
      <c r="C3432" s="5">
        <f>450/30</f>
        <v>15</v>
      </c>
      <c r="D3432" s="136">
        <v>0</v>
      </c>
      <c r="E3432" s="137"/>
      <c r="F3432" s="138" t="s">
        <v>4780</v>
      </c>
    </row>
    <row r="3433" s="5" customFormat="1" ht="17" customHeight="1" spans="1:6">
      <c r="A3433" s="5">
        <v>3475</v>
      </c>
      <c r="B3433" s="118" t="s">
        <v>4781</v>
      </c>
      <c r="C3433" s="5">
        <f>450/30</f>
        <v>15</v>
      </c>
      <c r="D3433" s="136">
        <v>0</v>
      </c>
      <c r="E3433" s="137"/>
      <c r="F3433" s="138" t="s">
        <v>4780</v>
      </c>
    </row>
    <row r="3434" s="5" customFormat="1" ht="17" customHeight="1" spans="1:6">
      <c r="A3434" s="5">
        <v>3476</v>
      </c>
      <c r="B3434" s="118" t="s">
        <v>4782</v>
      </c>
      <c r="C3434" s="5">
        <v>3</v>
      </c>
      <c r="D3434" s="136">
        <v>0</v>
      </c>
      <c r="E3434" s="137"/>
      <c r="F3434" s="138" t="s">
        <v>4783</v>
      </c>
    </row>
    <row r="3435" s="5" customFormat="1" ht="17" customHeight="1" spans="1:6">
      <c r="A3435" s="5">
        <v>3477</v>
      </c>
      <c r="B3435" s="118" t="s">
        <v>4784</v>
      </c>
      <c r="C3435" s="5">
        <v>0</v>
      </c>
      <c r="D3435" s="136">
        <v>0</v>
      </c>
      <c r="E3435" s="137"/>
      <c r="F3435" s="138" t="s">
        <v>4785</v>
      </c>
    </row>
    <row r="3436" s="5" customFormat="1" ht="17" customHeight="1" spans="1:6">
      <c r="A3436" s="5">
        <v>3478</v>
      </c>
      <c r="B3436" s="118" t="s">
        <v>4786</v>
      </c>
      <c r="C3436" s="5">
        <v>0</v>
      </c>
      <c r="D3436" s="136">
        <v>1</v>
      </c>
      <c r="E3436" s="137"/>
      <c r="F3436" s="138" t="s">
        <v>4787</v>
      </c>
    </row>
    <row r="3437" s="5" customFormat="1" ht="17" customHeight="1" spans="1:6">
      <c r="A3437" s="5">
        <v>3479</v>
      </c>
      <c r="B3437" s="118" t="s">
        <v>4788</v>
      </c>
      <c r="C3437" s="5">
        <v>0</v>
      </c>
      <c r="D3437" s="136">
        <v>1</v>
      </c>
      <c r="E3437" s="137"/>
      <c r="F3437" s="138" t="s">
        <v>4789</v>
      </c>
    </row>
    <row r="3438" s="5" customFormat="1" ht="17" customHeight="1" spans="1:6">
      <c r="A3438" s="5">
        <v>3480</v>
      </c>
      <c r="B3438" s="118" t="s">
        <v>4790</v>
      </c>
      <c r="C3438" s="5">
        <v>2</v>
      </c>
      <c r="D3438" s="136">
        <v>0</v>
      </c>
      <c r="E3438" s="137"/>
      <c r="F3438" s="138" t="s">
        <v>4791</v>
      </c>
    </row>
    <row r="3439" s="5" customFormat="1" ht="17" customHeight="1" spans="1:6">
      <c r="A3439" s="5">
        <v>3481</v>
      </c>
      <c r="B3439" s="118" t="s">
        <v>4792</v>
      </c>
      <c r="C3439" s="5">
        <v>0</v>
      </c>
      <c r="D3439" s="136">
        <v>1</v>
      </c>
      <c r="E3439" s="137"/>
      <c r="F3439" s="138" t="s">
        <v>4793</v>
      </c>
    </row>
    <row r="3440" s="5" customFormat="1" ht="17" customHeight="1" spans="1:6">
      <c r="A3440" s="5">
        <v>3482</v>
      </c>
      <c r="B3440" s="118" t="s">
        <v>4794</v>
      </c>
      <c r="C3440" s="5">
        <v>0</v>
      </c>
      <c r="D3440" s="136">
        <v>1</v>
      </c>
      <c r="E3440" s="137"/>
      <c r="F3440" s="138" t="s">
        <v>4793</v>
      </c>
    </row>
    <row r="3441" s="5" customFormat="1" ht="17" customHeight="1" spans="1:6">
      <c r="A3441" s="5">
        <v>3483</v>
      </c>
      <c r="B3441" s="118" t="s">
        <v>4795</v>
      </c>
      <c r="C3441" s="5">
        <v>0</v>
      </c>
      <c r="D3441" s="136">
        <v>1</v>
      </c>
      <c r="E3441" s="137"/>
      <c r="F3441" s="138" t="s">
        <v>4796</v>
      </c>
    </row>
    <row r="3442" s="5" customFormat="1" ht="17" customHeight="1" spans="1:6">
      <c r="A3442" s="5">
        <v>3484</v>
      </c>
      <c r="B3442" s="118" t="s">
        <v>4797</v>
      </c>
      <c r="C3442" s="5">
        <v>0</v>
      </c>
      <c r="D3442" s="136">
        <v>1</v>
      </c>
      <c r="E3442" s="137"/>
      <c r="F3442" s="138" t="s">
        <v>4798</v>
      </c>
    </row>
    <row r="3443" s="5" customFormat="1" ht="17" customHeight="1" spans="1:6">
      <c r="A3443" s="5">
        <v>3485</v>
      </c>
      <c r="B3443" s="118" t="s">
        <v>4799</v>
      </c>
      <c r="C3443" s="5">
        <v>0</v>
      </c>
      <c r="D3443" s="136">
        <v>1</v>
      </c>
      <c r="E3443" s="137"/>
      <c r="F3443" s="138" t="s">
        <v>4798</v>
      </c>
    </row>
    <row r="3444" s="5" customFormat="1" ht="17" customHeight="1" spans="1:6">
      <c r="A3444" s="5">
        <v>3486</v>
      </c>
      <c r="B3444" s="118" t="s">
        <v>4800</v>
      </c>
      <c r="C3444" s="5">
        <v>0</v>
      </c>
      <c r="D3444" s="136">
        <v>1</v>
      </c>
      <c r="E3444" s="137"/>
      <c r="F3444" s="138" t="s">
        <v>4798</v>
      </c>
    </row>
    <row r="3445" s="5" customFormat="1" ht="17" customHeight="1" spans="1:6">
      <c r="A3445" s="5">
        <v>3487</v>
      </c>
      <c r="B3445" s="118" t="s">
        <v>4801</v>
      </c>
      <c r="C3445" s="5">
        <f>111/30</f>
        <v>3.7</v>
      </c>
      <c r="D3445" s="136">
        <v>0</v>
      </c>
      <c r="E3445" s="137"/>
      <c r="F3445" s="138" t="s">
        <v>4802</v>
      </c>
    </row>
    <row r="3446" s="5" customFormat="1" ht="17" customHeight="1" spans="1:6">
      <c r="A3446" s="5">
        <v>3488</v>
      </c>
      <c r="B3446" s="118" t="s">
        <v>4803</v>
      </c>
      <c r="C3446" s="5">
        <f>111/30</f>
        <v>3.7</v>
      </c>
      <c r="D3446" s="136">
        <v>0</v>
      </c>
      <c r="E3446" s="137"/>
      <c r="F3446" s="138" t="s">
        <v>4804</v>
      </c>
    </row>
    <row r="3447" s="5" customFormat="1" ht="17" customHeight="1" spans="1:6">
      <c r="A3447" s="5">
        <v>3489</v>
      </c>
      <c r="B3447" s="118" t="s">
        <v>4805</v>
      </c>
      <c r="C3447" s="5">
        <f>63/30</f>
        <v>2.1</v>
      </c>
      <c r="D3447" s="136">
        <v>0</v>
      </c>
      <c r="E3447" s="137"/>
      <c r="F3447" s="138" t="s">
        <v>4806</v>
      </c>
    </row>
    <row r="3448" s="5" customFormat="1" ht="17" customHeight="1" spans="1:6">
      <c r="A3448" s="5">
        <v>3490</v>
      </c>
      <c r="B3448" s="118" t="s">
        <v>4807</v>
      </c>
      <c r="C3448" s="5">
        <f>63/30</f>
        <v>2.1</v>
      </c>
      <c r="D3448" s="136">
        <v>0</v>
      </c>
      <c r="E3448" s="137"/>
      <c r="F3448" s="138" t="s">
        <v>4808</v>
      </c>
    </row>
    <row r="3449" s="5" customFormat="1" ht="17" customHeight="1" spans="1:6">
      <c r="A3449" s="5">
        <v>3491</v>
      </c>
      <c r="B3449" s="118" t="s">
        <v>4809</v>
      </c>
      <c r="C3449" s="5">
        <f>89/30</f>
        <v>2.96666666666667</v>
      </c>
      <c r="D3449" s="136">
        <v>0</v>
      </c>
      <c r="E3449" s="137"/>
      <c r="F3449" s="138" t="s">
        <v>4810</v>
      </c>
    </row>
    <row r="3450" s="5" customFormat="1" ht="17" customHeight="1" spans="1:6">
      <c r="A3450" s="5">
        <v>3492</v>
      </c>
      <c r="B3450" s="118" t="s">
        <v>4811</v>
      </c>
      <c r="C3450" s="5">
        <f>89/30</f>
        <v>2.96666666666667</v>
      </c>
      <c r="D3450" s="136">
        <v>0</v>
      </c>
      <c r="E3450" s="137"/>
      <c r="F3450" s="138" t="s">
        <v>4812</v>
      </c>
    </row>
    <row r="3451" s="5" customFormat="1" ht="17" customHeight="1" spans="1:6">
      <c r="A3451" s="5">
        <v>3493</v>
      </c>
      <c r="B3451" s="118" t="s">
        <v>4813</v>
      </c>
      <c r="C3451" s="5">
        <f>89/30</f>
        <v>2.96666666666667</v>
      </c>
      <c r="D3451" s="136">
        <v>0</v>
      </c>
      <c r="E3451" s="137"/>
      <c r="F3451" s="138" t="s">
        <v>4814</v>
      </c>
    </row>
    <row r="3452" s="5" customFormat="1" ht="17" customHeight="1" spans="1:6">
      <c r="A3452" s="5">
        <v>3494</v>
      </c>
      <c r="B3452" s="118" t="s">
        <v>4815</v>
      </c>
      <c r="C3452" s="5">
        <f>87/30</f>
        <v>2.9</v>
      </c>
      <c r="D3452" s="136">
        <v>0</v>
      </c>
      <c r="E3452" s="137"/>
      <c r="F3452" s="138" t="s">
        <v>4816</v>
      </c>
    </row>
    <row r="3453" s="5" customFormat="1" ht="17" customHeight="1" spans="1:6">
      <c r="A3453" s="5">
        <v>3495</v>
      </c>
      <c r="B3453" s="118" t="s">
        <v>4817</v>
      </c>
      <c r="C3453" s="5">
        <f>87/30</f>
        <v>2.9</v>
      </c>
      <c r="D3453" s="136">
        <v>0</v>
      </c>
      <c r="E3453" s="137"/>
      <c r="F3453" s="138" t="s">
        <v>4818</v>
      </c>
    </row>
    <row r="3454" s="5" customFormat="1" ht="17" customHeight="1" spans="1:6">
      <c r="A3454" s="5">
        <v>3496</v>
      </c>
      <c r="B3454" s="118" t="s">
        <v>4819</v>
      </c>
      <c r="C3454" s="5">
        <f>82/30</f>
        <v>2.73333333333333</v>
      </c>
      <c r="D3454" s="136">
        <v>0</v>
      </c>
      <c r="E3454" s="137"/>
      <c r="F3454" s="138" t="s">
        <v>4820</v>
      </c>
    </row>
    <row r="3455" s="5" customFormat="1" ht="17" customHeight="1" spans="1:6">
      <c r="A3455" s="5">
        <v>3497</v>
      </c>
      <c r="B3455" s="118" t="s">
        <v>4821</v>
      </c>
      <c r="C3455" s="5">
        <f>82/30</f>
        <v>2.73333333333333</v>
      </c>
      <c r="D3455" s="136">
        <v>0</v>
      </c>
      <c r="E3455" s="137"/>
      <c r="F3455" s="138" t="s">
        <v>4822</v>
      </c>
    </row>
    <row r="3456" s="5" customFormat="1" ht="17" customHeight="1" spans="1:6">
      <c r="A3456" s="5">
        <v>3498</v>
      </c>
      <c r="B3456" s="118" t="s">
        <v>4823</v>
      </c>
      <c r="C3456" s="5">
        <f>107/30</f>
        <v>3.56666666666667</v>
      </c>
      <c r="D3456" s="136">
        <v>0</v>
      </c>
      <c r="E3456" s="137"/>
      <c r="F3456" s="138" t="s">
        <v>4824</v>
      </c>
    </row>
    <row r="3457" s="5" customFormat="1" ht="17" customHeight="1" spans="1:6">
      <c r="A3457" s="5">
        <v>3499</v>
      </c>
      <c r="B3457" s="118" t="s">
        <v>4825</v>
      </c>
      <c r="C3457" s="5">
        <f>107/30</f>
        <v>3.56666666666667</v>
      </c>
      <c r="D3457" s="136">
        <v>0</v>
      </c>
      <c r="E3457" s="137"/>
      <c r="F3457" s="138" t="s">
        <v>4826</v>
      </c>
    </row>
    <row r="3458" s="5" customFormat="1" ht="17" customHeight="1" spans="1:6">
      <c r="A3458" s="5">
        <v>3500</v>
      </c>
      <c r="B3458" s="118" t="s">
        <v>4827</v>
      </c>
      <c r="C3458" s="5">
        <f>107/30</f>
        <v>3.56666666666667</v>
      </c>
      <c r="D3458" s="136">
        <v>0</v>
      </c>
      <c r="E3458" s="137"/>
      <c r="F3458" s="138" t="s">
        <v>4826</v>
      </c>
    </row>
    <row r="3459" s="5" customFormat="1" ht="17" customHeight="1" spans="1:6">
      <c r="A3459" s="5">
        <v>3501</v>
      </c>
      <c r="B3459" s="118" t="s">
        <v>4828</v>
      </c>
      <c r="C3459" s="5">
        <v>1</v>
      </c>
      <c r="D3459" s="136">
        <v>0</v>
      </c>
      <c r="E3459" s="137"/>
      <c r="F3459" s="138" t="s">
        <v>4829</v>
      </c>
    </row>
    <row r="3460" s="5" customFormat="1" ht="17" customHeight="1" spans="1:6">
      <c r="A3460" s="5">
        <v>3502</v>
      </c>
      <c r="B3460" s="118" t="s">
        <v>4830</v>
      </c>
      <c r="C3460" s="22">
        <f>331/30</f>
        <v>11.0333333333333</v>
      </c>
      <c r="D3460" s="136">
        <v>0</v>
      </c>
      <c r="E3460" s="137"/>
      <c r="F3460" s="138" t="s">
        <v>4831</v>
      </c>
    </row>
    <row r="3461" s="5" customFormat="1" ht="17" customHeight="1" spans="1:6">
      <c r="A3461" s="5">
        <v>3503</v>
      </c>
      <c r="B3461" s="118" t="s">
        <v>4832</v>
      </c>
      <c r="C3461" s="22">
        <v>13.6666666666667</v>
      </c>
      <c r="D3461" s="136">
        <v>0</v>
      </c>
      <c r="E3461" s="137"/>
      <c r="F3461" s="138" t="s">
        <v>4833</v>
      </c>
    </row>
    <row r="3462" s="5" customFormat="1" ht="17" customHeight="1" spans="1:6">
      <c r="A3462" s="5">
        <v>3504</v>
      </c>
      <c r="B3462" s="118" t="s">
        <v>4834</v>
      </c>
      <c r="C3462" s="22">
        <v>13.6666666666667</v>
      </c>
      <c r="D3462" s="136">
        <v>0</v>
      </c>
      <c r="E3462" s="137"/>
      <c r="F3462" s="138" t="s">
        <v>4835</v>
      </c>
    </row>
    <row r="3463" s="5" customFormat="1" ht="17" customHeight="1" spans="1:6">
      <c r="A3463" s="5">
        <v>3505</v>
      </c>
      <c r="B3463" s="118" t="s">
        <v>4836</v>
      </c>
      <c r="C3463" s="22">
        <v>13.6666666666667</v>
      </c>
      <c r="D3463" s="136">
        <v>0</v>
      </c>
      <c r="E3463" s="137"/>
      <c r="F3463" s="138" t="s">
        <v>4835</v>
      </c>
    </row>
    <row r="3464" s="5" customFormat="1" ht="17" customHeight="1" spans="1:6">
      <c r="A3464" s="5">
        <v>3506</v>
      </c>
      <c r="B3464" s="118" t="s">
        <v>4837</v>
      </c>
      <c r="C3464" s="22">
        <v>12.6666666666667</v>
      </c>
      <c r="D3464" s="136">
        <v>0</v>
      </c>
      <c r="E3464" s="137"/>
      <c r="F3464" s="138" t="s">
        <v>4838</v>
      </c>
    </row>
    <row r="3465" s="5" customFormat="1" ht="17" customHeight="1" spans="1:6">
      <c r="A3465" s="5">
        <v>3507</v>
      </c>
      <c r="B3465" s="118" t="s">
        <v>4839</v>
      </c>
      <c r="C3465" s="22">
        <v>0</v>
      </c>
      <c r="D3465" s="136">
        <v>1</v>
      </c>
      <c r="E3465" s="137"/>
      <c r="F3465" s="138" t="s">
        <v>4840</v>
      </c>
    </row>
    <row r="3466" s="5" customFormat="1" ht="17" customHeight="1" spans="1:6">
      <c r="A3466" s="5">
        <v>3508</v>
      </c>
      <c r="B3466" s="118" t="s">
        <v>4841</v>
      </c>
      <c r="C3466" s="22">
        <v>0</v>
      </c>
      <c r="D3466" s="136">
        <v>1</v>
      </c>
      <c r="E3466" s="137"/>
      <c r="F3466" s="138" t="s">
        <v>4842</v>
      </c>
    </row>
    <row r="3467" s="5" customFormat="1" ht="17" customHeight="1" spans="1:6">
      <c r="A3467" s="5">
        <v>3509</v>
      </c>
      <c r="B3467" s="118" t="s">
        <v>4843</v>
      </c>
      <c r="C3467" s="22">
        <v>1.5</v>
      </c>
      <c r="D3467" s="136">
        <v>0</v>
      </c>
      <c r="E3467" s="137"/>
      <c r="F3467" s="138" t="s">
        <v>4844</v>
      </c>
    </row>
    <row r="3468" s="5" customFormat="1" ht="17" customHeight="1" spans="1:6">
      <c r="A3468" s="5">
        <v>3510</v>
      </c>
      <c r="B3468" s="118" t="s">
        <v>4845</v>
      </c>
      <c r="C3468" s="22">
        <f>90/30</f>
        <v>3</v>
      </c>
      <c r="D3468" s="136">
        <v>0</v>
      </c>
      <c r="E3468" s="137"/>
      <c r="F3468" s="138" t="s">
        <v>4846</v>
      </c>
    </row>
    <row r="3469" s="5" customFormat="1" ht="17" customHeight="1" spans="1:6">
      <c r="A3469" s="5">
        <v>3511</v>
      </c>
      <c r="B3469" s="118" t="s">
        <v>4847</v>
      </c>
      <c r="C3469" s="22">
        <v>0</v>
      </c>
      <c r="D3469" s="136">
        <v>1</v>
      </c>
      <c r="E3469" s="137"/>
      <c r="F3469" s="138" t="s">
        <v>4848</v>
      </c>
    </row>
    <row r="3470" s="20" customFormat="1" ht="17" customHeight="1" spans="1:8">
      <c r="A3470" s="5">
        <v>3512</v>
      </c>
      <c r="B3470" s="134" t="s">
        <v>4849</v>
      </c>
      <c r="C3470" s="20">
        <f>90/30</f>
        <v>3</v>
      </c>
      <c r="D3470" s="131">
        <v>0</v>
      </c>
      <c r="E3470" s="132"/>
      <c r="F3470" s="133" t="s">
        <v>4850</v>
      </c>
      <c r="G3470" s="114"/>
      <c r="H3470" s="114"/>
    </row>
    <row r="3471" s="20" customFormat="1" ht="17" customHeight="1" spans="1:8">
      <c r="A3471" s="5">
        <v>3513</v>
      </c>
      <c r="B3471" s="134" t="s">
        <v>4851</v>
      </c>
      <c r="C3471" s="20">
        <v>1</v>
      </c>
      <c r="D3471" s="131">
        <v>0</v>
      </c>
      <c r="E3471" s="132"/>
      <c r="F3471" s="133" t="s">
        <v>4852</v>
      </c>
      <c r="G3471" s="114"/>
      <c r="H3471" s="114"/>
    </row>
    <row r="3472" s="20" customFormat="1" ht="17" customHeight="1" spans="1:8">
      <c r="A3472" s="5">
        <v>3514</v>
      </c>
      <c r="B3472" s="134" t="s">
        <v>4853</v>
      </c>
      <c r="C3472" s="20">
        <f>102/30</f>
        <v>3.4</v>
      </c>
      <c r="D3472" s="131">
        <v>0</v>
      </c>
      <c r="E3472" s="132"/>
      <c r="F3472" s="133" t="s">
        <v>4854</v>
      </c>
      <c r="G3472" s="114"/>
      <c r="H3472" s="114"/>
    </row>
    <row r="3473" s="20" customFormat="1" ht="17" customHeight="1" spans="1:8">
      <c r="A3473" s="5">
        <v>3515</v>
      </c>
      <c r="B3473" s="134" t="s">
        <v>4855</v>
      </c>
      <c r="C3473" s="20">
        <v>1</v>
      </c>
      <c r="D3473" s="131">
        <v>0</v>
      </c>
      <c r="E3473" s="132"/>
      <c r="F3473" s="133" t="s">
        <v>4856</v>
      </c>
      <c r="G3473" s="114"/>
      <c r="H3473" s="114"/>
    </row>
    <row r="3474" s="20" customFormat="1" ht="17" customHeight="1" spans="1:8">
      <c r="A3474" s="5">
        <v>3516</v>
      </c>
      <c r="B3474" s="134" t="s">
        <v>4857</v>
      </c>
      <c r="C3474" s="20">
        <v>1</v>
      </c>
      <c r="D3474" s="131">
        <v>0</v>
      </c>
      <c r="E3474" s="132"/>
      <c r="F3474" s="133" t="s">
        <v>4858</v>
      </c>
      <c r="G3474" s="114"/>
      <c r="H3474" s="114"/>
    </row>
    <row r="3475" s="20" customFormat="1" ht="17" customHeight="1" spans="1:8">
      <c r="A3475" s="5">
        <v>3517</v>
      </c>
      <c r="B3475" s="134" t="s">
        <v>4859</v>
      </c>
      <c r="C3475" s="20">
        <f>76/30</f>
        <v>2.53333333333333</v>
      </c>
      <c r="D3475" s="131">
        <v>0</v>
      </c>
      <c r="E3475" s="132"/>
      <c r="F3475" s="133" t="s">
        <v>4860</v>
      </c>
      <c r="G3475" s="114"/>
      <c r="H3475" s="114"/>
    </row>
    <row r="3476" s="20" customFormat="1" ht="17" customHeight="1" spans="1:8">
      <c r="A3476" s="5">
        <v>3518</v>
      </c>
      <c r="B3476" s="134" t="s">
        <v>4861</v>
      </c>
      <c r="C3476" s="20">
        <v>1</v>
      </c>
      <c r="D3476" s="131">
        <v>0</v>
      </c>
      <c r="E3476" s="132"/>
      <c r="F3476" s="133" t="s">
        <v>4862</v>
      </c>
      <c r="G3476" s="114"/>
      <c r="H3476" s="114"/>
    </row>
    <row r="3477" s="20" customFormat="1" ht="17" customHeight="1" spans="1:8">
      <c r="A3477" s="5">
        <v>3519</v>
      </c>
      <c r="B3477" s="134" t="s">
        <v>4863</v>
      </c>
      <c r="C3477" s="20">
        <f>79/30</f>
        <v>2.63333333333333</v>
      </c>
      <c r="D3477" s="131">
        <v>0</v>
      </c>
      <c r="E3477" s="132"/>
      <c r="F3477" s="133" t="s">
        <v>4864</v>
      </c>
      <c r="G3477" s="114"/>
      <c r="H3477" s="114"/>
    </row>
    <row r="3478" s="20" customFormat="1" ht="17" customHeight="1" spans="1:8">
      <c r="A3478" s="5">
        <v>3520</v>
      </c>
      <c r="B3478" s="134" t="s">
        <v>4865</v>
      </c>
      <c r="C3478" s="20">
        <v>1</v>
      </c>
      <c r="D3478" s="131">
        <v>0</v>
      </c>
      <c r="E3478" s="132"/>
      <c r="F3478" s="133" t="s">
        <v>4866</v>
      </c>
      <c r="G3478" s="114"/>
      <c r="H3478" s="114"/>
    </row>
    <row r="3479" s="20" customFormat="1" ht="17" customHeight="1" spans="1:8">
      <c r="A3479" s="5">
        <v>3521</v>
      </c>
      <c r="B3479" s="134" t="s">
        <v>4867</v>
      </c>
      <c r="C3479" s="20">
        <f>80/30</f>
        <v>2.66666666666667</v>
      </c>
      <c r="D3479" s="131">
        <v>0</v>
      </c>
      <c r="E3479" s="132"/>
      <c r="F3479" s="133" t="s">
        <v>4868</v>
      </c>
      <c r="G3479" s="114"/>
      <c r="H3479" s="114"/>
    </row>
    <row r="3480" s="20" customFormat="1" ht="17" customHeight="1" spans="1:8">
      <c r="A3480" s="5">
        <v>3522</v>
      </c>
      <c r="B3480" s="134" t="s">
        <v>4869</v>
      </c>
      <c r="C3480" s="20">
        <v>0</v>
      </c>
      <c r="D3480" s="131">
        <v>1</v>
      </c>
      <c r="E3480" s="132"/>
      <c r="F3480" s="133" t="s">
        <v>4870</v>
      </c>
      <c r="G3480" s="114"/>
      <c r="H3480" s="114"/>
    </row>
    <row r="3481" s="20" customFormat="1" ht="17" customHeight="1" spans="1:8">
      <c r="A3481" s="5">
        <v>3523</v>
      </c>
      <c r="B3481" s="134" t="s">
        <v>4871</v>
      </c>
      <c r="C3481" s="20">
        <f>80/30</f>
        <v>2.66666666666667</v>
      </c>
      <c r="D3481" s="131">
        <v>0</v>
      </c>
      <c r="E3481" s="132"/>
      <c r="F3481" s="133" t="s">
        <v>4872</v>
      </c>
      <c r="G3481" s="114"/>
      <c r="H3481" s="114"/>
    </row>
    <row r="3482" s="20" customFormat="1" ht="17" customHeight="1" spans="1:8">
      <c r="A3482" s="5">
        <v>3524</v>
      </c>
      <c r="B3482" s="134" t="s">
        <v>4873</v>
      </c>
      <c r="C3482" s="20">
        <v>1</v>
      </c>
      <c r="D3482" s="131">
        <v>0</v>
      </c>
      <c r="E3482" s="132"/>
      <c r="F3482" s="133" t="s">
        <v>4874</v>
      </c>
      <c r="G3482" s="114"/>
      <c r="H3482" s="114"/>
    </row>
    <row r="3483" s="20" customFormat="1" ht="17" customHeight="1" spans="1:8">
      <c r="A3483" s="5">
        <v>3525</v>
      </c>
      <c r="B3483" s="134" t="s">
        <v>4875</v>
      </c>
      <c r="C3483" s="20">
        <f>68/30</f>
        <v>2.26666666666667</v>
      </c>
      <c r="D3483" s="131">
        <v>0</v>
      </c>
      <c r="E3483" s="132"/>
      <c r="F3483" s="133" t="s">
        <v>4876</v>
      </c>
      <c r="G3483" s="114"/>
      <c r="H3483" s="114"/>
    </row>
    <row r="3484" s="20" customFormat="1" ht="17" customHeight="1" spans="1:8">
      <c r="A3484" s="5">
        <v>3526</v>
      </c>
      <c r="B3484" s="134" t="s">
        <v>4877</v>
      </c>
      <c r="C3484" s="20">
        <f>68/30</f>
        <v>2.26666666666667</v>
      </c>
      <c r="D3484" s="131">
        <v>0</v>
      </c>
      <c r="E3484" s="132"/>
      <c r="F3484" s="133" t="s">
        <v>4878</v>
      </c>
      <c r="G3484" s="114"/>
      <c r="H3484" s="114"/>
    </row>
    <row r="3485" s="20" customFormat="1" ht="17" customHeight="1" spans="1:8">
      <c r="A3485" s="5">
        <v>3527</v>
      </c>
      <c r="B3485" s="134" t="s">
        <v>4879</v>
      </c>
      <c r="C3485" s="20">
        <v>1</v>
      </c>
      <c r="D3485" s="131">
        <v>0</v>
      </c>
      <c r="E3485" s="132"/>
      <c r="F3485" s="133" t="s">
        <v>4880</v>
      </c>
      <c r="G3485" s="114"/>
      <c r="H3485" s="114"/>
    </row>
    <row r="3486" s="20" customFormat="1" ht="17" customHeight="1" spans="1:8">
      <c r="A3486" s="5">
        <v>3528</v>
      </c>
      <c r="B3486" s="134" t="s">
        <v>4881</v>
      </c>
      <c r="C3486" s="20">
        <f>287/30</f>
        <v>9.56666666666667</v>
      </c>
      <c r="D3486" s="131">
        <v>0</v>
      </c>
      <c r="E3486" s="132"/>
      <c r="F3486" s="133" t="s">
        <v>4882</v>
      </c>
      <c r="G3486" s="114"/>
      <c r="H3486" s="114"/>
    </row>
    <row r="3487" s="20" customFormat="1" ht="17" customHeight="1" spans="1:8">
      <c r="A3487" s="5">
        <v>3529</v>
      </c>
      <c r="B3487" s="134" t="s">
        <v>4883</v>
      </c>
      <c r="C3487" s="20">
        <f>340/30</f>
        <v>11.3333333333333</v>
      </c>
      <c r="D3487" s="131">
        <v>0</v>
      </c>
      <c r="E3487" s="132"/>
      <c r="F3487" s="133" t="s">
        <v>4884</v>
      </c>
      <c r="G3487" s="114"/>
      <c r="H3487" s="114"/>
    </row>
    <row r="3488" s="20" customFormat="1" ht="17" customHeight="1" spans="1:8">
      <c r="A3488" s="5">
        <v>3530</v>
      </c>
      <c r="B3488" s="134" t="s">
        <v>4885</v>
      </c>
      <c r="C3488" s="20">
        <f>340/30</f>
        <v>11.3333333333333</v>
      </c>
      <c r="D3488" s="131">
        <v>0</v>
      </c>
      <c r="E3488" s="132"/>
      <c r="F3488" s="133" t="s">
        <v>4886</v>
      </c>
      <c r="G3488" s="114"/>
      <c r="H3488" s="114"/>
    </row>
    <row r="3489" s="20" customFormat="1" ht="17" customHeight="1" spans="1:8">
      <c r="A3489" s="5">
        <v>3531</v>
      </c>
      <c r="B3489" s="134" t="s">
        <v>4887</v>
      </c>
      <c r="C3489" s="20">
        <f>260/30</f>
        <v>8.66666666666667</v>
      </c>
      <c r="D3489" s="131">
        <v>0</v>
      </c>
      <c r="E3489" s="132"/>
      <c r="F3489" s="133" t="s">
        <v>4886</v>
      </c>
      <c r="G3489" s="114"/>
      <c r="H3489" s="114"/>
    </row>
    <row r="3490" s="20" customFormat="1" ht="17" customHeight="1" spans="1:8">
      <c r="A3490" s="5">
        <v>3532</v>
      </c>
      <c r="B3490" s="134" t="s">
        <v>4888</v>
      </c>
      <c r="C3490" s="20">
        <v>0</v>
      </c>
      <c r="D3490" s="131">
        <v>1</v>
      </c>
      <c r="E3490" s="132"/>
      <c r="F3490" s="133" t="s">
        <v>4889</v>
      </c>
      <c r="G3490" s="114"/>
      <c r="H3490" s="114"/>
    </row>
    <row r="3491" s="20" customFormat="1" ht="17" customHeight="1" spans="1:8">
      <c r="A3491" s="5">
        <v>3533</v>
      </c>
      <c r="B3491" s="134" t="s">
        <v>4890</v>
      </c>
      <c r="C3491" s="20">
        <f>400/30</f>
        <v>13.3333333333333</v>
      </c>
      <c r="D3491" s="131">
        <v>0</v>
      </c>
      <c r="E3491" s="132"/>
      <c r="F3491" s="133" t="s">
        <v>4891</v>
      </c>
      <c r="G3491" s="114"/>
      <c r="H3491" s="114"/>
    </row>
    <row r="3492" s="20" customFormat="1" ht="17" customHeight="1" spans="1:8">
      <c r="A3492" s="5">
        <v>3534</v>
      </c>
      <c r="B3492" s="134" t="s">
        <v>4892</v>
      </c>
      <c r="C3492" s="20">
        <f>400/30</f>
        <v>13.3333333333333</v>
      </c>
      <c r="D3492" s="131">
        <v>0</v>
      </c>
      <c r="E3492" s="132"/>
      <c r="F3492" s="133" t="s">
        <v>4893</v>
      </c>
      <c r="G3492" s="114"/>
      <c r="H3492" s="114"/>
    </row>
    <row r="3493" s="20" customFormat="1" ht="17" customHeight="1" spans="1:8">
      <c r="A3493" s="5">
        <v>3535</v>
      </c>
      <c r="B3493" s="134" t="s">
        <v>4894</v>
      </c>
      <c r="C3493" s="20">
        <f>400/30</f>
        <v>13.3333333333333</v>
      </c>
      <c r="D3493" s="131">
        <v>0</v>
      </c>
      <c r="E3493" s="132"/>
      <c r="F3493" s="133" t="s">
        <v>4893</v>
      </c>
      <c r="G3493" s="114"/>
      <c r="H3493" s="114"/>
    </row>
    <row r="3494" s="20" customFormat="1" ht="17" customHeight="1" spans="1:8">
      <c r="A3494" s="5">
        <v>3536</v>
      </c>
      <c r="B3494" s="134" t="s">
        <v>4895</v>
      </c>
      <c r="C3494" s="20">
        <f>400/30</f>
        <v>13.3333333333333</v>
      </c>
      <c r="D3494" s="131">
        <v>0</v>
      </c>
      <c r="E3494" s="132"/>
      <c r="F3494" s="133" t="s">
        <v>4893</v>
      </c>
      <c r="G3494" s="114"/>
      <c r="H3494" s="114"/>
    </row>
    <row r="3495" s="20" customFormat="1" ht="17" customHeight="1" spans="1:8">
      <c r="A3495" s="5">
        <v>3537</v>
      </c>
      <c r="B3495" s="134" t="s">
        <v>4896</v>
      </c>
      <c r="C3495" s="20">
        <f>400/30</f>
        <v>13.3333333333333</v>
      </c>
      <c r="D3495" s="131">
        <v>0</v>
      </c>
      <c r="E3495" s="132"/>
      <c r="F3495" s="133" t="s">
        <v>4893</v>
      </c>
      <c r="G3495" s="114"/>
      <c r="H3495" s="114"/>
    </row>
    <row r="3496" s="20" customFormat="1" ht="17" customHeight="1" spans="1:8">
      <c r="A3496" s="5">
        <v>3538</v>
      </c>
      <c r="B3496" s="134" t="s">
        <v>4897</v>
      </c>
      <c r="C3496" s="20">
        <v>1</v>
      </c>
      <c r="D3496" s="131">
        <v>0</v>
      </c>
      <c r="E3496" s="132"/>
      <c r="F3496" s="133" t="s">
        <v>4852</v>
      </c>
      <c r="G3496" s="114"/>
      <c r="H3496" s="114"/>
    </row>
    <row r="3497" s="20" customFormat="1" ht="17" customHeight="1" spans="1:8">
      <c r="A3497" s="5">
        <v>3539</v>
      </c>
      <c r="B3497" s="134" t="s">
        <v>4898</v>
      </c>
      <c r="C3497" s="20">
        <v>1</v>
      </c>
      <c r="D3497" s="131">
        <v>0</v>
      </c>
      <c r="E3497" s="132"/>
      <c r="F3497" s="133" t="s">
        <v>4899</v>
      </c>
      <c r="G3497" s="114"/>
      <c r="H3497" s="114"/>
    </row>
    <row r="3498" s="20" customFormat="1" ht="17" customHeight="1" spans="1:8">
      <c r="A3498" s="5">
        <v>3540</v>
      </c>
      <c r="B3498" s="134" t="s">
        <v>4900</v>
      </c>
      <c r="C3498" s="20">
        <v>1</v>
      </c>
      <c r="D3498" s="131">
        <v>0</v>
      </c>
      <c r="E3498" s="132"/>
      <c r="F3498" s="133" t="s">
        <v>4899</v>
      </c>
      <c r="G3498" s="114"/>
      <c r="H3498" s="114"/>
    </row>
    <row r="3499" s="20" customFormat="1" ht="17" customHeight="1" spans="1:8">
      <c r="A3499" s="5">
        <v>3541</v>
      </c>
      <c r="B3499" s="134" t="s">
        <v>4901</v>
      </c>
      <c r="C3499" s="20">
        <v>1</v>
      </c>
      <c r="D3499" s="131">
        <v>0</v>
      </c>
      <c r="E3499" s="132"/>
      <c r="F3499" s="133" t="s">
        <v>4899</v>
      </c>
      <c r="G3499" s="114"/>
      <c r="H3499" s="114"/>
    </row>
    <row r="3500" s="20" customFormat="1" ht="17" customHeight="1" spans="1:8">
      <c r="A3500" s="5">
        <v>3542</v>
      </c>
      <c r="B3500" s="134" t="s">
        <v>4902</v>
      </c>
      <c r="C3500" s="20">
        <v>1</v>
      </c>
      <c r="D3500" s="131">
        <v>0</v>
      </c>
      <c r="E3500" s="132"/>
      <c r="F3500" s="133" t="s">
        <v>4899</v>
      </c>
      <c r="G3500" s="114"/>
      <c r="H3500" s="114"/>
    </row>
    <row r="3501" s="20" customFormat="1" ht="17" customHeight="1" spans="1:8">
      <c r="A3501" s="5">
        <v>3543</v>
      </c>
      <c r="B3501" s="134" t="s">
        <v>4903</v>
      </c>
      <c r="C3501" s="22">
        <v>13.6666666666667</v>
      </c>
      <c r="D3501" s="131">
        <v>0</v>
      </c>
      <c r="E3501" s="132"/>
      <c r="F3501" s="133" t="s">
        <v>4904</v>
      </c>
      <c r="G3501" s="114"/>
      <c r="H3501" s="114"/>
    </row>
    <row r="3502" s="20" customFormat="1" ht="17" customHeight="1" spans="1:8">
      <c r="A3502" s="5">
        <v>3544</v>
      </c>
      <c r="B3502" s="134" t="s">
        <v>4905</v>
      </c>
      <c r="C3502" s="22">
        <f>75/30</f>
        <v>2.5</v>
      </c>
      <c r="D3502" s="131">
        <v>0</v>
      </c>
      <c r="E3502" s="132"/>
      <c r="F3502" s="133" t="s">
        <v>4906</v>
      </c>
      <c r="G3502" s="114"/>
      <c r="H3502" s="114"/>
    </row>
    <row r="3503" s="20" customFormat="1" ht="17" customHeight="1" spans="1:8">
      <c r="A3503" s="5">
        <v>3545</v>
      </c>
      <c r="B3503" s="134" t="s">
        <v>4907</v>
      </c>
      <c r="C3503" s="22">
        <v>2.5</v>
      </c>
      <c r="D3503" s="131">
        <v>0</v>
      </c>
      <c r="E3503" s="132"/>
      <c r="F3503" s="133" t="s">
        <v>4908</v>
      </c>
      <c r="G3503" s="114"/>
      <c r="H3503" s="114"/>
    </row>
    <row r="3504" s="20" customFormat="1" ht="17" customHeight="1" spans="1:8">
      <c r="A3504" s="5">
        <v>3546</v>
      </c>
      <c r="B3504" s="134" t="s">
        <v>4909</v>
      </c>
      <c r="C3504" s="22">
        <v>2.5</v>
      </c>
      <c r="D3504" s="131">
        <v>0</v>
      </c>
      <c r="E3504" s="132"/>
      <c r="F3504" s="133" t="s">
        <v>4908</v>
      </c>
      <c r="G3504" s="114"/>
      <c r="H3504" s="114"/>
    </row>
    <row r="3505" s="20" customFormat="1" ht="17" customHeight="1" spans="1:8">
      <c r="A3505" s="5">
        <v>3547</v>
      </c>
      <c r="B3505" s="134" t="s">
        <v>4910</v>
      </c>
      <c r="C3505" s="22">
        <v>15</v>
      </c>
      <c r="D3505" s="131">
        <v>0</v>
      </c>
      <c r="E3505" s="132"/>
      <c r="F3505" s="133" t="s">
        <v>4911</v>
      </c>
      <c r="G3505" s="114"/>
      <c r="H3505" s="114"/>
    </row>
    <row r="3506" s="20" customFormat="1" ht="17" customHeight="1" spans="1:8">
      <c r="A3506" s="5">
        <v>3548</v>
      </c>
      <c r="B3506" s="134" t="s">
        <v>4912</v>
      </c>
      <c r="C3506" s="22">
        <v>15</v>
      </c>
      <c r="D3506" s="131">
        <v>0</v>
      </c>
      <c r="E3506" s="132"/>
      <c r="F3506" s="133" t="s">
        <v>4911</v>
      </c>
      <c r="G3506" s="114"/>
      <c r="H3506" s="114"/>
    </row>
    <row r="3507" s="20" customFormat="1" ht="17" customHeight="1" spans="1:8">
      <c r="A3507" s="5">
        <v>3549</v>
      </c>
      <c r="B3507" s="134" t="s">
        <v>4913</v>
      </c>
      <c r="C3507" s="22">
        <v>15</v>
      </c>
      <c r="D3507" s="131">
        <v>0</v>
      </c>
      <c r="E3507" s="132"/>
      <c r="F3507" s="133" t="s">
        <v>4911</v>
      </c>
      <c r="G3507" s="114"/>
      <c r="H3507" s="114"/>
    </row>
    <row r="3508" s="20" customFormat="1" ht="17" customHeight="1" spans="1:8">
      <c r="A3508" s="5">
        <v>3550</v>
      </c>
      <c r="B3508" s="134" t="s">
        <v>4914</v>
      </c>
      <c r="C3508" s="22">
        <v>15</v>
      </c>
      <c r="D3508" s="131">
        <v>0</v>
      </c>
      <c r="E3508" s="132"/>
      <c r="F3508" s="133" t="s">
        <v>4911</v>
      </c>
      <c r="G3508" s="114"/>
      <c r="H3508" s="114"/>
    </row>
    <row r="3509" s="20" customFormat="1" ht="17" customHeight="1" spans="1:8">
      <c r="A3509" s="5">
        <v>3551</v>
      </c>
      <c r="B3509" s="134" t="s">
        <v>4915</v>
      </c>
      <c r="C3509" s="22">
        <v>15</v>
      </c>
      <c r="D3509" s="131">
        <v>0</v>
      </c>
      <c r="E3509" s="132"/>
      <c r="F3509" s="133" t="s">
        <v>4911</v>
      </c>
      <c r="G3509" s="114"/>
      <c r="H3509" s="114"/>
    </row>
    <row r="3510" s="20" customFormat="1" ht="17" customHeight="1" spans="1:8">
      <c r="A3510" s="5">
        <v>3552</v>
      </c>
      <c r="B3510" s="134" t="s">
        <v>4916</v>
      </c>
      <c r="C3510" s="22">
        <f>69/30</f>
        <v>2.3</v>
      </c>
      <c r="D3510" s="131">
        <v>0</v>
      </c>
      <c r="E3510" s="132"/>
      <c r="F3510" s="133" t="s">
        <v>4917</v>
      </c>
      <c r="G3510" s="114"/>
      <c r="H3510" s="114"/>
    </row>
    <row r="3511" s="20" customFormat="1" ht="17" customHeight="1" spans="1:8">
      <c r="A3511" s="5">
        <v>3553</v>
      </c>
      <c r="B3511" s="134" t="s">
        <v>4918</v>
      </c>
      <c r="C3511" s="22">
        <v>1</v>
      </c>
      <c r="D3511" s="131">
        <v>0</v>
      </c>
      <c r="E3511" s="132"/>
      <c r="F3511" s="133" t="s">
        <v>4919</v>
      </c>
      <c r="G3511" s="114"/>
      <c r="H3511" s="114"/>
    </row>
    <row r="3512" s="20" customFormat="1" ht="17" customHeight="1" spans="1:8">
      <c r="A3512" s="5">
        <v>3554</v>
      </c>
      <c r="B3512" s="134" t="s">
        <v>4920</v>
      </c>
      <c r="C3512" s="22">
        <f>81/30</f>
        <v>2.7</v>
      </c>
      <c r="D3512" s="131">
        <v>0</v>
      </c>
      <c r="E3512" s="132"/>
      <c r="F3512" s="133" t="s">
        <v>4921</v>
      </c>
      <c r="G3512" s="114"/>
      <c r="H3512" s="114"/>
    </row>
    <row r="3513" s="20" customFormat="1" ht="17" customHeight="1" spans="1:8">
      <c r="A3513" s="5">
        <v>3555</v>
      </c>
      <c r="B3513" s="134" t="s">
        <v>4922</v>
      </c>
      <c r="C3513" s="22">
        <f>81/30</f>
        <v>2.7</v>
      </c>
      <c r="D3513" s="131">
        <v>0</v>
      </c>
      <c r="E3513" s="132"/>
      <c r="F3513" s="133" t="s">
        <v>4921</v>
      </c>
      <c r="G3513" s="114"/>
      <c r="H3513" s="114"/>
    </row>
    <row r="3514" s="20" customFormat="1" ht="17" customHeight="1" spans="1:8">
      <c r="A3514" s="5">
        <v>3556</v>
      </c>
      <c r="B3514" s="134" t="s">
        <v>4923</v>
      </c>
      <c r="C3514" s="22">
        <f>77/30</f>
        <v>2.56666666666667</v>
      </c>
      <c r="D3514" s="131">
        <v>0</v>
      </c>
      <c r="E3514" s="132"/>
      <c r="F3514" s="133" t="s">
        <v>4924</v>
      </c>
      <c r="G3514" s="114"/>
      <c r="H3514" s="114"/>
    </row>
    <row r="3515" s="20" customFormat="1" ht="17" customHeight="1" spans="1:8">
      <c r="A3515" s="5">
        <v>3557</v>
      </c>
      <c r="B3515" s="134" t="s">
        <v>4925</v>
      </c>
      <c r="C3515" s="22">
        <f>77/30</f>
        <v>2.56666666666667</v>
      </c>
      <c r="D3515" s="131">
        <v>0</v>
      </c>
      <c r="E3515" s="132"/>
      <c r="F3515" s="133" t="s">
        <v>4926</v>
      </c>
      <c r="G3515" s="114"/>
      <c r="H3515" s="114"/>
    </row>
    <row r="3516" s="20" customFormat="1" ht="17" customHeight="1" spans="1:8">
      <c r="A3516" s="5">
        <v>3558</v>
      </c>
      <c r="B3516" s="134" t="s">
        <v>4927</v>
      </c>
      <c r="C3516" s="22">
        <v>1</v>
      </c>
      <c r="D3516" s="131">
        <v>0</v>
      </c>
      <c r="E3516" s="132"/>
      <c r="F3516" s="133" t="s">
        <v>4928</v>
      </c>
      <c r="G3516" s="114"/>
      <c r="H3516" s="114"/>
    </row>
    <row r="3517" s="20" customFormat="1" ht="17" customHeight="1" spans="1:8">
      <c r="A3517" s="5">
        <v>3559</v>
      </c>
      <c r="B3517" s="134" t="s">
        <v>4929</v>
      </c>
      <c r="C3517" s="22">
        <f>303/30</f>
        <v>10.1</v>
      </c>
      <c r="D3517" s="131">
        <v>0</v>
      </c>
      <c r="E3517" s="132"/>
      <c r="F3517" s="133" t="s">
        <v>4930</v>
      </c>
      <c r="G3517" s="114"/>
      <c r="H3517" s="114"/>
    </row>
    <row r="3518" s="20" customFormat="1" ht="17" customHeight="1" spans="1:8">
      <c r="A3518" s="5">
        <v>3560</v>
      </c>
      <c r="B3518" s="134" t="s">
        <v>4931</v>
      </c>
      <c r="C3518" s="22">
        <f>395/30</f>
        <v>13.1666666666667</v>
      </c>
      <c r="D3518" s="131">
        <v>0</v>
      </c>
      <c r="E3518" s="132"/>
      <c r="F3518" s="133" t="s">
        <v>4932</v>
      </c>
      <c r="G3518" s="114"/>
      <c r="H3518" s="114"/>
    </row>
    <row r="3519" s="20" customFormat="1" ht="17" customHeight="1" spans="1:8">
      <c r="A3519" s="5">
        <v>3561</v>
      </c>
      <c r="B3519" s="134" t="s">
        <v>4933</v>
      </c>
      <c r="C3519" s="22">
        <f>395/30</f>
        <v>13.1666666666667</v>
      </c>
      <c r="D3519" s="131">
        <v>0</v>
      </c>
      <c r="E3519" s="132"/>
      <c r="F3519" s="133" t="s">
        <v>4934</v>
      </c>
      <c r="G3519" s="114"/>
      <c r="H3519" s="114"/>
    </row>
    <row r="3520" s="20" customFormat="1" ht="17" customHeight="1" spans="1:8">
      <c r="A3520" s="5">
        <v>3562</v>
      </c>
      <c r="B3520" s="134" t="s">
        <v>4935</v>
      </c>
      <c r="C3520" s="22">
        <f>395/30</f>
        <v>13.1666666666667</v>
      </c>
      <c r="D3520" s="131">
        <v>0</v>
      </c>
      <c r="E3520" s="132"/>
      <c r="F3520" s="133" t="s">
        <v>4934</v>
      </c>
      <c r="G3520" s="114"/>
      <c r="H3520" s="114"/>
    </row>
    <row r="3521" s="20" customFormat="1" ht="17" customHeight="1" spans="1:8">
      <c r="A3521" s="5">
        <v>3563</v>
      </c>
      <c r="B3521" s="134" t="s">
        <v>4936</v>
      </c>
      <c r="C3521" s="22">
        <f>395/30</f>
        <v>13.1666666666667</v>
      </c>
      <c r="D3521" s="131">
        <v>0</v>
      </c>
      <c r="E3521" s="132"/>
      <c r="F3521" s="133" t="s">
        <v>4934</v>
      </c>
      <c r="G3521" s="114"/>
      <c r="H3521" s="114"/>
    </row>
    <row r="3522" s="20" customFormat="1" ht="17" customHeight="1" spans="1:8">
      <c r="A3522" s="5">
        <v>3564</v>
      </c>
      <c r="B3522" s="134" t="s">
        <v>4937</v>
      </c>
      <c r="C3522" s="22">
        <v>2</v>
      </c>
      <c r="D3522" s="131">
        <v>0</v>
      </c>
      <c r="E3522" s="132"/>
      <c r="F3522" s="133" t="s">
        <v>4938</v>
      </c>
      <c r="G3522" s="114"/>
      <c r="H3522" s="114"/>
    </row>
    <row r="3523" s="20" customFormat="1" ht="17" customHeight="1" spans="1:8">
      <c r="A3523" s="5">
        <v>3565</v>
      </c>
      <c r="B3523" s="134" t="s">
        <v>4939</v>
      </c>
      <c r="C3523" s="22">
        <v>0</v>
      </c>
      <c r="D3523" s="131">
        <v>1</v>
      </c>
      <c r="E3523" s="132"/>
      <c r="F3523" s="133" t="s">
        <v>4938</v>
      </c>
      <c r="G3523" s="114"/>
      <c r="H3523" s="114"/>
    </row>
    <row r="3524" s="20" customFormat="1" ht="17" customHeight="1" spans="1:8">
      <c r="A3524" s="5">
        <v>3566</v>
      </c>
      <c r="B3524" s="134" t="s">
        <v>4940</v>
      </c>
      <c r="C3524" s="20">
        <v>4.73333333333333</v>
      </c>
      <c r="D3524" s="131">
        <v>0</v>
      </c>
      <c r="E3524" s="132"/>
      <c r="F3524" s="133" t="s">
        <v>4941</v>
      </c>
      <c r="G3524" s="114"/>
      <c r="H3524" s="114"/>
    </row>
    <row r="3525" s="20" customFormat="1" ht="17" customHeight="1" spans="1:8">
      <c r="A3525" s="5">
        <v>3567</v>
      </c>
      <c r="B3525" s="134" t="s">
        <v>4942</v>
      </c>
      <c r="C3525" s="20">
        <v>4.73333333333333</v>
      </c>
      <c r="D3525" s="131">
        <v>0</v>
      </c>
      <c r="E3525" s="132"/>
      <c r="F3525" s="133" t="s">
        <v>4943</v>
      </c>
      <c r="G3525" s="114"/>
      <c r="H3525" s="114"/>
    </row>
    <row r="3526" s="20" customFormat="1" ht="17" customHeight="1" spans="1:8">
      <c r="A3526" s="5">
        <v>3568</v>
      </c>
      <c r="B3526" s="134" t="s">
        <v>4944</v>
      </c>
      <c r="C3526" s="20">
        <v>4.73333333333333</v>
      </c>
      <c r="D3526" s="131">
        <v>0</v>
      </c>
      <c r="E3526" s="132"/>
      <c r="F3526" s="133" t="s">
        <v>4943</v>
      </c>
      <c r="G3526" s="114"/>
      <c r="H3526" s="114"/>
    </row>
    <row r="3527" s="20" customFormat="1" ht="17" customHeight="1" spans="1:8">
      <c r="A3527" s="5">
        <v>3569</v>
      </c>
      <c r="B3527" s="134" t="s">
        <v>4945</v>
      </c>
      <c r="C3527" s="22">
        <v>0</v>
      </c>
      <c r="D3527" s="131">
        <v>1</v>
      </c>
      <c r="E3527" s="132"/>
      <c r="F3527" s="133" t="s">
        <v>4946</v>
      </c>
      <c r="G3527" s="114"/>
      <c r="H3527" s="114"/>
    </row>
    <row r="3528" s="20" customFormat="1" ht="17" customHeight="1" spans="1:8">
      <c r="A3528" s="5">
        <v>3570</v>
      </c>
      <c r="B3528" s="134" t="s">
        <v>4947</v>
      </c>
      <c r="C3528" s="22">
        <f>81/30</f>
        <v>2.7</v>
      </c>
      <c r="D3528" s="131">
        <v>0</v>
      </c>
      <c r="E3528" s="132"/>
      <c r="F3528" s="139" t="s">
        <v>4948</v>
      </c>
      <c r="G3528" s="114"/>
      <c r="H3528" s="114"/>
    </row>
    <row r="3529" s="20" customFormat="1" ht="17" customHeight="1" spans="1:8">
      <c r="A3529" s="5">
        <v>3571</v>
      </c>
      <c r="B3529" s="134" t="s">
        <v>4949</v>
      </c>
      <c r="C3529" s="22">
        <f>81/30</f>
        <v>2.7</v>
      </c>
      <c r="D3529" s="131">
        <v>0</v>
      </c>
      <c r="E3529" s="132"/>
      <c r="F3529" s="139" t="s">
        <v>4948</v>
      </c>
      <c r="G3529" s="114"/>
      <c r="H3529" s="114"/>
    </row>
    <row r="3530" s="20" customFormat="1" ht="17" customHeight="1" spans="1:8">
      <c r="A3530" s="5">
        <v>3572</v>
      </c>
      <c r="B3530" s="134" t="s">
        <v>4950</v>
      </c>
      <c r="C3530" s="22">
        <f>385/30</f>
        <v>12.8333333333333</v>
      </c>
      <c r="D3530" s="131">
        <v>0</v>
      </c>
      <c r="E3530" s="132"/>
      <c r="F3530" s="132" t="s">
        <v>4951</v>
      </c>
      <c r="G3530" s="114"/>
      <c r="H3530" s="114"/>
    </row>
    <row r="3531" s="20" customFormat="1" ht="17" customHeight="1" spans="1:8">
      <c r="A3531" s="5">
        <v>3573</v>
      </c>
      <c r="B3531" s="134" t="s">
        <v>4952</v>
      </c>
      <c r="C3531" s="22">
        <f>385/30</f>
        <v>12.8333333333333</v>
      </c>
      <c r="D3531" s="131">
        <v>0</v>
      </c>
      <c r="E3531" s="132"/>
      <c r="F3531" s="132" t="s">
        <v>4953</v>
      </c>
      <c r="G3531" s="114"/>
      <c r="H3531" s="114"/>
    </row>
    <row r="3532" s="20" customFormat="1" ht="17" customHeight="1" spans="1:8">
      <c r="A3532" s="5">
        <v>3574</v>
      </c>
      <c r="B3532" s="134" t="s">
        <v>4939</v>
      </c>
      <c r="C3532" s="22">
        <f>385/30</f>
        <v>12.8333333333333</v>
      </c>
      <c r="D3532" s="131">
        <v>0</v>
      </c>
      <c r="E3532" s="132"/>
      <c r="F3532" s="132" t="s">
        <v>4938</v>
      </c>
      <c r="G3532" s="114"/>
      <c r="H3532" s="114"/>
    </row>
    <row r="3533" s="20" customFormat="1" ht="17" customHeight="1" spans="1:8">
      <c r="A3533" s="5">
        <v>3575</v>
      </c>
      <c r="B3533" s="134" t="s">
        <v>4954</v>
      </c>
      <c r="C3533" s="22">
        <f>112/30</f>
        <v>3.73333333333333</v>
      </c>
      <c r="D3533" s="131">
        <v>0</v>
      </c>
      <c r="E3533" s="132"/>
      <c r="F3533" s="132" t="s">
        <v>4955</v>
      </c>
      <c r="G3533" s="114"/>
      <c r="H3533" s="114"/>
    </row>
    <row r="3534" s="20" customFormat="1" ht="17" customHeight="1" spans="1:8">
      <c r="A3534" s="5">
        <v>3576</v>
      </c>
      <c r="B3534" s="134" t="s">
        <v>4956</v>
      </c>
      <c r="C3534" s="22">
        <v>1</v>
      </c>
      <c r="D3534" s="131">
        <v>0</v>
      </c>
      <c r="E3534" s="132"/>
      <c r="F3534" s="132" t="s">
        <v>4955</v>
      </c>
      <c r="G3534" s="114"/>
      <c r="H3534" s="114"/>
    </row>
    <row r="3535" s="20" customFormat="1" ht="17" customHeight="1" spans="1:8">
      <c r="A3535" s="5">
        <v>3577</v>
      </c>
      <c r="B3535" s="134" t="s">
        <v>4957</v>
      </c>
      <c r="C3535" s="22">
        <v>1</v>
      </c>
      <c r="D3535" s="131">
        <v>0</v>
      </c>
      <c r="E3535" s="132"/>
      <c r="F3535" s="132" t="s">
        <v>4955</v>
      </c>
      <c r="G3535" s="114"/>
      <c r="H3535" s="114"/>
    </row>
    <row r="3536" s="20" customFormat="1" ht="17" customHeight="1" spans="1:8">
      <c r="A3536" s="5">
        <v>3578</v>
      </c>
      <c r="B3536" s="134" t="s">
        <v>4958</v>
      </c>
      <c r="C3536" s="22">
        <v>0</v>
      </c>
      <c r="D3536" s="131">
        <v>1</v>
      </c>
      <c r="E3536" s="132"/>
      <c r="F3536" s="132" t="s">
        <v>4959</v>
      </c>
      <c r="G3536" s="114"/>
      <c r="H3536" s="114"/>
    </row>
    <row r="3537" s="20" customFormat="1" ht="17" customHeight="1" spans="1:8">
      <c r="A3537" s="5">
        <v>3579</v>
      </c>
      <c r="B3537" s="134" t="s">
        <v>4960</v>
      </c>
      <c r="C3537" s="22">
        <f>560/30</f>
        <v>18.6666666666667</v>
      </c>
      <c r="D3537" s="131">
        <v>0</v>
      </c>
      <c r="E3537" s="132"/>
      <c r="F3537" s="132" t="s">
        <v>4961</v>
      </c>
      <c r="G3537" s="114"/>
      <c r="H3537" s="114"/>
    </row>
    <row r="3538" s="20" customFormat="1" ht="17" customHeight="1" spans="1:8">
      <c r="A3538" s="5">
        <v>3580</v>
      </c>
      <c r="B3538" s="134" t="s">
        <v>4962</v>
      </c>
      <c r="C3538" s="22">
        <f t="shared" ref="C3538:C3547" si="28">560/30</f>
        <v>18.6666666666667</v>
      </c>
      <c r="D3538" s="131">
        <v>0</v>
      </c>
      <c r="E3538" s="132"/>
      <c r="F3538" s="132" t="s">
        <v>4963</v>
      </c>
      <c r="G3538" s="114"/>
      <c r="H3538" s="114"/>
    </row>
    <row r="3539" s="20" customFormat="1" ht="17" customHeight="1" spans="1:8">
      <c r="A3539" s="5">
        <v>3581</v>
      </c>
      <c r="B3539" s="134" t="s">
        <v>4964</v>
      </c>
      <c r="C3539" s="22">
        <f t="shared" si="28"/>
        <v>18.6666666666667</v>
      </c>
      <c r="D3539" s="131">
        <v>0</v>
      </c>
      <c r="E3539" s="132"/>
      <c r="F3539" s="132" t="s">
        <v>4963</v>
      </c>
      <c r="G3539" s="114"/>
      <c r="H3539" s="114"/>
    </row>
    <row r="3540" s="20" customFormat="1" ht="17" customHeight="1" spans="1:8">
      <c r="A3540" s="5">
        <v>3582</v>
      </c>
      <c r="B3540" s="134" t="s">
        <v>4965</v>
      </c>
      <c r="C3540" s="22">
        <f t="shared" si="28"/>
        <v>18.6666666666667</v>
      </c>
      <c r="D3540" s="131">
        <v>0</v>
      </c>
      <c r="E3540" s="132"/>
      <c r="F3540" s="132" t="s">
        <v>4963</v>
      </c>
      <c r="G3540" s="114"/>
      <c r="H3540" s="114"/>
    </row>
    <row r="3541" s="20" customFormat="1" ht="17" customHeight="1" spans="1:8">
      <c r="A3541" s="5">
        <v>3583</v>
      </c>
      <c r="B3541" s="134" t="s">
        <v>4966</v>
      </c>
      <c r="C3541" s="22">
        <f t="shared" si="28"/>
        <v>18.6666666666667</v>
      </c>
      <c r="D3541" s="131">
        <v>0</v>
      </c>
      <c r="E3541" s="132"/>
      <c r="F3541" s="132" t="s">
        <v>4963</v>
      </c>
      <c r="G3541" s="114"/>
      <c r="H3541" s="114"/>
    </row>
    <row r="3542" s="20" customFormat="1" ht="17" customHeight="1" spans="1:8">
      <c r="A3542" s="5">
        <v>3584</v>
      </c>
      <c r="B3542" s="134" t="s">
        <v>4967</v>
      </c>
      <c r="C3542" s="22">
        <f t="shared" si="28"/>
        <v>18.6666666666667</v>
      </c>
      <c r="D3542" s="131">
        <v>0</v>
      </c>
      <c r="E3542" s="132"/>
      <c r="F3542" s="132" t="s">
        <v>4963</v>
      </c>
      <c r="G3542" s="114"/>
      <c r="H3542" s="114"/>
    </row>
    <row r="3543" s="20" customFormat="1" ht="17" customHeight="1" spans="1:8">
      <c r="A3543" s="5">
        <v>3585</v>
      </c>
      <c r="B3543" s="134" t="s">
        <v>4968</v>
      </c>
      <c r="C3543" s="22">
        <f t="shared" si="28"/>
        <v>18.6666666666667</v>
      </c>
      <c r="D3543" s="131">
        <v>0</v>
      </c>
      <c r="E3543" s="132"/>
      <c r="F3543" s="132" t="s">
        <v>4963</v>
      </c>
      <c r="G3543" s="114"/>
      <c r="H3543" s="114"/>
    </row>
    <row r="3544" s="20" customFormat="1" ht="17" customHeight="1" spans="1:8">
      <c r="A3544" s="5">
        <v>3586</v>
      </c>
      <c r="B3544" s="134" t="s">
        <v>4969</v>
      </c>
      <c r="C3544" s="22">
        <f t="shared" si="28"/>
        <v>18.6666666666667</v>
      </c>
      <c r="D3544" s="131">
        <v>0</v>
      </c>
      <c r="E3544" s="132"/>
      <c r="F3544" s="132" t="s">
        <v>4963</v>
      </c>
      <c r="G3544" s="114"/>
      <c r="H3544" s="114"/>
    </row>
    <row r="3545" s="20" customFormat="1" ht="17" customHeight="1" spans="1:8">
      <c r="A3545" s="5">
        <v>3587</v>
      </c>
      <c r="B3545" s="134" t="s">
        <v>4970</v>
      </c>
      <c r="C3545" s="22">
        <f t="shared" si="28"/>
        <v>18.6666666666667</v>
      </c>
      <c r="D3545" s="131">
        <v>0</v>
      </c>
      <c r="E3545" s="132"/>
      <c r="F3545" s="132" t="s">
        <v>4963</v>
      </c>
      <c r="G3545" s="114"/>
      <c r="H3545" s="114"/>
    </row>
    <row r="3546" s="20" customFormat="1" ht="17" customHeight="1" spans="1:8">
      <c r="A3546" s="5">
        <v>3588</v>
      </c>
      <c r="B3546" s="134" t="s">
        <v>4971</v>
      </c>
      <c r="C3546" s="22">
        <f t="shared" si="28"/>
        <v>18.6666666666667</v>
      </c>
      <c r="D3546" s="131">
        <v>0</v>
      </c>
      <c r="E3546" s="132"/>
      <c r="F3546" s="132" t="s">
        <v>4963</v>
      </c>
      <c r="G3546" s="114"/>
      <c r="H3546" s="114"/>
    </row>
    <row r="3547" s="20" customFormat="1" ht="17" customHeight="1" spans="1:8">
      <c r="A3547" s="5">
        <v>3589</v>
      </c>
      <c r="B3547" s="134" t="s">
        <v>4972</v>
      </c>
      <c r="C3547" s="22">
        <f t="shared" si="28"/>
        <v>18.6666666666667</v>
      </c>
      <c r="D3547" s="131">
        <v>0</v>
      </c>
      <c r="E3547" s="132"/>
      <c r="F3547" s="132" t="s">
        <v>4973</v>
      </c>
      <c r="G3547" s="114"/>
      <c r="H3547" s="114"/>
    </row>
    <row r="3548" s="20" customFormat="1" ht="17" customHeight="1" spans="1:8">
      <c r="A3548" s="5">
        <v>3590</v>
      </c>
      <c r="B3548" s="134" t="s">
        <v>4974</v>
      </c>
      <c r="C3548" s="22">
        <f>385/30</f>
        <v>12.8333333333333</v>
      </c>
      <c r="D3548" s="131">
        <v>0</v>
      </c>
      <c r="E3548" s="132"/>
      <c r="F3548" s="132" t="s">
        <v>4975</v>
      </c>
      <c r="G3548" s="114"/>
      <c r="H3548" s="114"/>
    </row>
    <row r="3549" s="20" customFormat="1" ht="17" customHeight="1" spans="1:8">
      <c r="A3549" s="5">
        <v>3591</v>
      </c>
      <c r="B3549" s="134" t="s">
        <v>4976</v>
      </c>
      <c r="C3549" s="22">
        <f>52/30</f>
        <v>1.73333333333333</v>
      </c>
      <c r="D3549" s="131">
        <v>0</v>
      </c>
      <c r="E3549" s="132"/>
      <c r="F3549" s="132" t="s">
        <v>4977</v>
      </c>
      <c r="G3549" s="114"/>
      <c r="H3549" s="114"/>
    </row>
    <row r="3550" s="20" customFormat="1" ht="17" customHeight="1" spans="1:8">
      <c r="A3550" s="5">
        <v>3592</v>
      </c>
      <c r="B3550" s="134" t="s">
        <v>4978</v>
      </c>
      <c r="C3550" s="22">
        <f>52/30</f>
        <v>1.73333333333333</v>
      </c>
      <c r="D3550" s="131">
        <v>0</v>
      </c>
      <c r="E3550" s="132"/>
      <c r="F3550" s="132" t="s">
        <v>4979</v>
      </c>
      <c r="G3550" s="114"/>
      <c r="H3550" s="114"/>
    </row>
    <row r="3551" s="20" customFormat="1" ht="17" customHeight="1" spans="1:8">
      <c r="A3551" s="5">
        <v>3593</v>
      </c>
      <c r="B3551" s="134" t="s">
        <v>4980</v>
      </c>
      <c r="C3551" s="22">
        <f>55/30</f>
        <v>1.83333333333333</v>
      </c>
      <c r="D3551" s="131">
        <v>0</v>
      </c>
      <c r="E3551" s="132"/>
      <c r="F3551" s="132" t="s">
        <v>4981</v>
      </c>
      <c r="G3551" s="114"/>
      <c r="H3551" s="114"/>
    </row>
    <row r="3552" s="20" customFormat="1" ht="17" customHeight="1" spans="1:8">
      <c r="A3552" s="5">
        <v>3594</v>
      </c>
      <c r="B3552" s="134" t="s">
        <v>4982</v>
      </c>
      <c r="C3552" s="22">
        <f>55/30</f>
        <v>1.83333333333333</v>
      </c>
      <c r="D3552" s="131">
        <v>0</v>
      </c>
      <c r="E3552" s="132"/>
      <c r="F3552" s="132" t="s">
        <v>4983</v>
      </c>
      <c r="G3552" s="114"/>
      <c r="H3552" s="114"/>
    </row>
    <row r="3553" s="20" customFormat="1" ht="17" customHeight="1" spans="1:8">
      <c r="A3553" s="5">
        <v>3595</v>
      </c>
      <c r="B3553" s="134" t="s">
        <v>4984</v>
      </c>
      <c r="C3553" s="22">
        <f>67/30</f>
        <v>2.23333333333333</v>
      </c>
      <c r="D3553" s="131">
        <v>0</v>
      </c>
      <c r="E3553" s="132"/>
      <c r="F3553" s="132" t="s">
        <v>4985</v>
      </c>
      <c r="G3553" s="114"/>
      <c r="H3553" s="114"/>
    </row>
    <row r="3554" s="20" customFormat="1" ht="17" customHeight="1" spans="1:8">
      <c r="A3554" s="5">
        <v>3596</v>
      </c>
      <c r="B3554" s="134" t="s">
        <v>4986</v>
      </c>
      <c r="C3554" s="22">
        <f>67/30</f>
        <v>2.23333333333333</v>
      </c>
      <c r="D3554" s="131">
        <v>0</v>
      </c>
      <c r="E3554" s="132"/>
      <c r="F3554" s="132" t="s">
        <v>4987</v>
      </c>
      <c r="G3554" s="114"/>
      <c r="H3554" s="114"/>
    </row>
    <row r="3555" s="20" customFormat="1" ht="17" customHeight="1" spans="1:8">
      <c r="A3555" s="5">
        <v>3597</v>
      </c>
      <c r="B3555" s="134" t="s">
        <v>4988</v>
      </c>
      <c r="C3555" s="22">
        <f>46/30</f>
        <v>1.53333333333333</v>
      </c>
      <c r="D3555" s="131">
        <v>0</v>
      </c>
      <c r="E3555" s="132"/>
      <c r="F3555" s="132" t="s">
        <v>4989</v>
      </c>
      <c r="G3555" s="114"/>
      <c r="H3555" s="114"/>
    </row>
    <row r="3556" s="20" customFormat="1" ht="17" customHeight="1" spans="1:8">
      <c r="A3556" s="5">
        <v>3598</v>
      </c>
      <c r="B3556" s="134" t="s">
        <v>4990</v>
      </c>
      <c r="C3556" s="22">
        <f>42/30</f>
        <v>1.4</v>
      </c>
      <c r="D3556" s="131">
        <v>0</v>
      </c>
      <c r="E3556" s="132"/>
      <c r="F3556" s="132" t="s">
        <v>4991</v>
      </c>
      <c r="G3556" s="114"/>
      <c r="H3556" s="114"/>
    </row>
    <row r="3557" s="20" customFormat="1" ht="17" customHeight="1" spans="1:8">
      <c r="A3557" s="5">
        <v>3599</v>
      </c>
      <c r="B3557" s="134" t="s">
        <v>4992</v>
      </c>
      <c r="C3557" s="22">
        <f>54/30</f>
        <v>1.8</v>
      </c>
      <c r="D3557" s="131">
        <v>0</v>
      </c>
      <c r="E3557" s="132"/>
      <c r="F3557" s="132" t="s">
        <v>4993</v>
      </c>
      <c r="G3557" s="114"/>
      <c r="H3557" s="114"/>
    </row>
    <row r="3558" s="20" customFormat="1" ht="17" customHeight="1" spans="1:8">
      <c r="A3558" s="5">
        <v>3600</v>
      </c>
      <c r="B3558" s="134" t="s">
        <v>4994</v>
      </c>
      <c r="C3558" s="22">
        <f>58/30</f>
        <v>1.93333333333333</v>
      </c>
      <c r="D3558" s="131">
        <v>0</v>
      </c>
      <c r="E3558" s="132"/>
      <c r="F3558" s="132" t="s">
        <v>4995</v>
      </c>
      <c r="G3558" s="114"/>
      <c r="H3558" s="114"/>
    </row>
    <row r="3559" s="20" customFormat="1" ht="17" customHeight="1" spans="1:8">
      <c r="A3559" s="5">
        <v>3601</v>
      </c>
      <c r="B3559" s="134" t="s">
        <v>4996</v>
      </c>
      <c r="C3559" s="22">
        <f>54/30</f>
        <v>1.8</v>
      </c>
      <c r="D3559" s="131">
        <v>0</v>
      </c>
      <c r="E3559" s="132"/>
      <c r="F3559" s="132" t="s">
        <v>4997</v>
      </c>
      <c r="G3559" s="114"/>
      <c r="H3559" s="114"/>
    </row>
    <row r="3560" s="20" customFormat="1" ht="17" customHeight="1" spans="1:8">
      <c r="A3560" s="5">
        <v>3602</v>
      </c>
      <c r="B3560" s="134" t="s">
        <v>4998</v>
      </c>
      <c r="C3560" s="22">
        <f>54/30</f>
        <v>1.8</v>
      </c>
      <c r="D3560" s="131">
        <v>0</v>
      </c>
      <c r="E3560" s="132"/>
      <c r="F3560" s="132" t="s">
        <v>4999</v>
      </c>
      <c r="G3560" s="114"/>
      <c r="H3560" s="114"/>
    </row>
    <row r="3561" s="20" customFormat="1" ht="17" customHeight="1" spans="1:8">
      <c r="A3561" s="5">
        <v>3603</v>
      </c>
      <c r="B3561" s="134" t="s">
        <v>5000</v>
      </c>
      <c r="C3561" s="22">
        <f>88/30</f>
        <v>2.93333333333333</v>
      </c>
      <c r="D3561" s="131">
        <v>0</v>
      </c>
      <c r="E3561" s="132"/>
      <c r="F3561" s="132" t="s">
        <v>5001</v>
      </c>
      <c r="G3561" s="114"/>
      <c r="H3561" s="114"/>
    </row>
    <row r="3562" s="20" customFormat="1" ht="17" customHeight="1" spans="1:8">
      <c r="A3562" s="5">
        <v>3604</v>
      </c>
      <c r="B3562" s="134" t="s">
        <v>5002</v>
      </c>
      <c r="C3562" s="22">
        <f>88/30</f>
        <v>2.93333333333333</v>
      </c>
      <c r="D3562" s="131">
        <v>0</v>
      </c>
      <c r="E3562" s="132"/>
      <c r="F3562" s="132" t="s">
        <v>5003</v>
      </c>
      <c r="G3562" s="114"/>
      <c r="H3562" s="114"/>
    </row>
    <row r="3563" s="20" customFormat="1" ht="17" customHeight="1" spans="1:8">
      <c r="A3563" s="5">
        <v>3605</v>
      </c>
      <c r="B3563" s="134" t="s">
        <v>5004</v>
      </c>
      <c r="C3563" s="22">
        <f>88/30</f>
        <v>2.93333333333333</v>
      </c>
      <c r="D3563" s="131">
        <v>0</v>
      </c>
      <c r="E3563" s="132"/>
      <c r="F3563" s="132" t="s">
        <v>5005</v>
      </c>
      <c r="G3563" s="114"/>
      <c r="H3563" s="114"/>
    </row>
    <row r="3564" s="20" customFormat="1" ht="17" customHeight="1" spans="1:8">
      <c r="A3564" s="5">
        <v>3606</v>
      </c>
      <c r="B3564" s="134" t="s">
        <v>5006</v>
      </c>
      <c r="C3564" s="22">
        <f>37/30</f>
        <v>1.23333333333333</v>
      </c>
      <c r="D3564" s="131">
        <v>0</v>
      </c>
      <c r="E3564" s="132"/>
      <c r="F3564" s="132" t="s">
        <v>5007</v>
      </c>
      <c r="G3564" s="114"/>
      <c r="H3564" s="114"/>
    </row>
    <row r="3565" s="20" customFormat="1" ht="17" customHeight="1" spans="1:8">
      <c r="A3565" s="5">
        <v>3607</v>
      </c>
      <c r="B3565" s="134" t="s">
        <v>5008</v>
      </c>
      <c r="C3565" s="22">
        <f>28/30</f>
        <v>0.933333333333333</v>
      </c>
      <c r="D3565" s="131">
        <v>0</v>
      </c>
      <c r="E3565" s="132"/>
      <c r="F3565" s="132" t="s">
        <v>5009</v>
      </c>
      <c r="G3565" s="114"/>
      <c r="H3565" s="114"/>
    </row>
    <row r="3566" s="20" customFormat="1" ht="17" customHeight="1" spans="1:8">
      <c r="A3566" s="5">
        <v>3608</v>
      </c>
      <c r="B3566" s="134" t="s">
        <v>5010</v>
      </c>
      <c r="C3566" s="22">
        <f>43/30</f>
        <v>1.43333333333333</v>
      </c>
      <c r="D3566" s="131">
        <v>0</v>
      </c>
      <c r="E3566" s="132"/>
      <c r="F3566" s="132" t="s">
        <v>5011</v>
      </c>
      <c r="G3566" s="114"/>
      <c r="H3566" s="114"/>
    </row>
    <row r="3567" s="20" customFormat="1" ht="17" customHeight="1" spans="1:8">
      <c r="A3567" s="5">
        <v>3609</v>
      </c>
      <c r="B3567" s="134" t="s">
        <v>5012</v>
      </c>
      <c r="C3567" s="22">
        <f>43/30</f>
        <v>1.43333333333333</v>
      </c>
      <c r="D3567" s="131">
        <v>0</v>
      </c>
      <c r="E3567" s="132"/>
      <c r="F3567" s="132" t="s">
        <v>5013</v>
      </c>
      <c r="G3567" s="114"/>
      <c r="H3567" s="114"/>
    </row>
    <row r="3568" s="20" customFormat="1" ht="17" customHeight="1" spans="1:8">
      <c r="A3568" s="5">
        <v>3610</v>
      </c>
      <c r="B3568" s="134" t="s">
        <v>5014</v>
      </c>
      <c r="C3568" s="22">
        <f>74/30</f>
        <v>2.46666666666667</v>
      </c>
      <c r="D3568" s="131">
        <v>0</v>
      </c>
      <c r="E3568" s="132"/>
      <c r="F3568" s="132" t="s">
        <v>5015</v>
      </c>
      <c r="G3568" s="114"/>
      <c r="H3568" s="114"/>
    </row>
    <row r="3569" s="20" customFormat="1" ht="17" customHeight="1" spans="1:8">
      <c r="A3569" s="5">
        <v>3611</v>
      </c>
      <c r="B3569" s="134" t="s">
        <v>5016</v>
      </c>
      <c r="C3569" s="22">
        <f>74/30</f>
        <v>2.46666666666667</v>
      </c>
      <c r="D3569" s="131">
        <v>0</v>
      </c>
      <c r="E3569" s="132"/>
      <c r="F3569" s="132" t="s">
        <v>5017</v>
      </c>
      <c r="G3569" s="114"/>
      <c r="H3569" s="114"/>
    </row>
    <row r="3570" s="20" customFormat="1" spans="1:8">
      <c r="A3570" s="5">
        <v>3612</v>
      </c>
      <c r="B3570" s="56" t="s">
        <v>5018</v>
      </c>
      <c r="C3570" s="85">
        <v>1</v>
      </c>
      <c r="D3570" s="2">
        <v>0</v>
      </c>
      <c r="E3570" s="2"/>
      <c r="F3570" s="2" t="s">
        <v>5019</v>
      </c>
      <c r="G3570" s="2"/>
      <c r="H3570" s="2"/>
    </row>
    <row r="3571" s="20" customFormat="1" spans="1:8">
      <c r="A3571" s="5">
        <v>3613</v>
      </c>
      <c r="B3571" s="134" t="s">
        <v>5020</v>
      </c>
      <c r="C3571" s="85">
        <v>0</v>
      </c>
      <c r="D3571" s="2">
        <v>1</v>
      </c>
      <c r="E3571" s="2"/>
      <c r="F3571" s="2" t="s">
        <v>5021</v>
      </c>
      <c r="G3571" s="2"/>
      <c r="H3571" s="2"/>
    </row>
    <row r="3572" s="20" customFormat="1" spans="1:8">
      <c r="A3572" s="5">
        <v>3614</v>
      </c>
      <c r="B3572" s="134" t="s">
        <v>5022</v>
      </c>
      <c r="C3572" s="85">
        <v>1</v>
      </c>
      <c r="D3572" s="2">
        <v>0</v>
      </c>
      <c r="E3572" s="2"/>
      <c r="F3572" s="2" t="s">
        <v>5023</v>
      </c>
      <c r="G3572" s="2"/>
      <c r="H3572" s="2"/>
    </row>
    <row r="3573" s="20" customFormat="1" spans="1:8">
      <c r="A3573" s="5">
        <v>3615</v>
      </c>
      <c r="B3573" s="134" t="s">
        <v>5024</v>
      </c>
      <c r="C3573" s="85">
        <v>1.4</v>
      </c>
      <c r="D3573" s="2">
        <v>0</v>
      </c>
      <c r="E3573" s="2"/>
      <c r="F3573" s="2" t="s">
        <v>5025</v>
      </c>
      <c r="G3573" s="2"/>
      <c r="H3573" s="2"/>
    </row>
    <row r="3574" s="20" customFormat="1" spans="1:8">
      <c r="A3574" s="5">
        <v>3616</v>
      </c>
      <c r="B3574" s="134" t="s">
        <v>5026</v>
      </c>
      <c r="C3574" s="85">
        <v>1.4</v>
      </c>
      <c r="D3574" s="2">
        <v>0</v>
      </c>
      <c r="E3574" s="2"/>
      <c r="F3574" s="2" t="s">
        <v>5027</v>
      </c>
      <c r="G3574" s="2"/>
      <c r="H3574" s="2"/>
    </row>
    <row r="3575" s="20" customFormat="1" spans="1:8">
      <c r="A3575" s="5">
        <v>3617</v>
      </c>
      <c r="B3575" s="134" t="s">
        <v>5028</v>
      </c>
      <c r="C3575" s="85">
        <v>2.4</v>
      </c>
      <c r="D3575" s="2">
        <v>0</v>
      </c>
      <c r="E3575" s="2"/>
      <c r="F3575" s="2" t="s">
        <v>5029</v>
      </c>
      <c r="G3575" s="2"/>
      <c r="H3575" s="2"/>
    </row>
    <row r="3576" s="20" customFormat="1" spans="1:8">
      <c r="A3576" s="5">
        <v>3618</v>
      </c>
      <c r="B3576" s="134" t="s">
        <v>5030</v>
      </c>
      <c r="C3576" s="85">
        <v>2.4</v>
      </c>
      <c r="D3576" s="2">
        <v>0</v>
      </c>
      <c r="E3576" s="2"/>
      <c r="F3576" s="2" t="s">
        <v>5031</v>
      </c>
      <c r="G3576" s="2"/>
      <c r="H3576" s="2"/>
    </row>
    <row r="3577" s="20" customFormat="1" spans="1:8">
      <c r="A3577" s="5">
        <v>3619</v>
      </c>
      <c r="B3577" s="134" t="s">
        <v>5032</v>
      </c>
      <c r="C3577" s="85">
        <v>2.4</v>
      </c>
      <c r="D3577" s="2">
        <v>0</v>
      </c>
      <c r="E3577" s="2"/>
      <c r="F3577" s="2" t="s">
        <v>5033</v>
      </c>
      <c r="G3577" s="2"/>
      <c r="H3577" s="2"/>
    </row>
    <row r="3578" s="20" customFormat="1" spans="1:8">
      <c r="A3578" s="5">
        <v>3620</v>
      </c>
      <c r="B3578" s="134" t="s">
        <v>5034</v>
      </c>
      <c r="C3578" s="85">
        <v>3</v>
      </c>
      <c r="D3578" s="2">
        <v>0</v>
      </c>
      <c r="E3578" s="2"/>
      <c r="F3578" s="2" t="s">
        <v>5035</v>
      </c>
      <c r="G3578" s="2"/>
      <c r="H3578" s="2"/>
    </row>
    <row r="3579" s="20" customFormat="1" spans="1:8">
      <c r="A3579" s="5">
        <v>3621</v>
      </c>
      <c r="B3579" s="134" t="s">
        <v>5036</v>
      </c>
      <c r="C3579" s="85">
        <v>3</v>
      </c>
      <c r="D3579" s="2">
        <v>0</v>
      </c>
      <c r="E3579" s="2"/>
      <c r="F3579" s="2" t="s">
        <v>5037</v>
      </c>
      <c r="G3579" s="2"/>
      <c r="H3579" s="2"/>
    </row>
    <row r="3580" s="20" customFormat="1" spans="1:8">
      <c r="A3580" s="5">
        <v>3622</v>
      </c>
      <c r="B3580" s="134" t="s">
        <v>5038</v>
      </c>
      <c r="C3580" s="85">
        <f>63/30</f>
        <v>2.1</v>
      </c>
      <c r="D3580" s="2">
        <v>0</v>
      </c>
      <c r="E3580" s="2"/>
      <c r="F3580" s="2" t="s">
        <v>5039</v>
      </c>
      <c r="G3580" s="2"/>
      <c r="H3580" s="2"/>
    </row>
    <row r="3581" s="20" customFormat="1" spans="1:8">
      <c r="A3581" s="5">
        <v>3623</v>
      </c>
      <c r="B3581" s="134" t="s">
        <v>5040</v>
      </c>
      <c r="C3581" s="85">
        <f>63/30</f>
        <v>2.1</v>
      </c>
      <c r="D3581" s="2">
        <v>0</v>
      </c>
      <c r="E3581" s="2"/>
      <c r="F3581" s="2" t="s">
        <v>5041</v>
      </c>
      <c r="G3581" s="2"/>
      <c r="H3581" s="2"/>
    </row>
    <row r="3582" s="20" customFormat="1" spans="1:8">
      <c r="A3582" s="5">
        <v>3624</v>
      </c>
      <c r="B3582" s="134" t="s">
        <v>5042</v>
      </c>
      <c r="C3582" s="85">
        <f>65/30</f>
        <v>2.16666666666667</v>
      </c>
      <c r="D3582" s="2">
        <v>0</v>
      </c>
      <c r="E3582" s="2"/>
      <c r="F3582" s="2" t="s">
        <v>5043</v>
      </c>
      <c r="G3582" s="2"/>
      <c r="H3582" s="2"/>
    </row>
    <row r="3583" s="20" customFormat="1" spans="1:8">
      <c r="A3583" s="5">
        <v>3625</v>
      </c>
      <c r="B3583" s="134" t="s">
        <v>5044</v>
      </c>
      <c r="C3583" s="85">
        <f>65/30</f>
        <v>2.16666666666667</v>
      </c>
      <c r="D3583" s="2">
        <v>0</v>
      </c>
      <c r="E3583" s="2"/>
      <c r="F3583" s="2" t="s">
        <v>5045</v>
      </c>
      <c r="G3583" s="2"/>
      <c r="H3583" s="2"/>
    </row>
    <row r="3584" s="20" customFormat="1" spans="1:8">
      <c r="A3584" s="5">
        <v>3626</v>
      </c>
      <c r="B3584" s="134" t="s">
        <v>5046</v>
      </c>
      <c r="C3584" s="85">
        <f>190/30</f>
        <v>6.33333333333333</v>
      </c>
      <c r="D3584" s="2">
        <v>0</v>
      </c>
      <c r="E3584" s="2"/>
      <c r="F3584" s="2" t="s">
        <v>5047</v>
      </c>
      <c r="G3584" s="2"/>
      <c r="H3584" s="2"/>
    </row>
    <row r="3585" s="20" customFormat="1" spans="1:8">
      <c r="A3585" s="5">
        <v>3627</v>
      </c>
      <c r="B3585" s="134" t="s">
        <v>5048</v>
      </c>
      <c r="C3585" s="85">
        <f>190/30</f>
        <v>6.33333333333333</v>
      </c>
      <c r="D3585" s="2">
        <v>0</v>
      </c>
      <c r="E3585" s="2"/>
      <c r="F3585" s="2" t="s">
        <v>5049</v>
      </c>
      <c r="G3585" s="2"/>
      <c r="H3585" s="2"/>
    </row>
    <row r="3586" s="20" customFormat="1" spans="1:8">
      <c r="A3586" s="5">
        <v>3628</v>
      </c>
      <c r="B3586" s="134" t="s">
        <v>5050</v>
      </c>
      <c r="C3586" s="85">
        <f>190/30</f>
        <v>6.33333333333333</v>
      </c>
      <c r="D3586" s="2">
        <v>0</v>
      </c>
      <c r="E3586" s="2"/>
      <c r="F3586" s="2" t="s">
        <v>5051</v>
      </c>
      <c r="G3586" s="2"/>
      <c r="H3586" s="2"/>
    </row>
    <row r="3587" s="20" customFormat="1" spans="1:8">
      <c r="A3587" s="5">
        <v>3629</v>
      </c>
      <c r="B3587" s="134" t="s">
        <v>5052</v>
      </c>
      <c r="C3587" s="85">
        <f>193/30</f>
        <v>6.43333333333333</v>
      </c>
      <c r="D3587" s="2">
        <v>0</v>
      </c>
      <c r="E3587" s="2"/>
      <c r="F3587" s="2" t="s">
        <v>5053</v>
      </c>
      <c r="G3587" s="2"/>
      <c r="H3587" s="2"/>
    </row>
    <row r="3588" s="20" customFormat="1" spans="1:8">
      <c r="A3588" s="5">
        <v>3630</v>
      </c>
      <c r="B3588" s="134" t="s">
        <v>5054</v>
      </c>
      <c r="C3588" s="85">
        <f>193/30</f>
        <v>6.43333333333333</v>
      </c>
      <c r="D3588" s="2">
        <v>0</v>
      </c>
      <c r="E3588" s="2"/>
      <c r="F3588" s="2" t="s">
        <v>5055</v>
      </c>
      <c r="G3588" s="2"/>
      <c r="H3588" s="2"/>
    </row>
    <row r="3589" s="20" customFormat="1" spans="1:8">
      <c r="A3589" s="5">
        <v>3631</v>
      </c>
      <c r="B3589" s="134" t="s">
        <v>5056</v>
      </c>
      <c r="C3589" s="85">
        <f>102/30</f>
        <v>3.4</v>
      </c>
      <c r="D3589" s="2">
        <v>0</v>
      </c>
      <c r="E3589" s="2"/>
      <c r="F3589" s="2" t="s">
        <v>5057</v>
      </c>
      <c r="G3589" s="2"/>
      <c r="H3589" s="2"/>
    </row>
    <row r="3590" s="20" customFormat="1" spans="1:8">
      <c r="A3590" s="5">
        <v>3632</v>
      </c>
      <c r="B3590" s="134" t="s">
        <v>5058</v>
      </c>
      <c r="C3590" s="85">
        <f>139/30</f>
        <v>4.63333333333333</v>
      </c>
      <c r="D3590" s="2">
        <v>0</v>
      </c>
      <c r="E3590" s="2"/>
      <c r="F3590" s="2" t="s">
        <v>5059</v>
      </c>
      <c r="G3590" s="2"/>
      <c r="H3590" s="2"/>
    </row>
    <row r="3591" s="20" customFormat="1" spans="1:8">
      <c r="A3591" s="5">
        <v>3634</v>
      </c>
      <c r="B3591" s="134" t="s">
        <v>5060</v>
      </c>
      <c r="C3591" s="85">
        <f>71/30</f>
        <v>2.36666666666667</v>
      </c>
      <c r="D3591" s="2">
        <v>0</v>
      </c>
      <c r="E3591" s="2"/>
      <c r="F3591" s="2" t="s">
        <v>5061</v>
      </c>
      <c r="G3591" s="2"/>
      <c r="H3591" s="2"/>
    </row>
    <row r="3592" s="20" customFormat="1" spans="1:8">
      <c r="A3592" s="5">
        <v>3635</v>
      </c>
      <c r="B3592" s="134" t="s">
        <v>5062</v>
      </c>
      <c r="C3592" s="85">
        <v>1</v>
      </c>
      <c r="D3592" s="2">
        <v>0</v>
      </c>
      <c r="E3592" s="2"/>
      <c r="F3592" s="2" t="s">
        <v>5063</v>
      </c>
      <c r="G3592" s="2"/>
      <c r="H3592" s="2"/>
    </row>
    <row r="3593" s="20" customFormat="1" spans="1:8">
      <c r="A3593" s="5">
        <v>3636</v>
      </c>
      <c r="B3593" s="134" t="s">
        <v>5064</v>
      </c>
      <c r="C3593" s="85">
        <f>77/30</f>
        <v>2.56666666666667</v>
      </c>
      <c r="D3593" s="2">
        <v>0</v>
      </c>
      <c r="E3593" s="2"/>
      <c r="F3593" s="2" t="s">
        <v>5065</v>
      </c>
      <c r="G3593" s="2"/>
      <c r="H3593" s="2"/>
    </row>
    <row r="3594" s="20" customFormat="1" spans="1:8">
      <c r="A3594" s="5">
        <v>3637</v>
      </c>
      <c r="B3594" s="134" t="s">
        <v>5066</v>
      </c>
      <c r="C3594" s="85">
        <f>77/30</f>
        <v>2.56666666666667</v>
      </c>
      <c r="D3594" s="2">
        <v>0</v>
      </c>
      <c r="E3594" s="2"/>
      <c r="F3594" s="2" t="s">
        <v>5067</v>
      </c>
      <c r="G3594" s="2"/>
      <c r="H3594" s="2"/>
    </row>
    <row r="3595" s="20" customFormat="1" spans="1:8">
      <c r="A3595" s="5">
        <v>3639</v>
      </c>
      <c r="B3595" s="134" t="s">
        <v>5068</v>
      </c>
      <c r="C3595" s="85">
        <f>77/30</f>
        <v>2.56666666666667</v>
      </c>
      <c r="D3595" s="2">
        <v>0</v>
      </c>
      <c r="E3595" s="2"/>
      <c r="F3595" s="2" t="s">
        <v>5069</v>
      </c>
      <c r="G3595" s="2"/>
      <c r="H3595" s="2"/>
    </row>
    <row r="3596" s="20" customFormat="1" spans="1:8">
      <c r="A3596" s="5">
        <v>3640</v>
      </c>
      <c r="B3596" s="134" t="s">
        <v>5070</v>
      </c>
      <c r="C3596" s="85">
        <v>1</v>
      </c>
      <c r="D3596" s="2">
        <v>0</v>
      </c>
      <c r="E3596" s="2"/>
      <c r="F3596" s="2" t="s">
        <v>5071</v>
      </c>
      <c r="G3596" s="2"/>
      <c r="H3596" s="2"/>
    </row>
    <row r="3597" s="20" customFormat="1" spans="1:8">
      <c r="A3597" s="5">
        <v>3641</v>
      </c>
      <c r="B3597" s="134" t="s">
        <v>5072</v>
      </c>
      <c r="C3597" s="85">
        <v>2.1</v>
      </c>
      <c r="D3597" s="2">
        <v>0</v>
      </c>
      <c r="E3597" s="2"/>
      <c r="F3597" s="2" t="s">
        <v>5073</v>
      </c>
      <c r="G3597" s="2"/>
      <c r="H3597" s="2"/>
    </row>
    <row r="3598" s="20" customFormat="1" spans="1:8">
      <c r="A3598" s="5">
        <v>3642</v>
      </c>
      <c r="B3598" s="134" t="s">
        <v>5074</v>
      </c>
      <c r="C3598" s="85">
        <v>13.8</v>
      </c>
      <c r="D3598" s="2">
        <v>0</v>
      </c>
      <c r="E3598" s="2"/>
      <c r="F3598" s="2" t="s">
        <v>5075</v>
      </c>
      <c r="G3598" s="2"/>
      <c r="H3598" s="2"/>
    </row>
    <row r="3599" s="20" customFormat="1" spans="1:8">
      <c r="A3599" s="5">
        <v>3643</v>
      </c>
      <c r="B3599" s="134" t="s">
        <v>5076</v>
      </c>
      <c r="C3599" s="85">
        <f>115/30</f>
        <v>3.83333333333333</v>
      </c>
      <c r="D3599" s="2">
        <v>0</v>
      </c>
      <c r="E3599" s="2"/>
      <c r="F3599" s="2" t="s">
        <v>5077</v>
      </c>
      <c r="G3599" s="2"/>
      <c r="H3599" s="2"/>
    </row>
    <row r="3600" s="20" customFormat="1" spans="1:8">
      <c r="A3600" s="5">
        <v>3644</v>
      </c>
      <c r="B3600" s="134" t="s">
        <v>5078</v>
      </c>
      <c r="C3600" s="85">
        <f>136/30</f>
        <v>4.53333333333333</v>
      </c>
      <c r="D3600" s="2">
        <v>0</v>
      </c>
      <c r="E3600" s="2"/>
      <c r="F3600" s="2" t="s">
        <v>5079</v>
      </c>
      <c r="G3600" s="2"/>
      <c r="H3600" s="2"/>
    </row>
    <row r="3601" s="20" customFormat="1" spans="1:8">
      <c r="A3601" s="5">
        <v>3645</v>
      </c>
      <c r="B3601" s="134" t="s">
        <v>5080</v>
      </c>
      <c r="C3601" s="85">
        <f>117/30</f>
        <v>3.9</v>
      </c>
      <c r="D3601" s="2">
        <v>0</v>
      </c>
      <c r="E3601" s="2"/>
      <c r="F3601" s="2" t="s">
        <v>5081</v>
      </c>
      <c r="G3601" s="2"/>
      <c r="H3601" s="2"/>
    </row>
    <row r="3602" s="20" customFormat="1" spans="1:8">
      <c r="A3602" s="5">
        <v>3646</v>
      </c>
      <c r="B3602" s="134" t="s">
        <v>5082</v>
      </c>
      <c r="C3602" s="85">
        <v>1</v>
      </c>
      <c r="D3602" s="2">
        <v>0</v>
      </c>
      <c r="E3602" s="2"/>
      <c r="F3602" s="2" t="s">
        <v>5083</v>
      </c>
      <c r="G3602" s="2"/>
      <c r="H3602" s="2"/>
    </row>
    <row r="3603" s="20" customFormat="1" spans="1:8">
      <c r="A3603" s="5">
        <v>3647</v>
      </c>
      <c r="B3603" s="134" t="s">
        <v>5084</v>
      </c>
      <c r="C3603" s="85">
        <f>63/30</f>
        <v>2.1</v>
      </c>
      <c r="D3603" s="2">
        <v>0</v>
      </c>
      <c r="E3603" s="2"/>
      <c r="F3603" s="2" t="s">
        <v>5085</v>
      </c>
      <c r="G3603" s="2"/>
      <c r="H3603" s="2"/>
    </row>
    <row r="3604" s="20" customFormat="1" spans="1:8">
      <c r="A3604" s="5">
        <v>3648</v>
      </c>
      <c r="B3604" s="134" t="s">
        <v>5086</v>
      </c>
      <c r="C3604" s="85">
        <v>1</v>
      </c>
      <c r="D3604" s="2">
        <v>0</v>
      </c>
      <c r="E3604" s="2"/>
      <c r="F3604" s="2" t="s">
        <v>5087</v>
      </c>
      <c r="G3604" s="2"/>
      <c r="H3604" s="2"/>
    </row>
    <row r="3605" s="20" customFormat="1" spans="1:8">
      <c r="A3605" s="5">
        <v>3649</v>
      </c>
      <c r="B3605" s="134" t="s">
        <v>5088</v>
      </c>
      <c r="C3605" s="85">
        <v>9</v>
      </c>
      <c r="D3605" s="2">
        <v>0</v>
      </c>
      <c r="E3605" s="2"/>
      <c r="F3605" s="2" t="s">
        <v>5089</v>
      </c>
      <c r="G3605" s="2"/>
      <c r="H3605" s="2"/>
    </row>
    <row r="3606" s="20" customFormat="1" spans="1:8">
      <c r="A3606" s="5">
        <v>3650</v>
      </c>
      <c r="B3606" s="134" t="s">
        <v>5090</v>
      </c>
      <c r="C3606" s="85">
        <v>0</v>
      </c>
      <c r="D3606" s="2">
        <v>1</v>
      </c>
      <c r="E3606" s="2"/>
      <c r="F3606" s="2" t="s">
        <v>5091</v>
      </c>
      <c r="G3606" s="2"/>
      <c r="H3606" s="2"/>
    </row>
    <row r="3607" s="20" customFormat="1" spans="1:8">
      <c r="A3607" s="5">
        <v>3651</v>
      </c>
      <c r="B3607" s="134" t="s">
        <v>5092</v>
      </c>
      <c r="C3607" s="85">
        <f>182/30</f>
        <v>6.06666666666667</v>
      </c>
      <c r="D3607" s="2">
        <v>0</v>
      </c>
      <c r="E3607" s="2"/>
      <c r="F3607" s="2" t="s">
        <v>5093</v>
      </c>
      <c r="G3607" s="2"/>
      <c r="H3607" s="2"/>
    </row>
    <row r="3608" s="20" customFormat="1" spans="1:8">
      <c r="A3608" s="5">
        <v>3652</v>
      </c>
      <c r="B3608" s="134" t="s">
        <v>5094</v>
      </c>
      <c r="C3608" s="85">
        <v>0</v>
      </c>
      <c r="D3608" s="2">
        <v>1</v>
      </c>
      <c r="E3608" s="2"/>
      <c r="F3608" s="2" t="s">
        <v>5095</v>
      </c>
      <c r="G3608" s="2"/>
      <c r="H3608" s="2"/>
    </row>
    <row r="3609" s="20" customFormat="1" spans="1:8">
      <c r="A3609" s="5">
        <v>3653</v>
      </c>
      <c r="B3609" s="134" t="s">
        <v>5096</v>
      </c>
      <c r="C3609" s="85">
        <v>1</v>
      </c>
      <c r="D3609" s="2">
        <v>0</v>
      </c>
      <c r="E3609" s="2"/>
      <c r="F3609" s="2" t="s">
        <v>5097</v>
      </c>
      <c r="G3609" s="2"/>
      <c r="H3609" s="2"/>
    </row>
    <row r="3610" s="20" customFormat="1" spans="1:8">
      <c r="A3610" s="5">
        <v>3654</v>
      </c>
      <c r="B3610" s="134" t="s">
        <v>5098</v>
      </c>
      <c r="C3610" s="85">
        <v>0</v>
      </c>
      <c r="D3610" s="2">
        <v>1</v>
      </c>
      <c r="E3610" s="2"/>
      <c r="F3610" s="2" t="s">
        <v>5099</v>
      </c>
      <c r="G3610" s="2"/>
      <c r="H3610" s="2"/>
    </row>
    <row r="3611" s="20" customFormat="1" spans="1:8">
      <c r="A3611" s="5">
        <v>3655</v>
      </c>
      <c r="B3611" s="134" t="s">
        <v>5100</v>
      </c>
      <c r="C3611" s="85">
        <v>0</v>
      </c>
      <c r="D3611" s="2">
        <v>1</v>
      </c>
      <c r="E3611" s="2"/>
      <c r="F3611" s="2" t="s">
        <v>5101</v>
      </c>
      <c r="G3611" s="2"/>
      <c r="H3611" s="2"/>
    </row>
    <row r="3612" s="20" customFormat="1" spans="1:8">
      <c r="A3612" s="5">
        <v>3656</v>
      </c>
      <c r="B3612" s="134" t="s">
        <v>5102</v>
      </c>
      <c r="C3612" s="85">
        <f>350/30</f>
        <v>11.6666666666667</v>
      </c>
      <c r="D3612" s="2">
        <v>0</v>
      </c>
      <c r="E3612" s="2"/>
      <c r="F3612" s="2" t="s">
        <v>5103</v>
      </c>
      <c r="G3612" s="2"/>
      <c r="H3612" s="2"/>
    </row>
    <row r="3613" s="20" customFormat="1" spans="1:8">
      <c r="A3613" s="5">
        <v>3657</v>
      </c>
      <c r="B3613" s="134" t="s">
        <v>5104</v>
      </c>
      <c r="C3613" s="85">
        <f>316/30</f>
        <v>10.5333333333333</v>
      </c>
      <c r="D3613" s="2">
        <v>0</v>
      </c>
      <c r="E3613" s="2"/>
      <c r="F3613" s="2" t="s">
        <v>5105</v>
      </c>
      <c r="G3613" s="2"/>
      <c r="H3613" s="2"/>
    </row>
    <row r="3614" s="20" customFormat="1" spans="1:8">
      <c r="A3614" s="5">
        <v>3658</v>
      </c>
      <c r="B3614" s="134" t="s">
        <v>5106</v>
      </c>
      <c r="C3614" s="85">
        <f>316/30</f>
        <v>10.5333333333333</v>
      </c>
      <c r="D3614" s="2">
        <v>0</v>
      </c>
      <c r="E3614" s="2"/>
      <c r="F3614" s="2" t="s">
        <v>5105</v>
      </c>
      <c r="G3614" s="2"/>
      <c r="H3614" s="2"/>
    </row>
    <row r="3615" s="20" customFormat="1" spans="1:8">
      <c r="A3615" s="5">
        <v>3659</v>
      </c>
      <c r="B3615" s="134" t="s">
        <v>5107</v>
      </c>
      <c r="C3615" s="85">
        <f>316/30</f>
        <v>10.5333333333333</v>
      </c>
      <c r="D3615" s="2">
        <v>0</v>
      </c>
      <c r="E3615" s="2"/>
      <c r="F3615" s="2" t="s">
        <v>5105</v>
      </c>
      <c r="G3615" s="2"/>
      <c r="H3615" s="2"/>
    </row>
    <row r="3616" s="20" customFormat="1" spans="1:8">
      <c r="A3616" s="5">
        <v>3660</v>
      </c>
      <c r="B3616" s="134" t="s">
        <v>5108</v>
      </c>
      <c r="C3616" s="85">
        <f>316/30</f>
        <v>10.5333333333333</v>
      </c>
      <c r="D3616" s="2">
        <v>0</v>
      </c>
      <c r="E3616" s="2"/>
      <c r="F3616" s="2" t="s">
        <v>5105</v>
      </c>
      <c r="G3616" s="2"/>
      <c r="H3616" s="2"/>
    </row>
    <row r="3617" s="20" customFormat="1" spans="1:8">
      <c r="A3617" s="5">
        <v>3661</v>
      </c>
      <c r="B3617" s="134" t="s">
        <v>5109</v>
      </c>
      <c r="C3617" s="85">
        <v>1</v>
      </c>
      <c r="D3617" s="2">
        <v>0</v>
      </c>
      <c r="E3617" s="2"/>
      <c r="F3617" s="2" t="s">
        <v>5110</v>
      </c>
      <c r="G3617" s="2"/>
      <c r="H3617" s="2"/>
    </row>
    <row r="3618" s="20" customFormat="1" spans="1:8">
      <c r="A3618" s="5">
        <v>3662</v>
      </c>
      <c r="B3618" s="134" t="s">
        <v>5111</v>
      </c>
      <c r="C3618" s="20">
        <f>55/30</f>
        <v>1.83333333333333</v>
      </c>
      <c r="D3618" s="2">
        <v>0</v>
      </c>
      <c r="E3618" s="2"/>
      <c r="F3618" s="2" t="s">
        <v>5112</v>
      </c>
      <c r="G3618" s="2"/>
      <c r="H3618" s="2"/>
    </row>
    <row r="3619" s="20" customFormat="1" spans="1:8">
      <c r="A3619" s="5">
        <v>3663</v>
      </c>
      <c r="B3619" s="134" t="s">
        <v>5113</v>
      </c>
      <c r="C3619" s="85">
        <v>1.1</v>
      </c>
      <c r="D3619" s="2">
        <v>0</v>
      </c>
      <c r="E3619" s="2"/>
      <c r="F3619" s="2" t="s">
        <v>5114</v>
      </c>
      <c r="G3619" s="2"/>
      <c r="H3619" s="2"/>
    </row>
    <row r="3620" s="20" customFormat="1" spans="1:8">
      <c r="A3620" s="5">
        <v>3664</v>
      </c>
      <c r="B3620" s="134" t="s">
        <v>5115</v>
      </c>
      <c r="C3620" s="20">
        <f>74/30</f>
        <v>2.46666666666667</v>
      </c>
      <c r="D3620" s="2">
        <v>0</v>
      </c>
      <c r="E3620" s="2"/>
      <c r="F3620" s="2" t="s">
        <v>5116</v>
      </c>
      <c r="G3620" s="2"/>
      <c r="H3620" s="2"/>
    </row>
    <row r="3621" s="20" customFormat="1" spans="1:8">
      <c r="A3621" s="5">
        <v>3665</v>
      </c>
      <c r="B3621" s="134" t="s">
        <v>5117</v>
      </c>
      <c r="C3621" s="85">
        <v>1.1</v>
      </c>
      <c r="D3621" s="2">
        <v>0</v>
      </c>
      <c r="E3621" s="2"/>
      <c r="F3621" s="2" t="s">
        <v>5118</v>
      </c>
      <c r="G3621" s="2"/>
      <c r="H3621" s="2"/>
    </row>
    <row r="3622" s="20" customFormat="1" spans="1:8">
      <c r="A3622" s="5">
        <v>3666</v>
      </c>
      <c r="B3622" s="134" t="s">
        <v>5119</v>
      </c>
      <c r="C3622" s="20">
        <f>111/30</f>
        <v>3.7</v>
      </c>
      <c r="D3622" s="2">
        <v>0</v>
      </c>
      <c r="E3622" s="2"/>
      <c r="F3622" s="2" t="s">
        <v>5120</v>
      </c>
      <c r="G3622" s="2"/>
      <c r="H3622" s="2"/>
    </row>
    <row r="3623" s="20" customFormat="1" ht="15" spans="1:8">
      <c r="A3623" s="5">
        <v>3667</v>
      </c>
      <c r="B3623" s="20" t="s">
        <v>5121</v>
      </c>
      <c r="C3623" s="85">
        <v>1</v>
      </c>
      <c r="D3623" s="2">
        <v>0</v>
      </c>
      <c r="E3623" s="2"/>
      <c r="F3623" s="2" t="s">
        <v>5122</v>
      </c>
      <c r="G3623" s="2"/>
      <c r="H3623" s="2"/>
    </row>
    <row r="3624" s="20" customFormat="1" ht="15" spans="1:8">
      <c r="A3624" s="5">
        <v>3668</v>
      </c>
      <c r="B3624" s="20" t="s">
        <v>5123</v>
      </c>
      <c r="C3624" s="85">
        <v>1</v>
      </c>
      <c r="D3624" s="2">
        <v>0</v>
      </c>
      <c r="E3624" s="2"/>
      <c r="F3624" s="2" t="s">
        <v>5122</v>
      </c>
      <c r="G3624" s="2"/>
      <c r="H3624" s="2"/>
    </row>
    <row r="3625" s="20" customFormat="1" ht="15" spans="1:8">
      <c r="A3625" s="5">
        <v>3669</v>
      </c>
      <c r="B3625" s="20" t="s">
        <v>5124</v>
      </c>
      <c r="C3625" s="85">
        <v>1</v>
      </c>
      <c r="D3625" s="2">
        <v>0</v>
      </c>
      <c r="E3625" s="2"/>
      <c r="F3625" s="2" t="s">
        <v>5122</v>
      </c>
      <c r="G3625" s="2"/>
      <c r="H3625" s="2"/>
    </row>
    <row r="3626" s="20" customFormat="1" spans="1:8">
      <c r="A3626" s="5">
        <v>3670</v>
      </c>
      <c r="B3626" s="134" t="s">
        <v>5125</v>
      </c>
      <c r="C3626" s="20">
        <f>83/30</f>
        <v>2.76666666666667</v>
      </c>
      <c r="D3626" s="2">
        <v>0</v>
      </c>
      <c r="E3626" s="2"/>
      <c r="F3626" s="2" t="s">
        <v>5126</v>
      </c>
      <c r="G3626" s="2"/>
      <c r="H3626" s="2"/>
    </row>
    <row r="3627" s="20" customFormat="1" spans="1:8">
      <c r="A3627" s="5">
        <v>3671</v>
      </c>
      <c r="B3627" s="134" t="s">
        <v>5127</v>
      </c>
      <c r="C3627" s="85">
        <v>1</v>
      </c>
      <c r="D3627" s="2">
        <v>0</v>
      </c>
      <c r="E3627" s="2"/>
      <c r="F3627" s="2" t="s">
        <v>5128</v>
      </c>
      <c r="G3627" s="2"/>
      <c r="H3627" s="2"/>
    </row>
    <row r="3628" s="20" customFormat="1" spans="1:8">
      <c r="A3628" s="5">
        <v>3672</v>
      </c>
      <c r="B3628" s="134" t="s">
        <v>5129</v>
      </c>
      <c r="C3628" s="85">
        <f>117/30</f>
        <v>3.9</v>
      </c>
      <c r="D3628" s="2">
        <v>0</v>
      </c>
      <c r="E3628" s="2"/>
      <c r="F3628" s="2" t="s">
        <v>5130</v>
      </c>
      <c r="G3628" s="2"/>
      <c r="H3628" s="2"/>
    </row>
    <row r="3629" s="20" customFormat="1" spans="1:8">
      <c r="A3629" s="5">
        <v>3673</v>
      </c>
      <c r="B3629" s="134" t="s">
        <v>5131</v>
      </c>
      <c r="C3629" s="85">
        <v>1</v>
      </c>
      <c r="D3629" s="2">
        <v>0</v>
      </c>
      <c r="E3629" s="2"/>
      <c r="F3629" s="2" t="s">
        <v>5132</v>
      </c>
      <c r="G3629" s="2"/>
      <c r="H3629" s="2"/>
    </row>
    <row r="3630" s="20" customFormat="1" spans="1:8">
      <c r="A3630" s="5">
        <v>3674</v>
      </c>
      <c r="B3630" s="134" t="s">
        <v>5133</v>
      </c>
      <c r="C3630" s="85">
        <v>1</v>
      </c>
      <c r="D3630" s="2">
        <v>0</v>
      </c>
      <c r="E3630" s="2"/>
      <c r="F3630" s="2" t="s">
        <v>5132</v>
      </c>
      <c r="G3630" s="2"/>
      <c r="H3630" s="2"/>
    </row>
    <row r="3631" s="20" customFormat="1" spans="1:8">
      <c r="A3631" s="5">
        <v>3675</v>
      </c>
      <c r="B3631" s="134" t="s">
        <v>5134</v>
      </c>
      <c r="C3631" s="85">
        <f>114/30</f>
        <v>3.8</v>
      </c>
      <c r="D3631" s="2">
        <v>0</v>
      </c>
      <c r="E3631" s="2"/>
      <c r="F3631" s="2" t="s">
        <v>5135</v>
      </c>
      <c r="G3631" s="2"/>
      <c r="H3631" s="2"/>
    </row>
    <row r="3632" s="20" customFormat="1" spans="1:8">
      <c r="A3632" s="5">
        <v>3676</v>
      </c>
      <c r="B3632" s="134" t="s">
        <v>5136</v>
      </c>
      <c r="C3632" s="85">
        <v>1</v>
      </c>
      <c r="D3632" s="2">
        <v>0</v>
      </c>
      <c r="E3632" s="2"/>
      <c r="F3632" s="2" t="s">
        <v>5137</v>
      </c>
      <c r="G3632" s="2"/>
      <c r="H3632" s="2"/>
    </row>
    <row r="3633" s="20" customFormat="1" spans="1:8">
      <c r="A3633" s="5">
        <v>3677</v>
      </c>
      <c r="B3633" s="134" t="s">
        <v>5138</v>
      </c>
      <c r="C3633" s="85">
        <v>1</v>
      </c>
      <c r="D3633" s="2">
        <v>0</v>
      </c>
      <c r="E3633" s="2"/>
      <c r="F3633" s="2" t="s">
        <v>5137</v>
      </c>
      <c r="G3633" s="2"/>
      <c r="H3633" s="2"/>
    </row>
    <row r="3634" s="20" customFormat="1" spans="1:8">
      <c r="A3634" s="5">
        <v>3678</v>
      </c>
      <c r="B3634" s="134" t="s">
        <v>5139</v>
      </c>
      <c r="C3634" s="85">
        <v>1</v>
      </c>
      <c r="D3634" s="2">
        <v>0</v>
      </c>
      <c r="E3634" s="2"/>
      <c r="F3634" s="2" t="s">
        <v>5137</v>
      </c>
      <c r="G3634" s="2"/>
      <c r="H3634" s="2"/>
    </row>
    <row r="3635" s="20" customFormat="1" spans="1:8">
      <c r="A3635" s="5">
        <v>3679</v>
      </c>
      <c r="B3635" s="134" t="s">
        <v>5140</v>
      </c>
      <c r="C3635" s="20">
        <f>232/30</f>
        <v>7.73333333333333</v>
      </c>
      <c r="D3635" s="2">
        <v>0</v>
      </c>
      <c r="E3635" s="2"/>
      <c r="F3635" s="2" t="s">
        <v>5141</v>
      </c>
      <c r="G3635" s="2"/>
      <c r="H3635" s="2"/>
    </row>
    <row r="3636" s="20" customFormat="1" spans="1:8">
      <c r="A3636" s="5">
        <v>3680</v>
      </c>
      <c r="B3636" s="134" t="s">
        <v>5142</v>
      </c>
      <c r="C3636" s="20">
        <f>232/30</f>
        <v>7.73333333333333</v>
      </c>
      <c r="D3636" s="2">
        <v>0</v>
      </c>
      <c r="E3636" s="2"/>
      <c r="F3636" s="2" t="s">
        <v>5143</v>
      </c>
      <c r="G3636" s="2"/>
      <c r="H3636" s="2"/>
    </row>
    <row r="3637" s="20" customFormat="1" spans="1:8">
      <c r="A3637" s="5">
        <v>3681</v>
      </c>
      <c r="B3637" s="134" t="s">
        <v>5144</v>
      </c>
      <c r="C3637" s="20">
        <f>232/30</f>
        <v>7.73333333333333</v>
      </c>
      <c r="D3637" s="2">
        <v>0</v>
      </c>
      <c r="E3637" s="2"/>
      <c r="F3637" s="2" t="s">
        <v>5143</v>
      </c>
      <c r="G3637" s="2"/>
      <c r="H3637" s="2"/>
    </row>
    <row r="3638" s="20" customFormat="1" spans="1:8">
      <c r="A3638" s="5">
        <v>3682</v>
      </c>
      <c r="B3638" s="134" t="s">
        <v>5145</v>
      </c>
      <c r="C3638" s="20">
        <f>232/30</f>
        <v>7.73333333333333</v>
      </c>
      <c r="D3638" s="2">
        <v>0</v>
      </c>
      <c r="E3638" s="2"/>
      <c r="F3638" s="2" t="s">
        <v>5143</v>
      </c>
      <c r="G3638" s="2"/>
      <c r="H3638" s="2"/>
    </row>
    <row r="3639" s="20" customFormat="1" spans="1:8">
      <c r="A3639" s="5">
        <v>3683</v>
      </c>
      <c r="B3639" s="134" t="s">
        <v>5146</v>
      </c>
      <c r="C3639" s="85">
        <v>0</v>
      </c>
      <c r="D3639" s="2">
        <v>1</v>
      </c>
      <c r="E3639" s="2"/>
      <c r="F3639" s="2" t="s">
        <v>5147</v>
      </c>
      <c r="G3639" s="2"/>
      <c r="H3639" s="2"/>
    </row>
    <row r="3640" s="20" customFormat="1" spans="1:8">
      <c r="A3640" s="5">
        <v>3684</v>
      </c>
      <c r="B3640" s="134" t="s">
        <v>5148</v>
      </c>
      <c r="C3640" s="85">
        <v>0</v>
      </c>
      <c r="D3640" s="2">
        <v>1</v>
      </c>
      <c r="E3640" s="2"/>
      <c r="F3640" s="2" t="s">
        <v>5147</v>
      </c>
      <c r="G3640" s="2"/>
      <c r="H3640" s="2"/>
    </row>
    <row r="3641" s="20" customFormat="1" spans="1:8">
      <c r="A3641" s="5">
        <v>3685</v>
      </c>
      <c r="B3641" s="134" t="s">
        <v>5149</v>
      </c>
      <c r="C3641" s="85">
        <v>0</v>
      </c>
      <c r="D3641" s="2">
        <v>1</v>
      </c>
      <c r="E3641" s="2"/>
      <c r="F3641" s="2" t="s">
        <v>5147</v>
      </c>
      <c r="G3641" s="2"/>
      <c r="H3641" s="2"/>
    </row>
    <row r="3642" s="20" customFormat="1" spans="1:8">
      <c r="A3642" s="5">
        <v>3686</v>
      </c>
      <c r="B3642" s="134" t="s">
        <v>5150</v>
      </c>
      <c r="C3642" s="85">
        <v>2</v>
      </c>
      <c r="D3642" s="2">
        <v>0</v>
      </c>
      <c r="E3642" s="2"/>
      <c r="F3642" s="2" t="s">
        <v>5147</v>
      </c>
      <c r="G3642" s="2"/>
      <c r="H3642" s="2"/>
    </row>
    <row r="3643" s="20" customFormat="1" spans="1:8">
      <c r="A3643" s="5">
        <v>3687</v>
      </c>
      <c r="B3643" s="134" t="s">
        <v>5151</v>
      </c>
      <c r="C3643" s="85">
        <v>0</v>
      </c>
      <c r="D3643" s="2">
        <v>1</v>
      </c>
      <c r="E3643" s="2"/>
      <c r="F3643" s="2" t="s">
        <v>5152</v>
      </c>
      <c r="G3643" s="2"/>
      <c r="H3643" s="2"/>
    </row>
    <row r="3644" s="20" customFormat="1" spans="1:8">
      <c r="A3644" s="5">
        <v>3688</v>
      </c>
      <c r="B3644" s="134" t="s">
        <v>5153</v>
      </c>
      <c r="C3644" s="85">
        <v>0</v>
      </c>
      <c r="D3644" s="2">
        <v>1</v>
      </c>
      <c r="E3644" s="2"/>
      <c r="F3644" s="2" t="s">
        <v>5154</v>
      </c>
      <c r="G3644" s="2"/>
      <c r="H3644" s="2"/>
    </row>
    <row r="3645" s="20" customFormat="1" spans="1:8">
      <c r="A3645" s="5">
        <v>3689</v>
      </c>
      <c r="B3645" s="134" t="s">
        <v>5155</v>
      </c>
      <c r="C3645" s="85">
        <f>30/30</f>
        <v>1</v>
      </c>
      <c r="D3645" s="2">
        <v>0</v>
      </c>
      <c r="E3645" s="2"/>
      <c r="F3645" s="2" t="s">
        <v>5156</v>
      </c>
      <c r="G3645" s="2"/>
      <c r="H3645" s="2"/>
    </row>
    <row r="3646" s="20" customFormat="1" spans="1:8">
      <c r="A3646" s="5">
        <v>3690</v>
      </c>
      <c r="B3646" s="134" t="s">
        <v>5157</v>
      </c>
      <c r="C3646" s="85">
        <v>1</v>
      </c>
      <c r="D3646" s="2">
        <v>0</v>
      </c>
      <c r="E3646" s="2"/>
      <c r="F3646" s="2" t="s">
        <v>5158</v>
      </c>
      <c r="G3646" s="2"/>
      <c r="H3646" s="2"/>
    </row>
    <row r="3647" s="20" customFormat="1" spans="1:8">
      <c r="A3647" s="5">
        <v>3691</v>
      </c>
      <c r="B3647" s="134" t="s">
        <v>5159</v>
      </c>
      <c r="C3647" s="85">
        <f>55/30</f>
        <v>1.83333333333333</v>
      </c>
      <c r="D3647" s="2">
        <v>0</v>
      </c>
      <c r="E3647" s="2"/>
      <c r="F3647" s="2" t="s">
        <v>5160</v>
      </c>
      <c r="G3647" s="2"/>
      <c r="H3647" s="2"/>
    </row>
    <row r="3648" s="20" customFormat="1" spans="1:8">
      <c r="A3648" s="5">
        <v>3692</v>
      </c>
      <c r="B3648" s="134" t="s">
        <v>5161</v>
      </c>
      <c r="C3648" s="85">
        <v>1</v>
      </c>
      <c r="D3648" s="2">
        <v>0</v>
      </c>
      <c r="E3648" s="2"/>
      <c r="F3648" s="2" t="s">
        <v>5162</v>
      </c>
      <c r="G3648" s="2"/>
      <c r="H3648" s="2"/>
    </row>
    <row r="3649" s="20" customFormat="1" spans="1:8">
      <c r="A3649" s="5">
        <v>3693</v>
      </c>
      <c r="B3649" s="134" t="s">
        <v>5163</v>
      </c>
      <c r="C3649" s="85">
        <f>70/30</f>
        <v>2.33333333333333</v>
      </c>
      <c r="D3649" s="2">
        <v>0</v>
      </c>
      <c r="E3649" s="2"/>
      <c r="F3649" s="2" t="s">
        <v>5164</v>
      </c>
      <c r="G3649" s="2"/>
      <c r="H3649" s="2"/>
    </row>
    <row r="3650" s="20" customFormat="1" spans="1:8">
      <c r="A3650" s="5">
        <v>3694</v>
      </c>
      <c r="B3650" s="134" t="s">
        <v>5165</v>
      </c>
      <c r="C3650" s="85">
        <v>1</v>
      </c>
      <c r="D3650" s="2">
        <v>0</v>
      </c>
      <c r="E3650" s="2"/>
      <c r="F3650" s="2" t="s">
        <v>5166</v>
      </c>
      <c r="G3650" s="2"/>
      <c r="H3650" s="2"/>
    </row>
    <row r="3651" s="20" customFormat="1" spans="1:8">
      <c r="A3651" s="5">
        <v>3695</v>
      </c>
      <c r="B3651" s="134" t="s">
        <v>5167</v>
      </c>
      <c r="C3651" s="85">
        <f>370/30</f>
        <v>12.3333333333333</v>
      </c>
      <c r="D3651" s="2">
        <v>0</v>
      </c>
      <c r="E3651" s="2"/>
      <c r="F3651" s="2" t="s">
        <v>5168</v>
      </c>
      <c r="G3651" s="2"/>
      <c r="H3651" s="2"/>
    </row>
    <row r="3652" s="20" customFormat="1" spans="1:8">
      <c r="A3652" s="5">
        <v>3696</v>
      </c>
      <c r="B3652" s="134" t="s">
        <v>5169</v>
      </c>
      <c r="C3652" s="85">
        <f>310/30</f>
        <v>10.3333333333333</v>
      </c>
      <c r="D3652" s="2">
        <v>0</v>
      </c>
      <c r="E3652" s="2"/>
      <c r="F3652" s="2" t="s">
        <v>5170</v>
      </c>
      <c r="G3652" s="2"/>
      <c r="H3652" s="2"/>
    </row>
    <row r="3653" s="5" customFormat="1" spans="1:8">
      <c r="A3653" s="5">
        <v>3697</v>
      </c>
      <c r="B3653" s="118" t="s">
        <v>5171</v>
      </c>
      <c r="C3653" s="140">
        <f>115/30</f>
        <v>3.83333333333333</v>
      </c>
      <c r="D3653" s="6">
        <v>0</v>
      </c>
      <c r="E3653" s="6"/>
      <c r="F3653" s="6" t="s">
        <v>5172</v>
      </c>
      <c r="G3653" s="6"/>
      <c r="H3653" s="6"/>
    </row>
    <row r="3654" s="5" customFormat="1" spans="1:8">
      <c r="A3654" s="5">
        <v>3698</v>
      </c>
      <c r="B3654" s="118" t="s">
        <v>5173</v>
      </c>
      <c r="C3654" s="140">
        <v>1</v>
      </c>
      <c r="D3654" s="6">
        <v>0</v>
      </c>
      <c r="E3654" s="6"/>
      <c r="F3654" s="6" t="s">
        <v>5174</v>
      </c>
      <c r="G3654" s="6"/>
      <c r="H3654" s="6"/>
    </row>
    <row r="3655" s="20" customFormat="1" spans="1:8">
      <c r="A3655" s="20">
        <v>3699</v>
      </c>
      <c r="B3655" s="134" t="s">
        <v>5175</v>
      </c>
      <c r="C3655" s="141">
        <v>0</v>
      </c>
      <c r="D3655" s="114">
        <v>1</v>
      </c>
      <c r="E3655" s="114"/>
      <c r="F3655" s="114" t="s">
        <v>5176</v>
      </c>
      <c r="G3655" s="114"/>
      <c r="H3655" s="114"/>
    </row>
    <row r="3656" s="20" customFormat="1" spans="1:8">
      <c r="A3656" s="20">
        <v>3700</v>
      </c>
      <c r="B3656" s="134" t="s">
        <v>5177</v>
      </c>
      <c r="C3656" s="141">
        <v>5</v>
      </c>
      <c r="D3656" s="114">
        <v>0</v>
      </c>
      <c r="E3656" s="114"/>
      <c r="F3656" s="114" t="s">
        <v>5178</v>
      </c>
      <c r="G3656" s="114"/>
      <c r="H3656" s="114"/>
    </row>
    <row r="3657" s="20" customFormat="1" spans="1:8">
      <c r="A3657" s="20">
        <v>3701</v>
      </c>
      <c r="B3657" s="134" t="s">
        <v>5179</v>
      </c>
      <c r="C3657" s="141">
        <v>0</v>
      </c>
      <c r="D3657" s="114">
        <v>1</v>
      </c>
      <c r="E3657" s="114"/>
      <c r="F3657" s="114" t="s">
        <v>5180</v>
      </c>
      <c r="G3657" s="114"/>
      <c r="H3657" s="114"/>
    </row>
    <row r="3658" s="20" customFormat="1" spans="1:8">
      <c r="A3658" s="20">
        <v>3702</v>
      </c>
      <c r="B3658" s="134" t="s">
        <v>5181</v>
      </c>
      <c r="C3658" s="141">
        <v>0</v>
      </c>
      <c r="D3658" s="114">
        <v>1</v>
      </c>
      <c r="E3658" s="114"/>
      <c r="F3658" s="114" t="s">
        <v>5182</v>
      </c>
      <c r="G3658" s="114"/>
      <c r="H3658" s="114"/>
    </row>
    <row r="3659" s="20" customFormat="1" spans="1:8">
      <c r="A3659" s="20">
        <v>3703</v>
      </c>
      <c r="B3659" s="134" t="s">
        <v>5183</v>
      </c>
      <c r="C3659" s="141">
        <v>0</v>
      </c>
      <c r="D3659" s="114">
        <v>1</v>
      </c>
      <c r="E3659" s="114"/>
      <c r="F3659" s="114" t="s">
        <v>5184</v>
      </c>
      <c r="G3659" s="114"/>
      <c r="H3659" s="114"/>
    </row>
    <row r="3660" s="20" customFormat="1" spans="1:8">
      <c r="A3660" s="20">
        <v>3704</v>
      </c>
      <c r="B3660" s="134" t="s">
        <v>5185</v>
      </c>
      <c r="C3660" s="141">
        <v>1</v>
      </c>
      <c r="D3660" s="114">
        <v>0</v>
      </c>
      <c r="E3660" s="114"/>
      <c r="F3660" s="114" t="s">
        <v>5186</v>
      </c>
      <c r="G3660" s="114"/>
      <c r="H3660" s="114"/>
    </row>
    <row r="3661" s="21" customFormat="1" spans="1:8">
      <c r="A3661" s="20">
        <v>3705</v>
      </c>
      <c r="B3661" s="134" t="s">
        <v>5187</v>
      </c>
      <c r="C3661" s="21">
        <v>4</v>
      </c>
      <c r="D3661" s="114">
        <v>0</v>
      </c>
      <c r="E3661" s="114"/>
      <c r="F3661" s="114" t="s">
        <v>5188</v>
      </c>
      <c r="G3661" s="142"/>
      <c r="H3661" s="142"/>
    </row>
    <row r="3662" s="21" customFormat="1" spans="1:8">
      <c r="A3662" s="20">
        <v>3706</v>
      </c>
      <c r="B3662" s="134" t="s">
        <v>5189</v>
      </c>
      <c r="C3662" s="141">
        <v>1</v>
      </c>
      <c r="D3662" s="114">
        <v>0</v>
      </c>
      <c r="E3662" s="114"/>
      <c r="F3662" s="114" t="s">
        <v>5190</v>
      </c>
      <c r="G3662" s="142"/>
      <c r="H3662" s="142"/>
    </row>
    <row r="3663" s="21" customFormat="1" spans="1:8">
      <c r="A3663" s="20">
        <v>3707</v>
      </c>
      <c r="B3663" s="134" t="s">
        <v>5191</v>
      </c>
      <c r="C3663" s="141">
        <v>5</v>
      </c>
      <c r="D3663" s="114">
        <v>0</v>
      </c>
      <c r="E3663" s="114"/>
      <c r="F3663" s="114" t="s">
        <v>5192</v>
      </c>
      <c r="G3663" s="142"/>
      <c r="H3663" s="142"/>
    </row>
    <row r="3664" s="21" customFormat="1" spans="1:8">
      <c r="A3664" s="20">
        <v>3708</v>
      </c>
      <c r="B3664" s="134" t="s">
        <v>5193</v>
      </c>
      <c r="C3664" s="141">
        <v>1</v>
      </c>
      <c r="D3664" s="114">
        <v>0</v>
      </c>
      <c r="E3664" s="114"/>
      <c r="F3664" s="114" t="s">
        <v>5194</v>
      </c>
      <c r="G3664" s="142"/>
      <c r="H3664" s="142"/>
    </row>
    <row r="3665" s="21" customFormat="1" spans="1:8">
      <c r="A3665" s="20">
        <v>3709</v>
      </c>
      <c r="B3665" s="134" t="s">
        <v>5195</v>
      </c>
      <c r="C3665" s="141">
        <v>1</v>
      </c>
      <c r="D3665" s="114">
        <v>0</v>
      </c>
      <c r="E3665" s="114"/>
      <c r="F3665" s="114" t="s">
        <v>5194</v>
      </c>
      <c r="G3665" s="142"/>
      <c r="H3665" s="142"/>
    </row>
    <row r="3666" s="21" customFormat="1" spans="1:8">
      <c r="A3666" s="20">
        <v>3710</v>
      </c>
      <c r="B3666" s="134" t="s">
        <v>5196</v>
      </c>
      <c r="C3666" s="21">
        <v>5.83333333333333</v>
      </c>
      <c r="D3666" s="114">
        <v>0</v>
      </c>
      <c r="E3666" s="114"/>
      <c r="F3666" s="114" t="s">
        <v>5197</v>
      </c>
      <c r="G3666" s="142"/>
      <c r="H3666" s="142"/>
    </row>
    <row r="3667" spans="1:8">
      <c r="A3667" s="20">
        <v>3711</v>
      </c>
      <c r="B3667" s="134" t="s">
        <v>5198</v>
      </c>
      <c r="C3667" s="141">
        <v>1</v>
      </c>
      <c r="D3667" s="114">
        <v>0</v>
      </c>
      <c r="E3667" s="114"/>
      <c r="F3667" s="114" t="s">
        <v>5199</v>
      </c>
      <c r="G3667" s="114"/>
      <c r="H3667" s="114"/>
    </row>
    <row r="3668" spans="1:8">
      <c r="A3668" s="20">
        <v>3712</v>
      </c>
      <c r="B3668" s="134" t="s">
        <v>5200</v>
      </c>
      <c r="C3668" s="141">
        <v>1</v>
      </c>
      <c r="D3668" s="114">
        <v>0</v>
      </c>
      <c r="E3668" s="114"/>
      <c r="F3668" s="114" t="s">
        <v>5199</v>
      </c>
      <c r="G3668" s="114"/>
      <c r="H3668" s="114"/>
    </row>
    <row r="3669" spans="1:8">
      <c r="A3669" s="20">
        <v>3713</v>
      </c>
      <c r="B3669" s="134" t="s">
        <v>5201</v>
      </c>
      <c r="C3669" s="141">
        <v>1</v>
      </c>
      <c r="D3669" s="114">
        <v>0</v>
      </c>
      <c r="E3669" s="114"/>
      <c r="F3669" s="114" t="s">
        <v>5199</v>
      </c>
      <c r="G3669" s="114"/>
      <c r="H3669" s="114"/>
    </row>
    <row r="3670" spans="1:8">
      <c r="A3670" s="20">
        <v>3714</v>
      </c>
      <c r="B3670" s="134" t="s">
        <v>5202</v>
      </c>
      <c r="C3670" s="141">
        <v>1</v>
      </c>
      <c r="D3670" s="114">
        <v>0</v>
      </c>
      <c r="E3670" s="114"/>
      <c r="F3670" s="114" t="s">
        <v>5199</v>
      </c>
      <c r="G3670" s="114"/>
      <c r="H3670" s="114"/>
    </row>
    <row r="3671" spans="1:8">
      <c r="A3671" s="20">
        <v>3715</v>
      </c>
      <c r="B3671" s="134" t="s">
        <v>5203</v>
      </c>
      <c r="C3671" s="141">
        <f>149/30</f>
        <v>4.96666666666667</v>
      </c>
      <c r="D3671" s="114">
        <v>0</v>
      </c>
      <c r="E3671" s="114"/>
      <c r="F3671" s="114" t="s">
        <v>5204</v>
      </c>
      <c r="G3671" s="114"/>
      <c r="H3671" s="114"/>
    </row>
    <row r="3672" spans="1:8">
      <c r="A3672" s="20">
        <v>3716</v>
      </c>
      <c r="B3672" s="134" t="s">
        <v>5205</v>
      </c>
      <c r="C3672" s="141">
        <v>1</v>
      </c>
      <c r="D3672" s="114">
        <v>0</v>
      </c>
      <c r="E3672" s="114"/>
      <c r="F3672" s="114" t="s">
        <v>5206</v>
      </c>
      <c r="G3672" s="114"/>
      <c r="H3672" s="114"/>
    </row>
    <row r="3673" spans="1:8">
      <c r="A3673" s="20">
        <v>3717</v>
      </c>
      <c r="B3673" s="134" t="s">
        <v>5207</v>
      </c>
      <c r="C3673" s="141">
        <f>173/30</f>
        <v>5.76666666666667</v>
      </c>
      <c r="D3673" s="114">
        <v>0</v>
      </c>
      <c r="E3673" s="114"/>
      <c r="F3673" s="114" t="s">
        <v>5208</v>
      </c>
      <c r="G3673" s="114"/>
      <c r="H3673" s="114"/>
    </row>
    <row r="3674" spans="1:8">
      <c r="A3674" s="20">
        <v>3718</v>
      </c>
      <c r="B3674" s="134" t="s">
        <v>5209</v>
      </c>
      <c r="C3674" s="141">
        <v>1</v>
      </c>
      <c r="D3674" s="114">
        <v>0</v>
      </c>
      <c r="E3674" s="114"/>
      <c r="F3674" s="114" t="s">
        <v>5210</v>
      </c>
      <c r="G3674" s="114"/>
      <c r="H3674" s="114"/>
    </row>
    <row r="3675" spans="1:8">
      <c r="A3675" s="20">
        <v>3719</v>
      </c>
      <c r="B3675" s="134" t="s">
        <v>5211</v>
      </c>
      <c r="C3675" s="141">
        <v>1</v>
      </c>
      <c r="D3675" s="114">
        <v>0</v>
      </c>
      <c r="E3675" s="114"/>
      <c r="F3675" s="114" t="s">
        <v>5210</v>
      </c>
      <c r="G3675" s="114"/>
      <c r="H3675" s="114"/>
    </row>
    <row r="3676" spans="1:8">
      <c r="A3676" s="20">
        <v>3720</v>
      </c>
      <c r="B3676" s="134" t="s">
        <v>5212</v>
      </c>
      <c r="C3676" s="141">
        <f>350/30</f>
        <v>11.6666666666667</v>
      </c>
      <c r="D3676" s="114">
        <v>0</v>
      </c>
      <c r="E3676" s="114"/>
      <c r="F3676" s="114" t="s">
        <v>5213</v>
      </c>
      <c r="G3676" s="114"/>
      <c r="H3676" s="114"/>
    </row>
    <row r="3677" spans="1:8">
      <c r="A3677" s="20">
        <v>3721</v>
      </c>
      <c r="B3677" s="134" t="s">
        <v>5214</v>
      </c>
      <c r="C3677" s="141">
        <v>2</v>
      </c>
      <c r="D3677" s="114">
        <v>0</v>
      </c>
      <c r="E3677" s="114"/>
      <c r="F3677" s="114" t="s">
        <v>5215</v>
      </c>
      <c r="G3677" s="114"/>
      <c r="H3677" s="114"/>
    </row>
    <row r="3678" spans="1:8">
      <c r="A3678" s="20">
        <v>3722</v>
      </c>
      <c r="B3678" s="134" t="s">
        <v>5216</v>
      </c>
      <c r="C3678" s="141">
        <v>0</v>
      </c>
      <c r="D3678" s="114">
        <v>1</v>
      </c>
      <c r="E3678" s="114"/>
      <c r="F3678" s="114" t="s">
        <v>5217</v>
      </c>
      <c r="G3678" s="114"/>
      <c r="H3678" s="114"/>
    </row>
    <row r="3679" spans="1:8">
      <c r="A3679" s="20">
        <v>3723</v>
      </c>
      <c r="B3679" s="134" t="s">
        <v>5218</v>
      </c>
      <c r="C3679" s="141">
        <f>113/30</f>
        <v>3.76666666666667</v>
      </c>
      <c r="D3679" s="114">
        <v>0</v>
      </c>
      <c r="E3679" s="114"/>
      <c r="F3679" s="114" t="s">
        <v>5219</v>
      </c>
      <c r="G3679" s="114"/>
      <c r="H3679" s="114"/>
    </row>
    <row r="3680" spans="1:8">
      <c r="A3680" s="20">
        <v>3724</v>
      </c>
      <c r="B3680" s="134" t="s">
        <v>5220</v>
      </c>
      <c r="C3680" s="141">
        <v>0</v>
      </c>
      <c r="D3680" s="114">
        <v>1</v>
      </c>
      <c r="E3680" s="114"/>
      <c r="F3680" s="114" t="s">
        <v>5221</v>
      </c>
      <c r="G3680" s="114"/>
      <c r="H3680" s="114"/>
    </row>
    <row r="3681" s="5" customFormat="1" spans="1:8">
      <c r="A3681" s="5">
        <v>3725</v>
      </c>
      <c r="B3681" s="118" t="s">
        <v>5222</v>
      </c>
      <c r="C3681" s="140">
        <v>2</v>
      </c>
      <c r="D3681" s="6">
        <v>0</v>
      </c>
      <c r="E3681" s="6"/>
      <c r="F3681" s="6" t="s">
        <v>5223</v>
      </c>
      <c r="G3681" s="6"/>
      <c r="H3681" s="6"/>
    </row>
    <row r="3682" s="5" customFormat="1" spans="1:8">
      <c r="A3682" s="5">
        <v>3726</v>
      </c>
      <c r="B3682" s="118" t="s">
        <v>5224</v>
      </c>
      <c r="C3682" s="140">
        <v>1</v>
      </c>
      <c r="D3682" s="6">
        <v>0</v>
      </c>
      <c r="E3682" s="6"/>
      <c r="F3682" s="6" t="s">
        <v>5225</v>
      </c>
      <c r="G3682" s="6"/>
      <c r="H3682" s="6"/>
    </row>
    <row r="3683" s="20" customFormat="1" spans="1:8">
      <c r="A3683" s="5">
        <v>3727</v>
      </c>
      <c r="B3683" s="134" t="s">
        <v>5226</v>
      </c>
      <c r="C3683" s="20">
        <f>280/30</f>
        <v>9.33333333333333</v>
      </c>
      <c r="D3683" s="114">
        <v>0</v>
      </c>
      <c r="E3683" s="114"/>
      <c r="F3683" s="114" t="s">
        <v>5227</v>
      </c>
      <c r="G3683" s="114"/>
      <c r="H3683" s="114"/>
    </row>
    <row r="3684" s="20" customFormat="1" spans="1:8">
      <c r="A3684" s="5">
        <v>3728</v>
      </c>
      <c r="B3684" s="134" t="s">
        <v>5228</v>
      </c>
      <c r="C3684" s="141">
        <v>1</v>
      </c>
      <c r="D3684" s="114">
        <v>0</v>
      </c>
      <c r="E3684" s="114"/>
      <c r="F3684" s="114" t="s">
        <v>5229</v>
      </c>
      <c r="G3684" s="114"/>
      <c r="H3684" s="114"/>
    </row>
    <row r="3685" s="22" customFormat="1" spans="1:8">
      <c r="A3685" s="22">
        <v>3729</v>
      </c>
      <c r="B3685" s="143" t="s">
        <v>5230</v>
      </c>
      <c r="C3685" s="144">
        <v>1</v>
      </c>
      <c r="D3685" s="145">
        <v>0</v>
      </c>
      <c r="E3685" s="145"/>
      <c r="F3685" s="145" t="s">
        <v>5231</v>
      </c>
      <c r="G3685" s="145"/>
      <c r="H3685" s="145"/>
    </row>
    <row r="3686" s="5" customFormat="1" spans="1:8">
      <c r="A3686" s="5">
        <v>3730</v>
      </c>
      <c r="B3686" s="118" t="s">
        <v>5232</v>
      </c>
      <c r="C3686" s="140">
        <f>115/30</f>
        <v>3.83333333333333</v>
      </c>
      <c r="D3686" s="6">
        <v>0</v>
      </c>
      <c r="E3686" s="6"/>
      <c r="F3686" s="6" t="s">
        <v>5233</v>
      </c>
      <c r="G3686" s="6"/>
      <c r="H3686" s="6"/>
    </row>
    <row r="3687" s="5" customFormat="1" spans="1:8">
      <c r="A3687" s="5">
        <v>3731</v>
      </c>
      <c r="B3687" s="118" t="s">
        <v>5234</v>
      </c>
      <c r="C3687" s="140">
        <v>1</v>
      </c>
      <c r="D3687" s="6">
        <v>0</v>
      </c>
      <c r="E3687" s="6"/>
      <c r="F3687" s="6" t="s">
        <v>5235</v>
      </c>
      <c r="G3687" s="6"/>
      <c r="H3687" s="6"/>
    </row>
    <row r="3688" s="22" customFormat="1" spans="1:8">
      <c r="A3688" s="22">
        <v>3732</v>
      </c>
      <c r="B3688" s="143" t="s">
        <v>5236</v>
      </c>
      <c r="C3688" s="144">
        <f>123/30</f>
        <v>4.1</v>
      </c>
      <c r="D3688" s="145">
        <v>0</v>
      </c>
      <c r="E3688" s="145"/>
      <c r="F3688" s="145" t="s">
        <v>5237</v>
      </c>
      <c r="G3688" s="145"/>
      <c r="H3688" s="145"/>
    </row>
    <row r="3689" s="22" customFormat="1" spans="1:8">
      <c r="A3689" s="22">
        <v>3733</v>
      </c>
      <c r="B3689" s="143" t="s">
        <v>5238</v>
      </c>
      <c r="C3689" s="144">
        <v>1</v>
      </c>
      <c r="D3689" s="145">
        <v>0</v>
      </c>
      <c r="E3689" s="145"/>
      <c r="F3689" s="145" t="s">
        <v>5239</v>
      </c>
      <c r="G3689" s="145"/>
      <c r="H3689" s="145"/>
    </row>
    <row r="3690" s="22" customFormat="1" spans="1:8">
      <c r="A3690" s="22">
        <v>3734</v>
      </c>
      <c r="B3690" s="143" t="s">
        <v>5240</v>
      </c>
      <c r="C3690" s="144">
        <v>1</v>
      </c>
      <c r="D3690" s="145">
        <v>0</v>
      </c>
      <c r="E3690" s="145"/>
      <c r="F3690" s="145" t="s">
        <v>5239</v>
      </c>
      <c r="G3690" s="145"/>
      <c r="H3690" s="145"/>
    </row>
    <row r="3691" s="5" customFormat="1" ht="15" customHeight="1" spans="1:8">
      <c r="A3691" s="5">
        <v>3735</v>
      </c>
      <c r="B3691" s="118" t="s">
        <v>5241</v>
      </c>
      <c r="C3691" s="5">
        <f>410/30</f>
        <v>13.6666666666667</v>
      </c>
      <c r="D3691" s="6">
        <v>0</v>
      </c>
      <c r="E3691" s="6"/>
      <c r="F3691" s="6" t="s">
        <v>5242</v>
      </c>
      <c r="G3691" s="6"/>
      <c r="H3691" s="6"/>
    </row>
    <row r="3692" s="20" customFormat="1" ht="15" customHeight="1" spans="1:8">
      <c r="A3692" s="20">
        <v>3736</v>
      </c>
      <c r="B3692" s="134" t="s">
        <v>5243</v>
      </c>
      <c r="C3692" s="20">
        <f>48/30</f>
        <v>1.6</v>
      </c>
      <c r="D3692" s="114">
        <v>0</v>
      </c>
      <c r="E3692" s="114"/>
      <c r="F3692" s="114" t="s">
        <v>5244</v>
      </c>
      <c r="G3692" s="114"/>
      <c r="H3692" s="114"/>
    </row>
    <row r="3693" s="20" customFormat="1" ht="15" customHeight="1" spans="1:8">
      <c r="A3693" s="20">
        <v>3737</v>
      </c>
      <c r="B3693" s="134" t="s">
        <v>5245</v>
      </c>
      <c r="C3693" s="20">
        <v>1</v>
      </c>
      <c r="D3693" s="114">
        <v>0</v>
      </c>
      <c r="E3693" s="114"/>
      <c r="F3693" s="114" t="s">
        <v>5246</v>
      </c>
      <c r="G3693" s="114"/>
      <c r="H3693" s="114"/>
    </row>
    <row r="3694" s="20" customFormat="1" ht="15" customHeight="1" spans="1:8">
      <c r="A3694" s="20">
        <v>3738</v>
      </c>
      <c r="B3694" s="134" t="s">
        <v>5247</v>
      </c>
      <c r="C3694" s="20">
        <f>82/30</f>
        <v>2.73333333333333</v>
      </c>
      <c r="D3694" s="114">
        <v>0</v>
      </c>
      <c r="E3694" s="114"/>
      <c r="F3694" s="114" t="s">
        <v>5248</v>
      </c>
      <c r="G3694" s="114"/>
      <c r="H3694" s="114"/>
    </row>
    <row r="3695" s="20" customFormat="1" ht="15" customHeight="1" spans="1:8">
      <c r="A3695" s="20">
        <v>3739</v>
      </c>
      <c r="B3695" s="134" t="s">
        <v>5249</v>
      </c>
      <c r="C3695" s="20">
        <f>160/30</f>
        <v>5.33333333333333</v>
      </c>
      <c r="D3695" s="114">
        <v>0</v>
      </c>
      <c r="E3695" s="114"/>
      <c r="F3695" s="114" t="s">
        <v>5250</v>
      </c>
      <c r="G3695" s="114"/>
      <c r="H3695" s="114"/>
    </row>
    <row r="3696" s="23" customFormat="1" ht="15" customHeight="1" spans="1:6">
      <c r="A3696" s="23">
        <v>3740</v>
      </c>
      <c r="B3696" s="146" t="s">
        <v>5251</v>
      </c>
      <c r="C3696" s="23">
        <v>0</v>
      </c>
      <c r="D3696" s="23">
        <v>1</v>
      </c>
      <c r="F3696" s="23" t="s">
        <v>5252</v>
      </c>
    </row>
    <row r="3697" s="23" customFormat="1" ht="15" customHeight="1" spans="1:6">
      <c r="A3697" s="23">
        <v>3741</v>
      </c>
      <c r="B3697" s="146" t="s">
        <v>5253</v>
      </c>
      <c r="C3697" s="23">
        <f>111/30</f>
        <v>3.7</v>
      </c>
      <c r="D3697" s="23">
        <v>0</v>
      </c>
      <c r="F3697" s="23" t="s">
        <v>5254</v>
      </c>
    </row>
    <row r="3698" s="20" customFormat="1" ht="15" customHeight="1" spans="1:8">
      <c r="A3698" s="20">
        <v>3742</v>
      </c>
      <c r="B3698" s="143" t="s">
        <v>5255</v>
      </c>
      <c r="C3698" s="20">
        <v>4.1</v>
      </c>
      <c r="D3698" s="114">
        <v>0</v>
      </c>
      <c r="E3698" s="114"/>
      <c r="F3698" s="114" t="s">
        <v>5256</v>
      </c>
      <c r="G3698" s="114"/>
      <c r="H3698" s="114"/>
    </row>
    <row r="3699" s="20" customFormat="1" ht="15" customHeight="1" spans="1:8">
      <c r="A3699" s="20">
        <v>3743</v>
      </c>
      <c r="B3699" s="118" t="s">
        <v>5257</v>
      </c>
      <c r="C3699" s="20">
        <f>92/30</f>
        <v>3.06666666666667</v>
      </c>
      <c r="D3699" s="114">
        <v>0</v>
      </c>
      <c r="E3699" s="114"/>
      <c r="F3699" s="114" t="s">
        <v>5258</v>
      </c>
      <c r="G3699" s="114"/>
      <c r="H3699" s="114"/>
    </row>
    <row r="3700" s="20" customFormat="1" ht="15" customHeight="1" spans="1:8">
      <c r="A3700" s="20">
        <v>3744</v>
      </c>
      <c r="B3700" s="118" t="s">
        <v>5259</v>
      </c>
      <c r="C3700" s="20">
        <f>92/30</f>
        <v>3.06666666666667</v>
      </c>
      <c r="D3700" s="114">
        <v>0</v>
      </c>
      <c r="E3700" s="114"/>
      <c r="F3700" s="114" t="s">
        <v>5260</v>
      </c>
      <c r="G3700" s="114"/>
      <c r="H3700" s="114"/>
    </row>
    <row r="3701" s="20" customFormat="1" ht="15" customHeight="1" spans="1:8">
      <c r="A3701" s="20">
        <v>3745</v>
      </c>
      <c r="B3701" s="118" t="s">
        <v>5261</v>
      </c>
      <c r="C3701" s="20">
        <f>92/30</f>
        <v>3.06666666666667</v>
      </c>
      <c r="D3701" s="114">
        <v>0</v>
      </c>
      <c r="E3701" s="114"/>
      <c r="F3701" s="114" t="s">
        <v>5260</v>
      </c>
      <c r="G3701" s="114"/>
      <c r="H3701" s="114"/>
    </row>
    <row r="3702" s="20" customFormat="1" ht="15" customHeight="1" spans="1:8">
      <c r="A3702" s="20">
        <v>3746</v>
      </c>
      <c r="B3702" s="118" t="s">
        <v>5262</v>
      </c>
      <c r="C3702" s="20">
        <v>1</v>
      </c>
      <c r="D3702" s="114">
        <v>0</v>
      </c>
      <c r="E3702" s="114"/>
      <c r="F3702" s="114" t="s">
        <v>5263</v>
      </c>
      <c r="G3702" s="114"/>
      <c r="H3702" s="114"/>
    </row>
    <row r="3703" s="20" customFormat="1" ht="15" customHeight="1" spans="1:8">
      <c r="A3703" s="20">
        <v>3747</v>
      </c>
      <c r="B3703" s="118" t="s">
        <v>5264</v>
      </c>
      <c r="C3703" s="20">
        <v>1</v>
      </c>
      <c r="D3703" s="114">
        <v>0</v>
      </c>
      <c r="E3703" s="114"/>
      <c r="F3703" s="114" t="s">
        <v>5265</v>
      </c>
      <c r="G3703" s="114"/>
      <c r="H3703" s="114"/>
    </row>
    <row r="3704" s="20" customFormat="1" ht="15" customHeight="1" spans="1:8">
      <c r="A3704" s="20">
        <v>3748</v>
      </c>
      <c r="B3704" s="118" t="s">
        <v>5266</v>
      </c>
      <c r="C3704" s="20">
        <f>75/30</f>
        <v>2.5</v>
      </c>
      <c r="D3704" s="114">
        <v>0</v>
      </c>
      <c r="E3704" s="114"/>
      <c r="F3704" s="114" t="s">
        <v>5267</v>
      </c>
      <c r="G3704" s="114"/>
      <c r="H3704" s="114"/>
    </row>
    <row r="3705" s="20" customFormat="1" ht="15" customHeight="1" spans="1:8">
      <c r="A3705" s="20">
        <v>3749</v>
      </c>
      <c r="B3705" s="118" t="s">
        <v>5268</v>
      </c>
      <c r="C3705" s="20">
        <f>75/30</f>
        <v>2.5</v>
      </c>
      <c r="D3705" s="114">
        <v>0</v>
      </c>
      <c r="E3705" s="114"/>
      <c r="F3705" s="114" t="s">
        <v>5269</v>
      </c>
      <c r="G3705" s="114"/>
      <c r="H3705" s="114"/>
    </row>
    <row r="3706" s="20" customFormat="1" ht="15" customHeight="1" spans="1:8">
      <c r="A3706" s="20">
        <v>3750</v>
      </c>
      <c r="B3706" s="118" t="s">
        <v>5270</v>
      </c>
      <c r="C3706" s="20">
        <v>1</v>
      </c>
      <c r="D3706" s="114">
        <v>0</v>
      </c>
      <c r="E3706" s="114"/>
      <c r="F3706" s="114" t="s">
        <v>5271</v>
      </c>
      <c r="G3706" s="114"/>
      <c r="H3706" s="114"/>
    </row>
    <row r="3707" s="20" customFormat="1" ht="15" customHeight="1" spans="1:8">
      <c r="A3707" s="20">
        <v>3751</v>
      </c>
      <c r="B3707" s="118" t="s">
        <v>5272</v>
      </c>
      <c r="C3707" s="20">
        <v>1</v>
      </c>
      <c r="D3707" s="114">
        <v>0</v>
      </c>
      <c r="E3707" s="114"/>
      <c r="F3707" s="114" t="s">
        <v>5273</v>
      </c>
      <c r="G3707" s="114"/>
      <c r="H3707" s="114"/>
    </row>
    <row r="3708" s="20" customFormat="1" ht="15" customHeight="1" spans="1:8">
      <c r="A3708" s="20">
        <v>3752</v>
      </c>
      <c r="B3708" s="118" t="s">
        <v>5274</v>
      </c>
      <c r="C3708" s="20">
        <v>1</v>
      </c>
      <c r="D3708" s="114">
        <v>0</v>
      </c>
      <c r="E3708" s="114"/>
      <c r="F3708" s="114" t="s">
        <v>5275</v>
      </c>
      <c r="G3708" s="114"/>
      <c r="H3708" s="114"/>
    </row>
    <row r="3709" s="20" customFormat="1" ht="15" customHeight="1" spans="1:8">
      <c r="A3709" s="20">
        <v>3753</v>
      </c>
      <c r="B3709" s="118" t="s">
        <v>5276</v>
      </c>
      <c r="C3709" s="20">
        <f>75/30</f>
        <v>2.5</v>
      </c>
      <c r="D3709" s="114">
        <v>0</v>
      </c>
      <c r="E3709" s="114"/>
      <c r="F3709" s="114" t="s">
        <v>5277</v>
      </c>
      <c r="G3709" s="114"/>
      <c r="H3709" s="114"/>
    </row>
    <row r="3710" s="20" customFormat="1" ht="15" customHeight="1" spans="1:8">
      <c r="A3710" s="20">
        <v>3754</v>
      </c>
      <c r="B3710" s="118" t="s">
        <v>5278</v>
      </c>
      <c r="C3710" s="20">
        <v>1</v>
      </c>
      <c r="D3710" s="114">
        <v>0</v>
      </c>
      <c r="E3710" s="114"/>
      <c r="F3710" s="114" t="s">
        <v>5279</v>
      </c>
      <c r="G3710" s="114"/>
      <c r="H3710" s="114"/>
    </row>
    <row r="3711" s="20" customFormat="1" ht="15" customHeight="1" spans="1:8">
      <c r="A3711" s="20">
        <v>3755</v>
      </c>
      <c r="B3711" s="118" t="s">
        <v>5280</v>
      </c>
      <c r="C3711" s="20">
        <v>2.5</v>
      </c>
      <c r="D3711" s="114">
        <v>0</v>
      </c>
      <c r="E3711" s="114"/>
      <c r="F3711" s="114" t="s">
        <v>5281</v>
      </c>
      <c r="G3711" s="114"/>
      <c r="H3711" s="114"/>
    </row>
    <row r="3712" s="20" customFormat="1" ht="15" customHeight="1" spans="1:8">
      <c r="A3712" s="20">
        <v>3756</v>
      </c>
      <c r="B3712" s="118" t="s">
        <v>5282</v>
      </c>
      <c r="C3712" s="20">
        <f>76/30</f>
        <v>2.53333333333333</v>
      </c>
      <c r="D3712" s="114">
        <v>0</v>
      </c>
      <c r="E3712" s="114"/>
      <c r="F3712" s="114" t="s">
        <v>5283</v>
      </c>
      <c r="G3712" s="114"/>
      <c r="H3712" s="114"/>
    </row>
    <row r="3713" s="20" customFormat="1" ht="15" customHeight="1" spans="1:8">
      <c r="A3713" s="20">
        <v>3757</v>
      </c>
      <c r="B3713" s="118" t="s">
        <v>5284</v>
      </c>
      <c r="C3713" s="20">
        <f>420/30</f>
        <v>14</v>
      </c>
      <c r="D3713" s="114">
        <v>0</v>
      </c>
      <c r="E3713" s="114"/>
      <c r="F3713" s="114" t="s">
        <v>5285</v>
      </c>
      <c r="G3713" s="114"/>
      <c r="H3713" s="114"/>
    </row>
    <row r="3714" s="20" customFormat="1" ht="15" customHeight="1" spans="1:8">
      <c r="A3714" s="20">
        <v>3758</v>
      </c>
      <c r="B3714" s="118" t="s">
        <v>5286</v>
      </c>
      <c r="C3714" s="20">
        <f>93/30</f>
        <v>3.1</v>
      </c>
      <c r="D3714" s="114">
        <v>0</v>
      </c>
      <c r="E3714" s="114"/>
      <c r="F3714" s="114" t="s">
        <v>5287</v>
      </c>
      <c r="G3714" s="114"/>
      <c r="H3714" s="114"/>
    </row>
    <row r="3715" s="20" customFormat="1" ht="15" customHeight="1" spans="1:8">
      <c r="A3715" s="20">
        <v>3759</v>
      </c>
      <c r="B3715" s="118" t="s">
        <v>5288</v>
      </c>
      <c r="C3715" s="20">
        <v>3.1</v>
      </c>
      <c r="D3715" s="114">
        <v>0</v>
      </c>
      <c r="E3715" s="114"/>
      <c r="F3715" s="114" t="s">
        <v>5289</v>
      </c>
      <c r="G3715" s="114"/>
      <c r="H3715" s="114"/>
    </row>
    <row r="3716" s="20" customFormat="1" ht="15" customHeight="1" spans="1:8">
      <c r="A3716" s="20">
        <v>3760</v>
      </c>
      <c r="B3716" s="118" t="s">
        <v>5290</v>
      </c>
      <c r="C3716" s="20">
        <v>3.1</v>
      </c>
      <c r="D3716" s="114">
        <v>0</v>
      </c>
      <c r="E3716" s="114"/>
      <c r="F3716" s="114" t="s">
        <v>5289</v>
      </c>
      <c r="G3716" s="114"/>
      <c r="H3716" s="114"/>
    </row>
    <row r="3717" s="20" customFormat="1" ht="15" customHeight="1" spans="1:8">
      <c r="A3717" s="20">
        <v>3761</v>
      </c>
      <c r="B3717" s="118" t="s">
        <v>5291</v>
      </c>
      <c r="C3717" s="20">
        <v>1</v>
      </c>
      <c r="D3717" s="114">
        <v>0</v>
      </c>
      <c r="E3717" s="114"/>
      <c r="F3717" s="114" t="s">
        <v>5292</v>
      </c>
      <c r="G3717" s="114"/>
      <c r="H3717" s="114"/>
    </row>
    <row r="3718" s="20" customFormat="1" ht="15" customHeight="1" spans="1:8">
      <c r="A3718" s="20">
        <v>3762</v>
      </c>
      <c r="B3718" s="118" t="s">
        <v>5293</v>
      </c>
      <c r="C3718" s="20">
        <v>1</v>
      </c>
      <c r="D3718" s="114">
        <v>0</v>
      </c>
      <c r="E3718" s="114"/>
      <c r="F3718" s="114" t="s">
        <v>5292</v>
      </c>
      <c r="G3718" s="114"/>
      <c r="H3718" s="114"/>
    </row>
    <row r="3719" s="20" customFormat="1" ht="15" customHeight="1" spans="1:8">
      <c r="A3719" s="20">
        <v>3763</v>
      </c>
      <c r="B3719" s="118" t="s">
        <v>5294</v>
      </c>
      <c r="C3719" s="20">
        <f>86/30</f>
        <v>2.86666666666667</v>
      </c>
      <c r="D3719" s="114">
        <v>0</v>
      </c>
      <c r="E3719" s="114"/>
      <c r="F3719" s="114" t="s">
        <v>5295</v>
      </c>
      <c r="G3719" s="114"/>
      <c r="H3719" s="114"/>
    </row>
    <row r="3720" s="20" customFormat="1" ht="15" customHeight="1" spans="1:8">
      <c r="A3720" s="20">
        <v>3764</v>
      </c>
      <c r="B3720" s="118" t="s">
        <v>5296</v>
      </c>
      <c r="C3720" s="20">
        <v>1</v>
      </c>
      <c r="D3720" s="114">
        <v>0</v>
      </c>
      <c r="E3720" s="114"/>
      <c r="F3720" s="114" t="s">
        <v>5297</v>
      </c>
      <c r="G3720" s="114"/>
      <c r="H3720" s="114"/>
    </row>
    <row r="3721" s="20" customFormat="1" ht="15" customHeight="1" spans="1:8">
      <c r="A3721" s="20">
        <v>3765</v>
      </c>
      <c r="B3721" s="118" t="s">
        <v>5298</v>
      </c>
      <c r="C3721" s="20">
        <v>9.66666666666667</v>
      </c>
      <c r="D3721" s="114">
        <v>0</v>
      </c>
      <c r="E3721" s="114"/>
      <c r="F3721" s="114" t="s">
        <v>5299</v>
      </c>
      <c r="G3721" s="114"/>
      <c r="H3721" s="114"/>
    </row>
    <row r="3722" s="20" customFormat="1" ht="15" customHeight="1" spans="1:8">
      <c r="A3722" s="20">
        <v>3766</v>
      </c>
      <c r="B3722" s="20" t="s">
        <v>5300</v>
      </c>
      <c r="C3722" s="20">
        <v>9.66666666666667</v>
      </c>
      <c r="D3722" s="114">
        <v>0</v>
      </c>
      <c r="E3722" s="114"/>
      <c r="F3722" s="114" t="s">
        <v>5301</v>
      </c>
      <c r="G3722" s="114"/>
      <c r="H3722" s="114"/>
    </row>
    <row r="3723" s="20" customFormat="1" ht="15" customHeight="1" spans="1:8">
      <c r="A3723" s="20">
        <v>3767</v>
      </c>
      <c r="B3723" s="118" t="s">
        <v>5302</v>
      </c>
      <c r="C3723" s="20">
        <v>9.66666666666667</v>
      </c>
      <c r="D3723" s="114">
        <v>0</v>
      </c>
      <c r="E3723" s="114"/>
      <c r="F3723" s="114" t="s">
        <v>5301</v>
      </c>
      <c r="G3723" s="114"/>
      <c r="H3723" s="114"/>
    </row>
    <row r="3724" s="20" customFormat="1" ht="15" customHeight="1" spans="1:8">
      <c r="A3724" s="20">
        <v>3768</v>
      </c>
      <c r="B3724" s="118" t="s">
        <v>5303</v>
      </c>
      <c r="C3724" s="20">
        <v>4</v>
      </c>
      <c r="D3724" s="114">
        <v>0</v>
      </c>
      <c r="E3724" s="114"/>
      <c r="F3724" s="114" t="s">
        <v>5304</v>
      </c>
      <c r="G3724" s="114"/>
      <c r="H3724" s="114"/>
    </row>
    <row r="3725" s="20" customFormat="1" ht="15" customHeight="1" spans="1:8">
      <c r="A3725" s="20">
        <v>3769</v>
      </c>
      <c r="B3725" s="118" t="s">
        <v>5305</v>
      </c>
      <c r="C3725" s="20">
        <v>4</v>
      </c>
      <c r="D3725" s="114">
        <v>0</v>
      </c>
      <c r="E3725" s="114"/>
      <c r="F3725" s="114" t="s">
        <v>5306</v>
      </c>
      <c r="G3725" s="114"/>
      <c r="H3725" s="114"/>
    </row>
    <row r="3726" s="20" customFormat="1" ht="15" customHeight="1" spans="1:8">
      <c r="A3726" s="20">
        <v>3770</v>
      </c>
      <c r="B3726" s="118" t="s">
        <v>5307</v>
      </c>
      <c r="C3726" s="20">
        <v>0</v>
      </c>
      <c r="D3726" s="114">
        <v>1</v>
      </c>
      <c r="E3726" s="114"/>
      <c r="F3726" s="114" t="s">
        <v>5308</v>
      </c>
      <c r="G3726" s="114"/>
      <c r="H3726" s="114"/>
    </row>
    <row r="3727" s="20" customFormat="1" ht="15" customHeight="1" spans="1:8">
      <c r="A3727" s="20">
        <v>3771</v>
      </c>
      <c r="B3727" s="118" t="s">
        <v>5309</v>
      </c>
      <c r="C3727" s="20">
        <v>1</v>
      </c>
      <c r="D3727" s="114">
        <v>0</v>
      </c>
      <c r="E3727" s="114"/>
      <c r="F3727" s="114" t="s">
        <v>5310</v>
      </c>
      <c r="G3727" s="114"/>
      <c r="H3727" s="114"/>
    </row>
    <row r="3728" s="20" customFormat="1" ht="15" customHeight="1" spans="1:8">
      <c r="A3728" s="20">
        <v>3772</v>
      </c>
      <c r="B3728" s="118" t="s">
        <v>5311</v>
      </c>
      <c r="C3728" s="20">
        <v>1</v>
      </c>
      <c r="D3728" s="114">
        <v>0</v>
      </c>
      <c r="E3728" s="114"/>
      <c r="F3728" s="114" t="s">
        <v>5312</v>
      </c>
      <c r="G3728" s="114"/>
      <c r="H3728" s="114"/>
    </row>
    <row r="3729" s="20" customFormat="1" ht="15" customHeight="1" spans="1:8">
      <c r="A3729" s="20">
        <v>3773</v>
      </c>
      <c r="B3729" s="118" t="s">
        <v>5313</v>
      </c>
      <c r="C3729" s="20">
        <f>86/30</f>
        <v>2.86666666666667</v>
      </c>
      <c r="D3729" s="114">
        <v>0</v>
      </c>
      <c r="E3729" s="114"/>
      <c r="F3729" s="114" t="s">
        <v>5314</v>
      </c>
      <c r="G3729" s="114"/>
      <c r="H3729" s="114"/>
    </row>
    <row r="3730" s="20" customFormat="1" ht="15" customHeight="1" spans="1:8">
      <c r="A3730" s="20">
        <v>3774</v>
      </c>
      <c r="B3730" s="118" t="s">
        <v>5315</v>
      </c>
      <c r="C3730" s="20">
        <v>0</v>
      </c>
      <c r="D3730" s="114">
        <v>1</v>
      </c>
      <c r="E3730" s="114"/>
      <c r="F3730" s="114" t="s">
        <v>5316</v>
      </c>
      <c r="G3730" s="114"/>
      <c r="H3730" s="114"/>
    </row>
    <row r="3731" s="20" customFormat="1" ht="15" customHeight="1" spans="1:8">
      <c r="A3731" s="20">
        <v>3775</v>
      </c>
      <c r="B3731" s="118" t="s">
        <v>5317</v>
      </c>
      <c r="C3731" s="20">
        <f>400/30</f>
        <v>13.3333333333333</v>
      </c>
      <c r="D3731" s="114">
        <v>0</v>
      </c>
      <c r="E3731" s="114"/>
      <c r="F3731" s="114" t="s">
        <v>5318</v>
      </c>
      <c r="G3731" s="114"/>
      <c r="H3731" s="114"/>
    </row>
    <row r="3732" s="24" customFormat="1" ht="15" customHeight="1" spans="1:8">
      <c r="A3732" s="20">
        <v>3776</v>
      </c>
      <c r="B3732" s="147" t="s">
        <v>5319</v>
      </c>
      <c r="C3732" s="54">
        <f>87/30</f>
        <v>2.9</v>
      </c>
      <c r="D3732" s="54">
        <v>0</v>
      </c>
      <c r="E3732" s="54"/>
      <c r="F3732" s="54" t="s">
        <v>5320</v>
      </c>
      <c r="G3732" s="54"/>
      <c r="H3732" s="54"/>
    </row>
    <row r="3733" s="24" customFormat="1" ht="15" customHeight="1" spans="1:8">
      <c r="A3733" s="20">
        <v>3777</v>
      </c>
      <c r="B3733" s="147" t="s">
        <v>5321</v>
      </c>
      <c r="C3733" s="54">
        <f>87/30</f>
        <v>2.9</v>
      </c>
      <c r="D3733" s="54">
        <v>0</v>
      </c>
      <c r="E3733" s="54"/>
      <c r="F3733" s="54" t="s">
        <v>5322</v>
      </c>
      <c r="G3733" s="54"/>
      <c r="H3733" s="54"/>
    </row>
    <row r="3734" s="24" customFormat="1" ht="15" customHeight="1" spans="1:8">
      <c r="A3734" s="20">
        <v>3778</v>
      </c>
      <c r="B3734" s="147" t="s">
        <v>5323</v>
      </c>
      <c r="C3734" s="54">
        <f>87/30</f>
        <v>2.9</v>
      </c>
      <c r="D3734" s="54">
        <v>0</v>
      </c>
      <c r="E3734" s="54"/>
      <c r="F3734" s="54" t="s">
        <v>5324</v>
      </c>
      <c r="G3734" s="54"/>
      <c r="H3734" s="54"/>
    </row>
    <row r="3735" s="24" customFormat="1" ht="15" customHeight="1" spans="1:8">
      <c r="A3735" s="20">
        <v>3779</v>
      </c>
      <c r="B3735" s="147" t="s">
        <v>5325</v>
      </c>
      <c r="C3735" s="54">
        <v>1</v>
      </c>
      <c r="D3735" s="54">
        <v>0</v>
      </c>
      <c r="E3735" s="54"/>
      <c r="F3735" s="54" t="s">
        <v>5326</v>
      </c>
      <c r="G3735" s="54"/>
      <c r="H3735" s="54"/>
    </row>
    <row r="3736" s="24" customFormat="1" ht="15" customHeight="1" spans="1:8">
      <c r="A3736" s="20">
        <v>3780</v>
      </c>
      <c r="B3736" s="147" t="s">
        <v>5327</v>
      </c>
      <c r="C3736" s="54">
        <f>64/30</f>
        <v>2.13333333333333</v>
      </c>
      <c r="D3736" s="54">
        <v>0</v>
      </c>
      <c r="E3736" s="54"/>
      <c r="F3736" s="54" t="s">
        <v>5328</v>
      </c>
      <c r="G3736" s="54"/>
      <c r="H3736" s="54"/>
    </row>
    <row r="3737" s="24" customFormat="1" ht="15" customHeight="1" spans="1:8">
      <c r="A3737" s="20">
        <v>3781</v>
      </c>
      <c r="B3737" s="147" t="s">
        <v>5329</v>
      </c>
      <c r="C3737" s="54">
        <f>64/30</f>
        <v>2.13333333333333</v>
      </c>
      <c r="D3737" s="54">
        <v>0</v>
      </c>
      <c r="E3737" s="54"/>
      <c r="F3737" s="54" t="s">
        <v>5330</v>
      </c>
      <c r="G3737" s="54"/>
      <c r="H3737" s="54"/>
    </row>
    <row r="3738" s="24" customFormat="1" ht="15" customHeight="1" spans="1:8">
      <c r="A3738" s="20">
        <v>3782</v>
      </c>
      <c r="B3738" s="147" t="s">
        <v>5331</v>
      </c>
      <c r="C3738" s="54">
        <f>215/30</f>
        <v>7.16666666666667</v>
      </c>
      <c r="D3738" s="54">
        <v>0</v>
      </c>
      <c r="E3738" s="54"/>
      <c r="F3738" s="54" t="s">
        <v>5332</v>
      </c>
      <c r="G3738" s="54"/>
      <c r="H3738" s="54"/>
    </row>
    <row r="3739" s="24" customFormat="1" ht="15" customHeight="1" spans="1:8">
      <c r="A3739" s="20">
        <v>3783</v>
      </c>
      <c r="B3739" s="147" t="s">
        <v>5333</v>
      </c>
      <c r="C3739" s="54">
        <f>215/30</f>
        <v>7.16666666666667</v>
      </c>
      <c r="D3739" s="54">
        <v>0</v>
      </c>
      <c r="E3739" s="54"/>
      <c r="F3739" s="54" t="s">
        <v>5334</v>
      </c>
      <c r="G3739" s="54"/>
      <c r="H3739" s="54"/>
    </row>
    <row r="3740" s="24" customFormat="1" ht="15" customHeight="1" spans="1:8">
      <c r="A3740" s="20">
        <v>3784</v>
      </c>
      <c r="B3740" s="118" t="s">
        <v>5335</v>
      </c>
      <c r="C3740" s="114">
        <v>0</v>
      </c>
      <c r="D3740" s="114">
        <v>1</v>
      </c>
      <c r="E3740" s="114"/>
      <c r="F3740" s="114" t="s">
        <v>5336</v>
      </c>
      <c r="G3740" s="54"/>
      <c r="H3740" s="54"/>
    </row>
    <row r="3741" s="25" customFormat="1" ht="15" customHeight="1" spans="1:8">
      <c r="A3741" s="25">
        <v>3785</v>
      </c>
      <c r="B3741" s="148" t="s">
        <v>5337</v>
      </c>
      <c r="C3741" s="149">
        <f>140/30</f>
        <v>4.66666666666667</v>
      </c>
      <c r="D3741" s="149">
        <v>0</v>
      </c>
      <c r="E3741" s="149"/>
      <c r="F3741" s="149" t="s">
        <v>5338</v>
      </c>
      <c r="G3741" s="149"/>
      <c r="H3741" s="149"/>
    </row>
    <row r="3742" s="25" customFormat="1" ht="15" customHeight="1" spans="1:8">
      <c r="A3742" s="25">
        <v>3786</v>
      </c>
      <c r="B3742" s="148" t="s">
        <v>5339</v>
      </c>
      <c r="C3742" s="149">
        <v>1</v>
      </c>
      <c r="D3742" s="149">
        <v>0</v>
      </c>
      <c r="E3742" s="149"/>
      <c r="F3742" s="149" t="s">
        <v>5340</v>
      </c>
      <c r="G3742" s="149"/>
      <c r="H3742" s="149"/>
    </row>
    <row r="3743" s="25" customFormat="1" ht="15" customHeight="1" spans="1:8">
      <c r="A3743" s="25">
        <v>3787</v>
      </c>
      <c r="B3743" s="148" t="s">
        <v>5341</v>
      </c>
      <c r="C3743" s="149">
        <f>140/30</f>
        <v>4.66666666666667</v>
      </c>
      <c r="D3743" s="149">
        <v>0</v>
      </c>
      <c r="E3743" s="149"/>
      <c r="F3743" s="149" t="s">
        <v>5342</v>
      </c>
      <c r="G3743" s="149"/>
      <c r="H3743" s="149"/>
    </row>
    <row r="3744" s="25" customFormat="1" ht="15" customHeight="1" spans="1:8">
      <c r="A3744" s="25">
        <v>3788</v>
      </c>
      <c r="B3744" s="148" t="s">
        <v>5343</v>
      </c>
      <c r="C3744" s="149">
        <v>3</v>
      </c>
      <c r="D3744" s="149">
        <v>0</v>
      </c>
      <c r="E3744" s="149"/>
      <c r="F3744" s="149" t="s">
        <v>5344</v>
      </c>
      <c r="G3744" s="149"/>
      <c r="H3744" s="149"/>
    </row>
    <row r="3745" s="25" customFormat="1" ht="15" customHeight="1" spans="1:8">
      <c r="A3745" s="25">
        <v>3789</v>
      </c>
      <c r="B3745" s="148" t="s">
        <v>5345</v>
      </c>
      <c r="C3745" s="149">
        <v>0</v>
      </c>
      <c r="D3745" s="149">
        <v>1</v>
      </c>
      <c r="E3745" s="149"/>
      <c r="F3745" s="149" t="s">
        <v>5346</v>
      </c>
      <c r="G3745" s="149"/>
      <c r="H3745" s="149"/>
    </row>
    <row r="3746" s="25" customFormat="1" ht="15" customHeight="1" spans="1:8">
      <c r="A3746" s="25">
        <v>3790</v>
      </c>
      <c r="B3746" s="148" t="s">
        <v>5347</v>
      </c>
      <c r="C3746" s="149">
        <v>0</v>
      </c>
      <c r="D3746" s="149">
        <v>1</v>
      </c>
      <c r="E3746" s="149"/>
      <c r="F3746" s="149" t="s">
        <v>5348</v>
      </c>
      <c r="G3746" s="149"/>
      <c r="H3746" s="149"/>
    </row>
    <row r="3747" s="25" customFormat="1" ht="15" customHeight="1" spans="1:8">
      <c r="A3747" s="25">
        <v>3791</v>
      </c>
      <c r="B3747" s="148" t="s">
        <v>5349</v>
      </c>
      <c r="C3747" s="149">
        <v>0</v>
      </c>
      <c r="D3747" s="149">
        <v>1</v>
      </c>
      <c r="E3747" s="149"/>
      <c r="F3747" s="149" t="s">
        <v>5350</v>
      </c>
      <c r="G3747" s="149"/>
      <c r="H3747" s="149"/>
    </row>
    <row r="3748" s="25" customFormat="1" ht="15" customHeight="1" spans="1:8">
      <c r="A3748" s="25">
        <v>3792</v>
      </c>
      <c r="B3748" s="148" t="s">
        <v>5351</v>
      </c>
      <c r="C3748" s="149">
        <v>0</v>
      </c>
      <c r="D3748" s="149">
        <v>1</v>
      </c>
      <c r="E3748" s="149"/>
      <c r="F3748" s="149" t="s">
        <v>5352</v>
      </c>
      <c r="G3748" s="149"/>
      <c r="H3748" s="149"/>
    </row>
    <row r="3749" s="24" customFormat="1" ht="15" customHeight="1" spans="1:8">
      <c r="A3749" s="24">
        <v>3793</v>
      </c>
      <c r="B3749" s="147" t="s">
        <v>5353</v>
      </c>
      <c r="C3749" s="54">
        <f>40/30</f>
        <v>1.33333333333333</v>
      </c>
      <c r="D3749" s="54">
        <v>0</v>
      </c>
      <c r="E3749" s="54"/>
      <c r="F3749" s="54" t="s">
        <v>5354</v>
      </c>
      <c r="G3749" s="54"/>
      <c r="H3749" s="54"/>
    </row>
    <row r="3750" s="24" customFormat="1" ht="15" customHeight="1" spans="1:8">
      <c r="A3750" s="24">
        <v>3794</v>
      </c>
      <c r="B3750" s="147" t="s">
        <v>5355</v>
      </c>
      <c r="C3750" s="54">
        <f>40/30</f>
        <v>1.33333333333333</v>
      </c>
      <c r="D3750" s="54">
        <v>0</v>
      </c>
      <c r="E3750" s="54"/>
      <c r="F3750" s="54" t="s">
        <v>5356</v>
      </c>
      <c r="G3750" s="54"/>
      <c r="H3750" s="54"/>
    </row>
    <row r="3751" s="24" customFormat="1" ht="15" customHeight="1" spans="1:8">
      <c r="A3751" s="24">
        <v>3795</v>
      </c>
      <c r="B3751" s="147" t="s">
        <v>5357</v>
      </c>
      <c r="C3751" s="54">
        <v>1</v>
      </c>
      <c r="D3751" s="54">
        <v>0</v>
      </c>
      <c r="E3751" s="54"/>
      <c r="F3751" s="54" t="s">
        <v>5358</v>
      </c>
      <c r="G3751" s="54"/>
      <c r="H3751" s="54"/>
    </row>
    <row r="3752" s="24" customFormat="1" ht="15" customHeight="1" spans="1:8">
      <c r="A3752" s="24">
        <v>3796</v>
      </c>
      <c r="B3752" s="147" t="s">
        <v>5359</v>
      </c>
      <c r="C3752" s="54">
        <f>72/30</f>
        <v>2.4</v>
      </c>
      <c r="D3752" s="54">
        <v>0</v>
      </c>
      <c r="E3752" s="54"/>
      <c r="F3752" s="54" t="s">
        <v>5360</v>
      </c>
      <c r="G3752" s="54"/>
      <c r="H3752" s="54"/>
    </row>
    <row r="3753" s="24" customFormat="1" ht="15" customHeight="1" spans="1:8">
      <c r="A3753" s="24">
        <v>3797</v>
      </c>
      <c r="B3753" s="147" t="s">
        <v>5361</v>
      </c>
      <c r="C3753" s="54">
        <v>1</v>
      </c>
      <c r="D3753" s="54">
        <v>0</v>
      </c>
      <c r="E3753" s="54"/>
      <c r="F3753" s="54" t="s">
        <v>5362</v>
      </c>
      <c r="G3753" s="54"/>
      <c r="H3753" s="54"/>
    </row>
    <row r="3754" s="24" customFormat="1" ht="15" customHeight="1" spans="1:8">
      <c r="A3754" s="24">
        <v>3798</v>
      </c>
      <c r="B3754" s="147" t="s">
        <v>5363</v>
      </c>
      <c r="C3754" s="54">
        <f>154/30</f>
        <v>5.13333333333333</v>
      </c>
      <c r="D3754" s="54">
        <v>0</v>
      </c>
      <c r="E3754" s="54"/>
      <c r="F3754" s="54" t="s">
        <v>5364</v>
      </c>
      <c r="G3754" s="54"/>
      <c r="H3754" s="54"/>
    </row>
    <row r="3755" s="20" customFormat="1" ht="15" customHeight="1" spans="1:8">
      <c r="A3755" s="24">
        <v>3799</v>
      </c>
      <c r="B3755" s="134" t="s">
        <v>5365</v>
      </c>
      <c r="C3755" s="114">
        <f>49/30</f>
        <v>1.63333333333333</v>
      </c>
      <c r="D3755" s="114">
        <v>0</v>
      </c>
      <c r="E3755" s="114"/>
      <c r="F3755" s="114" t="s">
        <v>5366</v>
      </c>
      <c r="G3755" s="114"/>
      <c r="H3755" s="114"/>
    </row>
    <row r="3756" s="20" customFormat="1" ht="15" customHeight="1" spans="1:8">
      <c r="A3756" s="24">
        <v>3800</v>
      </c>
      <c r="B3756" s="134" t="s">
        <v>5367</v>
      </c>
      <c r="C3756" s="114">
        <f>49/30</f>
        <v>1.63333333333333</v>
      </c>
      <c r="D3756" s="114">
        <v>0</v>
      </c>
      <c r="E3756" s="114"/>
      <c r="F3756" s="114" t="s">
        <v>5366</v>
      </c>
      <c r="G3756" s="114"/>
      <c r="H3756" s="114"/>
    </row>
    <row r="3757" s="20" customFormat="1" ht="15" customHeight="1" spans="1:8">
      <c r="A3757" s="24">
        <v>3801</v>
      </c>
      <c r="B3757" s="134" t="s">
        <v>5368</v>
      </c>
      <c r="C3757" s="114">
        <v>1</v>
      </c>
      <c r="D3757" s="114">
        <v>0</v>
      </c>
      <c r="E3757" s="114"/>
      <c r="F3757" s="114" t="s">
        <v>5369</v>
      </c>
      <c r="G3757" s="114"/>
      <c r="H3757" s="114"/>
    </row>
    <row r="3758" s="20" customFormat="1" ht="15" customHeight="1" spans="1:8">
      <c r="A3758" s="24">
        <v>3802</v>
      </c>
      <c r="B3758" s="134" t="s">
        <v>5370</v>
      </c>
      <c r="C3758" s="114">
        <f>49/30</f>
        <v>1.63333333333333</v>
      </c>
      <c r="D3758" s="114">
        <v>0</v>
      </c>
      <c r="E3758" s="114"/>
      <c r="F3758" s="114" t="s">
        <v>5371</v>
      </c>
      <c r="G3758" s="114"/>
      <c r="H3758" s="114"/>
    </row>
    <row r="3759" s="20" customFormat="1" ht="15" customHeight="1" spans="1:8">
      <c r="A3759" s="24">
        <v>3803</v>
      </c>
      <c r="B3759" s="134" t="s">
        <v>5372</v>
      </c>
      <c r="C3759" s="114">
        <f>50/30</f>
        <v>1.66666666666667</v>
      </c>
      <c r="D3759" s="114">
        <v>0</v>
      </c>
      <c r="E3759" s="114"/>
      <c r="F3759" s="114" t="s">
        <v>5373</v>
      </c>
      <c r="G3759" s="114"/>
      <c r="H3759" s="114"/>
    </row>
    <row r="3760" s="20" customFormat="1" ht="15" customHeight="1" spans="1:8">
      <c r="A3760" s="24">
        <v>3804</v>
      </c>
      <c r="B3760" s="134" t="s">
        <v>5374</v>
      </c>
      <c r="C3760" s="114">
        <f>50/30</f>
        <v>1.66666666666667</v>
      </c>
      <c r="D3760" s="114">
        <v>0</v>
      </c>
      <c r="E3760" s="114"/>
      <c r="F3760" s="114" t="s">
        <v>5375</v>
      </c>
      <c r="G3760" s="114"/>
      <c r="H3760" s="114"/>
    </row>
    <row r="3761" s="20" customFormat="1" ht="15" customHeight="1" spans="1:8">
      <c r="A3761" s="24">
        <v>3805</v>
      </c>
      <c r="B3761" s="134" t="s">
        <v>5376</v>
      </c>
      <c r="C3761" s="114">
        <v>1</v>
      </c>
      <c r="D3761" s="114">
        <v>0</v>
      </c>
      <c r="E3761" s="114"/>
      <c r="F3761" s="114" t="s">
        <v>5377</v>
      </c>
      <c r="G3761" s="114"/>
      <c r="H3761" s="114"/>
    </row>
    <row r="3762" s="20" customFormat="1" ht="15" customHeight="1" spans="1:8">
      <c r="A3762" s="24">
        <v>3806</v>
      </c>
      <c r="B3762" s="134" t="s">
        <v>5378</v>
      </c>
      <c r="C3762" s="114">
        <f>50/30</f>
        <v>1.66666666666667</v>
      </c>
      <c r="D3762" s="114">
        <v>0</v>
      </c>
      <c r="E3762" s="114"/>
      <c r="F3762" s="114" t="s">
        <v>5379</v>
      </c>
      <c r="G3762" s="114"/>
      <c r="H3762" s="114"/>
    </row>
    <row r="3763" s="20" customFormat="1" ht="15" customHeight="1" spans="1:8">
      <c r="A3763" s="24">
        <v>3807</v>
      </c>
      <c r="B3763" s="134" t="s">
        <v>5380</v>
      </c>
      <c r="C3763" s="114">
        <f>141/30</f>
        <v>4.7</v>
      </c>
      <c r="D3763" s="114">
        <v>0</v>
      </c>
      <c r="E3763" s="114"/>
      <c r="F3763" s="114" t="s">
        <v>5381</v>
      </c>
      <c r="G3763" s="114"/>
      <c r="H3763" s="114"/>
    </row>
    <row r="3764" s="20" customFormat="1" ht="15" customHeight="1" spans="1:8">
      <c r="A3764" s="24">
        <v>3808</v>
      </c>
      <c r="B3764" s="134" t="s">
        <v>5382</v>
      </c>
      <c r="C3764" s="114">
        <v>1</v>
      </c>
      <c r="D3764" s="114">
        <v>0</v>
      </c>
      <c r="E3764" s="114"/>
      <c r="F3764" s="114" t="s">
        <v>5383</v>
      </c>
      <c r="G3764" s="114"/>
      <c r="H3764" s="114"/>
    </row>
    <row r="3765" s="20" customFormat="1" ht="15" customHeight="1" spans="1:8">
      <c r="A3765" s="24">
        <v>3809</v>
      </c>
      <c r="B3765" s="134" t="s">
        <v>5384</v>
      </c>
      <c r="C3765" s="114">
        <v>0</v>
      </c>
      <c r="D3765" s="114">
        <v>1</v>
      </c>
      <c r="E3765" s="114"/>
      <c r="F3765" s="114" t="s">
        <v>5385</v>
      </c>
      <c r="G3765" s="114"/>
      <c r="H3765" s="114"/>
    </row>
    <row r="3766" s="26" customFormat="1" ht="15" customHeight="1" spans="1:8">
      <c r="A3766" s="26">
        <v>3810</v>
      </c>
      <c r="B3766" s="150" t="s">
        <v>5386</v>
      </c>
      <c r="C3766" s="151">
        <f>100/30</f>
        <v>3.33333333333333</v>
      </c>
      <c r="D3766" s="151">
        <v>0</v>
      </c>
      <c r="E3766" s="151"/>
      <c r="F3766" s="151" t="s">
        <v>5387</v>
      </c>
      <c r="G3766" s="151"/>
      <c r="H3766" s="151"/>
    </row>
    <row r="3767" s="26" customFormat="1" ht="15" customHeight="1" spans="1:8">
      <c r="A3767" s="26">
        <v>3811</v>
      </c>
      <c r="B3767" s="150" t="s">
        <v>5388</v>
      </c>
      <c r="C3767" s="151">
        <f>100/30</f>
        <v>3.33333333333333</v>
      </c>
      <c r="D3767" s="151">
        <v>0</v>
      </c>
      <c r="E3767" s="151"/>
      <c r="F3767" s="151" t="s">
        <v>5389</v>
      </c>
      <c r="G3767" s="151"/>
      <c r="H3767" s="151"/>
    </row>
    <row r="3768" s="26" customFormat="1" ht="15" customHeight="1" spans="1:8">
      <c r="A3768" s="26">
        <v>3812</v>
      </c>
      <c r="B3768" s="150" t="s">
        <v>5390</v>
      </c>
      <c r="C3768" s="151">
        <v>1</v>
      </c>
      <c r="D3768" s="151">
        <v>0</v>
      </c>
      <c r="E3768" s="151"/>
      <c r="F3768" s="151" t="s">
        <v>5391</v>
      </c>
      <c r="G3768" s="151"/>
      <c r="H3768" s="151"/>
    </row>
    <row r="3769" s="26" customFormat="1" ht="15" customHeight="1" spans="1:8">
      <c r="A3769" s="26">
        <v>3813</v>
      </c>
      <c r="B3769" s="150" t="s">
        <v>5392</v>
      </c>
      <c r="C3769" s="151">
        <f>73/30</f>
        <v>2.43333333333333</v>
      </c>
      <c r="D3769" s="151">
        <v>0</v>
      </c>
      <c r="E3769" s="151"/>
      <c r="F3769" s="151" t="s">
        <v>5393</v>
      </c>
      <c r="G3769" s="151"/>
      <c r="H3769" s="151"/>
    </row>
    <row r="3770" s="26" customFormat="1" ht="15" customHeight="1" spans="1:8">
      <c r="A3770" s="26">
        <v>3814</v>
      </c>
      <c r="B3770" s="150" t="s">
        <v>5394</v>
      </c>
      <c r="C3770" s="151">
        <f>73/30</f>
        <v>2.43333333333333</v>
      </c>
      <c r="D3770" s="151">
        <v>0</v>
      </c>
      <c r="E3770" s="151"/>
      <c r="F3770" s="151" t="s">
        <v>5395</v>
      </c>
      <c r="G3770" s="151"/>
      <c r="H3770" s="151"/>
    </row>
    <row r="3771" s="26" customFormat="1" ht="15" customHeight="1" spans="1:8">
      <c r="A3771" s="26">
        <v>3815</v>
      </c>
      <c r="B3771" s="150" t="s">
        <v>5396</v>
      </c>
      <c r="C3771" s="151">
        <f>73/30</f>
        <v>2.43333333333333</v>
      </c>
      <c r="D3771" s="151">
        <v>0</v>
      </c>
      <c r="E3771" s="151"/>
      <c r="F3771" s="151" t="s">
        <v>5397</v>
      </c>
      <c r="G3771" s="151"/>
      <c r="H3771" s="151"/>
    </row>
    <row r="3772" s="26" customFormat="1" ht="15" customHeight="1" spans="1:8">
      <c r="A3772" s="26">
        <v>3816</v>
      </c>
      <c r="B3772" s="150" t="s">
        <v>5398</v>
      </c>
      <c r="C3772" s="151">
        <f>73/30</f>
        <v>2.43333333333333</v>
      </c>
      <c r="D3772" s="151">
        <v>0</v>
      </c>
      <c r="E3772" s="151"/>
      <c r="F3772" s="151" t="s">
        <v>5399</v>
      </c>
      <c r="G3772" s="151"/>
      <c r="H3772" s="151"/>
    </row>
    <row r="3773" s="26" customFormat="1" ht="15" customHeight="1" spans="1:8">
      <c r="A3773" s="26">
        <v>3817</v>
      </c>
      <c r="B3773" s="150" t="s">
        <v>5400</v>
      </c>
      <c r="C3773" s="151">
        <v>1</v>
      </c>
      <c r="D3773" s="151">
        <v>0</v>
      </c>
      <c r="E3773" s="151"/>
      <c r="F3773" s="151" t="s">
        <v>5401</v>
      </c>
      <c r="G3773" s="151"/>
      <c r="H3773" s="151"/>
    </row>
    <row r="3774" s="26" customFormat="1" ht="15" customHeight="1" spans="1:8">
      <c r="A3774" s="26">
        <v>3818</v>
      </c>
      <c r="B3774" s="150" t="s">
        <v>5402</v>
      </c>
      <c r="C3774" s="151">
        <f>105/30</f>
        <v>3.5</v>
      </c>
      <c r="D3774" s="151">
        <v>0</v>
      </c>
      <c r="E3774" s="151"/>
      <c r="F3774" s="151" t="s">
        <v>5403</v>
      </c>
      <c r="G3774" s="151"/>
      <c r="H3774" s="151"/>
    </row>
    <row r="3775" s="26" customFormat="1" ht="15" customHeight="1" spans="1:8">
      <c r="A3775" s="26">
        <v>3819</v>
      </c>
      <c r="B3775" s="150" t="s">
        <v>5404</v>
      </c>
      <c r="C3775" s="151">
        <f>105/30</f>
        <v>3.5</v>
      </c>
      <c r="D3775" s="151">
        <v>0</v>
      </c>
      <c r="E3775" s="151"/>
      <c r="F3775" s="151" t="s">
        <v>5405</v>
      </c>
      <c r="G3775" s="151"/>
      <c r="H3775" s="151"/>
    </row>
    <row r="3776" s="26" customFormat="1" ht="15" customHeight="1" spans="1:8">
      <c r="A3776" s="26">
        <v>3820</v>
      </c>
      <c r="B3776" s="150" t="s">
        <v>5406</v>
      </c>
      <c r="C3776" s="151">
        <f>105/30</f>
        <v>3.5</v>
      </c>
      <c r="D3776" s="151">
        <v>0</v>
      </c>
      <c r="E3776" s="151"/>
      <c r="F3776" s="151" t="s">
        <v>5407</v>
      </c>
      <c r="G3776" s="151"/>
      <c r="H3776" s="151"/>
    </row>
    <row r="3777" s="26" customFormat="1" ht="15" customHeight="1" spans="1:8">
      <c r="A3777" s="26">
        <v>3821</v>
      </c>
      <c r="B3777" s="150" t="s">
        <v>5408</v>
      </c>
      <c r="C3777" s="151">
        <f>270/30</f>
        <v>9</v>
      </c>
      <c r="D3777" s="151">
        <v>0</v>
      </c>
      <c r="E3777" s="151"/>
      <c r="F3777" s="151" t="s">
        <v>5409</v>
      </c>
      <c r="G3777" s="151"/>
      <c r="H3777" s="151"/>
    </row>
    <row r="3778" s="26" customFormat="1" ht="15" customHeight="1" spans="1:8">
      <c r="A3778" s="26">
        <v>3822</v>
      </c>
      <c r="B3778" s="150" t="s">
        <v>5410</v>
      </c>
      <c r="C3778" s="151">
        <f>270/30</f>
        <v>9</v>
      </c>
      <c r="D3778" s="151">
        <v>0</v>
      </c>
      <c r="E3778" s="151"/>
      <c r="F3778" s="151" t="s">
        <v>5411</v>
      </c>
      <c r="G3778" s="151"/>
      <c r="H3778" s="151"/>
    </row>
    <row r="3779" s="26" customFormat="1" ht="15" customHeight="1" spans="1:8">
      <c r="A3779" s="26">
        <v>3823</v>
      </c>
      <c r="B3779" s="150" t="s">
        <v>5412</v>
      </c>
      <c r="C3779" s="151">
        <f>270/30</f>
        <v>9</v>
      </c>
      <c r="D3779" s="151">
        <v>0</v>
      </c>
      <c r="E3779" s="151"/>
      <c r="F3779" s="151" t="s">
        <v>5413</v>
      </c>
      <c r="G3779" s="151"/>
      <c r="H3779" s="151"/>
    </row>
    <row r="3780" s="26" customFormat="1" ht="15" customHeight="1" spans="1:8">
      <c r="A3780" s="26">
        <v>3824</v>
      </c>
      <c r="B3780" s="150" t="s">
        <v>5414</v>
      </c>
      <c r="C3780" s="151">
        <f>270/30</f>
        <v>9</v>
      </c>
      <c r="D3780" s="151">
        <v>0</v>
      </c>
      <c r="E3780" s="151"/>
      <c r="F3780" s="151" t="s">
        <v>5415</v>
      </c>
      <c r="G3780" s="151"/>
      <c r="H3780" s="151"/>
    </row>
    <row r="3781" s="26" customFormat="1" ht="15" customHeight="1" spans="1:8">
      <c r="A3781" s="26">
        <v>3825</v>
      </c>
      <c r="B3781" s="150" t="s">
        <v>5416</v>
      </c>
      <c r="C3781" s="151">
        <f>270/30</f>
        <v>9</v>
      </c>
      <c r="D3781" s="151">
        <v>0</v>
      </c>
      <c r="E3781" s="151"/>
      <c r="F3781" s="151" t="s">
        <v>5417</v>
      </c>
      <c r="G3781" s="151"/>
      <c r="H3781" s="151"/>
    </row>
    <row r="3782" s="5" customFormat="1" ht="15" customHeight="1" spans="1:8">
      <c r="A3782" s="26">
        <v>3826</v>
      </c>
      <c r="B3782" s="118" t="s">
        <v>5418</v>
      </c>
      <c r="C3782" s="6">
        <f>103/30</f>
        <v>3.43333333333333</v>
      </c>
      <c r="D3782" s="6">
        <v>0</v>
      </c>
      <c r="E3782" s="6"/>
      <c r="F3782" s="6" t="s">
        <v>5419</v>
      </c>
      <c r="G3782" s="6"/>
      <c r="H3782" s="6"/>
    </row>
    <row r="3783" s="5" customFormat="1" ht="15" customHeight="1" spans="1:8">
      <c r="A3783" s="26">
        <v>3827</v>
      </c>
      <c r="B3783" s="118" t="s">
        <v>5420</v>
      </c>
      <c r="C3783" s="6">
        <v>1</v>
      </c>
      <c r="D3783" s="6">
        <v>0</v>
      </c>
      <c r="E3783" s="6"/>
      <c r="F3783" s="6" t="s">
        <v>5421</v>
      </c>
      <c r="G3783" s="6"/>
      <c r="H3783" s="6"/>
    </row>
    <row r="3784" s="5" customFormat="1" ht="15" customHeight="1" spans="1:8">
      <c r="A3784" s="26">
        <v>3828</v>
      </c>
      <c r="B3784" s="118" t="s">
        <v>5422</v>
      </c>
      <c r="C3784" s="6">
        <f>56/30</f>
        <v>1.86666666666667</v>
      </c>
      <c r="D3784" s="6">
        <v>0</v>
      </c>
      <c r="E3784" s="6"/>
      <c r="F3784" s="6" t="s">
        <v>5423</v>
      </c>
      <c r="G3784" s="6"/>
      <c r="H3784" s="6"/>
    </row>
    <row r="3785" s="5" customFormat="1" ht="15" customHeight="1" spans="1:8">
      <c r="A3785" s="26">
        <v>3829</v>
      </c>
      <c r="B3785" s="118" t="s">
        <v>5424</v>
      </c>
      <c r="C3785" s="6">
        <f>56/30</f>
        <v>1.86666666666667</v>
      </c>
      <c r="D3785" s="6">
        <v>0</v>
      </c>
      <c r="E3785" s="6"/>
      <c r="F3785" s="6" t="s">
        <v>5425</v>
      </c>
      <c r="G3785" s="6"/>
      <c r="H3785" s="6"/>
    </row>
    <row r="3786" s="5" customFormat="1" ht="15" customHeight="1" spans="1:8">
      <c r="A3786" s="26">
        <v>3830</v>
      </c>
      <c r="B3786" s="118" t="s">
        <v>5426</v>
      </c>
      <c r="C3786" s="6">
        <v>1</v>
      </c>
      <c r="D3786" s="6">
        <v>0</v>
      </c>
      <c r="E3786" s="6"/>
      <c r="F3786" s="6" t="s">
        <v>5427</v>
      </c>
      <c r="G3786" s="6"/>
      <c r="H3786" s="6"/>
    </row>
    <row r="3787" s="5" customFormat="1" ht="15" customHeight="1" spans="1:8">
      <c r="A3787" s="26">
        <v>3831</v>
      </c>
      <c r="B3787" s="118" t="s">
        <v>5428</v>
      </c>
      <c r="C3787" s="6">
        <f>61/30</f>
        <v>2.03333333333333</v>
      </c>
      <c r="D3787" s="6">
        <v>0</v>
      </c>
      <c r="E3787" s="6"/>
      <c r="F3787" s="6" t="s">
        <v>5429</v>
      </c>
      <c r="G3787" s="6"/>
      <c r="H3787" s="6"/>
    </row>
    <row r="3788" s="5" customFormat="1" ht="15" customHeight="1" spans="1:8">
      <c r="A3788" s="26">
        <v>3832</v>
      </c>
      <c r="B3788" s="118" t="s">
        <v>5430</v>
      </c>
      <c r="C3788" s="6">
        <v>1</v>
      </c>
      <c r="D3788" s="6">
        <v>0</v>
      </c>
      <c r="E3788" s="6"/>
      <c r="F3788" s="6" t="s">
        <v>5431</v>
      </c>
      <c r="G3788" s="6"/>
      <c r="H3788" s="6"/>
    </row>
    <row r="3789" s="5" customFormat="1" ht="15" customHeight="1" spans="1:8">
      <c r="A3789" s="26">
        <v>3833</v>
      </c>
      <c r="B3789" s="118" t="s">
        <v>5432</v>
      </c>
      <c r="C3789" s="6">
        <f>174/30</f>
        <v>5.8</v>
      </c>
      <c r="D3789" s="6">
        <v>0</v>
      </c>
      <c r="E3789" s="6"/>
      <c r="F3789" s="6" t="s">
        <v>5433</v>
      </c>
      <c r="G3789" s="6"/>
      <c r="H3789" s="6"/>
    </row>
    <row r="3790" s="5" customFormat="1" ht="15" customHeight="1" spans="1:8">
      <c r="A3790" s="26">
        <v>3834</v>
      </c>
      <c r="B3790" s="118" t="s">
        <v>5434</v>
      </c>
      <c r="C3790" s="6">
        <v>1</v>
      </c>
      <c r="D3790" s="6">
        <v>0</v>
      </c>
      <c r="E3790" s="6"/>
      <c r="F3790" s="6" t="s">
        <v>5435</v>
      </c>
      <c r="G3790" s="6"/>
      <c r="H3790" s="6"/>
    </row>
    <row r="3791" s="5" customFormat="1" ht="15" customHeight="1" spans="1:8">
      <c r="A3791" s="26">
        <v>3835</v>
      </c>
      <c r="B3791" s="118" t="s">
        <v>5436</v>
      </c>
      <c r="C3791" s="6">
        <f>450/30</f>
        <v>15</v>
      </c>
      <c r="D3791" s="6">
        <v>0</v>
      </c>
      <c r="E3791" s="6"/>
      <c r="F3791" s="6" t="s">
        <v>5437</v>
      </c>
      <c r="G3791" s="6"/>
      <c r="H3791" s="6"/>
    </row>
    <row r="3792" s="5" customFormat="1" ht="15" customHeight="1" spans="1:8">
      <c r="A3792" s="26">
        <v>3836</v>
      </c>
      <c r="B3792" s="118" t="s">
        <v>5438</v>
      </c>
      <c r="C3792" s="6">
        <v>11</v>
      </c>
      <c r="D3792" s="6">
        <v>0</v>
      </c>
      <c r="E3792" s="6"/>
      <c r="F3792" s="6" t="s">
        <v>5439</v>
      </c>
      <c r="G3792" s="6"/>
      <c r="H3792" s="6"/>
    </row>
    <row r="3793" s="5" customFormat="1" ht="15" customHeight="1" spans="1:8">
      <c r="A3793" s="26">
        <v>3837</v>
      </c>
      <c r="B3793" s="118" t="s">
        <v>5440</v>
      </c>
      <c r="C3793" s="6">
        <v>9.5</v>
      </c>
      <c r="D3793" s="6">
        <v>0</v>
      </c>
      <c r="E3793" s="6"/>
      <c r="F3793" s="6" t="s">
        <v>5441</v>
      </c>
      <c r="G3793" s="6"/>
      <c r="H3793" s="6"/>
    </row>
    <row r="3794" s="5" customFormat="1" ht="15" customHeight="1" spans="1:8">
      <c r="A3794" s="26">
        <v>3838</v>
      </c>
      <c r="B3794" s="118" t="s">
        <v>5442</v>
      </c>
      <c r="C3794" s="6">
        <f>122/30</f>
        <v>4.06666666666667</v>
      </c>
      <c r="D3794" s="6">
        <v>0</v>
      </c>
      <c r="E3794" s="6"/>
      <c r="F3794" s="6" t="s">
        <v>5443</v>
      </c>
      <c r="G3794" s="6"/>
      <c r="H3794" s="6"/>
    </row>
    <row r="3795" s="5" customFormat="1" ht="15" customHeight="1" spans="1:8">
      <c r="A3795" s="26">
        <v>3839</v>
      </c>
      <c r="B3795" s="118" t="s">
        <v>5444</v>
      </c>
      <c r="C3795" s="6">
        <v>1</v>
      </c>
      <c r="D3795" s="6">
        <v>0</v>
      </c>
      <c r="E3795" s="6"/>
      <c r="F3795" s="6" t="s">
        <v>5445</v>
      </c>
      <c r="G3795" s="6"/>
      <c r="H3795" s="6"/>
    </row>
    <row r="3796" s="5" customFormat="1" ht="15" customHeight="1" spans="1:8">
      <c r="A3796" s="26">
        <v>3840</v>
      </c>
      <c r="B3796" s="118" t="s">
        <v>5446</v>
      </c>
      <c r="C3796" s="6">
        <v>0</v>
      </c>
      <c r="D3796" s="6">
        <v>1</v>
      </c>
      <c r="E3796" s="6"/>
      <c r="F3796" s="6" t="s">
        <v>5447</v>
      </c>
      <c r="G3796" s="6"/>
      <c r="H3796" s="6"/>
    </row>
    <row r="3797" s="5" customFormat="1" ht="15" customHeight="1" spans="1:8">
      <c r="A3797" s="26">
        <v>3841</v>
      </c>
      <c r="B3797" s="118" t="s">
        <v>5448</v>
      </c>
      <c r="C3797" s="6">
        <v>15</v>
      </c>
      <c r="D3797" s="6">
        <v>0</v>
      </c>
      <c r="E3797" s="6"/>
      <c r="F3797" s="6" t="s">
        <v>5449</v>
      </c>
      <c r="G3797" s="6"/>
      <c r="H3797" s="6"/>
    </row>
    <row r="3798" s="5" customFormat="1" ht="15" customHeight="1" spans="1:8">
      <c r="A3798" s="26">
        <v>3842</v>
      </c>
      <c r="B3798" s="118" t="s">
        <v>5450</v>
      </c>
      <c r="C3798" s="6">
        <v>15</v>
      </c>
      <c r="D3798" s="6">
        <v>0</v>
      </c>
      <c r="E3798" s="6"/>
      <c r="F3798" s="6" t="s">
        <v>5449</v>
      </c>
      <c r="G3798" s="6"/>
      <c r="H3798" s="6"/>
    </row>
    <row r="3799" s="24" customFormat="1" ht="15" customHeight="1" spans="1:8">
      <c r="A3799" s="26">
        <v>3843</v>
      </c>
      <c r="B3799" s="147" t="s">
        <v>5451</v>
      </c>
      <c r="C3799">
        <f>117/30</f>
        <v>3.9</v>
      </c>
      <c r="D3799" s="54">
        <v>0</v>
      </c>
      <c r="E3799" s="54"/>
      <c r="F3799" s="54"/>
      <c r="G3799" s="54"/>
      <c r="H3799" s="54"/>
    </row>
    <row r="3800" s="24" customFormat="1" ht="15" customHeight="1" spans="1:8">
      <c r="A3800" s="26">
        <v>3844</v>
      </c>
      <c r="B3800" s="147" t="s">
        <v>5452</v>
      </c>
      <c r="C3800">
        <f>155/30</f>
        <v>5.16666666666667</v>
      </c>
      <c r="D3800" s="54">
        <v>0</v>
      </c>
      <c r="E3800" s="54"/>
      <c r="F3800" s="54"/>
      <c r="G3800" s="54"/>
      <c r="H3800" s="54"/>
    </row>
    <row r="3801" s="24" customFormat="1" ht="15" customHeight="1" spans="1:8">
      <c r="A3801" s="26">
        <v>3845</v>
      </c>
      <c r="B3801" s="147" t="s">
        <v>5453</v>
      </c>
      <c r="C3801" s="54">
        <v>2</v>
      </c>
      <c r="D3801" s="54">
        <v>0</v>
      </c>
      <c r="E3801" s="54"/>
      <c r="F3801" s="54"/>
      <c r="G3801" s="54"/>
      <c r="H3801" s="54"/>
    </row>
    <row r="3802" s="24" customFormat="1" ht="15" customHeight="1" spans="1:8">
      <c r="A3802" s="26">
        <v>3846</v>
      </c>
      <c r="B3802" s="147" t="s">
        <v>5454</v>
      </c>
      <c r="C3802">
        <f>155/30</f>
        <v>5.16666666666667</v>
      </c>
      <c r="D3802" s="54">
        <v>0</v>
      </c>
      <c r="E3802" s="54"/>
      <c r="F3802" s="54"/>
      <c r="G3802" s="54"/>
      <c r="H3802" s="54"/>
    </row>
    <row r="3803" s="24" customFormat="1" ht="15" customHeight="1" spans="1:8">
      <c r="A3803" s="26">
        <v>3847</v>
      </c>
      <c r="B3803" s="147" t="s">
        <v>5455</v>
      </c>
      <c r="C3803">
        <f>165/30</f>
        <v>5.5</v>
      </c>
      <c r="D3803" s="54">
        <v>0</v>
      </c>
      <c r="E3803" s="54"/>
      <c r="F3803" s="54"/>
      <c r="G3803" s="54"/>
      <c r="H3803" s="54"/>
    </row>
    <row r="3804" s="24" customFormat="1" ht="15" customHeight="1" spans="1:8">
      <c r="A3804" s="26">
        <v>3848</v>
      </c>
      <c r="B3804" s="147" t="s">
        <v>5456</v>
      </c>
      <c r="C3804" s="54">
        <v>1</v>
      </c>
      <c r="D3804" s="54">
        <v>0</v>
      </c>
      <c r="E3804" s="54"/>
      <c r="F3804" s="54"/>
      <c r="G3804" s="54"/>
      <c r="H3804" s="54"/>
    </row>
    <row r="3805" s="24" customFormat="1" ht="15" customHeight="1" spans="1:8">
      <c r="A3805" s="26">
        <v>3849</v>
      </c>
      <c r="B3805" s="147" t="s">
        <v>5457</v>
      </c>
      <c r="C3805" s="54">
        <v>1</v>
      </c>
      <c r="D3805" s="54">
        <v>0</v>
      </c>
      <c r="E3805" s="54"/>
      <c r="F3805" s="54"/>
      <c r="G3805" s="54"/>
      <c r="H3805" s="54"/>
    </row>
    <row r="3806" s="24" customFormat="1" ht="15" customHeight="1" spans="1:8">
      <c r="A3806" s="26">
        <v>3850</v>
      </c>
      <c r="B3806" s="147" t="s">
        <v>5458</v>
      </c>
      <c r="C3806" s="54">
        <v>1</v>
      </c>
      <c r="D3806" s="54">
        <v>0</v>
      </c>
      <c r="E3806" s="54"/>
      <c r="F3806" s="54"/>
      <c r="G3806" s="54"/>
      <c r="H3806" s="54"/>
    </row>
    <row r="3807" s="24" customFormat="1" ht="15" customHeight="1" spans="1:8">
      <c r="A3807" s="26">
        <v>3851</v>
      </c>
      <c r="B3807" s="147" t="s">
        <v>5459</v>
      </c>
      <c r="C3807">
        <f>165/30</f>
        <v>5.5</v>
      </c>
      <c r="D3807" s="54">
        <v>0</v>
      </c>
      <c r="E3807" s="54"/>
      <c r="F3807" s="54"/>
      <c r="G3807" s="54"/>
      <c r="H3807" s="54"/>
    </row>
    <row r="3808" s="24" customFormat="1" ht="15" customHeight="1" spans="1:8">
      <c r="A3808" s="26">
        <v>3852</v>
      </c>
      <c r="B3808" s="147" t="s">
        <v>5460</v>
      </c>
      <c r="C3808">
        <v>11</v>
      </c>
      <c r="D3808" s="54">
        <v>0</v>
      </c>
      <c r="E3808" s="54"/>
      <c r="F3808" s="54"/>
      <c r="G3808" s="54"/>
      <c r="H3808" s="54"/>
    </row>
    <row r="3809" s="24" customFormat="1" ht="15" customHeight="1" spans="1:8">
      <c r="A3809" s="26">
        <v>3853</v>
      </c>
      <c r="B3809" s="147" t="s">
        <v>5253</v>
      </c>
      <c r="C3809" s="54">
        <f>111/30</f>
        <v>3.7</v>
      </c>
      <c r="D3809" s="54">
        <v>0</v>
      </c>
      <c r="E3809" s="54"/>
      <c r="F3809" s="54"/>
      <c r="G3809" s="54"/>
      <c r="H3809" s="54"/>
    </row>
    <row r="3810" s="24" customFormat="1" ht="15" customHeight="1" spans="1:8">
      <c r="A3810" s="26">
        <v>3854</v>
      </c>
      <c r="B3810" s="147" t="s">
        <v>5251</v>
      </c>
      <c r="C3810" s="54">
        <v>0</v>
      </c>
      <c r="D3810" s="54">
        <v>1</v>
      </c>
      <c r="E3810" s="54"/>
      <c r="F3810" s="54"/>
      <c r="G3810" s="54"/>
      <c r="H3810" s="54"/>
    </row>
    <row r="3811" s="24" customFormat="1" ht="15" customHeight="1" spans="1:8">
      <c r="A3811" s="26">
        <v>3855</v>
      </c>
      <c r="B3811" s="147" t="s">
        <v>5461</v>
      </c>
      <c r="C3811">
        <f>116/30</f>
        <v>3.86666666666667</v>
      </c>
      <c r="D3811" s="54">
        <v>0</v>
      </c>
      <c r="E3811" s="54"/>
      <c r="F3811" s="54"/>
      <c r="G3811" s="54"/>
      <c r="H3811" s="54"/>
    </row>
    <row r="3812" s="24" customFormat="1" ht="15" customHeight="1" spans="1:8">
      <c r="A3812" s="26">
        <v>3856</v>
      </c>
      <c r="B3812" s="147" t="s">
        <v>5462</v>
      </c>
      <c r="C3812">
        <f>116/30</f>
        <v>3.86666666666667</v>
      </c>
      <c r="D3812" s="54">
        <v>0</v>
      </c>
      <c r="E3812" s="54"/>
      <c r="F3812" s="54"/>
      <c r="G3812" s="54"/>
      <c r="H3812" s="54"/>
    </row>
    <row r="3813" s="24" customFormat="1" ht="15" customHeight="1" spans="1:8">
      <c r="A3813" s="26">
        <v>3857</v>
      </c>
      <c r="B3813" s="147" t="s">
        <v>5463</v>
      </c>
      <c r="C3813" s="54">
        <v>1</v>
      </c>
      <c r="D3813" s="54">
        <v>0</v>
      </c>
      <c r="E3813" s="54"/>
      <c r="F3813" s="54"/>
      <c r="G3813" s="54"/>
      <c r="H3813" s="54"/>
    </row>
    <row r="3814" s="24" customFormat="1" ht="15" customHeight="1" spans="1:8">
      <c r="A3814" s="26">
        <v>3858</v>
      </c>
      <c r="B3814" s="147" t="s">
        <v>5464</v>
      </c>
      <c r="C3814" s="54">
        <v>1</v>
      </c>
      <c r="D3814" s="54">
        <v>0</v>
      </c>
      <c r="E3814" s="54"/>
      <c r="F3814" s="54"/>
      <c r="G3814" s="54"/>
      <c r="H3814" s="54"/>
    </row>
    <row r="3815" s="24" customFormat="1" ht="15" customHeight="1" spans="1:8">
      <c r="A3815" s="26">
        <v>3859</v>
      </c>
      <c r="B3815" s="147" t="s">
        <v>5465</v>
      </c>
      <c r="C3815" s="54">
        <v>1</v>
      </c>
      <c r="D3815" s="54">
        <v>0</v>
      </c>
      <c r="E3815" s="54"/>
      <c r="F3815" s="54"/>
      <c r="G3815" s="54"/>
      <c r="H3815" s="54"/>
    </row>
    <row r="3816" s="24" customFormat="1" ht="15" customHeight="1" spans="1:8">
      <c r="A3816" s="26">
        <v>3860</v>
      </c>
      <c r="B3816" s="147" t="s">
        <v>5466</v>
      </c>
      <c r="C3816">
        <f>150/30</f>
        <v>5</v>
      </c>
      <c r="D3816" s="54">
        <v>0</v>
      </c>
      <c r="E3816" s="54"/>
      <c r="F3816" s="54"/>
      <c r="G3816" s="54"/>
      <c r="H3816" s="54"/>
    </row>
    <row r="3817" s="24" customFormat="1" ht="15" customHeight="1" spans="1:8">
      <c r="A3817" s="26">
        <v>3861</v>
      </c>
      <c r="B3817" s="147" t="s">
        <v>5467</v>
      </c>
      <c r="C3817">
        <f>150/30</f>
        <v>5</v>
      </c>
      <c r="D3817" s="54">
        <v>0</v>
      </c>
      <c r="E3817" s="54"/>
      <c r="F3817" s="54"/>
      <c r="G3817" s="54"/>
      <c r="H3817" s="54"/>
    </row>
    <row r="3818" s="24" customFormat="1" ht="15" customHeight="1" spans="1:8">
      <c r="A3818" s="26">
        <v>3862</v>
      </c>
      <c r="B3818" s="147" t="s">
        <v>5468</v>
      </c>
      <c r="C3818" s="54">
        <v>1</v>
      </c>
      <c r="D3818" s="54">
        <v>0</v>
      </c>
      <c r="E3818" s="54"/>
      <c r="F3818" s="54"/>
      <c r="G3818" s="54"/>
      <c r="H3818" s="54"/>
    </row>
    <row r="3819" s="24" customFormat="1" ht="15" customHeight="1" spans="1:8">
      <c r="A3819" s="26">
        <v>3863</v>
      </c>
      <c r="B3819" s="147" t="s">
        <v>5469</v>
      </c>
      <c r="C3819">
        <f>480/30</f>
        <v>16</v>
      </c>
      <c r="D3819" s="54">
        <v>0</v>
      </c>
      <c r="E3819" s="54"/>
      <c r="F3819" s="54"/>
      <c r="G3819" s="54"/>
      <c r="H3819" s="54"/>
    </row>
    <row r="3820" s="24" customFormat="1" ht="15" customHeight="1" spans="1:8">
      <c r="A3820" s="26">
        <v>3864</v>
      </c>
      <c r="B3820" s="147" t="s">
        <v>5470</v>
      </c>
      <c r="C3820">
        <f>480/30</f>
        <v>16</v>
      </c>
      <c r="D3820" s="54">
        <v>0</v>
      </c>
      <c r="E3820" s="54"/>
      <c r="F3820" s="54"/>
      <c r="G3820" s="54"/>
      <c r="H3820" s="54"/>
    </row>
    <row r="3821" s="24" customFormat="1" ht="15" customHeight="1" spans="1:8">
      <c r="A3821" s="26">
        <v>3865</v>
      </c>
      <c r="B3821" s="147" t="s">
        <v>5471</v>
      </c>
      <c r="C3821">
        <f>433/30</f>
        <v>14.4333333333333</v>
      </c>
      <c r="D3821" s="54">
        <v>0</v>
      </c>
      <c r="E3821" s="54"/>
      <c r="F3821" s="54"/>
      <c r="G3821" s="54"/>
      <c r="H3821" s="54"/>
    </row>
    <row r="3822" s="24" customFormat="1" ht="15" customHeight="1" spans="1:8">
      <c r="A3822" s="26">
        <v>3866</v>
      </c>
      <c r="B3822" s="147" t="s">
        <v>5472</v>
      </c>
      <c r="C3822">
        <f>433/30</f>
        <v>14.4333333333333</v>
      </c>
      <c r="D3822" s="54">
        <v>0</v>
      </c>
      <c r="E3822" s="54"/>
      <c r="F3822" s="54"/>
      <c r="G3822" s="54"/>
      <c r="H3822" s="54"/>
    </row>
    <row r="3823" s="24" customFormat="1" ht="15" customHeight="1" spans="1:8">
      <c r="A3823" s="26">
        <v>3867</v>
      </c>
      <c r="B3823" s="147" t="s">
        <v>5473</v>
      </c>
      <c r="C3823" s="54">
        <v>1</v>
      </c>
      <c r="D3823" s="54">
        <v>0</v>
      </c>
      <c r="E3823" s="54"/>
      <c r="F3823" s="54"/>
      <c r="G3823" s="54"/>
      <c r="H3823" s="54"/>
    </row>
    <row r="3824" s="24" customFormat="1" ht="15" customHeight="1" spans="1:8">
      <c r="A3824" s="26">
        <v>3868</v>
      </c>
      <c r="B3824" s="147" t="s">
        <v>5474</v>
      </c>
      <c r="C3824" s="54">
        <v>1</v>
      </c>
      <c r="D3824" s="54">
        <v>0</v>
      </c>
      <c r="E3824" s="54"/>
      <c r="F3824" s="54"/>
      <c r="G3824" s="54"/>
      <c r="H3824" s="54"/>
    </row>
    <row r="3825" s="24" customFormat="1" ht="15" customHeight="1" spans="1:8">
      <c r="A3825" s="26">
        <v>3869</v>
      </c>
      <c r="B3825" s="147" t="s">
        <v>5475</v>
      </c>
      <c r="C3825">
        <f>220/30</f>
        <v>7.33333333333333</v>
      </c>
      <c r="D3825" s="54">
        <v>0</v>
      </c>
      <c r="E3825" s="54"/>
      <c r="F3825" s="54"/>
      <c r="G3825" s="54"/>
      <c r="H3825" s="54"/>
    </row>
    <row r="3826" s="24" customFormat="1" ht="15" customHeight="1" spans="1:8">
      <c r="A3826" s="26">
        <v>3870</v>
      </c>
      <c r="B3826" s="147" t="s">
        <v>5476</v>
      </c>
      <c r="C3826" s="54">
        <f>186/30</f>
        <v>6.2</v>
      </c>
      <c r="D3826" s="54">
        <v>0</v>
      </c>
      <c r="E3826" s="54"/>
      <c r="F3826" s="54"/>
      <c r="G3826" s="54"/>
      <c r="H3826" s="54"/>
    </row>
    <row r="3827" s="24" customFormat="1" ht="15" customHeight="1" spans="1:8">
      <c r="A3827" s="26">
        <v>3871</v>
      </c>
      <c r="B3827" s="147" t="s">
        <v>5477</v>
      </c>
      <c r="C3827" s="54">
        <f>186/30</f>
        <v>6.2</v>
      </c>
      <c r="D3827" s="54">
        <v>0</v>
      </c>
      <c r="E3827" s="54"/>
      <c r="F3827" s="54"/>
      <c r="G3827" s="54"/>
      <c r="H3827" s="54"/>
    </row>
    <row r="3828" s="24" customFormat="1" ht="15" customHeight="1" spans="1:8">
      <c r="A3828" s="26">
        <v>3872</v>
      </c>
      <c r="B3828" s="147" t="s">
        <v>5478</v>
      </c>
      <c r="C3828" s="54">
        <v>1</v>
      </c>
      <c r="D3828" s="54">
        <v>0</v>
      </c>
      <c r="E3828" s="54"/>
      <c r="F3828" s="54"/>
      <c r="G3828" s="54"/>
      <c r="H3828" s="54"/>
    </row>
    <row r="3829" s="24" customFormat="1" ht="15" customHeight="1" spans="1:8">
      <c r="A3829" s="26">
        <v>3873</v>
      </c>
      <c r="B3829" s="147" t="s">
        <v>5479</v>
      </c>
      <c r="C3829" s="54">
        <v>1</v>
      </c>
      <c r="D3829" s="54">
        <v>0</v>
      </c>
      <c r="E3829" s="54"/>
      <c r="F3829" s="54"/>
      <c r="G3829" s="54"/>
      <c r="H3829" s="54"/>
    </row>
    <row r="3830" s="24" customFormat="1" ht="15" customHeight="1" spans="1:8">
      <c r="A3830" s="26">
        <v>3874</v>
      </c>
      <c r="B3830" s="147" t="s">
        <v>5480</v>
      </c>
      <c r="C3830" s="54">
        <v>1</v>
      </c>
      <c r="D3830" s="54">
        <v>0</v>
      </c>
      <c r="E3830" s="54"/>
      <c r="F3830" s="54"/>
      <c r="G3830" s="54"/>
      <c r="H3830" s="54"/>
    </row>
    <row r="3831" s="24" customFormat="1" ht="15" customHeight="1" spans="1:8">
      <c r="A3831" s="26">
        <v>3875</v>
      </c>
      <c r="B3831" s="147" t="s">
        <v>5481</v>
      </c>
      <c r="C3831" s="54">
        <v>0</v>
      </c>
      <c r="D3831" s="54">
        <v>1</v>
      </c>
      <c r="E3831" s="54"/>
      <c r="F3831" s="54"/>
      <c r="G3831" s="54"/>
      <c r="H3831" s="54"/>
    </row>
    <row r="3832" s="24" customFormat="1" ht="15" customHeight="1" spans="1:8">
      <c r="A3832" s="26">
        <v>3876</v>
      </c>
      <c r="B3832" s="147" t="s">
        <v>5482</v>
      </c>
      <c r="C3832" s="54">
        <v>0</v>
      </c>
      <c r="D3832" s="54">
        <v>1</v>
      </c>
      <c r="E3832" s="54"/>
      <c r="F3832" s="54"/>
      <c r="G3832" s="54"/>
      <c r="H3832" s="54"/>
    </row>
    <row r="3833" s="24" customFormat="1" ht="15" customHeight="1" spans="1:8">
      <c r="A3833" s="26">
        <v>3877</v>
      </c>
      <c r="B3833" s="147" t="s">
        <v>5483</v>
      </c>
      <c r="C3833" s="54">
        <v>3</v>
      </c>
      <c r="D3833" s="54">
        <v>1</v>
      </c>
      <c r="E3833" s="54"/>
      <c r="F3833" s="54"/>
      <c r="G3833" s="54"/>
      <c r="H3833" s="54"/>
    </row>
    <row r="3834" s="24" customFormat="1" ht="15" customHeight="1" spans="1:8">
      <c r="A3834" s="26">
        <v>3878</v>
      </c>
      <c r="B3834" s="147" t="s">
        <v>5484</v>
      </c>
      <c r="C3834" s="54">
        <f>111/30</f>
        <v>3.7</v>
      </c>
      <c r="D3834" s="54">
        <v>0</v>
      </c>
      <c r="E3834" s="54"/>
      <c r="F3834" s="54"/>
      <c r="G3834" s="54"/>
      <c r="H3834" s="54"/>
    </row>
    <row r="3835" s="24" customFormat="1" ht="15" customHeight="1" spans="1:8">
      <c r="A3835" s="26">
        <v>3879</v>
      </c>
      <c r="B3835" s="147" t="s">
        <v>5485</v>
      </c>
      <c r="C3835" s="54">
        <v>0</v>
      </c>
      <c r="D3835" s="54">
        <v>1</v>
      </c>
      <c r="E3835" s="54"/>
      <c r="F3835" s="54"/>
      <c r="G3835" s="54"/>
      <c r="H3835" s="54"/>
    </row>
    <row r="3836" s="24" customFormat="1" ht="15" customHeight="1" spans="1:8">
      <c r="A3836" s="26">
        <v>3880</v>
      </c>
      <c r="B3836" s="147" t="s">
        <v>5486</v>
      </c>
      <c r="C3836">
        <v>5.4</v>
      </c>
      <c r="D3836" s="54">
        <v>0</v>
      </c>
      <c r="E3836" s="54"/>
      <c r="F3836" s="54"/>
      <c r="G3836" s="54"/>
      <c r="H3836" s="54"/>
    </row>
    <row r="3837" s="24" customFormat="1" ht="15" customHeight="1" spans="1:8">
      <c r="A3837" s="26">
        <v>3881</v>
      </c>
      <c r="B3837" s="147" t="s">
        <v>5487</v>
      </c>
      <c r="C3837">
        <f>157/30</f>
        <v>5.23333333333333</v>
      </c>
      <c r="D3837" s="54">
        <v>0</v>
      </c>
      <c r="E3837" s="54"/>
      <c r="F3837" s="54"/>
      <c r="G3837" s="54"/>
      <c r="H3837" s="54"/>
    </row>
    <row r="3838" s="24" customFormat="1" ht="15" customHeight="1" spans="1:8">
      <c r="A3838" s="26">
        <v>3882</v>
      </c>
      <c r="B3838" s="147" t="s">
        <v>5488</v>
      </c>
      <c r="C3838">
        <f>190/30</f>
        <v>6.33333333333333</v>
      </c>
      <c r="D3838" s="54">
        <v>0</v>
      </c>
      <c r="E3838" s="54"/>
      <c r="F3838" s="54"/>
      <c r="G3838" s="54"/>
      <c r="H3838" s="54"/>
    </row>
    <row r="3839" s="24" customFormat="1" ht="15" customHeight="1" spans="1:8">
      <c r="A3839" s="26">
        <v>3883</v>
      </c>
      <c r="B3839" s="147" t="s">
        <v>5489</v>
      </c>
      <c r="C3839">
        <f>190/30</f>
        <v>6.33333333333333</v>
      </c>
      <c r="D3839" s="54">
        <v>0</v>
      </c>
      <c r="E3839" s="54"/>
      <c r="F3839" s="54"/>
      <c r="G3839" s="54"/>
      <c r="H3839" s="54"/>
    </row>
    <row r="3840" s="24" customFormat="1" ht="15" customHeight="1" spans="1:8">
      <c r="A3840" s="26">
        <v>3884</v>
      </c>
      <c r="B3840" s="147" t="s">
        <v>5490</v>
      </c>
      <c r="C3840">
        <f t="shared" ref="C3840:C3842" si="29">466/30</f>
        <v>15.5333333333333</v>
      </c>
      <c r="D3840">
        <v>0</v>
      </c>
      <c r="E3840" s="54"/>
      <c r="F3840" s="54"/>
      <c r="G3840" s="54"/>
      <c r="H3840" s="54"/>
    </row>
    <row r="3841" s="24" customFormat="1" ht="15" customHeight="1" spans="1:8">
      <c r="A3841" s="26">
        <v>3885</v>
      </c>
      <c r="B3841" s="147" t="s">
        <v>5491</v>
      </c>
      <c r="C3841">
        <f t="shared" si="29"/>
        <v>15.5333333333333</v>
      </c>
      <c r="D3841" s="54">
        <v>0</v>
      </c>
      <c r="E3841" s="54"/>
      <c r="F3841" s="54"/>
      <c r="G3841" s="54"/>
      <c r="H3841" s="54"/>
    </row>
    <row r="3842" s="24" customFormat="1" ht="15" customHeight="1" spans="1:8">
      <c r="A3842" s="26">
        <v>3886</v>
      </c>
      <c r="B3842" s="147" t="s">
        <v>5492</v>
      </c>
      <c r="C3842">
        <f t="shared" si="29"/>
        <v>15.5333333333333</v>
      </c>
      <c r="D3842" s="54">
        <v>0</v>
      </c>
      <c r="E3842" s="54"/>
      <c r="F3842" s="54"/>
      <c r="G3842" s="54"/>
      <c r="H3842" s="54"/>
    </row>
    <row r="3843" s="24" customFormat="1" ht="15" customHeight="1" spans="1:8">
      <c r="A3843" s="26">
        <v>3887</v>
      </c>
      <c r="B3843" s="147" t="s">
        <v>5493</v>
      </c>
      <c r="C3843" s="54">
        <v>0</v>
      </c>
      <c r="D3843" s="54">
        <v>1</v>
      </c>
      <c r="E3843" s="54"/>
      <c r="F3843" s="54"/>
      <c r="G3843" s="54"/>
      <c r="H3843" s="54"/>
    </row>
    <row r="3844" s="24" customFormat="1" ht="15" customHeight="1" spans="1:8">
      <c r="A3844" s="26">
        <v>3888</v>
      </c>
      <c r="B3844" s="147" t="s">
        <v>5494</v>
      </c>
      <c r="C3844" s="54">
        <v>0</v>
      </c>
      <c r="D3844" s="54">
        <v>1</v>
      </c>
      <c r="E3844" s="54"/>
      <c r="F3844" s="54"/>
      <c r="G3844" s="54"/>
      <c r="H3844" s="54"/>
    </row>
    <row r="3845" s="24" customFormat="1" ht="15" customHeight="1" spans="1:8">
      <c r="A3845" s="26">
        <v>3889</v>
      </c>
      <c r="B3845" s="147" t="s">
        <v>5495</v>
      </c>
      <c r="C3845" s="54">
        <v>0</v>
      </c>
      <c r="D3845" s="54">
        <v>1</v>
      </c>
      <c r="E3845" s="54"/>
      <c r="F3845" s="54"/>
      <c r="G3845" s="54"/>
      <c r="H3845" s="54"/>
    </row>
    <row r="3846" s="24" customFormat="1" ht="15" customHeight="1" spans="1:8">
      <c r="A3846" s="26">
        <v>3890</v>
      </c>
      <c r="B3846" s="147" t="s">
        <v>5496</v>
      </c>
      <c r="C3846" s="54">
        <v>0</v>
      </c>
      <c r="D3846" s="54">
        <v>1</v>
      </c>
      <c r="E3846" s="54"/>
      <c r="F3846" s="54"/>
      <c r="G3846" s="54"/>
      <c r="H3846" s="54"/>
    </row>
    <row r="3847" s="24" customFormat="1" ht="15" customHeight="1" spans="1:8">
      <c r="A3847" s="26">
        <v>3891</v>
      </c>
      <c r="B3847" s="147" t="s">
        <v>5497</v>
      </c>
      <c r="C3847" s="54">
        <v>0</v>
      </c>
      <c r="D3847" s="54">
        <v>1</v>
      </c>
      <c r="E3847" s="54"/>
      <c r="F3847" s="54"/>
      <c r="G3847" s="54"/>
      <c r="H3847" s="54"/>
    </row>
    <row r="3848" s="24" customFormat="1" ht="15" customHeight="1" spans="1:8">
      <c r="A3848" s="26">
        <v>3892</v>
      </c>
      <c r="B3848" s="147" t="s">
        <v>5498</v>
      </c>
      <c r="C3848" s="54">
        <f>155/30</f>
        <v>5.16666666666667</v>
      </c>
      <c r="D3848" s="54">
        <v>0</v>
      </c>
      <c r="E3848" s="54"/>
      <c r="F3848" s="54"/>
      <c r="G3848" s="54"/>
      <c r="H3848" s="54"/>
    </row>
    <row r="3849" s="24" customFormat="1" ht="15" customHeight="1" spans="1:8">
      <c r="A3849" s="26">
        <v>3893</v>
      </c>
      <c r="B3849" s="147" t="s">
        <v>5499</v>
      </c>
      <c r="C3849" s="54">
        <v>1</v>
      </c>
      <c r="D3849" s="54">
        <v>0</v>
      </c>
      <c r="E3849" s="54"/>
      <c r="F3849" s="54"/>
      <c r="G3849" s="54"/>
      <c r="H3849" s="54"/>
    </row>
    <row r="3850" s="24" customFormat="1" ht="15" customHeight="1" spans="1:8">
      <c r="A3850" s="26">
        <v>3894</v>
      </c>
      <c r="B3850" s="147" t="s">
        <v>5500</v>
      </c>
      <c r="C3850" s="54">
        <f>155/30</f>
        <v>5.16666666666667</v>
      </c>
      <c r="D3850" s="54">
        <v>0</v>
      </c>
      <c r="E3850" s="54"/>
      <c r="F3850" s="54"/>
      <c r="G3850" s="54"/>
      <c r="H3850" s="54"/>
    </row>
    <row r="3851" s="24" customFormat="1" ht="15" customHeight="1" spans="1:8">
      <c r="A3851" s="26">
        <v>3895</v>
      </c>
      <c r="B3851" s="147" t="s">
        <v>5501</v>
      </c>
      <c r="C3851" s="54">
        <f>308/30</f>
        <v>10.2666666666667</v>
      </c>
      <c r="D3851" s="54">
        <v>0</v>
      </c>
      <c r="E3851" s="54"/>
      <c r="F3851" s="54"/>
      <c r="G3851" s="54"/>
      <c r="H3851" s="54"/>
    </row>
    <row r="3852" s="24" customFormat="1" ht="15" customHeight="1" spans="1:8">
      <c r="A3852" s="26">
        <v>3896</v>
      </c>
      <c r="B3852" s="147" t="s">
        <v>5502</v>
      </c>
      <c r="C3852" s="54">
        <f>308/30</f>
        <v>10.2666666666667</v>
      </c>
      <c r="D3852" s="54">
        <v>0</v>
      </c>
      <c r="E3852" s="54"/>
      <c r="F3852" s="54"/>
      <c r="G3852" s="54"/>
      <c r="H3852" s="54"/>
    </row>
    <row r="3853" s="24" customFormat="1" ht="15" customHeight="1" spans="1:8">
      <c r="A3853" s="26">
        <v>3897</v>
      </c>
      <c r="B3853" s="147" t="s">
        <v>5503</v>
      </c>
      <c r="C3853" s="54">
        <f>155/30</f>
        <v>5.16666666666667</v>
      </c>
      <c r="D3853" s="54">
        <v>0</v>
      </c>
      <c r="E3853" s="54"/>
      <c r="F3853" s="54"/>
      <c r="G3853" s="54"/>
      <c r="H3853" s="54"/>
    </row>
    <row r="3854" s="24" customFormat="1" ht="15" customHeight="1" spans="1:8">
      <c r="A3854" s="26">
        <v>3898</v>
      </c>
      <c r="B3854" s="147" t="s">
        <v>5504</v>
      </c>
      <c r="C3854" s="54">
        <v>1</v>
      </c>
      <c r="D3854" s="54">
        <v>0</v>
      </c>
      <c r="E3854" s="54"/>
      <c r="F3854" s="54"/>
      <c r="G3854" s="54"/>
      <c r="H3854" s="54"/>
    </row>
    <row r="3855" s="24" customFormat="1" ht="15" customHeight="1" spans="1:8">
      <c r="A3855" s="26">
        <v>3899</v>
      </c>
      <c r="B3855" s="147" t="s">
        <v>5505</v>
      </c>
      <c r="C3855" s="54">
        <f>155/30</f>
        <v>5.16666666666667</v>
      </c>
      <c r="D3855" s="54">
        <v>0</v>
      </c>
      <c r="E3855" s="54"/>
      <c r="F3855" s="54"/>
      <c r="G3855" s="54"/>
      <c r="H3855" s="54"/>
    </row>
    <row r="3856" s="24" customFormat="1" ht="15" customHeight="1" spans="1:8">
      <c r="A3856" s="26">
        <v>3900</v>
      </c>
      <c r="B3856" s="147" t="s">
        <v>5506</v>
      </c>
      <c r="C3856" s="54">
        <f>308/30</f>
        <v>10.2666666666667</v>
      </c>
      <c r="D3856" s="54">
        <v>0</v>
      </c>
      <c r="E3856" s="54"/>
      <c r="F3856" s="54"/>
      <c r="G3856" s="54"/>
      <c r="H3856" s="54"/>
    </row>
    <row r="3857" s="24" customFormat="1" ht="15" customHeight="1" spans="1:8">
      <c r="A3857" s="26">
        <v>3901</v>
      </c>
      <c r="B3857" s="147" t="s">
        <v>5507</v>
      </c>
      <c r="C3857" s="54">
        <f>308/30</f>
        <v>10.2666666666667</v>
      </c>
      <c r="D3857" s="54">
        <v>0</v>
      </c>
      <c r="E3857" s="54"/>
      <c r="F3857" s="54"/>
      <c r="G3857" s="54"/>
      <c r="H3857" s="54"/>
    </row>
    <row r="3858" s="24" customFormat="1" ht="17" customHeight="1" spans="1:8">
      <c r="A3858" s="26">
        <v>3902</v>
      </c>
      <c r="B3858" s="89" t="s">
        <v>5508</v>
      </c>
      <c r="C3858" s="1">
        <v>0</v>
      </c>
      <c r="D3858" s="1">
        <v>1</v>
      </c>
      <c r="E3858" s="2"/>
      <c r="F3858" s="2" t="s">
        <v>3124</v>
      </c>
      <c r="G3858" s="2"/>
      <c r="H3858" s="2"/>
    </row>
    <row r="3859" s="24" customFormat="1" ht="17" customHeight="1" spans="1:8">
      <c r="A3859" s="26">
        <v>3903</v>
      </c>
      <c r="B3859" s="89" t="s">
        <v>5509</v>
      </c>
      <c r="C3859" s="1">
        <v>0</v>
      </c>
      <c r="D3859" s="1">
        <v>1</v>
      </c>
      <c r="E3859" s="2"/>
      <c r="F3859" s="2" t="s">
        <v>3124</v>
      </c>
      <c r="G3859" s="2"/>
      <c r="H3859" s="2"/>
    </row>
    <row r="3860" s="24" customFormat="1" ht="15" customHeight="1" spans="1:8">
      <c r="A3860" s="26">
        <v>3904</v>
      </c>
      <c r="B3860" s="147" t="s">
        <v>5510</v>
      </c>
      <c r="C3860" s="1">
        <v>1</v>
      </c>
      <c r="D3860" s="1">
        <v>0</v>
      </c>
      <c r="E3860" s="54"/>
      <c r="F3860" s="54"/>
      <c r="G3860" s="54"/>
      <c r="H3860" s="54"/>
    </row>
    <row r="3861" s="20" customFormat="1" ht="15" customHeight="1" spans="1:8">
      <c r="A3861" s="26">
        <v>3905</v>
      </c>
      <c r="B3861" s="134" t="s">
        <v>5511</v>
      </c>
      <c r="C3861" s="134">
        <f>110/30</f>
        <v>3.66666666666667</v>
      </c>
      <c r="D3861" s="134">
        <v>0</v>
      </c>
      <c r="E3861" s="114"/>
      <c r="F3861" s="114"/>
      <c r="G3861" s="114"/>
      <c r="H3861" s="114"/>
    </row>
    <row r="3862" s="20" customFormat="1" ht="15" customHeight="1" spans="1:8">
      <c r="A3862" s="26">
        <v>3906</v>
      </c>
      <c r="B3862" s="134" t="s">
        <v>5512</v>
      </c>
      <c r="C3862" s="134">
        <v>1</v>
      </c>
      <c r="D3862" s="134">
        <v>0</v>
      </c>
      <c r="E3862" s="114"/>
      <c r="F3862" s="114"/>
      <c r="G3862" s="114"/>
      <c r="H3862" s="114"/>
    </row>
    <row r="3863" s="20" customFormat="1" ht="15" customHeight="1" spans="1:8">
      <c r="A3863" s="26">
        <v>3907</v>
      </c>
      <c r="B3863" s="134" t="s">
        <v>5513</v>
      </c>
      <c r="C3863" s="134">
        <v>1</v>
      </c>
      <c r="D3863" s="134">
        <v>0</v>
      </c>
      <c r="E3863" s="114"/>
      <c r="F3863" s="114"/>
      <c r="G3863" s="114"/>
      <c r="H3863" s="114"/>
    </row>
    <row r="3864" s="20" customFormat="1" ht="15" customHeight="1" spans="1:8">
      <c r="A3864" s="26">
        <v>3908</v>
      </c>
      <c r="B3864" s="134" t="s">
        <v>5514</v>
      </c>
      <c r="C3864" s="134">
        <f>130/30</f>
        <v>4.33333333333333</v>
      </c>
      <c r="D3864" s="134">
        <v>0</v>
      </c>
      <c r="E3864" s="114"/>
      <c r="F3864" s="114"/>
      <c r="G3864" s="114"/>
      <c r="H3864" s="114"/>
    </row>
    <row r="3865" s="20" customFormat="1" ht="15" customHeight="1" spans="1:8">
      <c r="A3865" s="26">
        <v>3909</v>
      </c>
      <c r="B3865" s="134" t="s">
        <v>5515</v>
      </c>
      <c r="C3865" s="134">
        <v>1</v>
      </c>
      <c r="D3865" s="134">
        <v>0</v>
      </c>
      <c r="E3865" s="114"/>
      <c r="F3865" s="114"/>
      <c r="G3865" s="114"/>
      <c r="H3865" s="114"/>
    </row>
    <row r="3866" s="20" customFormat="1" ht="15" customHeight="1" spans="1:8">
      <c r="A3866" s="26">
        <v>3910</v>
      </c>
      <c r="B3866" s="134" t="s">
        <v>5516</v>
      </c>
      <c r="C3866" s="134">
        <v>1</v>
      </c>
      <c r="D3866" s="134">
        <v>0</v>
      </c>
      <c r="E3866" s="114"/>
      <c r="F3866" s="114"/>
      <c r="G3866" s="114"/>
      <c r="H3866" s="114"/>
    </row>
    <row r="3867" s="20" customFormat="1" ht="15" customHeight="1" spans="1:8">
      <c r="A3867" s="26">
        <v>3911</v>
      </c>
      <c r="B3867" s="134" t="s">
        <v>5517</v>
      </c>
      <c r="C3867" s="134">
        <f>64/30</f>
        <v>2.13333333333333</v>
      </c>
      <c r="D3867" s="134">
        <v>0</v>
      </c>
      <c r="E3867" s="114"/>
      <c r="F3867" s="114"/>
      <c r="G3867" s="114"/>
      <c r="H3867" s="114"/>
    </row>
    <row r="3868" s="20" customFormat="1" ht="15" customHeight="1" spans="1:8">
      <c r="A3868" s="26">
        <v>3912</v>
      </c>
      <c r="B3868" s="134" t="s">
        <v>5518</v>
      </c>
      <c r="C3868" s="134">
        <v>1</v>
      </c>
      <c r="D3868" s="134">
        <v>0</v>
      </c>
      <c r="E3868" s="114"/>
      <c r="F3868" s="114"/>
      <c r="G3868" s="114"/>
      <c r="H3868" s="114"/>
    </row>
    <row r="3869" s="20" customFormat="1" ht="15" customHeight="1" spans="1:8">
      <c r="A3869" s="26">
        <v>3913</v>
      </c>
      <c r="B3869" s="134" t="s">
        <v>5519</v>
      </c>
      <c r="C3869" s="134">
        <v>5</v>
      </c>
      <c r="D3869" s="134">
        <v>0</v>
      </c>
      <c r="E3869" s="114"/>
      <c r="F3869" s="114"/>
      <c r="G3869" s="114"/>
      <c r="H3869" s="114"/>
    </row>
    <row r="3870" s="20" customFormat="1" ht="15" customHeight="1" spans="1:8">
      <c r="A3870" s="26">
        <v>3914</v>
      </c>
      <c r="B3870" s="134" t="s">
        <v>5520</v>
      </c>
      <c r="C3870" s="134">
        <v>5</v>
      </c>
      <c r="D3870" s="134">
        <v>0</v>
      </c>
      <c r="E3870" s="114"/>
      <c r="F3870" s="114"/>
      <c r="G3870" s="114"/>
      <c r="H3870" s="114"/>
    </row>
    <row r="3871" s="20" customFormat="1" ht="15" customHeight="1" spans="1:8">
      <c r="A3871" s="26">
        <v>3915</v>
      </c>
      <c r="B3871" s="134" t="s">
        <v>5521</v>
      </c>
      <c r="C3871" s="134">
        <v>5</v>
      </c>
      <c r="D3871" s="134">
        <v>0</v>
      </c>
      <c r="E3871" s="114"/>
      <c r="F3871" s="114"/>
      <c r="G3871" s="114"/>
      <c r="H3871" s="114"/>
    </row>
    <row r="3872" s="20" customFormat="1" ht="15" customHeight="1" spans="1:8">
      <c r="A3872" s="26">
        <v>3916</v>
      </c>
      <c r="B3872" s="134" t="s">
        <v>5522</v>
      </c>
      <c r="C3872" s="134">
        <v>1</v>
      </c>
      <c r="D3872" s="134">
        <v>0</v>
      </c>
      <c r="E3872" s="114"/>
      <c r="F3872" s="114"/>
      <c r="G3872" s="114"/>
      <c r="H3872" s="114"/>
    </row>
    <row r="3873" s="20" customFormat="1" ht="15" customHeight="1" spans="1:8">
      <c r="A3873" s="26">
        <v>3917</v>
      </c>
      <c r="B3873" s="134" t="s">
        <v>5523</v>
      </c>
      <c r="C3873" s="134">
        <f>370/30</f>
        <v>12.3333333333333</v>
      </c>
      <c r="D3873" s="134">
        <v>0</v>
      </c>
      <c r="E3873" s="114"/>
      <c r="F3873" s="114"/>
      <c r="G3873" s="114"/>
      <c r="H3873" s="114"/>
    </row>
    <row r="3874" s="20" customFormat="1" ht="15" customHeight="1" spans="1:8">
      <c r="A3874" s="26">
        <v>3918</v>
      </c>
      <c r="B3874" s="134" t="s">
        <v>5524</v>
      </c>
      <c r="C3874" s="134">
        <v>1</v>
      </c>
      <c r="D3874" s="134">
        <v>0</v>
      </c>
      <c r="E3874" s="114"/>
      <c r="F3874" s="114"/>
      <c r="G3874" s="114"/>
      <c r="H3874" s="114"/>
    </row>
    <row r="3875" s="20" customFormat="1" ht="15" customHeight="1" spans="1:8">
      <c r="A3875" s="26">
        <v>3919</v>
      </c>
      <c r="B3875" s="134" t="s">
        <v>5525</v>
      </c>
      <c r="C3875" s="134">
        <f>340/30</f>
        <v>11.3333333333333</v>
      </c>
      <c r="D3875" s="134">
        <v>0</v>
      </c>
      <c r="E3875" s="114"/>
      <c r="F3875" s="114"/>
      <c r="G3875" s="114"/>
      <c r="H3875" s="114"/>
    </row>
    <row r="3876" s="20" customFormat="1" ht="15" customHeight="1" spans="1:8">
      <c r="A3876" s="26">
        <v>3920</v>
      </c>
      <c r="B3876" s="134" t="s">
        <v>5526</v>
      </c>
      <c r="C3876" s="134">
        <v>3</v>
      </c>
      <c r="D3876" s="134">
        <v>0</v>
      </c>
      <c r="E3876" s="114"/>
      <c r="F3876" s="114" t="s">
        <v>5527</v>
      </c>
      <c r="G3876" s="114"/>
      <c r="H3876" s="114"/>
    </row>
    <row r="3877" s="20" customFormat="1" ht="15" customHeight="1" spans="1:8">
      <c r="A3877" s="26">
        <v>3921</v>
      </c>
      <c r="B3877" s="134" t="s">
        <v>5528</v>
      </c>
      <c r="C3877" s="134">
        <v>3</v>
      </c>
      <c r="D3877" s="134">
        <v>0</v>
      </c>
      <c r="E3877" s="114"/>
      <c r="F3877" s="114" t="s">
        <v>5529</v>
      </c>
      <c r="G3877" s="114"/>
      <c r="H3877" s="114"/>
    </row>
    <row r="3878" s="20" customFormat="1" ht="15" customHeight="1" spans="1:8">
      <c r="A3878" s="26">
        <v>3922</v>
      </c>
      <c r="B3878" s="134" t="s">
        <v>5530</v>
      </c>
      <c r="C3878" s="134">
        <v>3</v>
      </c>
      <c r="D3878" s="134">
        <v>0</v>
      </c>
      <c r="E3878" s="114"/>
      <c r="F3878" s="114" t="s">
        <v>5531</v>
      </c>
      <c r="G3878" s="114"/>
      <c r="H3878" s="114"/>
    </row>
    <row r="3879" s="20" customFormat="1" ht="15" customHeight="1" spans="1:8">
      <c r="A3879" s="26">
        <v>3923</v>
      </c>
      <c r="B3879" s="134" t="s">
        <v>5532</v>
      </c>
      <c r="C3879" s="134">
        <v>0</v>
      </c>
      <c r="D3879" s="134">
        <v>1</v>
      </c>
      <c r="E3879" s="114"/>
      <c r="F3879" s="114" t="s">
        <v>5533</v>
      </c>
      <c r="G3879" s="114"/>
      <c r="H3879" s="114"/>
    </row>
    <row r="3880" s="20" customFormat="1" ht="15" customHeight="1" spans="1:8">
      <c r="A3880" s="26">
        <v>3924</v>
      </c>
      <c r="B3880" s="134" t="s">
        <v>5534</v>
      </c>
      <c r="C3880" s="134">
        <f>340/30</f>
        <v>11.3333333333333</v>
      </c>
      <c r="D3880" s="134">
        <v>0</v>
      </c>
      <c r="E3880" s="114"/>
      <c r="F3880" s="114" t="s">
        <v>5535</v>
      </c>
      <c r="G3880" s="114"/>
      <c r="H3880" s="114"/>
    </row>
    <row r="3881" s="20" customFormat="1" ht="15" customHeight="1" spans="1:8">
      <c r="A3881" s="26">
        <v>3925</v>
      </c>
      <c r="B3881" s="134" t="s">
        <v>5536</v>
      </c>
      <c r="C3881" s="134">
        <f>250/30</f>
        <v>8.33333333333333</v>
      </c>
      <c r="D3881" s="134">
        <v>0</v>
      </c>
      <c r="E3881" s="114"/>
      <c r="F3881" s="114"/>
      <c r="G3881" s="114"/>
      <c r="H3881" s="114"/>
    </row>
    <row r="3882" s="20" customFormat="1" ht="15" customHeight="1" spans="1:8">
      <c r="A3882" s="26">
        <v>3926</v>
      </c>
      <c r="B3882" s="134" t="s">
        <v>5537</v>
      </c>
      <c r="C3882" s="134">
        <f>90/30</f>
        <v>3</v>
      </c>
      <c r="D3882" s="134">
        <v>0</v>
      </c>
      <c r="E3882" s="114"/>
      <c r="F3882" s="114" t="s">
        <v>5538</v>
      </c>
      <c r="G3882" s="114"/>
      <c r="H3882" s="114"/>
    </row>
    <row r="3883" s="20" customFormat="1" ht="15" customHeight="1" spans="1:8">
      <c r="A3883" s="26">
        <v>3927</v>
      </c>
      <c r="B3883" s="134" t="s">
        <v>5539</v>
      </c>
      <c r="C3883" s="134">
        <v>1</v>
      </c>
      <c r="D3883" s="134">
        <v>0</v>
      </c>
      <c r="E3883" s="114"/>
      <c r="F3883" s="114" t="s">
        <v>5540</v>
      </c>
      <c r="G3883" s="114"/>
      <c r="H3883" s="114"/>
    </row>
    <row r="3884" s="20" customFormat="1" ht="15" customHeight="1" spans="1:8">
      <c r="A3884" s="26">
        <v>3928</v>
      </c>
      <c r="B3884" s="134" t="s">
        <v>5541</v>
      </c>
      <c r="C3884" s="134">
        <f>460/30</f>
        <v>15.3333333333333</v>
      </c>
      <c r="D3884" s="134">
        <v>0</v>
      </c>
      <c r="E3884" s="114"/>
      <c r="F3884" s="114" t="s">
        <v>5542</v>
      </c>
      <c r="G3884" s="114"/>
      <c r="H3884" s="114"/>
    </row>
    <row r="3885" s="20" customFormat="1" ht="15" customHeight="1" spans="1:8">
      <c r="A3885" s="26">
        <v>3929</v>
      </c>
      <c r="B3885" s="134" t="s">
        <v>5543</v>
      </c>
      <c r="C3885" s="134">
        <v>5</v>
      </c>
      <c r="D3885" s="134">
        <v>0</v>
      </c>
      <c r="E3885" s="114"/>
      <c r="F3885" s="114" t="s">
        <v>5544</v>
      </c>
      <c r="G3885" s="114"/>
      <c r="H3885" s="114"/>
    </row>
    <row r="3886" s="20" customFormat="1" ht="15" customHeight="1" spans="1:8">
      <c r="A3886" s="26">
        <v>3930</v>
      </c>
      <c r="B3886" s="134" t="s">
        <v>5545</v>
      </c>
      <c r="C3886" s="134">
        <v>5</v>
      </c>
      <c r="D3886" s="134">
        <v>0</v>
      </c>
      <c r="E3886" s="114"/>
      <c r="F3886" s="114" t="s">
        <v>5546</v>
      </c>
      <c r="G3886" s="114"/>
      <c r="H3886" s="114"/>
    </row>
    <row r="3887" s="20" customFormat="1" ht="15" customHeight="1" spans="1:8">
      <c r="A3887" s="26">
        <v>3931</v>
      </c>
      <c r="B3887" s="134" t="s">
        <v>5547</v>
      </c>
      <c r="C3887" s="134">
        <f>60/30</f>
        <v>2</v>
      </c>
      <c r="D3887" s="134">
        <v>0</v>
      </c>
      <c r="E3887" s="114"/>
      <c r="F3887" s="114" t="s">
        <v>5548</v>
      </c>
      <c r="G3887" s="114"/>
      <c r="H3887" s="114"/>
    </row>
    <row r="3888" s="20" customFormat="1" ht="15" customHeight="1" spans="1:8">
      <c r="A3888" s="26">
        <v>3932</v>
      </c>
      <c r="B3888" s="134" t="s">
        <v>5549</v>
      </c>
      <c r="C3888" s="134">
        <v>1</v>
      </c>
      <c r="D3888" s="134">
        <v>0</v>
      </c>
      <c r="E3888" s="114"/>
      <c r="F3888" s="114" t="s">
        <v>5550</v>
      </c>
      <c r="G3888" s="114"/>
      <c r="H3888" s="114"/>
    </row>
    <row r="3889" s="20" customFormat="1" ht="15" customHeight="1" spans="1:8">
      <c r="A3889" s="26">
        <v>3933</v>
      </c>
      <c r="B3889" s="134" t="s">
        <v>5551</v>
      </c>
      <c r="C3889" s="134">
        <f>65/30</f>
        <v>2.16666666666667</v>
      </c>
      <c r="D3889" s="134">
        <v>0</v>
      </c>
      <c r="E3889" s="114"/>
      <c r="F3889" s="114" t="s">
        <v>5552</v>
      </c>
      <c r="G3889" s="114"/>
      <c r="H3889" s="114"/>
    </row>
    <row r="3890" s="20" customFormat="1" ht="15" customHeight="1" spans="1:8">
      <c r="A3890" s="26">
        <v>3934</v>
      </c>
      <c r="B3890" s="134" t="s">
        <v>5553</v>
      </c>
      <c r="C3890" s="134">
        <v>1</v>
      </c>
      <c r="D3890" s="134">
        <v>0</v>
      </c>
      <c r="E3890" s="114"/>
      <c r="F3890" s="114" t="s">
        <v>5554</v>
      </c>
      <c r="G3890" s="114"/>
      <c r="H3890" s="114"/>
    </row>
    <row r="3891" s="20" customFormat="1" ht="15" customHeight="1" spans="1:8">
      <c r="A3891" s="26">
        <v>3935</v>
      </c>
      <c r="B3891" s="134" t="s">
        <v>5555</v>
      </c>
      <c r="C3891" s="134">
        <f>60/30</f>
        <v>2</v>
      </c>
      <c r="D3891" s="134">
        <v>0</v>
      </c>
      <c r="E3891" s="114"/>
      <c r="F3891" s="114" t="s">
        <v>5556</v>
      </c>
      <c r="G3891" s="114"/>
      <c r="H3891" s="114"/>
    </row>
    <row r="3892" s="20" customFormat="1" ht="15" customHeight="1" spans="1:8">
      <c r="A3892" s="26">
        <v>3936</v>
      </c>
      <c r="B3892" s="134" t="s">
        <v>5557</v>
      </c>
      <c r="C3892" s="134">
        <v>1</v>
      </c>
      <c r="D3892" s="134">
        <v>0</v>
      </c>
      <c r="E3892" s="114"/>
      <c r="F3892" s="114" t="s">
        <v>5558</v>
      </c>
      <c r="G3892" s="114"/>
      <c r="H3892" s="114"/>
    </row>
    <row r="3893" s="24" customFormat="1" ht="15" customHeight="1" spans="1:8">
      <c r="A3893" s="26">
        <v>3937</v>
      </c>
      <c r="B3893" s="147" t="s">
        <v>5559</v>
      </c>
      <c r="C3893" s="147">
        <f>101/30</f>
        <v>3.36666666666667</v>
      </c>
      <c r="D3893" s="147">
        <v>0</v>
      </c>
      <c r="E3893" s="54"/>
      <c r="F3893" s="54" t="s">
        <v>5560</v>
      </c>
      <c r="G3893" s="54"/>
      <c r="H3893" s="54"/>
    </row>
    <row r="3894" s="24" customFormat="1" ht="15" customHeight="1" spans="1:8">
      <c r="A3894" s="26">
        <v>3938</v>
      </c>
      <c r="B3894" s="147" t="s">
        <v>5561</v>
      </c>
      <c r="C3894" s="147">
        <v>1</v>
      </c>
      <c r="D3894" s="147">
        <v>0</v>
      </c>
      <c r="E3894" s="54"/>
      <c r="F3894" s="54" t="s">
        <v>5562</v>
      </c>
      <c r="G3894" s="54"/>
      <c r="H3894" s="54"/>
    </row>
    <row r="3895" s="24" customFormat="1" ht="15" customHeight="1" spans="1:8">
      <c r="A3895" s="26">
        <v>3939</v>
      </c>
      <c r="B3895" s="147" t="s">
        <v>5563</v>
      </c>
      <c r="C3895" s="147">
        <v>1</v>
      </c>
      <c r="D3895" s="147">
        <v>0</v>
      </c>
      <c r="E3895" s="54"/>
      <c r="F3895" s="54" t="s">
        <v>5564</v>
      </c>
      <c r="G3895" s="54"/>
      <c r="H3895" s="54"/>
    </row>
    <row r="3896" s="24" customFormat="1" ht="15" customHeight="1" spans="1:8">
      <c r="A3896" s="26">
        <v>3940</v>
      </c>
      <c r="B3896" s="147" t="s">
        <v>5565</v>
      </c>
      <c r="C3896" s="147">
        <v>1</v>
      </c>
      <c r="D3896" s="147">
        <v>0</v>
      </c>
      <c r="E3896" s="54"/>
      <c r="F3896" s="54" t="s">
        <v>5566</v>
      </c>
      <c r="G3896" s="54"/>
      <c r="H3896" s="54"/>
    </row>
    <row r="3897" s="24" customFormat="1" ht="15" customHeight="1" spans="1:8">
      <c r="A3897" s="26">
        <v>3941</v>
      </c>
      <c r="B3897" s="147" t="s">
        <v>5567</v>
      </c>
      <c r="C3897" s="147">
        <f>101/30</f>
        <v>3.36666666666667</v>
      </c>
      <c r="D3897" s="147">
        <v>0</v>
      </c>
      <c r="E3897" s="54"/>
      <c r="F3897" s="54" t="s">
        <v>5568</v>
      </c>
      <c r="G3897" s="54"/>
      <c r="H3897" s="54"/>
    </row>
    <row r="3898" s="24" customFormat="1" ht="15" customHeight="1" spans="1:8">
      <c r="A3898" s="26">
        <v>3942</v>
      </c>
      <c r="B3898" s="147" t="s">
        <v>5569</v>
      </c>
      <c r="C3898" s="147">
        <f>80/30</f>
        <v>2.66666666666667</v>
      </c>
      <c r="D3898" s="147">
        <v>0</v>
      </c>
      <c r="E3898" s="54"/>
      <c r="F3898" s="54" t="s">
        <v>5570</v>
      </c>
      <c r="G3898" s="54"/>
      <c r="H3898" s="54"/>
    </row>
    <row r="3899" s="24" customFormat="1" ht="15" customHeight="1" spans="1:8">
      <c r="A3899" s="26">
        <v>3943</v>
      </c>
      <c r="B3899" s="147" t="s">
        <v>5571</v>
      </c>
      <c r="C3899" s="147">
        <v>1</v>
      </c>
      <c r="D3899" s="147">
        <v>0</v>
      </c>
      <c r="E3899" s="54"/>
      <c r="F3899" s="54" t="s">
        <v>5572</v>
      </c>
      <c r="G3899" s="54"/>
      <c r="H3899" s="54"/>
    </row>
    <row r="3900" s="24" customFormat="1" ht="15" customHeight="1" spans="1:8">
      <c r="A3900" s="26">
        <v>3944</v>
      </c>
      <c r="B3900" s="147" t="s">
        <v>5573</v>
      </c>
      <c r="C3900" s="147">
        <f>79/30</f>
        <v>2.63333333333333</v>
      </c>
      <c r="D3900" s="147">
        <v>0</v>
      </c>
      <c r="E3900" s="54"/>
      <c r="F3900" s="54" t="s">
        <v>5574</v>
      </c>
      <c r="G3900" s="54"/>
      <c r="H3900" s="54"/>
    </row>
    <row r="3901" s="24" customFormat="1" ht="15" customHeight="1" spans="1:8">
      <c r="A3901" s="26">
        <v>3945</v>
      </c>
      <c r="B3901" s="147" t="s">
        <v>5575</v>
      </c>
      <c r="C3901" s="147">
        <v>1</v>
      </c>
      <c r="D3901" s="147">
        <v>0</v>
      </c>
      <c r="E3901" s="54"/>
      <c r="F3901" s="54" t="s">
        <v>5576</v>
      </c>
      <c r="G3901" s="54"/>
      <c r="H3901" s="54"/>
    </row>
    <row r="3902" s="24" customFormat="1" ht="15" customHeight="1" spans="1:8">
      <c r="A3902" s="26">
        <v>3946</v>
      </c>
      <c r="B3902" s="147" t="s">
        <v>5577</v>
      </c>
      <c r="C3902" s="147">
        <f>225/30</f>
        <v>7.5</v>
      </c>
      <c r="D3902" s="147">
        <v>0</v>
      </c>
      <c r="E3902" s="54"/>
      <c r="F3902" s="54" t="s">
        <v>5578</v>
      </c>
      <c r="G3902" s="54"/>
      <c r="H3902" s="54"/>
    </row>
    <row r="3903" s="24" customFormat="1" ht="15" customHeight="1" spans="1:8">
      <c r="A3903" s="26">
        <v>3947</v>
      </c>
      <c r="B3903" s="147" t="s">
        <v>5579</v>
      </c>
      <c r="C3903" s="147">
        <f>59/30</f>
        <v>1.96666666666667</v>
      </c>
      <c r="D3903" s="147">
        <v>0</v>
      </c>
      <c r="E3903" s="54"/>
      <c r="F3903" s="54" t="s">
        <v>5580</v>
      </c>
      <c r="G3903" s="54"/>
      <c r="H3903" s="54"/>
    </row>
    <row r="3904" s="24" customFormat="1" ht="15" customHeight="1" spans="1:8">
      <c r="A3904" s="26">
        <v>3948</v>
      </c>
      <c r="B3904" s="147" t="s">
        <v>5581</v>
      </c>
      <c r="C3904" s="147">
        <v>1</v>
      </c>
      <c r="D3904" s="147">
        <v>0</v>
      </c>
      <c r="E3904" s="54"/>
      <c r="F3904" s="54" t="s">
        <v>5582</v>
      </c>
      <c r="G3904" s="54"/>
      <c r="H3904" s="54"/>
    </row>
    <row r="3905" s="24" customFormat="1" ht="15" customHeight="1" spans="1:8">
      <c r="A3905" s="26">
        <v>3949</v>
      </c>
      <c r="B3905" s="147" t="s">
        <v>5583</v>
      </c>
      <c r="C3905" s="147">
        <f>59/30</f>
        <v>1.96666666666667</v>
      </c>
      <c r="D3905" s="147">
        <v>0</v>
      </c>
      <c r="E3905" s="54"/>
      <c r="F3905" s="54" t="s">
        <v>5584</v>
      </c>
      <c r="G3905" s="54"/>
      <c r="H3905" s="54"/>
    </row>
    <row r="3906" s="24" customFormat="1" ht="15" customHeight="1" spans="1:8">
      <c r="A3906" s="26">
        <v>3950</v>
      </c>
      <c r="B3906" s="147" t="s">
        <v>5585</v>
      </c>
      <c r="C3906" s="147">
        <f>63/30</f>
        <v>2.1</v>
      </c>
      <c r="D3906" s="147">
        <v>0</v>
      </c>
      <c r="E3906" s="54"/>
      <c r="F3906" s="54" t="s">
        <v>5586</v>
      </c>
      <c r="G3906" s="54"/>
      <c r="H3906" s="54"/>
    </row>
    <row r="3907" s="24" customFormat="1" ht="15" customHeight="1" spans="1:8">
      <c r="A3907" s="26">
        <v>3951</v>
      </c>
      <c r="B3907" s="147" t="s">
        <v>5587</v>
      </c>
      <c r="C3907" s="147">
        <v>1</v>
      </c>
      <c r="D3907" s="147">
        <v>0</v>
      </c>
      <c r="E3907" s="54"/>
      <c r="F3907" s="54" t="s">
        <v>5588</v>
      </c>
      <c r="G3907" s="54"/>
      <c r="H3907" s="54"/>
    </row>
    <row r="3908" s="24" customFormat="1" ht="15" customHeight="1" spans="1:8">
      <c r="A3908" s="26">
        <v>3952</v>
      </c>
      <c r="B3908" s="147" t="s">
        <v>5589</v>
      </c>
      <c r="C3908" s="147">
        <f>67/30</f>
        <v>2.23333333333333</v>
      </c>
      <c r="D3908" s="147">
        <v>0</v>
      </c>
      <c r="E3908" s="54"/>
      <c r="F3908" s="54" t="s">
        <v>5590</v>
      </c>
      <c r="G3908" s="54"/>
      <c r="H3908" s="54"/>
    </row>
    <row r="3909" s="24" customFormat="1" ht="15" customHeight="1" spans="1:8">
      <c r="A3909" s="26">
        <v>3953</v>
      </c>
      <c r="B3909" s="147" t="s">
        <v>5591</v>
      </c>
      <c r="C3909" s="147">
        <f>77/30</f>
        <v>2.56666666666667</v>
      </c>
      <c r="D3909" s="147">
        <v>0</v>
      </c>
      <c r="E3909" s="54"/>
      <c r="F3909" s="54" t="s">
        <v>5592</v>
      </c>
      <c r="G3909" s="54"/>
      <c r="H3909" s="54"/>
    </row>
    <row r="3910" s="24" customFormat="1" ht="15" customHeight="1" spans="1:8">
      <c r="A3910" s="26">
        <v>3954</v>
      </c>
      <c r="B3910" s="147" t="s">
        <v>5593</v>
      </c>
      <c r="C3910" s="147">
        <f>285/30</f>
        <v>9.5</v>
      </c>
      <c r="D3910" s="147">
        <v>0</v>
      </c>
      <c r="E3910" s="54"/>
      <c r="F3910" s="54" t="s">
        <v>5594</v>
      </c>
      <c r="G3910" s="54"/>
      <c r="H3910" s="54"/>
    </row>
    <row r="3911" s="24" customFormat="1" ht="15" customHeight="1" spans="1:8">
      <c r="A3911" s="26">
        <v>3955</v>
      </c>
      <c r="B3911" s="147" t="s">
        <v>5595</v>
      </c>
      <c r="C3911" s="147">
        <f>285/30</f>
        <v>9.5</v>
      </c>
      <c r="D3911" s="147">
        <v>0</v>
      </c>
      <c r="E3911" s="54"/>
      <c r="F3911" s="54" t="s">
        <v>5596</v>
      </c>
      <c r="G3911" s="54"/>
      <c r="H3911" s="54"/>
    </row>
    <row r="3912" s="24" customFormat="1" ht="15" customHeight="1" spans="1:8">
      <c r="A3912" s="26">
        <v>3956</v>
      </c>
      <c r="B3912" s="147" t="s">
        <v>5597</v>
      </c>
      <c r="C3912" s="147">
        <v>0</v>
      </c>
      <c r="D3912" s="147">
        <v>1</v>
      </c>
      <c r="E3912" s="54"/>
      <c r="F3912" s="54" t="s">
        <v>5598</v>
      </c>
      <c r="G3912" s="54"/>
      <c r="H3912" s="54"/>
    </row>
    <row r="3913" s="24" customFormat="1" ht="15" customHeight="1" spans="1:8">
      <c r="A3913" s="26">
        <v>3957</v>
      </c>
      <c r="B3913" s="147" t="s">
        <v>5599</v>
      </c>
      <c r="C3913" s="147">
        <v>3</v>
      </c>
      <c r="D3913" s="147">
        <v>0</v>
      </c>
      <c r="E3913" s="54"/>
      <c r="F3913" s="54" t="s">
        <v>5600</v>
      </c>
      <c r="G3913" s="54"/>
      <c r="H3913" s="54"/>
    </row>
    <row r="3914" s="24" customFormat="1" ht="15" customHeight="1" spans="1:8">
      <c r="A3914" s="26">
        <v>3958</v>
      </c>
      <c r="B3914" s="147" t="s">
        <v>5601</v>
      </c>
      <c r="C3914" s="147">
        <f>90/30</f>
        <v>3</v>
      </c>
      <c r="D3914" s="147">
        <v>0</v>
      </c>
      <c r="E3914" s="54"/>
      <c r="F3914" s="54" t="s">
        <v>5602</v>
      </c>
      <c r="G3914" s="54"/>
      <c r="H3914" s="54"/>
    </row>
    <row r="3915" s="24" customFormat="1" ht="15" customHeight="1" spans="1:8">
      <c r="A3915" s="26">
        <v>3959</v>
      </c>
      <c r="B3915" s="147" t="s">
        <v>5603</v>
      </c>
      <c r="C3915" s="147">
        <v>1</v>
      </c>
      <c r="D3915" s="147">
        <v>0</v>
      </c>
      <c r="E3915" s="54"/>
      <c r="F3915" s="54" t="s">
        <v>5604</v>
      </c>
      <c r="G3915" s="54"/>
      <c r="H3915" s="54"/>
    </row>
    <row r="3916" s="24" customFormat="1" ht="15" customHeight="1" spans="1:8">
      <c r="A3916" s="26">
        <v>3960</v>
      </c>
      <c r="B3916" s="147" t="s">
        <v>5605</v>
      </c>
      <c r="C3916" s="147">
        <f>100/30</f>
        <v>3.33333333333333</v>
      </c>
      <c r="D3916" s="147">
        <v>0</v>
      </c>
      <c r="E3916" s="54"/>
      <c r="F3916" s="54" t="s">
        <v>5606</v>
      </c>
      <c r="G3916" s="54"/>
      <c r="H3916" s="54"/>
    </row>
    <row r="3917" s="24" customFormat="1" ht="15" customHeight="1" spans="1:8">
      <c r="A3917" s="26">
        <v>3961</v>
      </c>
      <c r="B3917" s="147" t="s">
        <v>5607</v>
      </c>
      <c r="C3917" s="147">
        <f>92/30</f>
        <v>3.06666666666667</v>
      </c>
      <c r="D3917" s="147">
        <v>0</v>
      </c>
      <c r="E3917" s="54"/>
      <c r="F3917" s="54" t="s">
        <v>5608</v>
      </c>
      <c r="G3917" s="54"/>
      <c r="H3917" s="54"/>
    </row>
    <row r="3918" s="24" customFormat="1" ht="15" customHeight="1" spans="1:8">
      <c r="A3918" s="26">
        <v>3962</v>
      </c>
      <c r="B3918" s="147" t="s">
        <v>5609</v>
      </c>
      <c r="C3918" s="147">
        <v>1</v>
      </c>
      <c r="D3918" s="147">
        <v>0</v>
      </c>
      <c r="E3918" s="54"/>
      <c r="F3918" s="54" t="s">
        <v>5610</v>
      </c>
      <c r="G3918" s="54"/>
      <c r="H3918" s="54"/>
    </row>
    <row r="3919" s="24" customFormat="1" ht="15" customHeight="1" spans="1:8">
      <c r="A3919" s="26">
        <v>3963</v>
      </c>
      <c r="B3919" s="147" t="s">
        <v>5611</v>
      </c>
      <c r="C3919" s="147">
        <f>260/30</f>
        <v>8.66666666666667</v>
      </c>
      <c r="D3919" s="147">
        <v>0</v>
      </c>
      <c r="E3919" s="54"/>
      <c r="F3919" s="54" t="s">
        <v>5612</v>
      </c>
      <c r="G3919" s="54"/>
      <c r="H3919" s="54"/>
    </row>
    <row r="3920" s="24" customFormat="1" ht="15" customHeight="1" spans="1:8">
      <c r="A3920" s="26">
        <v>3964</v>
      </c>
      <c r="B3920" s="147" t="s">
        <v>5613</v>
      </c>
      <c r="C3920" s="147">
        <f>112/30</f>
        <v>3.73333333333333</v>
      </c>
      <c r="D3920" s="147">
        <v>0</v>
      </c>
      <c r="E3920" s="54"/>
      <c r="F3920" s="54" t="s">
        <v>5614</v>
      </c>
      <c r="G3920" s="54"/>
      <c r="H3920" s="54"/>
    </row>
    <row r="3921" s="24" customFormat="1" ht="15" customHeight="1" spans="1:8">
      <c r="A3921" s="26">
        <v>3965</v>
      </c>
      <c r="B3921" s="147" t="s">
        <v>5615</v>
      </c>
      <c r="C3921" s="147">
        <f>88/30</f>
        <v>2.93333333333333</v>
      </c>
      <c r="D3921" s="147">
        <v>0</v>
      </c>
      <c r="E3921" s="54"/>
      <c r="F3921" s="54" t="s">
        <v>5616</v>
      </c>
      <c r="G3921" s="54"/>
      <c r="H3921" s="54"/>
    </row>
    <row r="3922" s="24" customFormat="1" ht="15" customHeight="1" spans="1:8">
      <c r="A3922" s="26">
        <v>3966</v>
      </c>
      <c r="B3922" s="147" t="s">
        <v>5617</v>
      </c>
      <c r="C3922" s="147">
        <v>1</v>
      </c>
      <c r="D3922" s="147">
        <v>0</v>
      </c>
      <c r="E3922" s="54"/>
      <c r="F3922" s="54" t="s">
        <v>5618</v>
      </c>
      <c r="G3922" s="54"/>
      <c r="H3922" s="54"/>
    </row>
    <row r="3923" s="24" customFormat="1" ht="15" customHeight="1" spans="1:8">
      <c r="A3923" s="26">
        <v>3967</v>
      </c>
      <c r="B3923" s="147" t="s">
        <v>5619</v>
      </c>
      <c r="C3923" s="147">
        <f>88/30</f>
        <v>2.93333333333333</v>
      </c>
      <c r="D3923" s="147">
        <v>0</v>
      </c>
      <c r="E3923" s="54"/>
      <c r="F3923" s="54" t="s">
        <v>5620</v>
      </c>
      <c r="G3923" s="54"/>
      <c r="H3923" s="54"/>
    </row>
    <row r="3924" s="24" customFormat="1" ht="15" customHeight="1" spans="1:8">
      <c r="A3924" s="26">
        <v>3968</v>
      </c>
      <c r="B3924" s="147" t="s">
        <v>5621</v>
      </c>
      <c r="C3924" s="147">
        <f>112/30</f>
        <v>3.73333333333333</v>
      </c>
      <c r="D3924" s="147">
        <v>0</v>
      </c>
      <c r="E3924" s="54"/>
      <c r="F3924" s="54" t="s">
        <v>5622</v>
      </c>
      <c r="G3924" s="54"/>
      <c r="H3924" s="54"/>
    </row>
    <row r="3925" s="24" customFormat="1" ht="15" customHeight="1" spans="1:8">
      <c r="A3925" s="26">
        <v>3969</v>
      </c>
      <c r="B3925" s="147" t="s">
        <v>5623</v>
      </c>
      <c r="C3925" s="147">
        <v>1</v>
      </c>
      <c r="D3925" s="147">
        <v>0</v>
      </c>
      <c r="E3925" s="54"/>
      <c r="F3925" s="54" t="s">
        <v>5624</v>
      </c>
      <c r="G3925" s="54"/>
      <c r="H3925" s="54"/>
    </row>
    <row r="3926" s="24" customFormat="1" ht="15" customHeight="1" spans="1:8">
      <c r="A3926" s="26">
        <v>3970</v>
      </c>
      <c r="B3926" s="147" t="s">
        <v>5625</v>
      </c>
      <c r="C3926" s="147">
        <f>230/30</f>
        <v>7.66666666666667</v>
      </c>
      <c r="D3926" s="147">
        <v>0</v>
      </c>
      <c r="E3926" s="54"/>
      <c r="F3926" s="54" t="s">
        <v>5626</v>
      </c>
      <c r="G3926" s="54"/>
      <c r="H3926" s="54"/>
    </row>
    <row r="3927" s="24" customFormat="1" ht="15" customHeight="1" spans="1:8">
      <c r="A3927" s="26">
        <v>3971</v>
      </c>
      <c r="B3927" s="147" t="s">
        <v>5627</v>
      </c>
      <c r="C3927" s="147">
        <v>0</v>
      </c>
      <c r="D3927" s="147">
        <v>1</v>
      </c>
      <c r="E3927" s="54"/>
      <c r="F3927" s="54" t="s">
        <v>5628</v>
      </c>
      <c r="G3927" s="54"/>
      <c r="H3927" s="54"/>
    </row>
    <row r="3928" s="24" customFormat="1" ht="15" customHeight="1" spans="1:8">
      <c r="A3928" s="26">
        <v>3972</v>
      </c>
      <c r="B3928" s="147" t="s">
        <v>5629</v>
      </c>
      <c r="C3928" s="147">
        <f>92/30</f>
        <v>3.06666666666667</v>
      </c>
      <c r="D3928" s="147">
        <v>0</v>
      </c>
      <c r="E3928" s="54"/>
      <c r="F3928" s="54" t="s">
        <v>5630</v>
      </c>
      <c r="G3928" s="54"/>
      <c r="H3928" s="54"/>
    </row>
    <row r="3929" s="24" customFormat="1" ht="15" customHeight="1" spans="1:8">
      <c r="A3929" s="26">
        <v>3973</v>
      </c>
      <c r="B3929" s="147" t="s">
        <v>5631</v>
      </c>
      <c r="C3929" s="147">
        <v>1</v>
      </c>
      <c r="D3929" s="147">
        <v>0</v>
      </c>
      <c r="E3929" s="54"/>
      <c r="F3929" s="54" t="s">
        <v>5632</v>
      </c>
      <c r="G3929" s="54"/>
      <c r="H3929" s="54"/>
    </row>
    <row r="3930" s="24" customFormat="1" ht="15" customHeight="1" spans="1:8">
      <c r="A3930" s="26">
        <v>3974</v>
      </c>
      <c r="B3930" s="147" t="s">
        <v>5633</v>
      </c>
      <c r="C3930" s="147">
        <f>435/30</f>
        <v>14.5</v>
      </c>
      <c r="D3930" s="147">
        <v>0</v>
      </c>
      <c r="E3930" s="54"/>
      <c r="F3930" s="54" t="s">
        <v>5634</v>
      </c>
      <c r="G3930" s="54"/>
      <c r="H3930" s="54"/>
    </row>
    <row r="3931" s="24" customFormat="1" ht="15" customHeight="1" spans="1:8">
      <c r="A3931" s="26">
        <v>3975</v>
      </c>
      <c r="B3931" s="147" t="s">
        <v>5635</v>
      </c>
      <c r="C3931" s="147">
        <v>1</v>
      </c>
      <c r="D3931" s="147">
        <v>0</v>
      </c>
      <c r="E3931" s="54"/>
      <c r="F3931" s="54" t="s">
        <v>5636</v>
      </c>
      <c r="G3931" s="54"/>
      <c r="H3931" s="54"/>
    </row>
    <row r="3932" s="24" customFormat="1" ht="15" customHeight="1" spans="1:8">
      <c r="A3932" s="26">
        <v>3976</v>
      </c>
      <c r="B3932" s="147" t="s">
        <v>5637</v>
      </c>
      <c r="C3932" s="147">
        <f>450/30</f>
        <v>15</v>
      </c>
      <c r="D3932" s="147">
        <v>0</v>
      </c>
      <c r="E3932" s="54"/>
      <c r="F3932" s="54" t="s">
        <v>5638</v>
      </c>
      <c r="G3932" s="54"/>
      <c r="H3932" s="54"/>
    </row>
    <row r="3933" s="24" customFormat="1" ht="15" customHeight="1" spans="1:8">
      <c r="A3933" s="26">
        <v>3977</v>
      </c>
      <c r="B3933" s="147" t="s">
        <v>5639</v>
      </c>
      <c r="C3933" s="147">
        <f>450/30</f>
        <v>15</v>
      </c>
      <c r="D3933" s="147">
        <v>0</v>
      </c>
      <c r="E3933" s="54"/>
      <c r="F3933" s="54" t="s">
        <v>5640</v>
      </c>
      <c r="G3933" s="54"/>
      <c r="H3933" s="54"/>
    </row>
    <row r="3934" s="24" customFormat="1" ht="15" customHeight="1" spans="1:8">
      <c r="A3934" s="26">
        <v>3978</v>
      </c>
      <c r="B3934" s="147" t="s">
        <v>5641</v>
      </c>
      <c r="C3934" s="147">
        <f>92/30</f>
        <v>3.06666666666667</v>
      </c>
      <c r="D3934" s="147">
        <v>0</v>
      </c>
      <c r="E3934" s="54"/>
      <c r="F3934" s="54" t="s">
        <v>5642</v>
      </c>
      <c r="G3934" s="54"/>
      <c r="H3934" s="54"/>
    </row>
    <row r="3935" s="24" customFormat="1" ht="15" customHeight="1" spans="1:8">
      <c r="A3935" s="26">
        <v>3979</v>
      </c>
      <c r="B3935" s="147" t="s">
        <v>5643</v>
      </c>
      <c r="C3935" s="147">
        <f>88/30</f>
        <v>2.93333333333333</v>
      </c>
      <c r="D3935" s="147">
        <v>0</v>
      </c>
      <c r="E3935" s="54"/>
      <c r="F3935" s="54" t="s">
        <v>5644</v>
      </c>
      <c r="G3935" s="54"/>
      <c r="H3935" s="54"/>
    </row>
    <row r="3936" s="24" customFormat="1" ht="15" customHeight="1" spans="1:8">
      <c r="A3936" s="26">
        <v>3980</v>
      </c>
      <c r="B3936" s="147" t="s">
        <v>5645</v>
      </c>
      <c r="C3936" s="147">
        <f>370/30</f>
        <v>12.3333333333333</v>
      </c>
      <c r="D3936" s="147">
        <v>0</v>
      </c>
      <c r="E3936" s="54"/>
      <c r="F3936" s="54" t="s">
        <v>5646</v>
      </c>
      <c r="G3936" s="54"/>
      <c r="H3936" s="54"/>
    </row>
    <row r="3937" s="24" customFormat="1" ht="15" customHeight="1" spans="1:8">
      <c r="A3937" s="26">
        <v>3981</v>
      </c>
      <c r="B3937" s="147" t="s">
        <v>5647</v>
      </c>
      <c r="C3937" s="147">
        <v>0</v>
      </c>
      <c r="D3937" s="147">
        <v>1</v>
      </c>
      <c r="E3937" s="54"/>
      <c r="F3937" s="54" t="s">
        <v>5648</v>
      </c>
      <c r="G3937" s="54"/>
      <c r="H3937" s="54"/>
    </row>
    <row r="3938" s="24" customFormat="1" ht="15" customHeight="1" spans="1:8">
      <c r="A3938" s="26">
        <v>3982</v>
      </c>
      <c r="B3938" s="147" t="s">
        <v>5649</v>
      </c>
      <c r="C3938" s="147">
        <v>0</v>
      </c>
      <c r="D3938" s="147">
        <v>1</v>
      </c>
      <c r="E3938" s="54"/>
      <c r="F3938" s="54" t="s">
        <v>5650</v>
      </c>
      <c r="G3938" s="54"/>
      <c r="H3938" s="54"/>
    </row>
    <row r="3939" s="24" customFormat="1" ht="15" customHeight="1" spans="1:8">
      <c r="A3939" s="26">
        <v>3983</v>
      </c>
      <c r="B3939" s="147" t="s">
        <v>5651</v>
      </c>
      <c r="C3939" s="147">
        <f>264/30</f>
        <v>8.8</v>
      </c>
      <c r="D3939" s="147">
        <v>0</v>
      </c>
      <c r="E3939" s="54"/>
      <c r="F3939" s="54" t="s">
        <v>5652</v>
      </c>
      <c r="G3939" s="54"/>
      <c r="H3939" s="54"/>
    </row>
    <row r="3940" s="24" customFormat="1" ht="15" customHeight="1" spans="1:8">
      <c r="A3940" s="26">
        <v>3984</v>
      </c>
      <c r="B3940" s="147" t="s">
        <v>5653</v>
      </c>
      <c r="C3940" s="147">
        <f>108/30</f>
        <v>3.6</v>
      </c>
      <c r="D3940" s="147">
        <v>0</v>
      </c>
      <c r="E3940" s="54"/>
      <c r="F3940" s="54" t="s">
        <v>5654</v>
      </c>
      <c r="G3940" s="54"/>
      <c r="H3940" s="54"/>
    </row>
    <row r="3941" s="24" customFormat="1" ht="15" customHeight="1" spans="1:8">
      <c r="A3941" s="26">
        <v>3985</v>
      </c>
      <c r="B3941" s="147" t="s">
        <v>5655</v>
      </c>
      <c r="C3941" s="147">
        <v>1</v>
      </c>
      <c r="D3941" s="147">
        <v>0</v>
      </c>
      <c r="E3941" s="54"/>
      <c r="F3941" s="54" t="s">
        <v>5656</v>
      </c>
      <c r="G3941" s="54"/>
      <c r="H3941" s="54"/>
    </row>
    <row r="3942" s="24" customFormat="1" ht="15" customHeight="1" spans="1:8">
      <c r="A3942" s="26">
        <v>3986</v>
      </c>
      <c r="B3942" s="147" t="s">
        <v>5657</v>
      </c>
      <c r="C3942" s="147">
        <f>78/30</f>
        <v>2.6</v>
      </c>
      <c r="D3942" s="147">
        <v>0</v>
      </c>
      <c r="E3942" s="54"/>
      <c r="F3942" s="54" t="s">
        <v>5658</v>
      </c>
      <c r="G3942" s="54"/>
      <c r="H3942" s="54"/>
    </row>
    <row r="3943" s="24" customFormat="1" ht="15" customHeight="1" spans="1:8">
      <c r="A3943" s="26">
        <v>3987</v>
      </c>
      <c r="B3943" s="147" t="s">
        <v>5659</v>
      </c>
      <c r="C3943" s="147">
        <v>1</v>
      </c>
      <c r="D3943" s="147">
        <v>0</v>
      </c>
      <c r="E3943" s="54"/>
      <c r="F3943" s="54" t="s">
        <v>5660</v>
      </c>
      <c r="G3943" s="54"/>
      <c r="H3943" s="54"/>
    </row>
    <row r="3944" s="24" customFormat="1" ht="15" customHeight="1" spans="1:8">
      <c r="A3944" s="26">
        <v>3988</v>
      </c>
      <c r="B3944" s="147" t="s">
        <v>5661</v>
      </c>
      <c r="C3944" s="147">
        <f>73/30</f>
        <v>2.43333333333333</v>
      </c>
      <c r="D3944" s="147">
        <v>0</v>
      </c>
      <c r="E3944" s="54"/>
      <c r="F3944" s="54" t="s">
        <v>5662</v>
      </c>
      <c r="G3944" s="54"/>
      <c r="H3944" s="54"/>
    </row>
    <row r="3945" s="24" customFormat="1" ht="15" customHeight="1" spans="1:8">
      <c r="A3945" s="26">
        <v>3989</v>
      </c>
      <c r="B3945" s="147" t="s">
        <v>5663</v>
      </c>
      <c r="C3945" s="147">
        <f>73/30</f>
        <v>2.43333333333333</v>
      </c>
      <c r="D3945" s="147">
        <v>0</v>
      </c>
      <c r="E3945" s="54"/>
      <c r="F3945" s="54" t="s">
        <v>5664</v>
      </c>
      <c r="G3945" s="54"/>
      <c r="H3945" s="54"/>
    </row>
    <row r="3946" s="24" customFormat="1" ht="15" customHeight="1" spans="1:8">
      <c r="A3946" s="26">
        <v>3990</v>
      </c>
      <c r="B3946" s="147" t="s">
        <v>5665</v>
      </c>
      <c r="C3946" s="147">
        <v>1</v>
      </c>
      <c r="D3946" s="147">
        <v>0</v>
      </c>
      <c r="E3946" s="54"/>
      <c r="F3946" s="54" t="s">
        <v>5666</v>
      </c>
      <c r="G3946" s="54"/>
      <c r="H3946" s="54"/>
    </row>
    <row r="3947" s="24" customFormat="1" ht="15" customHeight="1" spans="1:8">
      <c r="A3947" s="26">
        <v>3991</v>
      </c>
      <c r="B3947" s="147" t="s">
        <v>5667</v>
      </c>
      <c r="C3947" s="147">
        <f>83/30</f>
        <v>2.76666666666667</v>
      </c>
      <c r="D3947" s="147">
        <v>0</v>
      </c>
      <c r="E3947" s="54"/>
      <c r="F3947" s="54" t="s">
        <v>5668</v>
      </c>
      <c r="G3947" s="54"/>
      <c r="H3947" s="54"/>
    </row>
    <row r="3948" s="24" customFormat="1" ht="15" customHeight="1" spans="1:8">
      <c r="A3948" s="26">
        <v>3992</v>
      </c>
      <c r="B3948" s="147" t="s">
        <v>5669</v>
      </c>
      <c r="C3948" s="147">
        <f>83/30</f>
        <v>2.76666666666667</v>
      </c>
      <c r="D3948" s="147">
        <v>0</v>
      </c>
      <c r="E3948" s="54"/>
      <c r="F3948" s="54" t="s">
        <v>5670</v>
      </c>
      <c r="G3948" s="54"/>
      <c r="H3948" s="54"/>
    </row>
    <row r="3949" s="24" customFormat="1" ht="15" customHeight="1" spans="1:8">
      <c r="A3949" s="26">
        <v>3993</v>
      </c>
      <c r="B3949" s="147" t="s">
        <v>5671</v>
      </c>
      <c r="C3949" s="147">
        <f>334/30</f>
        <v>11.1333333333333</v>
      </c>
      <c r="D3949" s="147">
        <v>0</v>
      </c>
      <c r="E3949" s="54"/>
      <c r="F3949" s="54" t="s">
        <v>5672</v>
      </c>
      <c r="G3949" s="54"/>
      <c r="H3949" s="54"/>
    </row>
    <row r="3950" s="24" customFormat="1" ht="15" customHeight="1" spans="1:8">
      <c r="A3950" s="26">
        <v>3995</v>
      </c>
      <c r="B3950" s="147" t="s">
        <v>5673</v>
      </c>
      <c r="C3950" s="147">
        <v>1</v>
      </c>
      <c r="D3950" s="147">
        <v>0</v>
      </c>
      <c r="E3950" s="54"/>
      <c r="F3950" s="54" t="s">
        <v>5674</v>
      </c>
      <c r="G3950" s="54"/>
      <c r="H3950" s="54"/>
    </row>
    <row r="3951" s="24" customFormat="1" ht="15" customHeight="1" spans="1:8">
      <c r="A3951" s="26">
        <v>3996</v>
      </c>
      <c r="B3951" s="147" t="s">
        <v>5675</v>
      </c>
      <c r="C3951" s="147">
        <f>351/30</f>
        <v>11.7</v>
      </c>
      <c r="D3951" s="147">
        <v>0</v>
      </c>
      <c r="E3951" s="54"/>
      <c r="F3951" s="54" t="s">
        <v>5676</v>
      </c>
      <c r="G3951" s="54"/>
      <c r="H3951" s="54"/>
    </row>
    <row r="3952" s="24" customFormat="1" ht="15" customHeight="1" spans="1:8">
      <c r="A3952" s="26">
        <v>3997</v>
      </c>
      <c r="B3952" s="147" t="s">
        <v>5677</v>
      </c>
      <c r="C3952" s="147">
        <f>351/30</f>
        <v>11.7</v>
      </c>
      <c r="D3952" s="147">
        <v>0</v>
      </c>
      <c r="E3952" s="54"/>
      <c r="F3952" s="54" t="s">
        <v>5678</v>
      </c>
      <c r="G3952" s="54"/>
      <c r="H3952" s="54"/>
    </row>
    <row r="3953" s="24" customFormat="1" ht="15" customHeight="1" spans="1:8">
      <c r="A3953" s="26">
        <v>3998</v>
      </c>
      <c r="B3953" s="147" t="s">
        <v>5679</v>
      </c>
      <c r="C3953" s="147">
        <f>351/30</f>
        <v>11.7</v>
      </c>
      <c r="D3953" s="147">
        <v>0</v>
      </c>
      <c r="E3953" s="54"/>
      <c r="F3953" s="54" t="s">
        <v>5680</v>
      </c>
      <c r="G3953" s="54"/>
      <c r="H3953" s="54"/>
    </row>
    <row r="3954" s="24" customFormat="1" ht="15" customHeight="1" spans="1:8">
      <c r="A3954" s="26">
        <v>3999</v>
      </c>
      <c r="B3954" s="147" t="s">
        <v>5681</v>
      </c>
      <c r="C3954" s="147">
        <f>286/30</f>
        <v>9.53333333333333</v>
      </c>
      <c r="D3954" s="147">
        <v>0</v>
      </c>
      <c r="E3954" s="54"/>
      <c r="F3954" s="54" t="s">
        <v>5682</v>
      </c>
      <c r="G3954" s="54"/>
      <c r="H3954" s="54"/>
    </row>
    <row r="3955" s="24" customFormat="1" ht="15" customHeight="1" spans="1:8">
      <c r="A3955" s="26">
        <v>4000</v>
      </c>
      <c r="B3955" s="147" t="s">
        <v>5683</v>
      </c>
      <c r="C3955" s="147">
        <f>286/30</f>
        <v>9.53333333333333</v>
      </c>
      <c r="D3955" s="147">
        <v>0</v>
      </c>
      <c r="E3955" s="54"/>
      <c r="F3955" s="54" t="s">
        <v>5684</v>
      </c>
      <c r="G3955" s="54"/>
      <c r="H3955" s="54"/>
    </row>
    <row r="3956" s="24" customFormat="1" ht="15" customHeight="1" spans="1:8">
      <c r="A3956" s="26">
        <v>4001</v>
      </c>
      <c r="B3956" s="147" t="s">
        <v>5685</v>
      </c>
      <c r="C3956" s="147">
        <f>145/30</f>
        <v>4.83333333333333</v>
      </c>
      <c r="D3956" s="147">
        <v>0</v>
      </c>
      <c r="E3956" s="54"/>
      <c r="F3956" s="54" t="s">
        <v>5686</v>
      </c>
      <c r="G3956" s="54"/>
      <c r="H3956" s="54"/>
    </row>
    <row r="3957" s="24" customFormat="1" ht="15" customHeight="1" spans="1:8">
      <c r="A3957" s="26">
        <v>4002</v>
      </c>
      <c r="B3957" s="147" t="s">
        <v>5687</v>
      </c>
      <c r="C3957" s="147">
        <f>91/30</f>
        <v>3.03333333333333</v>
      </c>
      <c r="D3957" s="147">
        <v>0</v>
      </c>
      <c r="E3957" s="54"/>
      <c r="F3957" s="54" t="s">
        <v>5688</v>
      </c>
      <c r="G3957" s="54"/>
      <c r="H3957" s="54"/>
    </row>
    <row r="3958" s="24" customFormat="1" ht="15" customHeight="1" spans="1:8">
      <c r="A3958" s="26">
        <v>4003</v>
      </c>
      <c r="B3958" s="147" t="s">
        <v>5689</v>
      </c>
      <c r="C3958" s="147">
        <v>0</v>
      </c>
      <c r="D3958" s="147">
        <v>1</v>
      </c>
      <c r="E3958" s="54"/>
      <c r="F3958" s="54" t="s">
        <v>5690</v>
      </c>
      <c r="G3958" s="54"/>
      <c r="H3958" s="54"/>
    </row>
    <row r="3959" s="24" customFormat="1" ht="15" customHeight="1" spans="1:8">
      <c r="A3959" s="26">
        <v>4004</v>
      </c>
      <c r="B3959" s="147" t="s">
        <v>5691</v>
      </c>
      <c r="C3959" s="147">
        <f>73/30</f>
        <v>2.43333333333333</v>
      </c>
      <c r="D3959" s="147">
        <v>0</v>
      </c>
      <c r="E3959" s="54"/>
      <c r="F3959" s="54" t="s">
        <v>5692</v>
      </c>
      <c r="G3959" s="54"/>
      <c r="H3959" s="54"/>
    </row>
    <row r="3960" s="24" customFormat="1" ht="15" customHeight="1" spans="1:8">
      <c r="A3960" s="26">
        <v>4005</v>
      </c>
      <c r="B3960" s="147" t="s">
        <v>5693</v>
      </c>
      <c r="C3960" s="147">
        <f>83/30</f>
        <v>2.76666666666667</v>
      </c>
      <c r="D3960" s="147">
        <v>0</v>
      </c>
      <c r="E3960" s="54"/>
      <c r="F3960" s="54" t="s">
        <v>5694</v>
      </c>
      <c r="G3960" s="54"/>
      <c r="H3960" s="54"/>
    </row>
    <row r="3961" s="24" customFormat="1" ht="15" customHeight="1" spans="1:8">
      <c r="A3961" s="26">
        <v>4006</v>
      </c>
      <c r="B3961" s="147" t="s">
        <v>5695</v>
      </c>
      <c r="C3961" s="147">
        <f>351/30</f>
        <v>11.7</v>
      </c>
      <c r="D3961" s="147">
        <v>0</v>
      </c>
      <c r="E3961" s="54"/>
      <c r="F3961" s="54" t="s">
        <v>5696</v>
      </c>
      <c r="G3961" s="54"/>
      <c r="H3961" s="54"/>
    </row>
    <row r="3962" s="24" customFormat="1" ht="15" customHeight="1" spans="1:8">
      <c r="A3962" s="26">
        <v>4007</v>
      </c>
      <c r="B3962" s="147" t="s">
        <v>5697</v>
      </c>
      <c r="C3962" s="147">
        <f>351/30</f>
        <v>11.7</v>
      </c>
      <c r="D3962" s="147">
        <v>0</v>
      </c>
      <c r="E3962" s="54"/>
      <c r="F3962" s="54" t="s">
        <v>5698</v>
      </c>
      <c r="G3962" s="54"/>
      <c r="H3962" s="54"/>
    </row>
    <row r="3963" s="24" customFormat="1" ht="15" customHeight="1" spans="1:8">
      <c r="A3963" s="26">
        <v>4008</v>
      </c>
      <c r="B3963" s="147" t="s">
        <v>5699</v>
      </c>
      <c r="C3963" s="147">
        <v>2</v>
      </c>
      <c r="D3963" s="147">
        <v>0</v>
      </c>
      <c r="E3963" s="54"/>
      <c r="F3963" s="54" t="s">
        <v>5700</v>
      </c>
      <c r="G3963" s="54"/>
      <c r="H3963" s="54"/>
    </row>
    <row r="3964" s="24" customFormat="1" ht="15" customHeight="1" spans="1:8">
      <c r="A3964" s="26">
        <v>4009</v>
      </c>
      <c r="B3964" s="147" t="s">
        <v>5701</v>
      </c>
      <c r="C3964" s="147">
        <v>0</v>
      </c>
      <c r="D3964" s="147">
        <v>1</v>
      </c>
      <c r="E3964" s="54"/>
      <c r="F3964" s="54" t="s">
        <v>5702</v>
      </c>
      <c r="G3964" s="54"/>
      <c r="H3964" s="54"/>
    </row>
    <row r="3965" s="24" customFormat="1" ht="15" customHeight="1" spans="1:8">
      <c r="A3965" s="26">
        <v>4010</v>
      </c>
      <c r="B3965" s="147" t="s">
        <v>5703</v>
      </c>
      <c r="C3965" s="147">
        <f>334/30</f>
        <v>11.1333333333333</v>
      </c>
      <c r="D3965" s="147">
        <v>0</v>
      </c>
      <c r="E3965" s="54"/>
      <c r="F3965" s="54" t="s">
        <v>5704</v>
      </c>
      <c r="G3965" s="54"/>
      <c r="H3965" s="54"/>
    </row>
    <row r="3966" s="20" customFormat="1" ht="15" customHeight="1" spans="1:8">
      <c r="A3966" s="20">
        <v>4011</v>
      </c>
      <c r="B3966" s="134" t="s">
        <v>5705</v>
      </c>
      <c r="C3966" s="20">
        <f>91/30</f>
        <v>3.03333333333333</v>
      </c>
      <c r="D3966" s="134">
        <v>0</v>
      </c>
      <c r="E3966" s="114"/>
      <c r="F3966" s="114" t="s">
        <v>5706</v>
      </c>
      <c r="G3966" s="114"/>
      <c r="H3966" s="114"/>
    </row>
    <row r="3967" s="20" customFormat="1" ht="15" customHeight="1" spans="1:8">
      <c r="A3967" s="20">
        <v>4012</v>
      </c>
      <c r="B3967" s="134" t="s">
        <v>5707</v>
      </c>
      <c r="C3967" s="20">
        <v>1</v>
      </c>
      <c r="D3967" s="134">
        <v>0</v>
      </c>
      <c r="E3967" s="114"/>
      <c r="F3967" s="114" t="s">
        <v>5708</v>
      </c>
      <c r="G3967" s="114"/>
      <c r="H3967" s="114"/>
    </row>
    <row r="3968" s="20" customFormat="1" ht="15" customHeight="1" spans="1:8">
      <c r="A3968" s="20">
        <v>4013</v>
      </c>
      <c r="B3968" s="134" t="s">
        <v>5709</v>
      </c>
      <c r="C3968" s="20">
        <v>1</v>
      </c>
      <c r="D3968" s="134">
        <v>0</v>
      </c>
      <c r="E3968" s="114"/>
      <c r="F3968" s="114" t="s">
        <v>5710</v>
      </c>
      <c r="G3968" s="114"/>
      <c r="H3968" s="114"/>
    </row>
    <row r="3969" s="20" customFormat="1" ht="15" customHeight="1" spans="1:8">
      <c r="A3969" s="20">
        <v>4014</v>
      </c>
      <c r="B3969" s="134" t="s">
        <v>5711</v>
      </c>
      <c r="C3969" s="20">
        <v>1</v>
      </c>
      <c r="D3969" s="134">
        <v>0</v>
      </c>
      <c r="E3969" s="114"/>
      <c r="F3969" s="114" t="s">
        <v>5712</v>
      </c>
      <c r="G3969" s="114"/>
      <c r="H3969" s="114"/>
    </row>
    <row r="3970" s="20" customFormat="1" ht="15" customHeight="1" spans="1:8">
      <c r="A3970" s="20">
        <v>4015</v>
      </c>
      <c r="B3970" s="134" t="s">
        <v>5713</v>
      </c>
      <c r="C3970" s="20">
        <f>130/30</f>
        <v>4.33333333333333</v>
      </c>
      <c r="D3970" s="134">
        <v>0</v>
      </c>
      <c r="E3970" s="114"/>
      <c r="F3970" s="114" t="s">
        <v>5714</v>
      </c>
      <c r="G3970" s="114"/>
      <c r="H3970" s="114"/>
    </row>
    <row r="3971" s="20" customFormat="1" ht="15" customHeight="1" spans="1:8">
      <c r="A3971" s="20">
        <v>4016</v>
      </c>
      <c r="B3971" s="134" t="s">
        <v>5715</v>
      </c>
      <c r="C3971" s="20">
        <v>1</v>
      </c>
      <c r="D3971" s="134">
        <v>0</v>
      </c>
      <c r="E3971" s="114"/>
      <c r="F3971" s="114" t="s">
        <v>5716</v>
      </c>
      <c r="G3971" s="114"/>
      <c r="H3971" s="114"/>
    </row>
    <row r="3972" s="20" customFormat="1" ht="15" customHeight="1" spans="1:8">
      <c r="A3972" s="20">
        <v>4017</v>
      </c>
      <c r="B3972" s="134" t="s">
        <v>5717</v>
      </c>
      <c r="C3972" s="20">
        <f>106/30</f>
        <v>3.53333333333333</v>
      </c>
      <c r="D3972" s="134">
        <v>0</v>
      </c>
      <c r="E3972" s="114"/>
      <c r="F3972" s="114" t="s">
        <v>5718</v>
      </c>
      <c r="G3972" s="114"/>
      <c r="H3972" s="114"/>
    </row>
    <row r="3973" s="20" customFormat="1" ht="15" customHeight="1" spans="1:8">
      <c r="A3973" s="20">
        <v>4018</v>
      </c>
      <c r="B3973" s="134" t="s">
        <v>5719</v>
      </c>
      <c r="C3973" s="134">
        <v>1</v>
      </c>
      <c r="D3973" s="134">
        <v>0</v>
      </c>
      <c r="E3973" s="114"/>
      <c r="F3973" s="114" t="s">
        <v>5720</v>
      </c>
      <c r="G3973" s="114"/>
      <c r="H3973" s="114"/>
    </row>
    <row r="3974" s="20" customFormat="1" ht="15" customHeight="1" spans="1:8">
      <c r="A3974" s="20">
        <v>4019</v>
      </c>
      <c r="B3974" s="134" t="s">
        <v>5721</v>
      </c>
      <c r="C3974" s="20">
        <f>64/30</f>
        <v>2.13333333333333</v>
      </c>
      <c r="D3974" s="134">
        <v>0</v>
      </c>
      <c r="E3974" s="114"/>
      <c r="F3974" s="114" t="s">
        <v>5722</v>
      </c>
      <c r="G3974" s="114"/>
      <c r="H3974" s="114"/>
    </row>
    <row r="3975" s="20" customFormat="1" ht="15" customHeight="1" spans="1:8">
      <c r="A3975" s="20">
        <v>4020</v>
      </c>
      <c r="B3975" s="134" t="s">
        <v>5723</v>
      </c>
      <c r="C3975" s="20">
        <f>64/30</f>
        <v>2.13333333333333</v>
      </c>
      <c r="D3975" s="134">
        <v>0</v>
      </c>
      <c r="E3975" s="114"/>
      <c r="F3975" s="114" t="s">
        <v>5724</v>
      </c>
      <c r="G3975" s="114"/>
      <c r="H3975" s="114"/>
    </row>
    <row r="3976" s="20" customFormat="1" ht="15" customHeight="1" spans="1:8">
      <c r="A3976" s="20">
        <v>4021</v>
      </c>
      <c r="B3976" s="134" t="s">
        <v>5725</v>
      </c>
      <c r="C3976" s="20">
        <f>64/30</f>
        <v>2.13333333333333</v>
      </c>
      <c r="D3976" s="134">
        <v>0</v>
      </c>
      <c r="E3976" s="114"/>
      <c r="F3976" s="114" t="s">
        <v>5726</v>
      </c>
      <c r="G3976" s="114"/>
      <c r="H3976" s="114"/>
    </row>
    <row r="3977" s="20" customFormat="1" ht="15" customHeight="1" spans="1:8">
      <c r="A3977" s="20">
        <v>4022</v>
      </c>
      <c r="B3977" s="134" t="s">
        <v>5727</v>
      </c>
      <c r="C3977" s="20">
        <f>100/30</f>
        <v>3.33333333333333</v>
      </c>
      <c r="D3977" s="134">
        <v>0</v>
      </c>
      <c r="E3977" s="114"/>
      <c r="F3977" s="114" t="s">
        <v>5728</v>
      </c>
      <c r="G3977" s="114"/>
      <c r="H3977" s="114"/>
    </row>
    <row r="3978" s="20" customFormat="1" ht="15" customHeight="1" spans="1:8">
      <c r="A3978" s="20">
        <v>4023</v>
      </c>
      <c r="B3978" s="134" t="s">
        <v>5729</v>
      </c>
      <c r="C3978" s="20">
        <f>100/30</f>
        <v>3.33333333333333</v>
      </c>
      <c r="D3978" s="134">
        <v>0</v>
      </c>
      <c r="E3978" s="114"/>
      <c r="F3978" s="114" t="s">
        <v>5730</v>
      </c>
      <c r="G3978" s="114"/>
      <c r="H3978" s="114"/>
    </row>
    <row r="3979" s="20" customFormat="1" ht="15" customHeight="1" spans="1:8">
      <c r="A3979" s="20">
        <v>4027</v>
      </c>
      <c r="B3979" s="134" t="s">
        <v>5731</v>
      </c>
      <c r="C3979" s="20">
        <f>490/30</f>
        <v>16.3333333333333</v>
      </c>
      <c r="D3979" s="134">
        <v>0</v>
      </c>
      <c r="E3979" s="114"/>
      <c r="F3979" s="114" t="s">
        <v>5732</v>
      </c>
      <c r="G3979" s="114"/>
      <c r="H3979" s="114"/>
    </row>
    <row r="3980" s="20" customFormat="1" ht="15" customHeight="1" spans="1:8">
      <c r="A3980" s="20">
        <v>4028</v>
      </c>
      <c r="B3980" s="134" t="s">
        <v>5733</v>
      </c>
      <c r="C3980" s="20">
        <f>490/30</f>
        <v>16.3333333333333</v>
      </c>
      <c r="D3980" s="134">
        <v>0</v>
      </c>
      <c r="E3980" s="114"/>
      <c r="F3980" s="114" t="s">
        <v>5734</v>
      </c>
      <c r="G3980" s="114"/>
      <c r="H3980" s="114"/>
    </row>
    <row r="3981" s="20" customFormat="1" ht="15" customHeight="1" spans="1:8">
      <c r="A3981" s="20">
        <v>4029</v>
      </c>
      <c r="B3981" s="134" t="s">
        <v>5735</v>
      </c>
      <c r="C3981" s="20">
        <f>490/30</f>
        <v>16.3333333333333</v>
      </c>
      <c r="D3981" s="134">
        <v>0</v>
      </c>
      <c r="E3981" s="114"/>
      <c r="F3981" s="114" t="s">
        <v>5736</v>
      </c>
      <c r="G3981" s="114"/>
      <c r="H3981" s="114"/>
    </row>
    <row r="3982" s="20" customFormat="1" ht="15" customHeight="1" spans="1:8">
      <c r="A3982" s="20">
        <v>4030</v>
      </c>
      <c r="B3982" s="134" t="s">
        <v>5737</v>
      </c>
      <c r="C3982" s="134">
        <v>1</v>
      </c>
      <c r="D3982" s="134">
        <v>0</v>
      </c>
      <c r="E3982" s="114"/>
      <c r="F3982" s="114" t="s">
        <v>5738</v>
      </c>
      <c r="G3982" s="114"/>
      <c r="H3982" s="114"/>
    </row>
    <row r="3983" s="20" customFormat="1" ht="15" customHeight="1" spans="1:8">
      <c r="A3983" s="20">
        <v>4032</v>
      </c>
      <c r="B3983" s="134" t="s">
        <v>5739</v>
      </c>
      <c r="C3983" s="20">
        <f>156/30</f>
        <v>5.2</v>
      </c>
      <c r="D3983" s="134">
        <v>0</v>
      </c>
      <c r="E3983" s="114"/>
      <c r="F3983" s="114" t="s">
        <v>5740</v>
      </c>
      <c r="G3983" s="114"/>
      <c r="H3983" s="114"/>
    </row>
    <row r="3984" s="20" customFormat="1" ht="15" customHeight="1" spans="1:8">
      <c r="A3984" s="20">
        <v>4033</v>
      </c>
      <c r="B3984" s="134" t="s">
        <v>5741</v>
      </c>
      <c r="C3984" s="134">
        <v>0</v>
      </c>
      <c r="D3984" s="134">
        <v>1</v>
      </c>
      <c r="E3984" s="114"/>
      <c r="F3984" s="114" t="s">
        <v>5742</v>
      </c>
      <c r="G3984" s="114"/>
      <c r="H3984" s="114"/>
    </row>
    <row r="3985" s="20" customFormat="1" ht="15" customHeight="1" spans="1:8">
      <c r="A3985" s="20">
        <v>4034</v>
      </c>
      <c r="B3985" s="134" t="s">
        <v>5743</v>
      </c>
      <c r="C3985" s="20">
        <f t="shared" ref="C3985:C3990" si="30">490/30</f>
        <v>16.3333333333333</v>
      </c>
      <c r="D3985" s="134">
        <v>0</v>
      </c>
      <c r="E3985" s="114"/>
      <c r="F3985" s="114" t="s">
        <v>5744</v>
      </c>
      <c r="G3985" s="114"/>
      <c r="H3985" s="114"/>
    </row>
    <row r="3986" s="20" customFormat="1" ht="15" customHeight="1" spans="1:8">
      <c r="A3986" s="20">
        <v>4035</v>
      </c>
      <c r="B3986" s="134" t="s">
        <v>5745</v>
      </c>
      <c r="C3986" s="20">
        <f t="shared" si="30"/>
        <v>16.3333333333333</v>
      </c>
      <c r="D3986" s="134">
        <v>0</v>
      </c>
      <c r="E3986" s="114"/>
      <c r="F3986" s="114" t="s">
        <v>5744</v>
      </c>
      <c r="G3986" s="114"/>
      <c r="H3986" s="114"/>
    </row>
    <row r="3987" s="20" customFormat="1" ht="15" customHeight="1" spans="1:8">
      <c r="A3987" s="20">
        <v>4036</v>
      </c>
      <c r="B3987" s="134" t="s">
        <v>5746</v>
      </c>
      <c r="C3987" s="20">
        <f t="shared" si="30"/>
        <v>16.3333333333333</v>
      </c>
      <c r="D3987" s="134">
        <v>0</v>
      </c>
      <c r="E3987" s="114"/>
      <c r="F3987" s="114" t="s">
        <v>5744</v>
      </c>
      <c r="G3987" s="114"/>
      <c r="H3987" s="114"/>
    </row>
    <row r="3988" s="20" customFormat="1" ht="15" customHeight="1" spans="1:8">
      <c r="A3988" s="20">
        <v>4037</v>
      </c>
      <c r="B3988" s="134" t="s">
        <v>5747</v>
      </c>
      <c r="C3988" s="20">
        <f t="shared" si="30"/>
        <v>16.3333333333333</v>
      </c>
      <c r="D3988" s="134">
        <v>0</v>
      </c>
      <c r="E3988" s="114"/>
      <c r="F3988" s="114" t="s">
        <v>5744</v>
      </c>
      <c r="G3988" s="114"/>
      <c r="H3988" s="114"/>
    </row>
    <row r="3989" s="20" customFormat="1" ht="15" customHeight="1" spans="1:8">
      <c r="A3989" s="20">
        <v>4038</v>
      </c>
      <c r="B3989" s="134" t="s">
        <v>5748</v>
      </c>
      <c r="C3989" s="20">
        <f t="shared" si="30"/>
        <v>16.3333333333333</v>
      </c>
      <c r="D3989" s="134">
        <v>0</v>
      </c>
      <c r="E3989" s="114"/>
      <c r="F3989" s="114" t="s">
        <v>5744</v>
      </c>
      <c r="G3989" s="114"/>
      <c r="H3989" s="114"/>
    </row>
    <row r="3990" s="20" customFormat="1" ht="15" customHeight="1" spans="1:8">
      <c r="A3990" s="20">
        <v>4039</v>
      </c>
      <c r="B3990" s="134" t="s">
        <v>5749</v>
      </c>
      <c r="C3990" s="20">
        <f t="shared" si="30"/>
        <v>16.3333333333333</v>
      </c>
      <c r="D3990" s="134">
        <v>0</v>
      </c>
      <c r="E3990" s="114"/>
      <c r="F3990" s="114" t="s">
        <v>5744</v>
      </c>
      <c r="G3990" s="114"/>
      <c r="H3990" s="114"/>
    </row>
    <row r="3991" s="20" customFormat="1" ht="15" customHeight="1" spans="1:8">
      <c r="A3991" s="20">
        <v>4040</v>
      </c>
      <c r="B3991" s="134" t="s">
        <v>5750</v>
      </c>
      <c r="C3991" s="20">
        <f>91/30</f>
        <v>3.03333333333333</v>
      </c>
      <c r="D3991" s="134">
        <v>0</v>
      </c>
      <c r="E3991" s="114"/>
      <c r="F3991" s="114" t="s">
        <v>5751</v>
      </c>
      <c r="G3991" s="114"/>
      <c r="H3991" s="114"/>
    </row>
    <row r="3992" s="20" customFormat="1" ht="15" customHeight="1" spans="1:8">
      <c r="A3992" s="20">
        <v>4041</v>
      </c>
      <c r="B3992" s="134" t="s">
        <v>5752</v>
      </c>
      <c r="C3992" s="20">
        <f>449/30</f>
        <v>14.9666666666667</v>
      </c>
      <c r="D3992" s="134">
        <v>0</v>
      </c>
      <c r="E3992" s="114"/>
      <c r="F3992" s="114" t="s">
        <v>5753</v>
      </c>
      <c r="G3992" s="114"/>
      <c r="H3992" s="114"/>
    </row>
    <row r="3993" s="20" customFormat="1" ht="15" customHeight="1" spans="1:8">
      <c r="A3993" s="20">
        <v>4042</v>
      </c>
      <c r="B3993" s="134" t="s">
        <v>5754</v>
      </c>
      <c r="C3993" s="20">
        <f>449/30</f>
        <v>14.9666666666667</v>
      </c>
      <c r="D3993" s="134">
        <v>0</v>
      </c>
      <c r="E3993" s="114"/>
      <c r="F3993" s="114" t="s">
        <v>5755</v>
      </c>
      <c r="G3993" s="114"/>
      <c r="H3993" s="114"/>
    </row>
    <row r="3994" s="20" customFormat="1" ht="15" customHeight="1" spans="1:8">
      <c r="A3994" s="20">
        <v>4043</v>
      </c>
      <c r="B3994" s="134" t="s">
        <v>5756</v>
      </c>
      <c r="C3994" s="20">
        <f>449/30</f>
        <v>14.9666666666667</v>
      </c>
      <c r="D3994" s="134">
        <v>0</v>
      </c>
      <c r="E3994" s="114"/>
      <c r="F3994" s="114" t="s">
        <v>5755</v>
      </c>
      <c r="G3994" s="114"/>
      <c r="H3994" s="114"/>
    </row>
    <row r="3995" s="20" customFormat="1" ht="15" customHeight="1" spans="1:8">
      <c r="A3995" s="20">
        <v>4044</v>
      </c>
      <c r="B3995" s="134" t="s">
        <v>5757</v>
      </c>
      <c r="C3995" s="20">
        <f>449/30</f>
        <v>14.9666666666667</v>
      </c>
      <c r="D3995" s="134">
        <v>0</v>
      </c>
      <c r="E3995" s="114"/>
      <c r="F3995" s="114" t="s">
        <v>5755</v>
      </c>
      <c r="G3995" s="114"/>
      <c r="H3995" s="114"/>
    </row>
    <row r="3996" s="20" customFormat="1" ht="15" customHeight="1" spans="1:8">
      <c r="A3996" s="20">
        <v>4045</v>
      </c>
      <c r="B3996" s="134" t="s">
        <v>5758</v>
      </c>
      <c r="C3996" s="20">
        <f>449/30</f>
        <v>14.9666666666667</v>
      </c>
      <c r="D3996" s="134">
        <v>0</v>
      </c>
      <c r="E3996" s="114"/>
      <c r="F3996" s="114" t="s">
        <v>5755</v>
      </c>
      <c r="G3996" s="114"/>
      <c r="H3996" s="114"/>
    </row>
    <row r="3997" s="20" customFormat="1" ht="15" customHeight="1" spans="1:8">
      <c r="A3997" s="20">
        <v>4046</v>
      </c>
      <c r="B3997" s="134" t="s">
        <v>5759</v>
      </c>
      <c r="C3997" s="20">
        <f>450/30</f>
        <v>15</v>
      </c>
      <c r="D3997" s="134">
        <v>0</v>
      </c>
      <c r="E3997" s="114"/>
      <c r="F3997" s="114" t="s">
        <v>5760</v>
      </c>
      <c r="G3997" s="114"/>
      <c r="H3997" s="114"/>
    </row>
    <row r="3998" s="20" customFormat="1" ht="15" customHeight="1" spans="1:8">
      <c r="A3998" s="20">
        <v>4047</v>
      </c>
      <c r="B3998" s="134" t="s">
        <v>5761</v>
      </c>
      <c r="C3998" s="20">
        <f>450/30</f>
        <v>15</v>
      </c>
      <c r="D3998" s="134">
        <v>0</v>
      </c>
      <c r="E3998" s="114"/>
      <c r="F3998" s="114" t="s">
        <v>5762</v>
      </c>
      <c r="G3998" s="114"/>
      <c r="H3998" s="114"/>
    </row>
    <row r="3999" s="20" customFormat="1" ht="15" customHeight="1" spans="1:8">
      <c r="A3999" s="20">
        <v>4048</v>
      </c>
      <c r="B3999" s="134" t="s">
        <v>5763</v>
      </c>
      <c r="C3999" s="20">
        <f>450/30</f>
        <v>15</v>
      </c>
      <c r="D3999" s="134">
        <v>0</v>
      </c>
      <c r="E3999" s="114"/>
      <c r="F3999" s="114" t="s">
        <v>5764</v>
      </c>
      <c r="G3999" s="114"/>
      <c r="H3999" s="114"/>
    </row>
    <row r="4000" s="20" customFormat="1" ht="15" customHeight="1" spans="1:8">
      <c r="A4000" s="20">
        <v>4049</v>
      </c>
      <c r="B4000" s="134" t="s">
        <v>5765</v>
      </c>
      <c r="C4000" s="20">
        <f>450/30</f>
        <v>15</v>
      </c>
      <c r="D4000" s="134">
        <v>0</v>
      </c>
      <c r="E4000" s="114"/>
      <c r="F4000" s="114" t="s">
        <v>5766</v>
      </c>
      <c r="G4000" s="114"/>
      <c r="H4000" s="114"/>
    </row>
    <row r="4001" s="20" customFormat="1" ht="15" customHeight="1" spans="1:8">
      <c r="A4001" s="20">
        <v>4050</v>
      </c>
      <c r="B4001" s="134" t="s">
        <v>5767</v>
      </c>
      <c r="C4001" s="20">
        <f>93/30</f>
        <v>3.1</v>
      </c>
      <c r="D4001" s="134">
        <v>0</v>
      </c>
      <c r="E4001" s="114"/>
      <c r="F4001" s="114" t="s">
        <v>5768</v>
      </c>
      <c r="G4001" s="114"/>
      <c r="H4001" s="114"/>
    </row>
    <row r="4002" s="20" customFormat="1" ht="15" customHeight="1" spans="1:8">
      <c r="A4002" s="20">
        <v>4051</v>
      </c>
      <c r="B4002" s="134" t="s">
        <v>5769</v>
      </c>
      <c r="C4002" s="20">
        <v>0</v>
      </c>
      <c r="D4002" s="134">
        <v>1</v>
      </c>
      <c r="E4002" s="114"/>
      <c r="F4002" s="114" t="s">
        <v>5770</v>
      </c>
      <c r="G4002" s="114"/>
      <c r="H4002" s="114"/>
    </row>
    <row r="4003" s="20" customFormat="1" ht="15" customHeight="1" spans="1:8">
      <c r="A4003" s="20">
        <v>4052</v>
      </c>
      <c r="B4003" s="134" t="s">
        <v>5771</v>
      </c>
      <c r="C4003" s="20">
        <v>0</v>
      </c>
      <c r="D4003" s="134">
        <v>1</v>
      </c>
      <c r="E4003" s="114"/>
      <c r="F4003" s="114" t="s">
        <v>5772</v>
      </c>
      <c r="G4003" s="114"/>
      <c r="H4003" s="114"/>
    </row>
    <row r="4004" s="20" customFormat="1" ht="15" customHeight="1" spans="1:8">
      <c r="A4004" s="20">
        <v>4053</v>
      </c>
      <c r="B4004" s="134" t="s">
        <v>5773</v>
      </c>
      <c r="C4004" s="20">
        <v>0</v>
      </c>
      <c r="D4004" s="134">
        <v>1</v>
      </c>
      <c r="E4004" s="114"/>
      <c r="F4004" s="114" t="s">
        <v>5774</v>
      </c>
      <c r="G4004" s="114"/>
      <c r="H4004" s="114"/>
    </row>
    <row r="4005" s="27" customFormat="1" ht="15" customHeight="1" spans="1:8">
      <c r="A4005" s="27">
        <v>4054</v>
      </c>
      <c r="B4005" s="152" t="s">
        <v>5775</v>
      </c>
      <c r="C4005" s="52">
        <f>123/30</f>
        <v>4.1</v>
      </c>
      <c r="D4005" s="152">
        <v>0</v>
      </c>
      <c r="E4005" s="52"/>
      <c r="F4005" s="52" t="s">
        <v>5776</v>
      </c>
      <c r="G4005" s="52"/>
      <c r="H4005" s="52"/>
    </row>
    <row r="4006" s="27" customFormat="1" ht="15" customHeight="1" spans="1:8">
      <c r="A4006" s="27">
        <v>4055</v>
      </c>
      <c r="B4006" s="152" t="s">
        <v>5777</v>
      </c>
      <c r="C4006" s="52">
        <v>1</v>
      </c>
      <c r="D4006" s="152">
        <v>0</v>
      </c>
      <c r="E4006" s="52"/>
      <c r="F4006" s="52" t="s">
        <v>5778</v>
      </c>
      <c r="G4006" s="52"/>
      <c r="H4006" s="52"/>
    </row>
    <row r="4007" s="27" customFormat="1" ht="15" customHeight="1" spans="1:8">
      <c r="A4007" s="27">
        <v>4056</v>
      </c>
      <c r="B4007" s="152" t="s">
        <v>5779</v>
      </c>
      <c r="C4007" s="52">
        <f>92/30</f>
        <v>3.06666666666667</v>
      </c>
      <c r="D4007" s="152">
        <v>0</v>
      </c>
      <c r="E4007" s="52"/>
      <c r="F4007" s="52" t="s">
        <v>5780</v>
      </c>
      <c r="G4007" s="52"/>
      <c r="H4007" s="52"/>
    </row>
    <row r="4008" s="27" customFormat="1" ht="15" customHeight="1" spans="1:8">
      <c r="A4008" s="27">
        <v>4057</v>
      </c>
      <c r="B4008" s="152" t="s">
        <v>5781</v>
      </c>
      <c r="C4008" s="52">
        <v>1</v>
      </c>
      <c r="D4008" s="152">
        <v>0</v>
      </c>
      <c r="E4008" s="52"/>
      <c r="F4008" s="52" t="s">
        <v>5782</v>
      </c>
      <c r="G4008" s="52"/>
      <c r="H4008" s="52"/>
    </row>
    <row r="4009" s="27" customFormat="1" ht="15" customHeight="1" spans="1:8">
      <c r="A4009" s="27">
        <v>4058</v>
      </c>
      <c r="B4009" s="152" t="s">
        <v>5783</v>
      </c>
      <c r="C4009" s="52">
        <f>96/30</f>
        <v>3.2</v>
      </c>
      <c r="D4009" s="152">
        <v>0</v>
      </c>
      <c r="E4009" s="52"/>
      <c r="F4009" s="52" t="s">
        <v>5784</v>
      </c>
      <c r="G4009" s="52"/>
      <c r="H4009" s="52"/>
    </row>
    <row r="4010" s="27" customFormat="1" ht="15" customHeight="1" spans="1:8">
      <c r="A4010" s="27">
        <v>4059</v>
      </c>
      <c r="B4010" s="152" t="s">
        <v>5785</v>
      </c>
      <c r="C4010" s="52">
        <f>115/30</f>
        <v>3.83333333333333</v>
      </c>
      <c r="D4010" s="152">
        <v>0</v>
      </c>
      <c r="E4010" s="52"/>
      <c r="F4010" s="52" t="s">
        <v>5786</v>
      </c>
      <c r="G4010" s="52"/>
      <c r="H4010" s="52"/>
    </row>
    <row r="4011" s="27" customFormat="1" ht="15" customHeight="1" spans="1:8">
      <c r="A4011" s="27">
        <v>4060</v>
      </c>
      <c r="B4011" s="152" t="s">
        <v>5787</v>
      </c>
      <c r="C4011" s="52">
        <v>1</v>
      </c>
      <c r="D4011" s="152">
        <v>0</v>
      </c>
      <c r="E4011" s="52"/>
      <c r="F4011" s="52" t="s">
        <v>5788</v>
      </c>
      <c r="G4011" s="52"/>
      <c r="H4011" s="52"/>
    </row>
    <row r="4012" s="27" customFormat="1" ht="15" customHeight="1" spans="1:8">
      <c r="A4012" s="27">
        <v>4061</v>
      </c>
      <c r="B4012" s="152" t="s">
        <v>5789</v>
      </c>
      <c r="C4012" s="52">
        <f>380/30</f>
        <v>12.6666666666667</v>
      </c>
      <c r="D4012" s="152">
        <v>0</v>
      </c>
      <c r="E4012" s="52"/>
      <c r="F4012" s="52" t="s">
        <v>5790</v>
      </c>
      <c r="G4012" s="52"/>
      <c r="H4012" s="52"/>
    </row>
    <row r="4013" s="27" customFormat="1" ht="15" customHeight="1" spans="1:8">
      <c r="A4013" s="27">
        <v>4062</v>
      </c>
      <c r="B4013" s="152" t="s">
        <v>5791</v>
      </c>
      <c r="C4013" s="52">
        <f>380/30</f>
        <v>12.6666666666667</v>
      </c>
      <c r="D4013" s="152">
        <v>0</v>
      </c>
      <c r="E4013" s="52"/>
      <c r="F4013" s="52" t="s">
        <v>5792</v>
      </c>
      <c r="G4013" s="52"/>
      <c r="H4013" s="52"/>
    </row>
    <row r="4014" s="27" customFormat="1" ht="15" customHeight="1" spans="1:8">
      <c r="A4014" s="27">
        <v>4063</v>
      </c>
      <c r="B4014" s="152" t="s">
        <v>5793</v>
      </c>
      <c r="C4014" s="52">
        <f>330/30</f>
        <v>11</v>
      </c>
      <c r="D4014" s="152">
        <v>0</v>
      </c>
      <c r="E4014" s="52"/>
      <c r="F4014" s="52" t="s">
        <v>5794</v>
      </c>
      <c r="G4014" s="52"/>
      <c r="H4014" s="52"/>
    </row>
    <row r="4015" s="27" customFormat="1" ht="15" customHeight="1" spans="1:8">
      <c r="A4015" s="27">
        <v>4064</v>
      </c>
      <c r="B4015" s="152" t="s">
        <v>5795</v>
      </c>
      <c r="C4015" s="52">
        <f>450/30</f>
        <v>15</v>
      </c>
      <c r="D4015" s="152">
        <v>0</v>
      </c>
      <c r="E4015" s="52"/>
      <c r="F4015" s="52" t="s">
        <v>5796</v>
      </c>
      <c r="G4015" s="52"/>
      <c r="H4015" s="52"/>
    </row>
    <row r="4016" s="27" customFormat="1" ht="15" customHeight="1" spans="1:8">
      <c r="A4016" s="27">
        <v>4065</v>
      </c>
      <c r="B4016" s="152" t="s">
        <v>5797</v>
      </c>
      <c r="C4016" s="52">
        <f>115/30</f>
        <v>3.83333333333333</v>
      </c>
      <c r="D4016" s="152">
        <v>0</v>
      </c>
      <c r="E4016" s="52"/>
      <c r="F4016" s="52" t="s">
        <v>5798</v>
      </c>
      <c r="G4016" s="52"/>
      <c r="H4016" s="52"/>
    </row>
    <row r="4017" s="27" customFormat="1" ht="15" customHeight="1" spans="1:8">
      <c r="A4017" s="27">
        <v>4066</v>
      </c>
      <c r="B4017" s="152" t="s">
        <v>5799</v>
      </c>
      <c r="C4017" s="52">
        <v>0</v>
      </c>
      <c r="D4017" s="152">
        <v>1</v>
      </c>
      <c r="E4017" s="52"/>
      <c r="F4017" s="52" t="s">
        <v>5800</v>
      </c>
      <c r="G4017" s="52"/>
      <c r="H4017" s="52"/>
    </row>
    <row r="4018" s="11" customFormat="1" ht="15" customHeight="1" spans="1:4">
      <c r="A4018" s="90">
        <v>4067</v>
      </c>
      <c r="B4018" s="90" t="s">
        <v>5801</v>
      </c>
      <c r="C4018" s="11">
        <f>56/30</f>
        <v>1.86666666666667</v>
      </c>
      <c r="D4018" s="90">
        <v>0</v>
      </c>
    </row>
    <row r="4019" s="11" customFormat="1" ht="15" customHeight="1" spans="1:4">
      <c r="A4019" s="90">
        <v>4068</v>
      </c>
      <c r="B4019" s="90" t="s">
        <v>5802</v>
      </c>
      <c r="C4019" s="11">
        <v>1</v>
      </c>
      <c r="D4019" s="90">
        <v>0</v>
      </c>
    </row>
    <row r="4020" s="11" customFormat="1" ht="15" customHeight="1" spans="1:4">
      <c r="A4020" s="90">
        <v>4069</v>
      </c>
      <c r="B4020" s="90" t="s">
        <v>5803</v>
      </c>
      <c r="C4020" s="11">
        <v>1</v>
      </c>
      <c r="D4020" s="90">
        <v>0</v>
      </c>
    </row>
    <row r="4021" s="11" customFormat="1" ht="15" customHeight="1" spans="1:4">
      <c r="A4021" s="90">
        <v>4070</v>
      </c>
      <c r="B4021" s="90" t="s">
        <v>5804</v>
      </c>
      <c r="C4021" s="11">
        <f>95/30</f>
        <v>3.16666666666667</v>
      </c>
      <c r="D4021" s="90">
        <v>0</v>
      </c>
    </row>
    <row r="4022" s="11" customFormat="1" ht="15" customHeight="1" spans="1:4">
      <c r="A4022" s="90">
        <v>4071</v>
      </c>
      <c r="B4022" s="90" t="s">
        <v>5805</v>
      </c>
      <c r="C4022" s="11">
        <v>1</v>
      </c>
      <c r="D4022" s="90">
        <v>0</v>
      </c>
    </row>
    <row r="4023" s="11" customFormat="1" ht="15" customHeight="1" spans="1:4">
      <c r="A4023" s="90">
        <v>4072</v>
      </c>
      <c r="B4023" s="90" t="s">
        <v>5806</v>
      </c>
      <c r="C4023" s="11">
        <f>113/30</f>
        <v>3.76666666666667</v>
      </c>
      <c r="D4023" s="90">
        <v>0</v>
      </c>
    </row>
    <row r="4024" s="11" customFormat="1" ht="15" customHeight="1" spans="1:4">
      <c r="A4024" s="90">
        <v>4073</v>
      </c>
      <c r="B4024" s="90" t="s">
        <v>5807</v>
      </c>
      <c r="C4024" s="11">
        <f>113/30</f>
        <v>3.76666666666667</v>
      </c>
      <c r="D4024" s="90">
        <v>0</v>
      </c>
    </row>
    <row r="4025" s="11" customFormat="1" ht="15" customHeight="1" spans="1:4">
      <c r="A4025" s="90">
        <v>4074</v>
      </c>
      <c r="B4025" s="90" t="s">
        <v>5808</v>
      </c>
      <c r="C4025" s="11">
        <f>76/30</f>
        <v>2.53333333333333</v>
      </c>
      <c r="D4025" s="90">
        <v>0</v>
      </c>
    </row>
    <row r="4026" s="11" customFormat="1" ht="15" customHeight="1" spans="1:4">
      <c r="A4026" s="90">
        <v>4075</v>
      </c>
      <c r="B4026" s="90" t="s">
        <v>5809</v>
      </c>
      <c r="C4026" s="11">
        <f>76/30</f>
        <v>2.53333333333333</v>
      </c>
      <c r="D4026" s="90">
        <v>0</v>
      </c>
    </row>
    <row r="4027" s="11" customFormat="1" ht="15" customHeight="1" spans="1:4">
      <c r="A4027" s="90">
        <v>4076</v>
      </c>
      <c r="B4027" s="90" t="s">
        <v>5810</v>
      </c>
      <c r="C4027" s="11">
        <v>1</v>
      </c>
      <c r="D4027" s="90">
        <v>0</v>
      </c>
    </row>
    <row r="4028" s="11" customFormat="1" ht="15" customHeight="1" spans="1:4">
      <c r="A4028" s="90">
        <v>4077</v>
      </c>
      <c r="B4028" s="90" t="s">
        <v>5811</v>
      </c>
      <c r="C4028" s="11">
        <f>313/30</f>
        <v>10.4333333333333</v>
      </c>
      <c r="D4028" s="90">
        <v>0</v>
      </c>
    </row>
    <row r="4029" s="11" customFormat="1" ht="15" customHeight="1" spans="1:4">
      <c r="A4029" s="90">
        <v>4078</v>
      </c>
      <c r="B4029" s="90" t="s">
        <v>5812</v>
      </c>
      <c r="C4029" s="11">
        <f>370/30</f>
        <v>12.3333333333333</v>
      </c>
      <c r="D4029" s="90">
        <v>0</v>
      </c>
    </row>
    <row r="4030" s="11" customFormat="1" ht="15" customHeight="1" spans="1:4">
      <c r="A4030" s="90">
        <v>4079</v>
      </c>
      <c r="B4030" s="90" t="s">
        <v>5813</v>
      </c>
      <c r="C4030" s="11">
        <f>380/30</f>
        <v>12.6666666666667</v>
      </c>
      <c r="D4030" s="90">
        <v>0</v>
      </c>
    </row>
    <row r="4031" s="11" customFormat="1" ht="15" customHeight="1" spans="1:6">
      <c r="A4031" s="90">
        <v>4080</v>
      </c>
      <c r="B4031" s="90" t="s">
        <v>5814</v>
      </c>
      <c r="C4031" s="11">
        <v>0</v>
      </c>
      <c r="D4031" s="90">
        <v>1</v>
      </c>
      <c r="F4031" s="11" t="s">
        <v>5815</v>
      </c>
    </row>
    <row r="4032" s="11" customFormat="1" ht="15" customHeight="1" spans="1:4">
      <c r="A4032" s="90">
        <v>4081</v>
      </c>
      <c r="B4032" s="90" t="s">
        <v>5816</v>
      </c>
      <c r="C4032" s="11">
        <f>121/30</f>
        <v>4.03333333333333</v>
      </c>
      <c r="D4032" s="90">
        <v>0</v>
      </c>
    </row>
    <row r="4033" s="11" customFormat="1" ht="15" customHeight="1" spans="1:4">
      <c r="A4033" s="90">
        <v>4082</v>
      </c>
      <c r="B4033" s="90" t="s">
        <v>5817</v>
      </c>
      <c r="C4033" s="11">
        <f>121/30</f>
        <v>4.03333333333333</v>
      </c>
      <c r="D4033" s="90">
        <v>0</v>
      </c>
    </row>
    <row r="4034" s="11" customFormat="1" ht="15" customHeight="1" spans="1:4">
      <c r="A4034" s="90">
        <v>4083</v>
      </c>
      <c r="B4034" s="90" t="s">
        <v>5818</v>
      </c>
      <c r="C4034" s="11">
        <v>0</v>
      </c>
      <c r="D4034" s="90">
        <v>1</v>
      </c>
    </row>
    <row r="4035" s="11" customFormat="1" ht="15" customHeight="1" spans="1:4">
      <c r="A4035" s="90">
        <v>4084</v>
      </c>
      <c r="B4035" s="90" t="s">
        <v>5819</v>
      </c>
      <c r="C4035" s="11">
        <f>380/30</f>
        <v>12.6666666666667</v>
      </c>
      <c r="D4035" s="90">
        <v>0</v>
      </c>
    </row>
    <row r="4036" s="11" customFormat="1" ht="15" customHeight="1" spans="1:4">
      <c r="A4036" s="90">
        <v>4085</v>
      </c>
      <c r="B4036" s="90" t="s">
        <v>5820</v>
      </c>
      <c r="C4036" s="11">
        <f>380/30</f>
        <v>12.6666666666667</v>
      </c>
      <c r="D4036" s="90">
        <v>0</v>
      </c>
    </row>
    <row r="4037" s="11" customFormat="1" ht="15" customHeight="1" spans="1:4">
      <c r="A4037" s="90">
        <v>4086</v>
      </c>
      <c r="B4037" s="90" t="s">
        <v>5821</v>
      </c>
      <c r="C4037" s="11">
        <f>380/30</f>
        <v>12.6666666666667</v>
      </c>
      <c r="D4037" s="90">
        <v>0</v>
      </c>
    </row>
    <row r="4038" s="11" customFormat="1" ht="15" customHeight="1" spans="1:6">
      <c r="A4038" s="90">
        <v>4087</v>
      </c>
      <c r="B4038" s="90" t="s">
        <v>5822</v>
      </c>
      <c r="C4038" s="11">
        <v>0</v>
      </c>
      <c r="D4038" s="90">
        <v>1</v>
      </c>
      <c r="F4038" s="11" t="s">
        <v>5823</v>
      </c>
    </row>
    <row r="4039" s="11" customFormat="1" ht="15" customHeight="1" spans="1:6">
      <c r="A4039" s="90">
        <v>4088</v>
      </c>
      <c r="B4039" s="90" t="s">
        <v>5824</v>
      </c>
      <c r="C4039" s="11">
        <v>0</v>
      </c>
      <c r="D4039" s="90">
        <v>1</v>
      </c>
      <c r="F4039" s="11" t="s">
        <v>5823</v>
      </c>
    </row>
    <row r="4040" s="6" customFormat="1" ht="15" customHeight="1" spans="1:6">
      <c r="A4040" s="153">
        <v>4089</v>
      </c>
      <c r="B4040" s="153" t="s">
        <v>5825</v>
      </c>
      <c r="C4040" s="6">
        <f>71/30</f>
        <v>2.36666666666667</v>
      </c>
      <c r="D4040" s="153">
        <v>0</v>
      </c>
      <c r="F4040" s="6" t="s">
        <v>5826</v>
      </c>
    </row>
    <row r="4041" s="6" customFormat="1" ht="15" customHeight="1" spans="1:6">
      <c r="A4041" s="153">
        <v>4090</v>
      </c>
      <c r="B4041" s="153" t="s">
        <v>5827</v>
      </c>
      <c r="C4041" s="6">
        <v>1</v>
      </c>
      <c r="D4041" s="153">
        <v>0</v>
      </c>
      <c r="F4041" s="6" t="s">
        <v>5828</v>
      </c>
    </row>
    <row r="4042" s="6" customFormat="1" ht="15" customHeight="1" spans="1:6">
      <c r="A4042" s="153">
        <v>4091</v>
      </c>
      <c r="B4042" s="153" t="s">
        <v>5829</v>
      </c>
      <c r="C4042" s="6">
        <f>48/30</f>
        <v>1.6</v>
      </c>
      <c r="D4042" s="153">
        <v>0</v>
      </c>
      <c r="F4042" s="6" t="s">
        <v>5830</v>
      </c>
    </row>
    <row r="4043" s="6" customFormat="1" ht="15" customHeight="1" spans="1:6">
      <c r="A4043" s="153">
        <v>4092</v>
      </c>
      <c r="B4043" s="153" t="s">
        <v>5831</v>
      </c>
      <c r="C4043" s="6">
        <f>97/30</f>
        <v>3.23333333333333</v>
      </c>
      <c r="D4043" s="153">
        <v>0</v>
      </c>
      <c r="F4043" s="6" t="s">
        <v>5832</v>
      </c>
    </row>
    <row r="4044" s="6" customFormat="1" ht="15" customHeight="1" spans="1:6">
      <c r="A4044" s="153">
        <v>4093</v>
      </c>
      <c r="B4044" s="153" t="s">
        <v>5833</v>
      </c>
      <c r="C4044" s="6">
        <f>108/30</f>
        <v>3.6</v>
      </c>
      <c r="D4044" s="153">
        <v>0</v>
      </c>
      <c r="F4044" s="6" t="s">
        <v>5834</v>
      </c>
    </row>
    <row r="4045" s="6" customFormat="1" ht="15" customHeight="1" spans="1:6">
      <c r="A4045" s="153">
        <v>4094</v>
      </c>
      <c r="B4045" s="153" t="s">
        <v>5835</v>
      </c>
      <c r="C4045" s="6">
        <f>83/30</f>
        <v>2.76666666666667</v>
      </c>
      <c r="D4045" s="153">
        <v>0</v>
      </c>
      <c r="F4045" s="6" t="s">
        <v>5836</v>
      </c>
    </row>
    <row r="4046" s="6" customFormat="1" ht="15" customHeight="1" spans="1:6">
      <c r="A4046" s="153">
        <v>4095</v>
      </c>
      <c r="B4046" s="153" t="s">
        <v>5837</v>
      </c>
      <c r="C4046" s="6">
        <f>290/30</f>
        <v>9.66666666666667</v>
      </c>
      <c r="D4046" s="153">
        <v>0</v>
      </c>
      <c r="F4046" s="6" t="s">
        <v>5838</v>
      </c>
    </row>
    <row r="4047" s="6" customFormat="1" ht="15" customHeight="1" spans="1:6">
      <c r="A4047" s="153">
        <v>4096</v>
      </c>
      <c r="B4047" s="153" t="s">
        <v>5839</v>
      </c>
      <c r="C4047" s="6">
        <f>385/30</f>
        <v>12.8333333333333</v>
      </c>
      <c r="D4047" s="153">
        <v>0</v>
      </c>
      <c r="F4047" s="6" t="s">
        <v>5840</v>
      </c>
    </row>
    <row r="4048" s="6" customFormat="1" ht="15" customHeight="1" spans="1:6">
      <c r="A4048" s="153">
        <v>4097</v>
      </c>
      <c r="B4048" s="153" t="s">
        <v>5841</v>
      </c>
      <c r="C4048" s="6">
        <v>10</v>
      </c>
      <c r="D4048" s="153">
        <v>0</v>
      </c>
      <c r="F4048" s="6" t="s">
        <v>5842</v>
      </c>
    </row>
    <row r="4049" s="6" customFormat="1" ht="15" customHeight="1" spans="1:6">
      <c r="A4049" s="153">
        <v>4098</v>
      </c>
      <c r="B4049" s="153" t="s">
        <v>5843</v>
      </c>
      <c r="C4049" s="6">
        <v>10</v>
      </c>
      <c r="D4049" s="153">
        <v>0</v>
      </c>
      <c r="F4049" s="6" t="s">
        <v>5844</v>
      </c>
    </row>
    <row r="4050" s="6" customFormat="1" ht="15" customHeight="1" spans="1:6">
      <c r="A4050" s="153">
        <v>4099</v>
      </c>
      <c r="B4050" s="153" t="s">
        <v>5845</v>
      </c>
      <c r="C4050" s="6">
        <f>95/30</f>
        <v>3.16666666666667</v>
      </c>
      <c r="D4050" s="153">
        <v>0</v>
      </c>
      <c r="F4050" s="6" t="s">
        <v>5846</v>
      </c>
    </row>
    <row r="4051" s="6" customFormat="1" ht="15" customHeight="1" spans="1:6">
      <c r="A4051" s="153">
        <v>4100</v>
      </c>
      <c r="B4051" s="153" t="s">
        <v>5847</v>
      </c>
      <c r="C4051" s="6">
        <v>0</v>
      </c>
      <c r="D4051" s="153">
        <v>1</v>
      </c>
      <c r="F4051" s="6" t="s">
        <v>5848</v>
      </c>
    </row>
    <row r="4052" s="5" customFormat="1" spans="1:8">
      <c r="A4052" s="118">
        <v>4101</v>
      </c>
      <c r="B4052" s="118" t="s">
        <v>5849</v>
      </c>
      <c r="C4052" s="6">
        <f>93/30</f>
        <v>3.1</v>
      </c>
      <c r="D4052" s="6">
        <v>0</v>
      </c>
      <c r="E4052" s="6"/>
      <c r="F4052" s="6" t="s">
        <v>5850</v>
      </c>
      <c r="G4052" s="154"/>
      <c r="H4052" s="6"/>
    </row>
    <row r="4053" s="5" customFormat="1" spans="1:8">
      <c r="A4053" s="118">
        <v>4102</v>
      </c>
      <c r="B4053" s="118" t="s">
        <v>5851</v>
      </c>
      <c r="C4053" s="6">
        <v>1</v>
      </c>
      <c r="D4053" s="6">
        <v>0</v>
      </c>
      <c r="E4053" s="6"/>
      <c r="F4053" s="6" t="s">
        <v>5852</v>
      </c>
      <c r="G4053" s="154"/>
      <c r="H4053" s="6"/>
    </row>
    <row r="4054" s="5" customFormat="1" spans="1:8">
      <c r="A4054" s="118">
        <v>4103</v>
      </c>
      <c r="B4054" s="118" t="s">
        <v>5853</v>
      </c>
      <c r="C4054" s="6">
        <f>125/30</f>
        <v>4.16666666666667</v>
      </c>
      <c r="D4054" s="6">
        <v>0</v>
      </c>
      <c r="E4054" s="6"/>
      <c r="F4054" s="6" t="s">
        <v>5854</v>
      </c>
      <c r="G4054" s="154"/>
      <c r="H4054" s="6"/>
    </row>
    <row r="4055" s="5" customFormat="1" spans="1:8">
      <c r="A4055" s="118">
        <v>4104</v>
      </c>
      <c r="B4055" s="118" t="s">
        <v>5855</v>
      </c>
      <c r="C4055" s="6">
        <v>1</v>
      </c>
      <c r="D4055" s="6">
        <v>0</v>
      </c>
      <c r="E4055" s="6"/>
      <c r="F4055" s="6" t="s">
        <v>5856</v>
      </c>
      <c r="G4055" s="154"/>
      <c r="H4055" s="6"/>
    </row>
    <row r="4056" s="5" customFormat="1" spans="1:8">
      <c r="A4056" s="118">
        <v>4105</v>
      </c>
      <c r="B4056" s="118" t="s">
        <v>5857</v>
      </c>
      <c r="C4056" s="6">
        <v>1</v>
      </c>
      <c r="D4056" s="6">
        <v>0</v>
      </c>
      <c r="E4056" s="6"/>
      <c r="F4056" s="6" t="s">
        <v>5856</v>
      </c>
      <c r="G4056" s="154"/>
      <c r="H4056" s="6"/>
    </row>
    <row r="4057" s="5" customFormat="1" spans="1:8">
      <c r="A4057" s="118">
        <v>4106</v>
      </c>
      <c r="B4057" s="118" t="s">
        <v>5858</v>
      </c>
      <c r="C4057" s="6">
        <f>103/30</f>
        <v>3.43333333333333</v>
      </c>
      <c r="D4057" s="6">
        <v>0</v>
      </c>
      <c r="E4057" s="6"/>
      <c r="F4057" s="6" t="s">
        <v>5859</v>
      </c>
      <c r="G4057" s="154"/>
      <c r="H4057" s="6"/>
    </row>
    <row r="4058" s="5" customFormat="1" spans="1:8">
      <c r="A4058" s="118">
        <v>4107</v>
      </c>
      <c r="B4058" s="118" t="s">
        <v>5860</v>
      </c>
      <c r="C4058" s="6">
        <f>103/30</f>
        <v>3.43333333333333</v>
      </c>
      <c r="D4058" s="6">
        <v>0</v>
      </c>
      <c r="E4058" s="6"/>
      <c r="F4058" s="6" t="s">
        <v>5861</v>
      </c>
      <c r="G4058" s="154"/>
      <c r="H4058" s="6"/>
    </row>
    <row r="4059" s="5" customFormat="1" spans="1:8">
      <c r="A4059" s="118">
        <v>4108</v>
      </c>
      <c r="B4059" s="118" t="s">
        <v>5862</v>
      </c>
      <c r="C4059" s="6">
        <f>103/30</f>
        <v>3.43333333333333</v>
      </c>
      <c r="D4059" s="6">
        <v>0</v>
      </c>
      <c r="E4059" s="6"/>
      <c r="F4059" s="6" t="s">
        <v>5861</v>
      </c>
      <c r="G4059" s="154"/>
      <c r="H4059" s="6"/>
    </row>
    <row r="4060" s="5" customFormat="1" spans="1:8">
      <c r="A4060" s="118">
        <v>4109</v>
      </c>
      <c r="B4060" s="118" t="s">
        <v>5863</v>
      </c>
      <c r="C4060" s="6">
        <v>1</v>
      </c>
      <c r="D4060" s="6">
        <v>0</v>
      </c>
      <c r="E4060" s="6"/>
      <c r="F4060" s="6" t="s">
        <v>5864</v>
      </c>
      <c r="G4060" s="154"/>
      <c r="H4060" s="6"/>
    </row>
    <row r="4061" s="5" customFormat="1" spans="1:8">
      <c r="A4061" s="118">
        <v>4110</v>
      </c>
      <c r="B4061" s="118" t="s">
        <v>5865</v>
      </c>
      <c r="C4061" s="6">
        <f>95/30</f>
        <v>3.16666666666667</v>
      </c>
      <c r="D4061" s="6">
        <v>0</v>
      </c>
      <c r="E4061" s="6"/>
      <c r="F4061" s="6" t="s">
        <v>5866</v>
      </c>
      <c r="G4061" s="154"/>
      <c r="H4061" s="6"/>
    </row>
    <row r="4062" s="5" customFormat="1" spans="1:8">
      <c r="A4062" s="118">
        <v>4111</v>
      </c>
      <c r="B4062" s="118" t="s">
        <v>5867</v>
      </c>
      <c r="C4062" s="6">
        <f>95/30</f>
        <v>3.16666666666667</v>
      </c>
      <c r="D4062" s="6">
        <v>0</v>
      </c>
      <c r="E4062" s="6"/>
      <c r="F4062" s="6" t="s">
        <v>5868</v>
      </c>
      <c r="G4062" s="154"/>
      <c r="H4062" s="6"/>
    </row>
    <row r="4063" s="5" customFormat="1" spans="1:8">
      <c r="A4063" s="118">
        <v>4112</v>
      </c>
      <c r="B4063" s="118" t="s">
        <v>5869</v>
      </c>
      <c r="C4063" s="6">
        <f>95/30</f>
        <v>3.16666666666667</v>
      </c>
      <c r="D4063" s="6">
        <v>0</v>
      </c>
      <c r="E4063" s="6"/>
      <c r="F4063" s="6" t="s">
        <v>5868</v>
      </c>
      <c r="G4063" s="154"/>
      <c r="H4063" s="6"/>
    </row>
    <row r="4064" s="5" customFormat="1" spans="1:8">
      <c r="A4064" s="118">
        <v>4113</v>
      </c>
      <c r="B4064" s="118" t="s">
        <v>5870</v>
      </c>
      <c r="C4064" s="6">
        <v>1</v>
      </c>
      <c r="D4064" s="6">
        <v>0</v>
      </c>
      <c r="E4064" s="6"/>
      <c r="F4064" s="6" t="s">
        <v>5871</v>
      </c>
      <c r="G4064" s="154"/>
      <c r="H4064" s="6"/>
    </row>
    <row r="4065" s="5" customFormat="1" spans="1:8">
      <c r="A4065" s="118">
        <v>4114</v>
      </c>
      <c r="B4065" s="118" t="s">
        <v>5872</v>
      </c>
      <c r="C4065" s="6">
        <f t="shared" ref="C4065:C4070" si="31">294/30</f>
        <v>9.8</v>
      </c>
      <c r="D4065" s="6">
        <v>0</v>
      </c>
      <c r="E4065" s="6"/>
      <c r="F4065" s="6" t="s">
        <v>5873</v>
      </c>
      <c r="G4065" s="154"/>
      <c r="H4065" s="6"/>
    </row>
    <row r="4066" s="5" customFormat="1" spans="1:8">
      <c r="A4066" s="118">
        <v>4115</v>
      </c>
      <c r="B4066" s="118" t="s">
        <v>5874</v>
      </c>
      <c r="C4066" s="6">
        <f t="shared" si="31"/>
        <v>9.8</v>
      </c>
      <c r="D4066" s="6">
        <v>0</v>
      </c>
      <c r="E4066" s="6"/>
      <c r="F4066" s="6" t="s">
        <v>5875</v>
      </c>
      <c r="G4066" s="154"/>
      <c r="H4066" s="6"/>
    </row>
    <row r="4067" s="5" customFormat="1" spans="1:8">
      <c r="A4067" s="118">
        <v>4116</v>
      </c>
      <c r="B4067" s="118" t="s">
        <v>5876</v>
      </c>
      <c r="C4067" s="6">
        <f t="shared" si="31"/>
        <v>9.8</v>
      </c>
      <c r="D4067" s="6">
        <v>0</v>
      </c>
      <c r="E4067" s="6"/>
      <c r="F4067" s="6" t="s">
        <v>5875</v>
      </c>
      <c r="G4067" s="154"/>
      <c r="H4067" s="6"/>
    </row>
    <row r="4068" s="5" customFormat="1" spans="1:8">
      <c r="A4068" s="118">
        <v>4117</v>
      </c>
      <c r="B4068" s="118" t="s">
        <v>5877</v>
      </c>
      <c r="C4068" s="6">
        <f t="shared" si="31"/>
        <v>9.8</v>
      </c>
      <c r="D4068" s="6">
        <v>0</v>
      </c>
      <c r="E4068" s="6"/>
      <c r="F4068" s="6" t="s">
        <v>5875</v>
      </c>
      <c r="G4068" s="154"/>
      <c r="H4068" s="6"/>
    </row>
    <row r="4069" s="5" customFormat="1" spans="1:8">
      <c r="A4069" s="118">
        <v>4118</v>
      </c>
      <c r="B4069" s="118" t="s">
        <v>5878</v>
      </c>
      <c r="C4069" s="6">
        <f t="shared" si="31"/>
        <v>9.8</v>
      </c>
      <c r="D4069" s="6">
        <v>0</v>
      </c>
      <c r="E4069" s="6"/>
      <c r="F4069" s="6" t="s">
        <v>5875</v>
      </c>
      <c r="G4069" s="154"/>
      <c r="H4069" s="6"/>
    </row>
    <row r="4070" s="5" customFormat="1" spans="1:8">
      <c r="A4070" s="118">
        <v>4119</v>
      </c>
      <c r="B4070" s="118" t="s">
        <v>5879</v>
      </c>
      <c r="C4070" s="6">
        <f t="shared" si="31"/>
        <v>9.8</v>
      </c>
      <c r="D4070" s="6">
        <v>0</v>
      </c>
      <c r="E4070" s="6"/>
      <c r="F4070" s="6" t="s">
        <v>5875</v>
      </c>
      <c r="G4070" s="154"/>
      <c r="H4070" s="6"/>
    </row>
    <row r="4071" s="5" customFormat="1" spans="1:8">
      <c r="A4071" s="118">
        <v>4120</v>
      </c>
      <c r="B4071" s="118" t="s">
        <v>5880</v>
      </c>
      <c r="C4071" s="6">
        <f>304/30</f>
        <v>10.1333333333333</v>
      </c>
      <c r="D4071" s="6">
        <v>0</v>
      </c>
      <c r="E4071" s="6"/>
      <c r="F4071" s="6" t="s">
        <v>5881</v>
      </c>
      <c r="G4071" s="154"/>
      <c r="H4071" s="6"/>
    </row>
    <row r="4072" s="5" customFormat="1" spans="1:8">
      <c r="A4072" s="118">
        <v>4121</v>
      </c>
      <c r="B4072" s="118" t="s">
        <v>5882</v>
      </c>
      <c r="C4072" s="6">
        <f>304/30</f>
        <v>10.1333333333333</v>
      </c>
      <c r="D4072" s="6">
        <v>0</v>
      </c>
      <c r="E4072" s="6"/>
      <c r="F4072" s="6" t="s">
        <v>5883</v>
      </c>
      <c r="G4072" s="154"/>
      <c r="H4072" s="6"/>
    </row>
    <row r="4073" s="5" customFormat="1" spans="1:8">
      <c r="A4073" s="118">
        <v>4122</v>
      </c>
      <c r="B4073" s="118" t="s">
        <v>5884</v>
      </c>
      <c r="C4073" s="6">
        <f>304/30</f>
        <v>10.1333333333333</v>
      </c>
      <c r="D4073" s="6">
        <v>0</v>
      </c>
      <c r="E4073" s="6"/>
      <c r="F4073" s="6" t="s">
        <v>5883</v>
      </c>
      <c r="G4073" s="154"/>
      <c r="H4073" s="6"/>
    </row>
    <row r="4074" s="5" customFormat="1" spans="1:8">
      <c r="A4074" s="118">
        <v>4123</v>
      </c>
      <c r="B4074" s="118" t="s">
        <v>5885</v>
      </c>
      <c r="C4074" s="6">
        <f>304/30</f>
        <v>10.1333333333333</v>
      </c>
      <c r="D4074" s="6">
        <v>0</v>
      </c>
      <c r="E4074" s="6"/>
      <c r="F4074" s="6" t="s">
        <v>5883</v>
      </c>
      <c r="G4074" s="154"/>
      <c r="H4074" s="6"/>
    </row>
    <row r="4075" s="5" customFormat="1" spans="1:8">
      <c r="A4075" s="118">
        <v>4124</v>
      </c>
      <c r="B4075" s="118" t="s">
        <v>5886</v>
      </c>
      <c r="C4075" s="6">
        <v>1</v>
      </c>
      <c r="D4075" s="6">
        <v>0</v>
      </c>
      <c r="E4075" s="6"/>
      <c r="F4075" s="6" t="s">
        <v>5887</v>
      </c>
      <c r="G4075" s="154"/>
      <c r="H4075" s="6"/>
    </row>
    <row r="4076" s="5" customFormat="1" spans="1:8">
      <c r="A4076" s="118">
        <v>4125</v>
      </c>
      <c r="B4076" s="118" t="s">
        <v>5888</v>
      </c>
      <c r="C4076" s="6">
        <f>229/30</f>
        <v>7.63333333333333</v>
      </c>
      <c r="D4076" s="6">
        <v>0</v>
      </c>
      <c r="E4076" s="6"/>
      <c r="F4076" s="6" t="s">
        <v>5889</v>
      </c>
      <c r="G4076" s="154"/>
      <c r="H4076" s="6"/>
    </row>
    <row r="4077" s="5" customFormat="1" spans="1:8">
      <c r="A4077" s="118">
        <v>4126</v>
      </c>
      <c r="B4077" s="118" t="s">
        <v>5890</v>
      </c>
      <c r="C4077" s="6">
        <f t="shared" ref="C4077:C4083" si="32">58/30</f>
        <v>1.93333333333333</v>
      </c>
      <c r="D4077" s="6">
        <v>0</v>
      </c>
      <c r="E4077" s="6"/>
      <c r="F4077" s="6" t="s">
        <v>5891</v>
      </c>
      <c r="G4077" s="154"/>
      <c r="H4077" s="6"/>
    </row>
    <row r="4078" s="5" customFormat="1" spans="1:8">
      <c r="A4078" s="118">
        <v>4127</v>
      </c>
      <c r="B4078" s="118" t="s">
        <v>5892</v>
      </c>
      <c r="C4078" s="6">
        <f t="shared" si="32"/>
        <v>1.93333333333333</v>
      </c>
      <c r="D4078" s="6">
        <v>0</v>
      </c>
      <c r="E4078" s="6"/>
      <c r="F4078" s="6" t="s">
        <v>5893</v>
      </c>
      <c r="G4078" s="154"/>
      <c r="H4078" s="6"/>
    </row>
    <row r="4079" s="5" customFormat="1" spans="1:8">
      <c r="A4079" s="118">
        <v>4128</v>
      </c>
      <c r="B4079" s="118" t="s">
        <v>5894</v>
      </c>
      <c r="C4079" s="6">
        <f t="shared" si="32"/>
        <v>1.93333333333333</v>
      </c>
      <c r="D4079" s="6">
        <v>0</v>
      </c>
      <c r="E4079" s="6"/>
      <c r="F4079" s="6" t="s">
        <v>5893</v>
      </c>
      <c r="G4079" s="154"/>
      <c r="H4079" s="6"/>
    </row>
    <row r="4080" s="5" customFormat="1" spans="1:8">
      <c r="A4080" s="118">
        <v>4129</v>
      </c>
      <c r="B4080" s="118" t="s">
        <v>5895</v>
      </c>
      <c r="C4080" s="6">
        <f t="shared" si="32"/>
        <v>1.93333333333333</v>
      </c>
      <c r="D4080" s="6">
        <v>0</v>
      </c>
      <c r="E4080" s="6"/>
      <c r="F4080" s="6" t="s">
        <v>5893</v>
      </c>
      <c r="G4080" s="154"/>
      <c r="H4080" s="6"/>
    </row>
    <row r="4081" s="5" customFormat="1" spans="1:8">
      <c r="A4081" s="118">
        <v>4130</v>
      </c>
      <c r="B4081" s="118" t="s">
        <v>5896</v>
      </c>
      <c r="C4081" s="6">
        <v>0</v>
      </c>
      <c r="D4081" s="6">
        <v>1</v>
      </c>
      <c r="E4081" s="6"/>
      <c r="F4081" s="6" t="s">
        <v>5897</v>
      </c>
      <c r="G4081" s="154"/>
      <c r="H4081" s="6"/>
    </row>
    <row r="4082" s="5" customFormat="1" spans="1:8">
      <c r="A4082" s="118">
        <v>4131</v>
      </c>
      <c r="B4082" s="118" t="s">
        <v>5898</v>
      </c>
      <c r="C4082" s="6">
        <f t="shared" ref="C4082:C4084" si="33">52/30</f>
        <v>1.73333333333333</v>
      </c>
      <c r="D4082" s="6">
        <v>0</v>
      </c>
      <c r="E4082" s="6"/>
      <c r="F4082" s="6" t="s">
        <v>5899</v>
      </c>
      <c r="G4082" s="154"/>
      <c r="H4082" s="6"/>
    </row>
    <row r="4083" s="5" customFormat="1" spans="1:8">
      <c r="A4083" s="118">
        <v>4132</v>
      </c>
      <c r="B4083" s="118" t="s">
        <v>5900</v>
      </c>
      <c r="C4083" s="6">
        <f t="shared" si="33"/>
        <v>1.73333333333333</v>
      </c>
      <c r="D4083" s="6">
        <v>0</v>
      </c>
      <c r="E4083" s="6"/>
      <c r="F4083" s="6" t="s">
        <v>5899</v>
      </c>
      <c r="G4083" s="154"/>
      <c r="H4083" s="6"/>
    </row>
    <row r="4084" s="28" customFormat="1" spans="1:8">
      <c r="A4084" s="155">
        <v>4133</v>
      </c>
      <c r="B4084" s="156" t="s">
        <v>5901</v>
      </c>
      <c r="C4084" s="157">
        <f>67/30</f>
        <v>2.23333333333333</v>
      </c>
      <c r="D4084" s="158">
        <v>0</v>
      </c>
      <c r="E4084" s="158"/>
      <c r="F4084" s="158" t="s">
        <v>5902</v>
      </c>
      <c r="G4084" s="159"/>
      <c r="H4084" s="158"/>
    </row>
    <row r="4085" s="28" customFormat="1" spans="1:8">
      <c r="A4085" s="155">
        <v>4134</v>
      </c>
      <c r="B4085" s="156" t="s">
        <v>5903</v>
      </c>
      <c r="C4085" s="157">
        <v>1</v>
      </c>
      <c r="D4085" s="158">
        <v>0</v>
      </c>
      <c r="E4085" s="158"/>
      <c r="F4085" s="158" t="s">
        <v>5904</v>
      </c>
      <c r="G4085" s="159"/>
      <c r="H4085" s="158"/>
    </row>
    <row r="4086" s="28" customFormat="1" spans="1:8">
      <c r="A4086" s="155">
        <v>4135</v>
      </c>
      <c r="B4086" s="156" t="s">
        <v>5905</v>
      </c>
      <c r="C4086" s="157">
        <f>100/30</f>
        <v>3.33333333333333</v>
      </c>
      <c r="D4086" s="158">
        <v>0</v>
      </c>
      <c r="E4086" s="158"/>
      <c r="F4086" s="158" t="s">
        <v>5906</v>
      </c>
      <c r="G4086" s="159"/>
      <c r="H4086" s="158"/>
    </row>
    <row r="4087" s="28" customFormat="1" spans="1:8">
      <c r="A4087" s="155">
        <v>4136</v>
      </c>
      <c r="B4087" s="156" t="s">
        <v>5907</v>
      </c>
      <c r="C4087" s="157">
        <f>95/30</f>
        <v>3.16666666666667</v>
      </c>
      <c r="D4087" s="158">
        <v>0</v>
      </c>
      <c r="E4087" s="158"/>
      <c r="F4087" s="158" t="s">
        <v>5908</v>
      </c>
      <c r="G4087" s="159"/>
      <c r="H4087" s="158"/>
    </row>
    <row r="4088" s="28" customFormat="1" spans="1:8">
      <c r="A4088" s="155">
        <v>4137</v>
      </c>
      <c r="B4088" s="156" t="s">
        <v>5909</v>
      </c>
      <c r="C4088" s="157">
        <v>1</v>
      </c>
      <c r="D4088" s="158">
        <v>0</v>
      </c>
      <c r="E4088" s="158"/>
      <c r="F4088" s="158" t="s">
        <v>5910</v>
      </c>
      <c r="G4088" s="159"/>
      <c r="H4088" s="158"/>
    </row>
    <row r="4089" s="28" customFormat="1" spans="1:8">
      <c r="A4089" s="155">
        <v>4138</v>
      </c>
      <c r="B4089" s="156" t="s">
        <v>5911</v>
      </c>
      <c r="C4089" s="157">
        <f>82/30</f>
        <v>2.73333333333333</v>
      </c>
      <c r="D4089" s="158">
        <v>0</v>
      </c>
      <c r="E4089" s="158"/>
      <c r="F4089" s="158" t="s">
        <v>5912</v>
      </c>
      <c r="G4089" s="159"/>
      <c r="H4089" s="158"/>
    </row>
    <row r="4090" s="28" customFormat="1" spans="1:8">
      <c r="A4090" s="155">
        <v>4139</v>
      </c>
      <c r="B4090" s="156" t="s">
        <v>5913</v>
      </c>
      <c r="C4090" s="157">
        <v>1</v>
      </c>
      <c r="D4090" s="158">
        <v>0</v>
      </c>
      <c r="E4090" s="158"/>
      <c r="F4090" s="158" t="s">
        <v>5914</v>
      </c>
      <c r="G4090" s="159"/>
      <c r="H4090" s="158"/>
    </row>
    <row r="4091" s="28" customFormat="1" spans="1:8">
      <c r="A4091" s="155">
        <v>4140</v>
      </c>
      <c r="B4091" s="156" t="s">
        <v>5915</v>
      </c>
      <c r="C4091" s="157">
        <f>459/30</f>
        <v>15.3</v>
      </c>
      <c r="D4091" s="158">
        <v>0</v>
      </c>
      <c r="E4091" s="158"/>
      <c r="F4091" s="158" t="s">
        <v>5916</v>
      </c>
      <c r="G4091" s="159"/>
      <c r="H4091" s="158"/>
    </row>
    <row r="4092" s="28" customFormat="1" spans="1:8">
      <c r="A4092" s="155">
        <v>4141</v>
      </c>
      <c r="B4092" s="156" t="s">
        <v>5917</v>
      </c>
      <c r="C4092" s="157">
        <f>330/30</f>
        <v>11</v>
      </c>
      <c r="D4092" s="158">
        <v>0</v>
      </c>
      <c r="E4092" s="158"/>
      <c r="F4092" s="158" t="s">
        <v>5918</v>
      </c>
      <c r="G4092" s="159"/>
      <c r="H4092" s="158"/>
    </row>
    <row r="4093" s="28" customFormat="1" spans="1:8">
      <c r="A4093" s="155">
        <v>4142</v>
      </c>
      <c r="B4093" s="156" t="s">
        <v>5919</v>
      </c>
      <c r="C4093" s="157">
        <f>283/30</f>
        <v>9.43333333333333</v>
      </c>
      <c r="D4093" s="158">
        <v>0</v>
      </c>
      <c r="E4093" s="158"/>
      <c r="F4093" s="158" t="s">
        <v>5920</v>
      </c>
      <c r="G4093" s="159"/>
      <c r="H4093" s="158"/>
    </row>
    <row r="4094" s="28" customFormat="1" spans="1:8">
      <c r="A4094" s="155">
        <v>4143</v>
      </c>
      <c r="B4094" s="156" t="s">
        <v>5921</v>
      </c>
      <c r="C4094" s="157">
        <f>283/30</f>
        <v>9.43333333333333</v>
      </c>
      <c r="D4094" s="158">
        <v>0</v>
      </c>
      <c r="E4094" s="158"/>
      <c r="F4094" s="158" t="s">
        <v>5920</v>
      </c>
      <c r="G4094" s="159"/>
      <c r="H4094" s="158"/>
    </row>
    <row r="4095" s="28" customFormat="1" spans="1:8">
      <c r="A4095" s="155">
        <v>4144</v>
      </c>
      <c r="B4095" s="156" t="s">
        <v>5922</v>
      </c>
      <c r="C4095" s="157">
        <f>468/30</f>
        <v>15.6</v>
      </c>
      <c r="D4095" s="158">
        <v>0</v>
      </c>
      <c r="E4095" s="158"/>
      <c r="F4095" s="158" t="s">
        <v>5923</v>
      </c>
      <c r="G4095" s="159"/>
      <c r="H4095" s="158"/>
    </row>
    <row r="4096" s="28" customFormat="1" spans="1:8">
      <c r="A4096" s="155">
        <v>4145</v>
      </c>
      <c r="B4096" s="156" t="s">
        <v>5924</v>
      </c>
      <c r="C4096" s="157">
        <f t="shared" ref="C4096:C4099" si="34">117/30</f>
        <v>3.9</v>
      </c>
      <c r="D4096" s="158">
        <v>0</v>
      </c>
      <c r="E4096" s="158"/>
      <c r="F4096" s="158" t="s">
        <v>5925</v>
      </c>
      <c r="G4096" s="159"/>
      <c r="H4096" s="158"/>
    </row>
    <row r="4097" s="28" customFormat="1" spans="1:8">
      <c r="A4097" s="155">
        <v>4146</v>
      </c>
      <c r="B4097" s="156" t="s">
        <v>5926</v>
      </c>
      <c r="C4097" s="157">
        <f t="shared" si="34"/>
        <v>3.9</v>
      </c>
      <c r="D4097" s="158">
        <v>0</v>
      </c>
      <c r="E4097" s="158"/>
      <c r="F4097" s="158" t="s">
        <v>5927</v>
      </c>
      <c r="G4097" s="159"/>
      <c r="H4097" s="158"/>
    </row>
    <row r="4098" s="28" customFormat="1" spans="1:8">
      <c r="A4098" s="155">
        <v>4147</v>
      </c>
      <c r="B4098" s="156" t="s">
        <v>5928</v>
      </c>
      <c r="C4098" s="157">
        <v>0</v>
      </c>
      <c r="D4098" s="158">
        <v>1</v>
      </c>
      <c r="E4098" s="158"/>
      <c r="F4098" s="158" t="s">
        <v>5929</v>
      </c>
      <c r="G4098" s="159"/>
      <c r="H4098" s="158"/>
    </row>
    <row r="4099" customFormat="1" spans="1:8">
      <c r="A4099" s="155">
        <v>4148</v>
      </c>
      <c r="B4099" s="156" t="s">
        <v>5930</v>
      </c>
      <c r="C4099" s="157">
        <f>110/30</f>
        <v>3.66666666666667</v>
      </c>
      <c r="D4099" s="2">
        <v>0</v>
      </c>
      <c r="E4099" s="2"/>
      <c r="F4099" s="2" t="s">
        <v>5931</v>
      </c>
      <c r="G4099" s="160"/>
      <c r="H4099" s="2"/>
    </row>
    <row r="4100" customFormat="1" spans="1:8">
      <c r="A4100" s="155">
        <v>4149</v>
      </c>
      <c r="B4100" s="156" t="s">
        <v>5932</v>
      </c>
      <c r="C4100" s="2">
        <v>1</v>
      </c>
      <c r="D4100" s="2">
        <v>0</v>
      </c>
      <c r="E4100" s="2"/>
      <c r="F4100" s="2" t="s">
        <v>5933</v>
      </c>
      <c r="G4100" s="160"/>
      <c r="H4100" s="2"/>
    </row>
    <row r="4101" customFormat="1" spans="1:8">
      <c r="A4101" s="155">
        <v>4150</v>
      </c>
      <c r="B4101" s="156" t="s">
        <v>5934</v>
      </c>
      <c r="C4101" s="2">
        <v>0</v>
      </c>
      <c r="D4101" s="2">
        <v>1</v>
      </c>
      <c r="E4101" s="2"/>
      <c r="F4101" s="158" t="s">
        <v>5935</v>
      </c>
      <c r="G4101" s="160"/>
      <c r="H4101" s="2"/>
    </row>
    <row r="4102" customFormat="1" spans="1:8">
      <c r="A4102" s="155">
        <v>4151</v>
      </c>
      <c r="B4102" s="156" t="s">
        <v>5936</v>
      </c>
      <c r="C4102">
        <f>459/30</f>
        <v>15.3</v>
      </c>
      <c r="D4102" s="158">
        <v>0</v>
      </c>
      <c r="E4102" s="158"/>
      <c r="F4102" s="158" t="s">
        <v>5937</v>
      </c>
      <c r="G4102" s="160"/>
      <c r="H4102" s="2"/>
    </row>
    <row r="4103" customFormat="1" spans="1:8">
      <c r="A4103" s="155">
        <v>4152</v>
      </c>
      <c r="B4103" s="156" t="s">
        <v>5938</v>
      </c>
      <c r="C4103">
        <f>459/30</f>
        <v>15.3</v>
      </c>
      <c r="D4103" s="158">
        <v>0</v>
      </c>
      <c r="E4103" s="158"/>
      <c r="F4103" s="158" t="s">
        <v>5937</v>
      </c>
      <c r="G4103" s="160"/>
      <c r="H4103" s="2"/>
    </row>
    <row r="4104" s="21" customFormat="1" ht="15" spans="1:8">
      <c r="A4104" s="21">
        <v>4153</v>
      </c>
      <c r="B4104" s="161" t="s">
        <v>5939</v>
      </c>
      <c r="C4104" s="142">
        <f>92/30</f>
        <v>3.06666666666667</v>
      </c>
      <c r="D4104" s="142">
        <v>0</v>
      </c>
      <c r="E4104" s="142"/>
      <c r="F4104" s="142" t="s">
        <v>5940</v>
      </c>
      <c r="G4104" s="162"/>
      <c r="H4104" s="142"/>
    </row>
    <row r="4105" s="21" customFormat="1" ht="15" spans="1:8">
      <c r="A4105" s="21">
        <v>4154</v>
      </c>
      <c r="B4105" s="161" t="s">
        <v>5941</v>
      </c>
      <c r="C4105" s="142">
        <v>1</v>
      </c>
      <c r="D4105" s="142">
        <v>0</v>
      </c>
      <c r="E4105" s="142"/>
      <c r="F4105" s="142" t="s">
        <v>5942</v>
      </c>
      <c r="G4105" s="162"/>
      <c r="H4105" s="142"/>
    </row>
    <row r="4106" s="21" customFormat="1" spans="1:8">
      <c r="A4106" s="21">
        <v>4155</v>
      </c>
      <c r="B4106" s="163" t="s">
        <v>5943</v>
      </c>
      <c r="C4106" s="142">
        <f>120/30</f>
        <v>4</v>
      </c>
      <c r="D4106" s="142">
        <v>0</v>
      </c>
      <c r="E4106" s="142"/>
      <c r="F4106" s="142" t="s">
        <v>5944</v>
      </c>
      <c r="G4106" s="164"/>
      <c r="H4106" s="142"/>
    </row>
    <row r="4107" s="21" customFormat="1" spans="1:8">
      <c r="A4107" s="21">
        <v>4156</v>
      </c>
      <c r="B4107" s="163" t="s">
        <v>5945</v>
      </c>
      <c r="C4107" s="142">
        <f>120/30</f>
        <v>4</v>
      </c>
      <c r="D4107" s="142">
        <v>0</v>
      </c>
      <c r="E4107" s="142"/>
      <c r="F4107" s="142" t="s">
        <v>5946</v>
      </c>
      <c r="G4107" s="164"/>
      <c r="H4107" s="142"/>
    </row>
    <row r="4108" s="21" customFormat="1" spans="1:8">
      <c r="A4108" s="21">
        <v>4157</v>
      </c>
      <c r="B4108" s="163" t="s">
        <v>5947</v>
      </c>
      <c r="C4108" s="142">
        <v>1</v>
      </c>
      <c r="D4108" s="142">
        <v>0</v>
      </c>
      <c r="E4108" s="142"/>
      <c r="F4108" s="142" t="s">
        <v>5948</v>
      </c>
      <c r="G4108" s="164"/>
      <c r="H4108" s="142"/>
    </row>
    <row r="4109" s="21" customFormat="1" spans="1:8">
      <c r="A4109" s="21">
        <v>4158</v>
      </c>
      <c r="B4109" s="163" t="s">
        <v>5949</v>
      </c>
      <c r="C4109">
        <f>133/30</f>
        <v>4.43333333333333</v>
      </c>
      <c r="D4109" s="142">
        <v>0</v>
      </c>
      <c r="E4109" s="142"/>
      <c r="F4109" s="142" t="s">
        <v>5950</v>
      </c>
      <c r="G4109" s="164"/>
      <c r="H4109" s="142"/>
    </row>
    <row r="4110" s="21" customFormat="1" spans="1:8">
      <c r="A4110" s="21">
        <v>4161</v>
      </c>
      <c r="B4110" s="163" t="s">
        <v>5951</v>
      </c>
      <c r="C4110" s="142">
        <f>102/30</f>
        <v>3.4</v>
      </c>
      <c r="D4110" s="142">
        <v>0</v>
      </c>
      <c r="E4110" s="142"/>
      <c r="F4110" s="142" t="s">
        <v>5952</v>
      </c>
      <c r="G4110" s="164"/>
      <c r="H4110" s="142"/>
    </row>
    <row r="4111" s="21" customFormat="1" spans="1:8">
      <c r="A4111" s="21">
        <v>4162</v>
      </c>
      <c r="B4111" s="163" t="s">
        <v>5953</v>
      </c>
      <c r="C4111" s="142">
        <v>1</v>
      </c>
      <c r="D4111" s="142">
        <v>0</v>
      </c>
      <c r="E4111" s="142"/>
      <c r="F4111" s="142" t="s">
        <v>5954</v>
      </c>
      <c r="G4111" s="164"/>
      <c r="H4111" s="142"/>
    </row>
    <row r="4112" s="21" customFormat="1" spans="1:8">
      <c r="A4112" s="21">
        <v>4163</v>
      </c>
      <c r="B4112" s="163" t="s">
        <v>5955</v>
      </c>
      <c r="C4112" s="142">
        <f>133/30</f>
        <v>4.43333333333333</v>
      </c>
      <c r="D4112" s="142">
        <v>0</v>
      </c>
      <c r="E4112" s="142"/>
      <c r="F4112" s="142" t="s">
        <v>5956</v>
      </c>
      <c r="G4112" s="164"/>
      <c r="H4112" s="142"/>
    </row>
    <row r="4113" s="21" customFormat="1" spans="1:8">
      <c r="A4113" s="21">
        <v>4164</v>
      </c>
      <c r="B4113" s="163" t="s">
        <v>5957</v>
      </c>
      <c r="C4113" s="142">
        <f>450/30</f>
        <v>15</v>
      </c>
      <c r="D4113" s="142">
        <v>0</v>
      </c>
      <c r="E4113" s="142"/>
      <c r="F4113" s="142" t="s">
        <v>5958</v>
      </c>
      <c r="G4113" s="164"/>
      <c r="H4113" s="142"/>
    </row>
    <row r="4114" s="21" customFormat="1" spans="1:8">
      <c r="A4114" s="21">
        <v>4165</v>
      </c>
      <c r="B4114" s="163" t="s">
        <v>5959</v>
      </c>
      <c r="C4114" s="142">
        <f>450/30</f>
        <v>15</v>
      </c>
      <c r="D4114" s="142">
        <v>0</v>
      </c>
      <c r="E4114" s="142"/>
      <c r="F4114" s="142" t="s">
        <v>5960</v>
      </c>
      <c r="G4114" s="164"/>
      <c r="H4114" s="142"/>
    </row>
    <row r="4115" s="21" customFormat="1" spans="1:8">
      <c r="A4115" s="21">
        <v>4166</v>
      </c>
      <c r="B4115" s="163" t="s">
        <v>5961</v>
      </c>
      <c r="C4115" s="142">
        <f>450/30</f>
        <v>15</v>
      </c>
      <c r="D4115" s="142">
        <v>0</v>
      </c>
      <c r="E4115" s="142"/>
      <c r="F4115" s="142" t="s">
        <v>5962</v>
      </c>
      <c r="G4115" s="164"/>
      <c r="H4115" s="142"/>
    </row>
    <row r="4116" s="21" customFormat="1" spans="1:8">
      <c r="A4116" s="21">
        <v>4167</v>
      </c>
      <c r="B4116" s="163" t="s">
        <v>5963</v>
      </c>
      <c r="C4116" s="142">
        <f>450/30</f>
        <v>15</v>
      </c>
      <c r="D4116" s="142">
        <v>0</v>
      </c>
      <c r="E4116" s="142"/>
      <c r="F4116" s="142" t="s">
        <v>5964</v>
      </c>
      <c r="G4116" s="164"/>
      <c r="H4116" s="142"/>
    </row>
    <row r="4117" s="21" customFormat="1" spans="1:8">
      <c r="A4117" s="21">
        <v>4168</v>
      </c>
      <c r="B4117" s="163" t="s">
        <v>5965</v>
      </c>
      <c r="C4117" s="142">
        <f>450/30</f>
        <v>15</v>
      </c>
      <c r="D4117" s="142">
        <v>0</v>
      </c>
      <c r="E4117" s="142"/>
      <c r="F4117" s="142" t="s">
        <v>5966</v>
      </c>
      <c r="G4117" s="164"/>
      <c r="H4117" s="142"/>
    </row>
    <row r="4118" s="21" customFormat="1" spans="1:8">
      <c r="A4118" s="21">
        <v>4169</v>
      </c>
      <c r="B4118" s="163" t="s">
        <v>5967</v>
      </c>
      <c r="C4118" s="142">
        <f>325/30</f>
        <v>10.8333333333333</v>
      </c>
      <c r="D4118" s="142">
        <v>0</v>
      </c>
      <c r="E4118" s="142"/>
      <c r="F4118" s="142" t="s">
        <v>5968</v>
      </c>
      <c r="G4118" s="164"/>
      <c r="H4118" s="142"/>
    </row>
    <row r="4119" s="21" customFormat="1" spans="1:8">
      <c r="A4119" s="21">
        <v>4170</v>
      </c>
      <c r="B4119" s="163" t="s">
        <v>5969</v>
      </c>
      <c r="C4119" s="142">
        <f>325/30</f>
        <v>10.8333333333333</v>
      </c>
      <c r="D4119" s="142">
        <v>0</v>
      </c>
      <c r="E4119" s="142"/>
      <c r="F4119" s="142" t="s">
        <v>5970</v>
      </c>
      <c r="G4119" s="164"/>
      <c r="H4119" s="142"/>
    </row>
    <row r="4120" customFormat="1" spans="1:8">
      <c r="A4120" s="21">
        <v>4171</v>
      </c>
      <c r="B4120" s="163" t="s">
        <v>5971</v>
      </c>
      <c r="C4120" s="142">
        <f>118/30</f>
        <v>3.93333333333333</v>
      </c>
      <c r="D4120" s="2">
        <v>0</v>
      </c>
      <c r="E4120" s="2"/>
      <c r="F4120" s="2" t="s">
        <v>5972</v>
      </c>
      <c r="G4120" s="160"/>
      <c r="H4120" s="2"/>
    </row>
    <row r="4121" customFormat="1" spans="1:8">
      <c r="A4121" s="21">
        <v>4172</v>
      </c>
      <c r="B4121" s="163" t="s">
        <v>5973</v>
      </c>
      <c r="C4121" s="142">
        <f>118/30</f>
        <v>3.93333333333333</v>
      </c>
      <c r="D4121" s="2">
        <v>0</v>
      </c>
      <c r="E4121" s="2"/>
      <c r="F4121" s="2" t="s">
        <v>5974</v>
      </c>
      <c r="G4121" s="160"/>
      <c r="H4121" s="2"/>
    </row>
    <row r="4122" customFormat="1" spans="1:8">
      <c r="A4122" s="21">
        <v>4173</v>
      </c>
      <c r="B4122" s="163" t="s">
        <v>5975</v>
      </c>
      <c r="C4122" s="142">
        <v>0</v>
      </c>
      <c r="D4122" s="2">
        <v>1</v>
      </c>
      <c r="E4122" s="2"/>
      <c r="F4122" s="2" t="s">
        <v>5976</v>
      </c>
      <c r="G4122" s="160"/>
      <c r="H4122" s="2"/>
    </row>
    <row r="4123" s="20" customFormat="1" spans="1:8">
      <c r="A4123" s="20">
        <v>4174</v>
      </c>
      <c r="B4123" s="165" t="s">
        <v>5977</v>
      </c>
      <c r="C4123" s="114">
        <v>2</v>
      </c>
      <c r="D4123" s="114">
        <v>0</v>
      </c>
      <c r="E4123" s="114"/>
      <c r="F4123" s="114" t="s">
        <v>5978</v>
      </c>
      <c r="G4123" s="166"/>
      <c r="H4123" s="114"/>
    </row>
    <row r="4124" customFormat="1" spans="1:8">
      <c r="A4124" s="20">
        <v>4176</v>
      </c>
      <c r="B4124" s="167" t="s">
        <v>5979</v>
      </c>
      <c r="C4124" s="142">
        <f>325/30</f>
        <v>10.8333333333333</v>
      </c>
      <c r="D4124" s="2">
        <v>0</v>
      </c>
      <c r="E4124" s="2"/>
      <c r="F4124" s="2" t="s">
        <v>5980</v>
      </c>
      <c r="G4124" s="160"/>
      <c r="H4124" s="2"/>
    </row>
    <row r="4125" s="29" customFormat="1" ht="15" spans="1:8">
      <c r="A4125" s="29">
        <v>4177</v>
      </c>
      <c r="B4125" s="168" t="s">
        <v>5981</v>
      </c>
      <c r="C4125" s="33">
        <f>115/30</f>
        <v>3.83333333333333</v>
      </c>
      <c r="D4125" s="33">
        <v>0</v>
      </c>
      <c r="E4125" s="33"/>
      <c r="F4125" s="33" t="s">
        <v>5982</v>
      </c>
      <c r="G4125" s="168"/>
      <c r="H4125" s="33"/>
    </row>
    <row r="4126" s="29" customFormat="1" ht="15" spans="1:8">
      <c r="A4126" s="29">
        <v>4178</v>
      </c>
      <c r="B4126" s="168" t="s">
        <v>5983</v>
      </c>
      <c r="C4126" s="33">
        <f>115/30</f>
        <v>3.83333333333333</v>
      </c>
      <c r="D4126" s="33">
        <v>0</v>
      </c>
      <c r="E4126" s="33"/>
      <c r="F4126" s="33" t="s">
        <v>5984</v>
      </c>
      <c r="G4126" s="168"/>
      <c r="H4126" s="33"/>
    </row>
    <row r="4127" s="29" customFormat="1" ht="15" spans="1:8">
      <c r="A4127" s="29">
        <v>4179</v>
      </c>
      <c r="B4127" s="168" t="s">
        <v>5985</v>
      </c>
      <c r="C4127" s="33">
        <f>190/30</f>
        <v>6.33333333333333</v>
      </c>
      <c r="D4127" s="33">
        <v>0</v>
      </c>
      <c r="E4127" s="33"/>
      <c r="F4127" s="33" t="s">
        <v>5986</v>
      </c>
      <c r="G4127" s="168"/>
      <c r="H4127" s="33"/>
    </row>
    <row r="4128" s="29" customFormat="1" ht="15" spans="1:8">
      <c r="A4128" s="29">
        <v>4180</v>
      </c>
      <c r="B4128" s="168" t="s">
        <v>5987</v>
      </c>
      <c r="C4128" s="33">
        <f>190/30</f>
        <v>6.33333333333333</v>
      </c>
      <c r="D4128" s="33">
        <v>0</v>
      </c>
      <c r="E4128" s="33"/>
      <c r="F4128" s="33" t="s">
        <v>5986</v>
      </c>
      <c r="G4128" s="168"/>
      <c r="H4128" s="33"/>
    </row>
    <row r="4129" s="29" customFormat="1" ht="15" spans="1:8">
      <c r="A4129" s="29">
        <v>4181</v>
      </c>
      <c r="B4129" s="168" t="s">
        <v>5988</v>
      </c>
      <c r="C4129" s="33">
        <f>190/30</f>
        <v>6.33333333333333</v>
      </c>
      <c r="D4129" s="33">
        <v>0</v>
      </c>
      <c r="E4129" s="33"/>
      <c r="F4129" s="33" t="s">
        <v>5986</v>
      </c>
      <c r="G4129" s="168"/>
      <c r="H4129" s="33"/>
    </row>
    <row r="4130" s="29" customFormat="1" ht="15" spans="1:8">
      <c r="A4130" s="29">
        <v>4182</v>
      </c>
      <c r="B4130" s="168" t="s">
        <v>5989</v>
      </c>
      <c r="C4130" s="33">
        <f>190/30</f>
        <v>6.33333333333333</v>
      </c>
      <c r="D4130" s="33">
        <v>0</v>
      </c>
      <c r="E4130" s="33"/>
      <c r="F4130" s="33" t="s">
        <v>5990</v>
      </c>
      <c r="G4130" s="168"/>
      <c r="H4130" s="33"/>
    </row>
    <row r="4131" s="29" customFormat="1" ht="15" spans="1:8">
      <c r="A4131" s="29">
        <v>4183</v>
      </c>
      <c r="B4131" s="168" t="s">
        <v>5991</v>
      </c>
      <c r="C4131" s="33">
        <f>245/30</f>
        <v>8.16666666666667</v>
      </c>
      <c r="D4131" s="33">
        <v>0</v>
      </c>
      <c r="E4131" s="33"/>
      <c r="F4131" s="33" t="s">
        <v>5992</v>
      </c>
      <c r="G4131" s="168"/>
      <c r="H4131" s="33"/>
    </row>
    <row r="4132" s="29" customFormat="1" ht="15" spans="1:8">
      <c r="A4132" s="29">
        <v>4184</v>
      </c>
      <c r="B4132" s="168" t="s">
        <v>5993</v>
      </c>
      <c r="C4132" s="33">
        <f>245/30</f>
        <v>8.16666666666667</v>
      </c>
      <c r="D4132" s="33">
        <v>0</v>
      </c>
      <c r="E4132" s="33"/>
      <c r="F4132" s="33" t="s">
        <v>5992</v>
      </c>
      <c r="G4132" s="168"/>
      <c r="H4132" s="33"/>
    </row>
    <row r="4133" s="29" customFormat="1" ht="15" spans="1:8">
      <c r="A4133" s="29">
        <v>4185</v>
      </c>
      <c r="B4133" s="168" t="s">
        <v>5994</v>
      </c>
      <c r="C4133" s="33">
        <f>245/30</f>
        <v>8.16666666666667</v>
      </c>
      <c r="D4133" s="33">
        <v>0</v>
      </c>
      <c r="E4133" s="33"/>
      <c r="F4133" s="33" t="s">
        <v>5995</v>
      </c>
      <c r="G4133" s="168"/>
      <c r="H4133" s="33"/>
    </row>
    <row r="4134" s="29" customFormat="1" ht="15" spans="1:8">
      <c r="A4134" s="29">
        <v>4186</v>
      </c>
      <c r="B4134" s="168" t="s">
        <v>5996</v>
      </c>
      <c r="C4134" s="33">
        <f>150/30</f>
        <v>5</v>
      </c>
      <c r="D4134" s="33">
        <v>0</v>
      </c>
      <c r="E4134" s="33"/>
      <c r="F4134" s="33" t="s">
        <v>5997</v>
      </c>
      <c r="G4134" s="168"/>
      <c r="H4134" s="33"/>
    </row>
    <row r="4135" s="29" customFormat="1" ht="15" spans="1:8">
      <c r="A4135" s="29">
        <v>4187</v>
      </c>
      <c r="B4135" s="168" t="s">
        <v>5998</v>
      </c>
      <c r="C4135" s="33">
        <f>150/30</f>
        <v>5</v>
      </c>
      <c r="D4135" s="33">
        <v>0</v>
      </c>
      <c r="E4135" s="33"/>
      <c r="F4135" s="33" t="s">
        <v>5999</v>
      </c>
      <c r="G4135" s="168"/>
      <c r="H4135" s="33"/>
    </row>
    <row r="4136" s="29" customFormat="1" ht="15" spans="1:8">
      <c r="A4136" s="29">
        <v>4188</v>
      </c>
      <c r="B4136" s="168" t="s">
        <v>6000</v>
      </c>
      <c r="C4136" s="33">
        <f>125/30</f>
        <v>4.16666666666667</v>
      </c>
      <c r="D4136" s="33">
        <v>0</v>
      </c>
      <c r="E4136" s="33"/>
      <c r="F4136" s="33" t="s">
        <v>6001</v>
      </c>
      <c r="G4136" s="168"/>
      <c r="H4136" s="33"/>
    </row>
    <row r="4137" s="29" customFormat="1" ht="15" spans="1:8">
      <c r="A4137" s="29">
        <v>4189</v>
      </c>
      <c r="B4137" s="168" t="s">
        <v>6002</v>
      </c>
      <c r="C4137" s="33">
        <f>125/30</f>
        <v>4.16666666666667</v>
      </c>
      <c r="D4137" s="33">
        <v>0</v>
      </c>
      <c r="E4137" s="33"/>
      <c r="F4137" s="33" t="s">
        <v>6001</v>
      </c>
      <c r="G4137" s="168"/>
      <c r="H4137" s="33"/>
    </row>
    <row r="4138" s="29" customFormat="1" ht="15" spans="1:8">
      <c r="A4138" s="29">
        <v>4190</v>
      </c>
      <c r="B4138" s="168" t="s">
        <v>6003</v>
      </c>
      <c r="C4138" s="33">
        <f>125/30</f>
        <v>4.16666666666667</v>
      </c>
      <c r="D4138" s="33">
        <v>0</v>
      </c>
      <c r="E4138" s="33"/>
      <c r="F4138" s="33" t="s">
        <v>6001</v>
      </c>
      <c r="G4138" s="168"/>
      <c r="H4138" s="33"/>
    </row>
    <row r="4139" s="29" customFormat="1" ht="15" spans="1:8">
      <c r="A4139" s="29">
        <v>4191</v>
      </c>
      <c r="B4139" s="168" t="s">
        <v>6004</v>
      </c>
      <c r="C4139" s="33">
        <f>507/30</f>
        <v>16.9</v>
      </c>
      <c r="D4139" s="33">
        <v>0</v>
      </c>
      <c r="E4139" s="33"/>
      <c r="F4139" s="33" t="s">
        <v>6005</v>
      </c>
      <c r="G4139" s="168"/>
      <c r="H4139" s="33"/>
    </row>
    <row r="4140" s="29" customFormat="1" ht="15" spans="1:8">
      <c r="A4140" s="29">
        <v>4192</v>
      </c>
      <c r="B4140" s="168" t="s">
        <v>6006</v>
      </c>
      <c r="C4140" s="33">
        <f>507/30</f>
        <v>16.9</v>
      </c>
      <c r="D4140" s="33">
        <v>0</v>
      </c>
      <c r="E4140" s="33"/>
      <c r="F4140" s="33" t="s">
        <v>6005</v>
      </c>
      <c r="G4140" s="168"/>
      <c r="H4140" s="33"/>
    </row>
    <row r="4141" s="29" customFormat="1" ht="15" spans="1:8">
      <c r="A4141" s="29">
        <v>4193</v>
      </c>
      <c r="B4141" s="168" t="s">
        <v>6007</v>
      </c>
      <c r="C4141" s="33">
        <f>450/30</f>
        <v>15</v>
      </c>
      <c r="D4141" s="33">
        <v>0</v>
      </c>
      <c r="E4141" s="33"/>
      <c r="F4141" s="33" t="s">
        <v>6008</v>
      </c>
      <c r="G4141" s="168"/>
      <c r="H4141" s="33"/>
    </row>
    <row r="4142" s="29" customFormat="1" ht="15" spans="1:8">
      <c r="A4142" s="29">
        <v>4194</v>
      </c>
      <c r="B4142" s="168" t="s">
        <v>6009</v>
      </c>
      <c r="C4142" s="33">
        <f>450/30</f>
        <v>15</v>
      </c>
      <c r="D4142" s="33">
        <v>0</v>
      </c>
      <c r="E4142" s="33"/>
      <c r="F4142" s="33" t="s">
        <v>6008</v>
      </c>
      <c r="G4142" s="168"/>
      <c r="H4142" s="33"/>
    </row>
    <row r="4143" s="29" customFormat="1" ht="15" spans="1:8">
      <c r="A4143" s="29">
        <v>4195</v>
      </c>
      <c r="B4143" s="168" t="s">
        <v>6010</v>
      </c>
      <c r="C4143" s="33">
        <f>450/30</f>
        <v>15</v>
      </c>
      <c r="D4143" s="33">
        <v>0</v>
      </c>
      <c r="E4143" s="33"/>
      <c r="F4143" s="33" t="s">
        <v>6011</v>
      </c>
      <c r="G4143" s="168"/>
      <c r="H4143" s="33"/>
    </row>
    <row r="4144" s="29" customFormat="1" ht="15" spans="1:8">
      <c r="A4144" s="29">
        <v>4196</v>
      </c>
      <c r="B4144" s="168" t="s">
        <v>6012</v>
      </c>
      <c r="C4144" s="33">
        <f>450/30</f>
        <v>15</v>
      </c>
      <c r="D4144" s="33">
        <v>0</v>
      </c>
      <c r="E4144" s="33"/>
      <c r="F4144" s="33" t="s">
        <v>6011</v>
      </c>
      <c r="G4144" s="168"/>
      <c r="H4144" s="33"/>
    </row>
    <row r="4145" s="29" customFormat="1" ht="15" spans="1:8">
      <c r="A4145" s="29">
        <v>4197</v>
      </c>
      <c r="B4145" s="168" t="s">
        <v>6013</v>
      </c>
      <c r="C4145" s="33">
        <f>470/30</f>
        <v>15.6666666666667</v>
      </c>
      <c r="D4145" s="33">
        <v>0</v>
      </c>
      <c r="E4145" s="33"/>
      <c r="F4145" s="33" t="s">
        <v>6014</v>
      </c>
      <c r="G4145" s="168"/>
      <c r="H4145" s="33"/>
    </row>
    <row r="4146" s="29" customFormat="1" ht="15" spans="1:8">
      <c r="A4146" s="29">
        <v>4198</v>
      </c>
      <c r="B4146" s="168" t="s">
        <v>6015</v>
      </c>
      <c r="C4146" s="33">
        <f>470/30</f>
        <v>15.6666666666667</v>
      </c>
      <c r="D4146" s="33">
        <v>0</v>
      </c>
      <c r="E4146" s="33"/>
      <c r="F4146" s="33" t="s">
        <v>6014</v>
      </c>
      <c r="G4146" s="168"/>
      <c r="H4146" s="33"/>
    </row>
    <row r="4147" s="29" customFormat="1" ht="15" spans="1:8">
      <c r="A4147" s="29">
        <v>4199</v>
      </c>
      <c r="B4147" s="168" t="s">
        <v>6016</v>
      </c>
      <c r="C4147" s="33">
        <f>96/30</f>
        <v>3.2</v>
      </c>
      <c r="D4147" s="33">
        <v>0</v>
      </c>
      <c r="E4147" s="33"/>
      <c r="F4147" s="33" t="s">
        <v>6017</v>
      </c>
      <c r="G4147" s="168"/>
      <c r="H4147" s="33"/>
    </row>
    <row r="4148" s="29" customFormat="1" ht="15" spans="1:8">
      <c r="A4148" s="29">
        <v>4200</v>
      </c>
      <c r="B4148" s="168" t="s">
        <v>6018</v>
      </c>
      <c r="C4148" s="33">
        <v>1</v>
      </c>
      <c r="D4148" s="33">
        <v>0</v>
      </c>
      <c r="E4148" s="33"/>
      <c r="F4148" s="33" t="s">
        <v>6019</v>
      </c>
      <c r="G4148" s="168"/>
      <c r="H4148" s="33"/>
    </row>
    <row r="4149" s="29" customFormat="1" ht="15" spans="1:8">
      <c r="A4149" s="29">
        <v>4201</v>
      </c>
      <c r="B4149" s="168" t="s">
        <v>6020</v>
      </c>
      <c r="C4149" s="33">
        <f>130/30</f>
        <v>4.33333333333333</v>
      </c>
      <c r="D4149" s="33">
        <v>0</v>
      </c>
      <c r="E4149" s="33"/>
      <c r="F4149" s="33" t="s">
        <v>6021</v>
      </c>
      <c r="G4149" s="168"/>
      <c r="H4149" s="33"/>
    </row>
    <row r="4150" s="29" customFormat="1" ht="15" spans="1:8">
      <c r="A4150" s="29">
        <v>4202</v>
      </c>
      <c r="B4150" s="168" t="s">
        <v>6022</v>
      </c>
      <c r="C4150" s="33">
        <f>130/30</f>
        <v>4.33333333333333</v>
      </c>
      <c r="D4150" s="33">
        <v>0</v>
      </c>
      <c r="E4150" s="33"/>
      <c r="F4150" s="33" t="s">
        <v>6021</v>
      </c>
      <c r="G4150" s="168"/>
      <c r="H4150" s="33"/>
    </row>
    <row r="4151" s="29" customFormat="1" ht="15" spans="1:8">
      <c r="A4151" s="29">
        <v>4203</v>
      </c>
      <c r="B4151" s="168" t="s">
        <v>6023</v>
      </c>
      <c r="C4151" s="33">
        <f>130/30</f>
        <v>4.33333333333333</v>
      </c>
      <c r="D4151" s="33">
        <v>0</v>
      </c>
      <c r="E4151" s="33"/>
      <c r="F4151" s="33" t="s">
        <v>6024</v>
      </c>
      <c r="G4151" s="168"/>
      <c r="H4151" s="33"/>
    </row>
    <row r="4152" s="29" customFormat="1" ht="15" spans="1:8">
      <c r="A4152" s="29">
        <v>4204</v>
      </c>
      <c r="B4152" s="168" t="s">
        <v>6025</v>
      </c>
      <c r="C4152" s="33">
        <f>130/30</f>
        <v>4.33333333333333</v>
      </c>
      <c r="D4152" s="33">
        <v>0</v>
      </c>
      <c r="E4152" s="33"/>
      <c r="F4152" s="33" t="s">
        <v>6024</v>
      </c>
      <c r="G4152" s="168"/>
      <c r="H4152" s="33"/>
    </row>
    <row r="4153" s="29" customFormat="1" ht="15" spans="1:8">
      <c r="A4153" s="29">
        <v>4205</v>
      </c>
      <c r="B4153" s="168" t="s">
        <v>6026</v>
      </c>
      <c r="C4153" s="33">
        <f>210/30</f>
        <v>7</v>
      </c>
      <c r="D4153" s="33">
        <v>0</v>
      </c>
      <c r="E4153" s="33"/>
      <c r="F4153" s="33" t="s">
        <v>6027</v>
      </c>
      <c r="G4153" s="168"/>
      <c r="H4153" s="33"/>
    </row>
    <row r="4154" s="29" customFormat="1" ht="15" spans="1:8">
      <c r="A4154" s="29">
        <v>4206</v>
      </c>
      <c r="B4154" s="168" t="s">
        <v>6028</v>
      </c>
      <c r="C4154" s="33">
        <f>210/30</f>
        <v>7</v>
      </c>
      <c r="D4154" s="33">
        <v>0</v>
      </c>
      <c r="E4154" s="33"/>
      <c r="F4154" s="33" t="s">
        <v>6027</v>
      </c>
      <c r="G4154" s="168"/>
      <c r="H4154" s="33"/>
    </row>
    <row r="4155" s="29" customFormat="1" ht="15" spans="1:8">
      <c r="A4155" s="29">
        <v>4207</v>
      </c>
      <c r="B4155" s="168" t="s">
        <v>6029</v>
      </c>
      <c r="C4155" s="33">
        <f>210/30</f>
        <v>7</v>
      </c>
      <c r="D4155" s="33">
        <v>0</v>
      </c>
      <c r="E4155" s="33"/>
      <c r="F4155" s="33" t="s">
        <v>6027</v>
      </c>
      <c r="G4155" s="168"/>
      <c r="H4155" s="33"/>
    </row>
    <row r="4156" s="29" customFormat="1" ht="15" spans="1:8">
      <c r="A4156" s="29">
        <v>4208</v>
      </c>
      <c r="B4156" s="168" t="s">
        <v>6030</v>
      </c>
      <c r="C4156" s="33">
        <f>210/30</f>
        <v>7</v>
      </c>
      <c r="D4156" s="33">
        <v>0</v>
      </c>
      <c r="E4156" s="33"/>
      <c r="F4156" s="33" t="s">
        <v>6027</v>
      </c>
      <c r="G4156" s="168"/>
      <c r="H4156" s="33"/>
    </row>
    <row r="4157" s="29" customFormat="1" ht="15" spans="1:8">
      <c r="A4157" s="29">
        <v>4209</v>
      </c>
      <c r="B4157" s="168" t="s">
        <v>6031</v>
      </c>
      <c r="C4157" s="33">
        <v>0</v>
      </c>
      <c r="D4157" s="33">
        <v>1</v>
      </c>
      <c r="E4157" s="33"/>
      <c r="F4157" s="33" t="s">
        <v>6032</v>
      </c>
      <c r="G4157" s="168"/>
      <c r="H4157" s="33"/>
    </row>
    <row r="4158" s="29" customFormat="1" ht="15" spans="1:8">
      <c r="A4158" s="29">
        <v>4211</v>
      </c>
      <c r="B4158" s="168" t="s">
        <v>6033</v>
      </c>
      <c r="C4158" s="33">
        <v>0</v>
      </c>
      <c r="D4158" s="33">
        <v>1</v>
      </c>
      <c r="E4158" s="33"/>
      <c r="F4158" s="33" t="s">
        <v>6032</v>
      </c>
      <c r="G4158" s="168"/>
      <c r="H4158" s="33"/>
    </row>
    <row r="4159" s="29" customFormat="1" ht="15" spans="1:8">
      <c r="A4159" s="29">
        <v>4212</v>
      </c>
      <c r="B4159" s="168" t="s">
        <v>6034</v>
      </c>
      <c r="C4159" s="33">
        <v>1</v>
      </c>
      <c r="D4159" s="33">
        <v>0</v>
      </c>
      <c r="E4159" s="33"/>
      <c r="F4159" s="33" t="s">
        <v>6035</v>
      </c>
      <c r="G4159" s="168"/>
      <c r="H4159" s="33"/>
    </row>
    <row r="4160" s="29" customFormat="1" ht="15" spans="1:8">
      <c r="A4160" s="29">
        <v>4213</v>
      </c>
      <c r="B4160" s="168" t="s">
        <v>6036</v>
      </c>
      <c r="C4160" s="33">
        <v>0</v>
      </c>
      <c r="D4160" s="33">
        <v>1</v>
      </c>
      <c r="E4160" s="33"/>
      <c r="F4160" s="33" t="s">
        <v>6037</v>
      </c>
      <c r="G4160" s="168"/>
      <c r="H4160" s="33"/>
    </row>
    <row r="4161" s="29" customFormat="1" ht="15" spans="1:8">
      <c r="A4161" s="29">
        <v>4214</v>
      </c>
      <c r="B4161" s="168" t="s">
        <v>6038</v>
      </c>
      <c r="C4161" s="33">
        <v>0</v>
      </c>
      <c r="D4161" s="33">
        <v>1</v>
      </c>
      <c r="E4161" s="33"/>
      <c r="F4161" s="33" t="s">
        <v>6039</v>
      </c>
      <c r="G4161" s="168"/>
      <c r="H4161" s="33"/>
    </row>
    <row r="4162" s="29" customFormat="1" ht="15" spans="1:8">
      <c r="A4162" s="29">
        <v>4215</v>
      </c>
      <c r="B4162" s="168" t="s">
        <v>6040</v>
      </c>
      <c r="C4162" s="33">
        <f>300/30</f>
        <v>10</v>
      </c>
      <c r="D4162" s="33">
        <v>0</v>
      </c>
      <c r="E4162" s="33"/>
      <c r="F4162" s="33" t="s">
        <v>6041</v>
      </c>
      <c r="G4162" s="169"/>
      <c r="H4162" s="33"/>
    </row>
    <row r="4163" s="29" customFormat="1" ht="15" spans="1:8">
      <c r="A4163" s="29">
        <v>4216</v>
      </c>
      <c r="B4163" s="168" t="s">
        <v>6042</v>
      </c>
      <c r="C4163" s="33">
        <v>0</v>
      </c>
      <c r="D4163" s="33">
        <v>1</v>
      </c>
      <c r="E4163" s="33"/>
      <c r="F4163" s="33" t="s">
        <v>6043</v>
      </c>
      <c r="G4163" s="169"/>
      <c r="H4163" s="33"/>
    </row>
    <row r="4164" s="29" customFormat="1" ht="15" spans="1:8">
      <c r="A4164" s="29">
        <v>4217</v>
      </c>
      <c r="B4164" s="168" t="s">
        <v>6044</v>
      </c>
      <c r="C4164" s="33">
        <v>0</v>
      </c>
      <c r="D4164" s="33">
        <v>1</v>
      </c>
      <c r="E4164" s="33"/>
      <c r="F4164" s="33" t="s">
        <v>6045</v>
      </c>
      <c r="G4164" s="169"/>
      <c r="H4164" s="33"/>
    </row>
    <row r="4165" s="29" customFormat="1" ht="15" spans="1:8">
      <c r="A4165" s="29">
        <v>4218</v>
      </c>
      <c r="B4165" s="168" t="s">
        <v>6046</v>
      </c>
      <c r="C4165" s="33">
        <v>0</v>
      </c>
      <c r="D4165" s="33">
        <v>1</v>
      </c>
      <c r="E4165" s="33"/>
      <c r="F4165" s="33" t="s">
        <v>6047</v>
      </c>
      <c r="G4165" s="169"/>
      <c r="H4165" s="33"/>
    </row>
    <row r="4166" customFormat="1" ht="15" spans="1:8">
      <c r="A4166" s="29">
        <v>4219</v>
      </c>
      <c r="B4166" s="168" t="s">
        <v>6048</v>
      </c>
      <c r="C4166" s="33">
        <f>75/30</f>
        <v>2.5</v>
      </c>
      <c r="D4166" s="2">
        <v>0</v>
      </c>
      <c r="E4166" s="2"/>
      <c r="F4166" s="2" t="s">
        <v>6049</v>
      </c>
      <c r="G4166" s="160"/>
      <c r="H4166" s="2"/>
    </row>
    <row r="4167" s="29" customFormat="1" spans="1:8">
      <c r="A4167" s="170">
        <v>4220</v>
      </c>
      <c r="B4167" s="171" t="s">
        <v>6050</v>
      </c>
      <c r="C4167" s="33">
        <f>118/30</f>
        <v>3.93333333333333</v>
      </c>
      <c r="D4167" s="29">
        <v>0</v>
      </c>
      <c r="E4167" s="33"/>
      <c r="F4167" s="33" t="s">
        <v>6051</v>
      </c>
      <c r="G4167" s="169"/>
      <c r="H4167" s="33"/>
    </row>
    <row r="4168" s="29" customFormat="1" spans="1:8">
      <c r="A4168" s="170">
        <v>4221</v>
      </c>
      <c r="B4168" s="171" t="s">
        <v>6052</v>
      </c>
      <c r="C4168" s="33">
        <v>1</v>
      </c>
      <c r="D4168" s="29">
        <v>0</v>
      </c>
      <c r="E4168" s="33"/>
      <c r="F4168" s="33" t="s">
        <v>6053</v>
      </c>
      <c r="G4168" s="169"/>
      <c r="H4168" s="33"/>
    </row>
    <row r="4169" s="29" customFormat="1" spans="1:8">
      <c r="A4169" s="170">
        <v>4222</v>
      </c>
      <c r="B4169" s="171" t="s">
        <v>6054</v>
      </c>
      <c r="C4169" s="33">
        <f>291/30</f>
        <v>9.7</v>
      </c>
      <c r="D4169" s="33">
        <v>0</v>
      </c>
      <c r="E4169" s="33"/>
      <c r="F4169" s="33" t="s">
        <v>6055</v>
      </c>
      <c r="G4169" s="169"/>
      <c r="H4169" s="33"/>
    </row>
    <row r="4170" s="29" customFormat="1" spans="1:8">
      <c r="A4170" s="170">
        <v>4223</v>
      </c>
      <c r="B4170" s="171" t="s">
        <v>6056</v>
      </c>
      <c r="C4170" s="33">
        <f>77/30</f>
        <v>2.56666666666667</v>
      </c>
      <c r="D4170" s="33">
        <v>0</v>
      </c>
      <c r="E4170" s="33"/>
      <c r="F4170" s="33" t="s">
        <v>6057</v>
      </c>
      <c r="G4170" s="169"/>
      <c r="H4170" s="33"/>
    </row>
    <row r="4171" s="29" customFormat="1" spans="1:8">
      <c r="A4171" s="170">
        <v>4224</v>
      </c>
      <c r="B4171" s="171" t="s">
        <v>6058</v>
      </c>
      <c r="C4171" s="29">
        <v>1</v>
      </c>
      <c r="D4171" s="29">
        <v>0</v>
      </c>
      <c r="E4171" s="33"/>
      <c r="F4171" s="33" t="s">
        <v>6059</v>
      </c>
      <c r="G4171" s="169"/>
      <c r="H4171" s="33"/>
    </row>
    <row r="4172" s="29" customFormat="1" spans="1:8">
      <c r="A4172" s="170">
        <v>4225</v>
      </c>
      <c r="B4172" s="171" t="s">
        <v>6060</v>
      </c>
      <c r="C4172" s="29">
        <v>11</v>
      </c>
      <c r="D4172" s="33">
        <v>0</v>
      </c>
      <c r="E4172" s="33"/>
      <c r="F4172" s="33" t="s">
        <v>6061</v>
      </c>
      <c r="G4172" s="169"/>
      <c r="H4172" s="33"/>
    </row>
    <row r="4173" s="29" customFormat="1" spans="1:8">
      <c r="A4173" s="170">
        <v>4226</v>
      </c>
      <c r="B4173" s="171" t="s">
        <v>6062</v>
      </c>
      <c r="C4173" s="33">
        <f>90/30</f>
        <v>3</v>
      </c>
      <c r="D4173" s="33">
        <v>0</v>
      </c>
      <c r="E4173" s="33"/>
      <c r="F4173" s="33" t="s">
        <v>6063</v>
      </c>
      <c r="G4173" s="169"/>
      <c r="H4173" s="33"/>
    </row>
    <row r="4174" s="29" customFormat="1" spans="1:8">
      <c r="A4174" s="170">
        <v>4227</v>
      </c>
      <c r="B4174" s="171" t="s">
        <v>6064</v>
      </c>
      <c r="C4174" s="33">
        <f>145/30</f>
        <v>4.83333333333333</v>
      </c>
      <c r="D4174" s="33">
        <v>0</v>
      </c>
      <c r="F4174" s="29" t="s">
        <v>6065</v>
      </c>
      <c r="G4174" s="169"/>
      <c r="H4174" s="33"/>
    </row>
    <row r="4175" s="29" customFormat="1" spans="1:8">
      <c r="A4175" s="170">
        <v>4228</v>
      </c>
      <c r="B4175" s="171" t="s">
        <v>6066</v>
      </c>
      <c r="C4175" s="33">
        <f>156/30</f>
        <v>5.2</v>
      </c>
      <c r="D4175" s="33">
        <v>0</v>
      </c>
      <c r="F4175" s="29" t="s">
        <v>6067</v>
      </c>
      <c r="G4175" s="169"/>
      <c r="H4175" s="33"/>
    </row>
    <row r="4176" s="29" customFormat="1" spans="1:8">
      <c r="A4176" s="170">
        <v>4229</v>
      </c>
      <c r="B4176" s="171" t="s">
        <v>6068</v>
      </c>
      <c r="C4176" s="33">
        <v>0</v>
      </c>
      <c r="D4176" s="33">
        <v>1</v>
      </c>
      <c r="E4176" s="33"/>
      <c r="F4176" s="33" t="s">
        <v>6069</v>
      </c>
      <c r="G4176" s="169"/>
      <c r="H4176" s="33"/>
    </row>
    <row r="4177" s="29" customFormat="1" spans="1:8">
      <c r="A4177" s="170">
        <v>4230</v>
      </c>
      <c r="B4177" s="171" t="s">
        <v>6070</v>
      </c>
      <c r="C4177" s="33">
        <f>85/30</f>
        <v>2.83333333333333</v>
      </c>
      <c r="D4177" s="33">
        <v>0</v>
      </c>
      <c r="E4177" s="33"/>
      <c r="F4177" s="33" t="s">
        <v>6071</v>
      </c>
      <c r="G4177" s="169"/>
      <c r="H4177" s="33"/>
    </row>
    <row r="4178" s="29" customFormat="1" spans="1:8">
      <c r="A4178" s="170">
        <v>4231</v>
      </c>
      <c r="B4178" s="171" t="s">
        <v>6072</v>
      </c>
      <c r="C4178" s="33">
        <v>0</v>
      </c>
      <c r="D4178" s="33">
        <v>1</v>
      </c>
      <c r="E4178" s="33"/>
      <c r="F4178" s="33" t="s">
        <v>6073</v>
      </c>
      <c r="G4178" s="169"/>
      <c r="H4178" s="33"/>
    </row>
    <row r="4179" s="29" customFormat="1" spans="1:8">
      <c r="A4179" s="170">
        <v>4232</v>
      </c>
      <c r="B4179" s="171" t="s">
        <v>6074</v>
      </c>
      <c r="C4179" s="33">
        <f>480/30</f>
        <v>16</v>
      </c>
      <c r="D4179" s="33">
        <v>0</v>
      </c>
      <c r="E4179" s="33"/>
      <c r="F4179" s="33" t="s">
        <v>6075</v>
      </c>
      <c r="G4179" s="169"/>
      <c r="H4179" s="33"/>
    </row>
    <row r="4180" s="29" customFormat="1" spans="1:8">
      <c r="A4180" s="170">
        <v>4233</v>
      </c>
      <c r="B4180" s="171" t="s">
        <v>6076</v>
      </c>
      <c r="C4180" s="33">
        <f>254/30</f>
        <v>8.46666666666667</v>
      </c>
      <c r="D4180" s="33">
        <v>0</v>
      </c>
      <c r="E4180" s="33"/>
      <c r="F4180" s="33" t="s">
        <v>6077</v>
      </c>
      <c r="G4180" s="169"/>
      <c r="H4180" s="33"/>
    </row>
    <row r="4181" s="29" customFormat="1" spans="1:8">
      <c r="A4181" s="170">
        <v>4234</v>
      </c>
      <c r="B4181" s="171" t="s">
        <v>6068</v>
      </c>
      <c r="C4181" s="33">
        <f>85/30</f>
        <v>2.83333333333333</v>
      </c>
      <c r="D4181" s="33">
        <v>0</v>
      </c>
      <c r="E4181" s="33"/>
      <c r="F4181" s="33" t="s">
        <v>6078</v>
      </c>
      <c r="G4181" s="169"/>
      <c r="H4181" s="33"/>
    </row>
    <row r="4182" s="29" customFormat="1" spans="1:8">
      <c r="A4182" s="170">
        <v>4235</v>
      </c>
      <c r="B4182" s="171" t="s">
        <v>6079</v>
      </c>
      <c r="C4182" s="33">
        <f>480/30</f>
        <v>16</v>
      </c>
      <c r="D4182" s="33">
        <v>0</v>
      </c>
      <c r="E4182" s="33"/>
      <c r="F4182" s="33" t="s">
        <v>6080</v>
      </c>
      <c r="G4182" s="169"/>
      <c r="H4182" s="33"/>
    </row>
    <row r="4183" s="29" customFormat="1" spans="1:8">
      <c r="A4183" s="170">
        <v>4236</v>
      </c>
      <c r="B4183" s="171" t="s">
        <v>6081</v>
      </c>
      <c r="C4183" s="33">
        <f>254/30</f>
        <v>8.46666666666667</v>
      </c>
      <c r="D4183" s="33">
        <v>0</v>
      </c>
      <c r="E4183" s="33"/>
      <c r="F4183" s="33" t="s">
        <v>6082</v>
      </c>
      <c r="G4183" s="169"/>
      <c r="H4183" s="33"/>
    </row>
    <row r="4184" s="29" customFormat="1" spans="1:8">
      <c r="A4184" s="170">
        <v>4237</v>
      </c>
      <c r="B4184" s="171" t="s">
        <v>6083</v>
      </c>
      <c r="C4184" s="33">
        <f>156/30</f>
        <v>5.2</v>
      </c>
      <c r="D4184" s="33">
        <v>0</v>
      </c>
      <c r="E4184" s="33"/>
      <c r="F4184" s="33" t="s">
        <v>6084</v>
      </c>
      <c r="G4184" s="169"/>
      <c r="H4184" s="33"/>
    </row>
    <row r="4185" s="30" customFormat="1" spans="1:8">
      <c r="A4185" s="172">
        <v>4238</v>
      </c>
      <c r="B4185" s="173" t="s">
        <v>6085</v>
      </c>
      <c r="C4185" s="30">
        <f>77/30</f>
        <v>2.56666666666667</v>
      </c>
      <c r="D4185" s="40">
        <v>0</v>
      </c>
      <c r="E4185" s="40"/>
      <c r="F4185" s="173" t="s">
        <v>6086</v>
      </c>
      <c r="G4185" s="174"/>
      <c r="H4185" s="40"/>
    </row>
    <row r="4186" s="30" customFormat="1" spans="1:8">
      <c r="A4186" s="172">
        <v>4239</v>
      </c>
      <c r="B4186" s="173" t="s">
        <v>6087</v>
      </c>
      <c r="C4186" s="40">
        <v>1</v>
      </c>
      <c r="D4186" s="40">
        <v>0</v>
      </c>
      <c r="E4186" s="40"/>
      <c r="F4186" s="173" t="s">
        <v>6088</v>
      </c>
      <c r="G4186" s="174"/>
      <c r="H4186" s="40"/>
    </row>
    <row r="4187" s="30" customFormat="1" spans="1:8">
      <c r="A4187" s="172">
        <v>4240</v>
      </c>
      <c r="B4187" s="173" t="s">
        <v>6089</v>
      </c>
      <c r="C4187" s="30">
        <f>78/30</f>
        <v>2.6</v>
      </c>
      <c r="D4187" s="40">
        <v>0</v>
      </c>
      <c r="E4187" s="40"/>
      <c r="F4187" s="173" t="s">
        <v>6090</v>
      </c>
      <c r="G4187" s="174"/>
      <c r="H4187" s="40"/>
    </row>
    <row r="4188" s="30" customFormat="1" spans="1:8">
      <c r="A4188" s="172">
        <v>4241</v>
      </c>
      <c r="B4188" s="173" t="s">
        <v>6091</v>
      </c>
      <c r="C4188" s="30">
        <v>1</v>
      </c>
      <c r="D4188" s="40">
        <v>0</v>
      </c>
      <c r="E4188" s="40"/>
      <c r="F4188" s="173" t="s">
        <v>6092</v>
      </c>
      <c r="G4188" s="174"/>
      <c r="H4188" s="40"/>
    </row>
    <row r="4189" s="30" customFormat="1" spans="1:8">
      <c r="A4189" s="172">
        <v>4242</v>
      </c>
      <c r="B4189" s="173" t="s">
        <v>6093</v>
      </c>
      <c r="C4189" s="30">
        <f>440/30</f>
        <v>14.6666666666667</v>
      </c>
      <c r="D4189" s="40">
        <v>0</v>
      </c>
      <c r="E4189" s="40"/>
      <c r="F4189" s="173" t="s">
        <v>6094</v>
      </c>
      <c r="G4189" s="174"/>
      <c r="H4189" s="40"/>
    </row>
    <row r="4190" s="30" customFormat="1" spans="1:8">
      <c r="A4190" s="172">
        <v>4243</v>
      </c>
      <c r="B4190" s="173" t="s">
        <v>6095</v>
      </c>
      <c r="C4190" s="30">
        <f>404/30</f>
        <v>13.4666666666667</v>
      </c>
      <c r="D4190" s="40">
        <v>0</v>
      </c>
      <c r="E4190" s="40"/>
      <c r="F4190" s="173" t="s">
        <v>6096</v>
      </c>
      <c r="G4190" s="174"/>
      <c r="H4190" s="40"/>
    </row>
    <row r="4191" s="30" customFormat="1" spans="1:8">
      <c r="A4191" s="172">
        <v>4244</v>
      </c>
      <c r="B4191" s="173" t="s">
        <v>6097</v>
      </c>
      <c r="C4191" s="30">
        <f>89/30</f>
        <v>2.96666666666667</v>
      </c>
      <c r="D4191" s="40">
        <v>0</v>
      </c>
      <c r="E4191" s="40"/>
      <c r="F4191" s="173" t="s">
        <v>6098</v>
      </c>
      <c r="G4191" s="174"/>
      <c r="H4191" s="40"/>
    </row>
    <row r="4192" s="30" customFormat="1" spans="1:8">
      <c r="A4192" s="172">
        <v>4245</v>
      </c>
      <c r="B4192" s="173" t="s">
        <v>6099</v>
      </c>
      <c r="C4192" s="40">
        <v>1</v>
      </c>
      <c r="D4192" s="40">
        <v>0</v>
      </c>
      <c r="E4192" s="40"/>
      <c r="F4192" s="173" t="s">
        <v>6100</v>
      </c>
      <c r="G4192" s="174"/>
      <c r="H4192" s="40"/>
    </row>
    <row r="4193" s="30" customFormat="1" spans="1:8">
      <c r="A4193" s="172">
        <v>4246</v>
      </c>
      <c r="B4193" s="173" t="s">
        <v>6101</v>
      </c>
      <c r="C4193" s="30">
        <f>250/30</f>
        <v>8.33333333333333</v>
      </c>
      <c r="D4193" s="40">
        <v>0</v>
      </c>
      <c r="E4193" s="40"/>
      <c r="F4193" s="173" t="s">
        <v>6102</v>
      </c>
      <c r="G4193" s="174"/>
      <c r="H4193" s="40"/>
    </row>
    <row r="4194" s="30" customFormat="1" spans="1:8">
      <c r="A4194" s="172">
        <v>4247</v>
      </c>
      <c r="B4194" s="173" t="s">
        <v>6103</v>
      </c>
      <c r="C4194" s="30">
        <f>110/30</f>
        <v>3.66666666666667</v>
      </c>
      <c r="D4194" s="40">
        <v>0</v>
      </c>
      <c r="E4194" s="40"/>
      <c r="F4194" s="173" t="s">
        <v>6104</v>
      </c>
      <c r="G4194" s="174"/>
      <c r="H4194" s="40"/>
    </row>
    <row r="4195" s="30" customFormat="1" spans="1:8">
      <c r="A4195" s="172">
        <v>4248</v>
      </c>
      <c r="B4195" s="173" t="s">
        <v>6105</v>
      </c>
      <c r="C4195" s="40">
        <v>1</v>
      </c>
      <c r="D4195" s="40">
        <v>0</v>
      </c>
      <c r="E4195" s="40"/>
      <c r="F4195" s="173" t="s">
        <v>6106</v>
      </c>
      <c r="G4195" s="174"/>
      <c r="H4195" s="40"/>
    </row>
    <row r="4196" s="30" customFormat="1" spans="1:8">
      <c r="A4196" s="172">
        <v>4249</v>
      </c>
      <c r="B4196" s="173" t="s">
        <v>6107</v>
      </c>
      <c r="C4196" s="30">
        <f>294/30</f>
        <v>9.8</v>
      </c>
      <c r="D4196" s="40">
        <v>0</v>
      </c>
      <c r="E4196" s="40"/>
      <c r="F4196" s="173" t="s">
        <v>6108</v>
      </c>
      <c r="G4196" s="174"/>
      <c r="H4196" s="40"/>
    </row>
    <row r="4197" s="30" customFormat="1" spans="1:8">
      <c r="A4197" s="172">
        <v>4250</v>
      </c>
      <c r="B4197" s="173" t="s">
        <v>6109</v>
      </c>
      <c r="C4197" s="30">
        <f>100/30</f>
        <v>3.33333333333333</v>
      </c>
      <c r="D4197" s="40">
        <v>0</v>
      </c>
      <c r="E4197" s="40"/>
      <c r="F4197" s="173" t="s">
        <v>6110</v>
      </c>
      <c r="G4197" s="174"/>
      <c r="H4197" s="40"/>
    </row>
    <row r="4198" s="30" customFormat="1" spans="1:8">
      <c r="A4198" s="172">
        <v>4251</v>
      </c>
      <c r="B4198" s="173" t="s">
        <v>6111</v>
      </c>
      <c r="C4198" s="30">
        <f>178/30</f>
        <v>5.93333333333333</v>
      </c>
      <c r="D4198" s="40">
        <v>0</v>
      </c>
      <c r="E4198" s="40"/>
      <c r="F4198" s="173" t="s">
        <v>6112</v>
      </c>
      <c r="G4198" s="174"/>
      <c r="H4198" s="40"/>
    </row>
    <row r="4199" s="30" customFormat="1" spans="1:8">
      <c r="A4199" s="172">
        <v>4252</v>
      </c>
      <c r="B4199" s="173" t="s">
        <v>6113</v>
      </c>
      <c r="C4199" s="30">
        <f>165/30</f>
        <v>5.5</v>
      </c>
      <c r="D4199" s="40">
        <v>0</v>
      </c>
      <c r="E4199" s="40"/>
      <c r="F4199" s="173" t="s">
        <v>6114</v>
      </c>
      <c r="G4199" s="174"/>
      <c r="H4199" s="40"/>
    </row>
    <row r="4200" s="30" customFormat="1" spans="1:8">
      <c r="A4200" s="172">
        <v>4253</v>
      </c>
      <c r="B4200" s="173" t="s">
        <v>6115</v>
      </c>
      <c r="C4200" s="40">
        <v>0</v>
      </c>
      <c r="D4200" s="40">
        <v>1</v>
      </c>
      <c r="E4200" s="40"/>
      <c r="F4200" s="173" t="s">
        <v>6116</v>
      </c>
      <c r="G4200" s="174"/>
      <c r="H4200" s="40"/>
    </row>
    <row r="4201" s="30" customFormat="1" spans="1:8">
      <c r="A4201" s="172">
        <v>4254</v>
      </c>
      <c r="B4201" s="173" t="s">
        <v>6117</v>
      </c>
      <c r="C4201" s="30">
        <f>50/30</f>
        <v>1.66666666666667</v>
      </c>
      <c r="D4201" s="40">
        <v>0</v>
      </c>
      <c r="E4201" s="40"/>
      <c r="F4201" s="173" t="s">
        <v>6118</v>
      </c>
      <c r="G4201" s="174"/>
      <c r="H4201" s="40"/>
    </row>
    <row r="4202" s="30" customFormat="1" spans="1:8">
      <c r="A4202" s="172">
        <v>4255</v>
      </c>
      <c r="B4202" s="173" t="s">
        <v>6119</v>
      </c>
      <c r="C4202" s="30">
        <f>110/30</f>
        <v>3.66666666666667</v>
      </c>
      <c r="D4202" s="40">
        <v>0</v>
      </c>
      <c r="E4202" s="40"/>
      <c r="F4202" s="173" t="s">
        <v>6120</v>
      </c>
      <c r="G4202" s="174"/>
      <c r="H4202" s="40"/>
    </row>
    <row r="4203" s="30" customFormat="1" spans="1:8">
      <c r="A4203" s="172">
        <v>4256</v>
      </c>
      <c r="B4203" s="173" t="s">
        <v>6121</v>
      </c>
      <c r="C4203" s="40">
        <v>0</v>
      </c>
      <c r="D4203" s="40">
        <v>1</v>
      </c>
      <c r="E4203" s="40"/>
      <c r="F4203" s="175" t="s">
        <v>6122</v>
      </c>
      <c r="G4203" s="174"/>
      <c r="H4203" s="40"/>
    </row>
    <row r="4204" s="30" customFormat="1" spans="1:8">
      <c r="A4204" s="172">
        <v>4257</v>
      </c>
      <c r="B4204" s="173" t="s">
        <v>6123</v>
      </c>
      <c r="C4204" s="40">
        <v>0</v>
      </c>
      <c r="D4204" s="40">
        <v>1</v>
      </c>
      <c r="E4204" s="40"/>
      <c r="F4204" s="175" t="s">
        <v>6124</v>
      </c>
      <c r="G4204" s="174"/>
      <c r="H4204" s="40"/>
    </row>
    <row r="4205" s="31" customFormat="1" spans="1:8">
      <c r="A4205" s="176">
        <v>4258</v>
      </c>
      <c r="B4205" s="177" t="s">
        <v>6125</v>
      </c>
      <c r="C4205" s="32">
        <v>2.5</v>
      </c>
      <c r="D4205" s="55"/>
      <c r="E4205" s="55"/>
      <c r="F4205" s="178" t="s">
        <v>6126</v>
      </c>
      <c r="G4205" s="179"/>
      <c r="H4205" s="55"/>
    </row>
    <row r="4206" s="31" customFormat="1" spans="1:8">
      <c r="A4206" s="176">
        <v>4259</v>
      </c>
      <c r="B4206" s="177" t="s">
        <v>6127</v>
      </c>
      <c r="C4206" s="32">
        <v>2.5</v>
      </c>
      <c r="D4206" s="55"/>
      <c r="E4206" s="55"/>
      <c r="F4206" s="178" t="s">
        <v>6128</v>
      </c>
      <c r="G4206" s="179"/>
      <c r="H4206" s="55"/>
    </row>
    <row r="4207" s="31" customFormat="1" spans="1:8">
      <c r="A4207" s="176">
        <v>4260</v>
      </c>
      <c r="B4207" s="177" t="s">
        <v>6129</v>
      </c>
      <c r="C4207" s="32">
        <v>2.5</v>
      </c>
      <c r="D4207" s="55">
        <v>0</v>
      </c>
      <c r="E4207" s="55"/>
      <c r="F4207" s="178" t="s">
        <v>6128</v>
      </c>
      <c r="G4207" s="179"/>
      <c r="H4207" s="55"/>
    </row>
    <row r="4208" s="31" customFormat="1" spans="1:8">
      <c r="A4208" s="176">
        <v>4261</v>
      </c>
      <c r="B4208" s="177" t="s">
        <v>6130</v>
      </c>
      <c r="C4208" s="55">
        <v>1</v>
      </c>
      <c r="D4208" s="55">
        <v>0</v>
      </c>
      <c r="E4208" s="55"/>
      <c r="F4208" s="178" t="s">
        <v>6131</v>
      </c>
      <c r="G4208" s="179"/>
      <c r="H4208" s="55"/>
    </row>
    <row r="4209" s="31" customFormat="1" spans="1:8">
      <c r="A4209" s="176">
        <v>4262</v>
      </c>
      <c r="B4209" s="177" t="s">
        <v>6132</v>
      </c>
      <c r="C4209" s="32">
        <v>2.7</v>
      </c>
      <c r="D4209" s="55">
        <v>0</v>
      </c>
      <c r="E4209" s="55"/>
      <c r="F4209" s="178" t="s">
        <v>6133</v>
      </c>
      <c r="G4209" s="179"/>
      <c r="H4209" s="55"/>
    </row>
    <row r="4210" s="31" customFormat="1" spans="1:8">
      <c r="A4210" s="176">
        <v>4263</v>
      </c>
      <c r="B4210" s="177" t="s">
        <v>6134</v>
      </c>
      <c r="C4210" s="32">
        <v>2.7</v>
      </c>
      <c r="D4210" s="55">
        <v>0</v>
      </c>
      <c r="E4210" s="55"/>
      <c r="F4210" s="178" t="s">
        <v>6135</v>
      </c>
      <c r="G4210" s="179"/>
      <c r="H4210" s="55"/>
    </row>
    <row r="4211" s="31" customFormat="1" spans="1:8">
      <c r="A4211" s="176">
        <v>4264</v>
      </c>
      <c r="B4211" s="177" t="s">
        <v>6136</v>
      </c>
      <c r="C4211" s="32">
        <v>2.7</v>
      </c>
      <c r="D4211" s="55">
        <v>0</v>
      </c>
      <c r="E4211" s="55"/>
      <c r="F4211" s="178" t="s">
        <v>6135</v>
      </c>
      <c r="G4211" s="179"/>
      <c r="H4211" s="55"/>
    </row>
    <row r="4212" s="31" customFormat="1" spans="1:8">
      <c r="A4212" s="176">
        <v>4265</v>
      </c>
      <c r="B4212" s="177" t="s">
        <v>6137</v>
      </c>
      <c r="C4212" s="55">
        <v>1</v>
      </c>
      <c r="D4212" s="55">
        <v>0</v>
      </c>
      <c r="E4212" s="55"/>
      <c r="F4212" s="178" t="s">
        <v>6138</v>
      </c>
      <c r="G4212" s="179"/>
      <c r="H4212" s="55"/>
    </row>
    <row r="4213" s="31" customFormat="1" spans="1:8">
      <c r="A4213" s="176">
        <v>4266</v>
      </c>
      <c r="B4213" s="177" t="s">
        <v>6139</v>
      </c>
      <c r="C4213" s="32">
        <v>3.2</v>
      </c>
      <c r="D4213" s="55">
        <v>0</v>
      </c>
      <c r="E4213" s="55"/>
      <c r="F4213" s="178" t="s">
        <v>6140</v>
      </c>
      <c r="G4213" s="179"/>
      <c r="H4213" s="55"/>
    </row>
    <row r="4214" s="31" customFormat="1" spans="1:8">
      <c r="A4214" s="176">
        <v>4267</v>
      </c>
      <c r="B4214" s="177" t="s">
        <v>6141</v>
      </c>
      <c r="C4214" s="32">
        <v>3.2</v>
      </c>
      <c r="D4214" s="55">
        <v>0</v>
      </c>
      <c r="E4214" s="55"/>
      <c r="F4214" s="178" t="s">
        <v>6142</v>
      </c>
      <c r="G4214" s="179"/>
      <c r="H4214" s="55"/>
    </row>
    <row r="4215" s="31" customFormat="1" spans="1:8">
      <c r="A4215" s="176">
        <v>4268</v>
      </c>
      <c r="B4215" s="177" t="s">
        <v>6143</v>
      </c>
      <c r="C4215" s="55">
        <v>1</v>
      </c>
      <c r="D4215" s="55">
        <v>0</v>
      </c>
      <c r="E4215" s="55"/>
      <c r="F4215" s="178" t="s">
        <v>6144</v>
      </c>
      <c r="G4215" s="179"/>
      <c r="H4215" s="55"/>
    </row>
    <row r="4216" s="31" customFormat="1" spans="1:8">
      <c r="A4216" s="176">
        <v>4269</v>
      </c>
      <c r="B4216" s="177" t="s">
        <v>6145</v>
      </c>
      <c r="C4216" s="55">
        <v>1</v>
      </c>
      <c r="D4216" s="55">
        <v>0</v>
      </c>
      <c r="E4216" s="55"/>
      <c r="F4216" s="178" t="s">
        <v>6146</v>
      </c>
      <c r="G4216" s="179"/>
      <c r="H4216" s="55"/>
    </row>
    <row r="4217" s="31" customFormat="1" spans="1:8">
      <c r="A4217" s="176">
        <v>4270</v>
      </c>
      <c r="B4217" s="177" t="s">
        <v>6147</v>
      </c>
      <c r="C4217" s="32">
        <v>3.16666666666667</v>
      </c>
      <c r="D4217" s="55">
        <v>0</v>
      </c>
      <c r="E4217" s="55"/>
      <c r="F4217" s="178" t="s">
        <v>6148</v>
      </c>
      <c r="G4217" s="179"/>
      <c r="H4217" s="55"/>
    </row>
    <row r="4218" s="31" customFormat="1" spans="1:8">
      <c r="A4218" s="176">
        <v>4271</v>
      </c>
      <c r="B4218" s="177" t="s">
        <v>6149</v>
      </c>
      <c r="C4218" s="32">
        <v>3.16666666666667</v>
      </c>
      <c r="D4218" s="55">
        <v>0</v>
      </c>
      <c r="E4218" s="55"/>
      <c r="F4218" s="178" t="s">
        <v>6150</v>
      </c>
      <c r="G4218" s="179"/>
      <c r="H4218" s="55"/>
    </row>
    <row r="4219" s="31" customFormat="1" spans="1:8">
      <c r="A4219" s="176">
        <v>4272</v>
      </c>
      <c r="B4219" s="177" t="s">
        <v>6151</v>
      </c>
      <c r="C4219" s="55">
        <v>1</v>
      </c>
      <c r="D4219" s="55">
        <v>0</v>
      </c>
      <c r="E4219" s="55"/>
      <c r="F4219" s="178" t="s">
        <v>6152</v>
      </c>
      <c r="G4219" s="179"/>
      <c r="H4219" s="55"/>
    </row>
    <row r="4220" s="31" customFormat="1" spans="1:8">
      <c r="A4220" s="176">
        <v>4273</v>
      </c>
      <c r="B4220" s="177" t="s">
        <v>6153</v>
      </c>
      <c r="C4220" s="32">
        <v>3.06666666666667</v>
      </c>
      <c r="D4220" s="55">
        <v>0</v>
      </c>
      <c r="E4220" s="55"/>
      <c r="F4220" s="178" t="s">
        <v>6154</v>
      </c>
      <c r="G4220" s="179"/>
      <c r="H4220" s="55"/>
    </row>
    <row r="4221" s="31" customFormat="1" spans="1:8">
      <c r="A4221" s="176">
        <v>4274</v>
      </c>
      <c r="B4221" s="177" t="s">
        <v>6155</v>
      </c>
      <c r="C4221" s="32">
        <v>3.06666666666667</v>
      </c>
      <c r="D4221" s="55">
        <v>0</v>
      </c>
      <c r="E4221" s="55"/>
      <c r="F4221" s="178" t="s">
        <v>6156</v>
      </c>
      <c r="G4221" s="179"/>
      <c r="H4221" s="55"/>
    </row>
    <row r="4222" s="31" customFormat="1" spans="1:8">
      <c r="A4222" s="176">
        <v>4275</v>
      </c>
      <c r="B4222" s="177" t="s">
        <v>6157</v>
      </c>
      <c r="C4222" s="55">
        <v>1</v>
      </c>
      <c r="D4222" s="55">
        <v>0</v>
      </c>
      <c r="E4222" s="55"/>
      <c r="F4222" s="178" t="s">
        <v>6158</v>
      </c>
      <c r="G4222" s="179"/>
      <c r="H4222" s="55"/>
    </row>
    <row r="4223" s="31" customFormat="1" spans="1:8">
      <c r="A4223" s="176">
        <v>4276</v>
      </c>
      <c r="B4223" s="177" t="s">
        <v>6159</v>
      </c>
      <c r="C4223" s="32">
        <v>14.3333333333333</v>
      </c>
      <c r="D4223" s="55">
        <v>0</v>
      </c>
      <c r="E4223" s="55"/>
      <c r="F4223" s="178" t="s">
        <v>6160</v>
      </c>
      <c r="G4223" s="179"/>
      <c r="H4223" s="55"/>
    </row>
    <row r="4224" s="31" customFormat="1" spans="1:8">
      <c r="A4224" s="176">
        <v>4277</v>
      </c>
      <c r="B4224" s="177" t="s">
        <v>6161</v>
      </c>
      <c r="C4224" s="32">
        <f>378/30</f>
        <v>12.6</v>
      </c>
      <c r="D4224" s="55">
        <v>0</v>
      </c>
      <c r="E4224" s="55"/>
      <c r="F4224" s="178" t="s">
        <v>6162</v>
      </c>
      <c r="G4224" s="179"/>
      <c r="H4224" s="55"/>
    </row>
    <row r="4225" s="31" customFormat="1" spans="1:8">
      <c r="A4225" s="176">
        <v>4278</v>
      </c>
      <c r="B4225" s="177" t="s">
        <v>6163</v>
      </c>
      <c r="C4225" s="32">
        <f>378/30</f>
        <v>12.6</v>
      </c>
      <c r="D4225" s="55">
        <v>0</v>
      </c>
      <c r="E4225" s="55"/>
      <c r="F4225" s="178" t="s">
        <v>6164</v>
      </c>
      <c r="G4225" s="179"/>
      <c r="H4225" s="55"/>
    </row>
    <row r="4226" s="31" customFormat="1" spans="1:8">
      <c r="A4226" s="176">
        <v>4279</v>
      </c>
      <c r="B4226" s="177" t="s">
        <v>6165</v>
      </c>
      <c r="C4226" s="32">
        <f>378/30</f>
        <v>12.6</v>
      </c>
      <c r="D4226" s="55">
        <v>0</v>
      </c>
      <c r="E4226" s="55"/>
      <c r="F4226" s="178" t="s">
        <v>6164</v>
      </c>
      <c r="G4226" s="179"/>
      <c r="H4226" s="55"/>
    </row>
    <row r="4227" s="31" customFormat="1" spans="1:8">
      <c r="A4227" s="176">
        <v>4280</v>
      </c>
      <c r="B4227" s="177" t="s">
        <v>6166</v>
      </c>
      <c r="C4227" s="32">
        <v>15.9</v>
      </c>
      <c r="D4227" s="55">
        <v>0</v>
      </c>
      <c r="E4227" s="55"/>
      <c r="F4227" s="178" t="s">
        <v>6167</v>
      </c>
      <c r="G4227" s="179"/>
      <c r="H4227" s="55"/>
    </row>
    <row r="4228" s="31" customFormat="1" spans="1:8">
      <c r="A4228" s="176">
        <v>4281</v>
      </c>
      <c r="B4228" s="177" t="s">
        <v>6168</v>
      </c>
      <c r="C4228" s="32">
        <f>160/30</f>
        <v>5.33333333333333</v>
      </c>
      <c r="D4228" s="55">
        <v>0</v>
      </c>
      <c r="E4228" s="55"/>
      <c r="F4228" s="178" t="s">
        <v>6169</v>
      </c>
      <c r="G4228" s="179"/>
      <c r="H4228" s="55"/>
    </row>
    <row r="4229" s="31" customFormat="1" spans="1:8">
      <c r="A4229" s="176">
        <v>4282</v>
      </c>
      <c r="B4229" s="177" t="s">
        <v>6170</v>
      </c>
      <c r="C4229" s="32">
        <f>133/30</f>
        <v>4.43333333333333</v>
      </c>
      <c r="D4229" s="55">
        <v>0</v>
      </c>
      <c r="E4229" s="55"/>
      <c r="F4229" s="178" t="s">
        <v>6171</v>
      </c>
      <c r="G4229" s="179"/>
      <c r="H4229" s="55"/>
    </row>
    <row r="4230" s="31" customFormat="1" spans="1:8">
      <c r="A4230" s="176">
        <v>4283</v>
      </c>
      <c r="B4230" s="177" t="s">
        <v>6172</v>
      </c>
      <c r="C4230" s="32">
        <f>133/30</f>
        <v>4.43333333333333</v>
      </c>
      <c r="D4230" s="55">
        <v>0</v>
      </c>
      <c r="E4230" s="55"/>
      <c r="F4230" s="178" t="s">
        <v>6173</v>
      </c>
      <c r="G4230" s="179"/>
      <c r="H4230" s="55"/>
    </row>
    <row r="4231" s="31" customFormat="1" spans="1:8">
      <c r="A4231" s="176">
        <v>4284</v>
      </c>
      <c r="B4231" s="177" t="s">
        <v>6174</v>
      </c>
      <c r="C4231" s="32">
        <v>0</v>
      </c>
      <c r="D4231" s="55">
        <v>1</v>
      </c>
      <c r="E4231" s="55"/>
      <c r="F4231" s="178" t="s">
        <v>6175</v>
      </c>
      <c r="G4231" s="179"/>
      <c r="H4231" s="55"/>
    </row>
    <row r="4232" s="31" customFormat="1" spans="1:8">
      <c r="A4232" s="176">
        <v>4285</v>
      </c>
      <c r="B4232" s="177" t="s">
        <v>6176</v>
      </c>
      <c r="C4232" s="32">
        <v>0</v>
      </c>
      <c r="D4232" s="55">
        <v>1</v>
      </c>
      <c r="E4232" s="55"/>
      <c r="F4232" s="178" t="s">
        <v>6177</v>
      </c>
      <c r="G4232" s="179"/>
      <c r="H4232" s="55"/>
    </row>
    <row r="4233" customFormat="1" spans="1:8">
      <c r="A4233" s="176">
        <v>4286</v>
      </c>
      <c r="B4233" s="177" t="s">
        <v>6178</v>
      </c>
      <c r="C4233" s="32">
        <v>14.3333333333333</v>
      </c>
      <c r="D4233" s="55">
        <v>0</v>
      </c>
      <c r="E4233" s="55"/>
      <c r="F4233" s="178" t="s">
        <v>6179</v>
      </c>
      <c r="G4233" s="160"/>
      <c r="H4233" s="2"/>
    </row>
    <row r="4234" customFormat="1" spans="1:8">
      <c r="A4234" s="176">
        <v>4287</v>
      </c>
      <c r="B4234" s="177" t="s">
        <v>6180</v>
      </c>
      <c r="C4234">
        <f>125/30</f>
        <v>4.16666666666667</v>
      </c>
      <c r="D4234" s="2">
        <v>0</v>
      </c>
      <c r="E4234" s="2"/>
      <c r="F4234" s="180" t="s">
        <v>6181</v>
      </c>
      <c r="G4234" s="160"/>
      <c r="H4234" s="2"/>
    </row>
    <row r="4235" customFormat="1" spans="1:8">
      <c r="A4235" s="176">
        <v>4288</v>
      </c>
      <c r="B4235" s="177" t="s">
        <v>6182</v>
      </c>
      <c r="C4235">
        <v>1</v>
      </c>
      <c r="D4235" s="2">
        <v>0</v>
      </c>
      <c r="E4235" s="2"/>
      <c r="F4235" s="180" t="s">
        <v>6183</v>
      </c>
      <c r="G4235" s="160"/>
      <c r="H4235" s="2"/>
    </row>
    <row r="4236" customFormat="1" spans="1:8">
      <c r="A4236" s="176">
        <v>4289</v>
      </c>
      <c r="B4236" s="177" t="s">
        <v>6184</v>
      </c>
      <c r="C4236">
        <v>1</v>
      </c>
      <c r="D4236" s="2">
        <v>0</v>
      </c>
      <c r="E4236" s="2"/>
      <c r="F4236" s="180" t="s">
        <v>6183</v>
      </c>
      <c r="G4236" s="160"/>
      <c r="H4236" s="2"/>
    </row>
    <row r="4237" customFormat="1" spans="1:8">
      <c r="A4237" s="176">
        <v>4290</v>
      </c>
      <c r="B4237" s="177" t="s">
        <v>6185</v>
      </c>
      <c r="C4237">
        <f>125/30</f>
        <v>4.16666666666667</v>
      </c>
      <c r="D4237" s="2">
        <v>0</v>
      </c>
      <c r="E4237" s="2"/>
      <c r="F4237" s="180" t="s">
        <v>6186</v>
      </c>
      <c r="G4237" s="160"/>
      <c r="H4237" s="2"/>
    </row>
    <row r="4238" customFormat="1" spans="1:8">
      <c r="A4238" s="176">
        <v>4291</v>
      </c>
      <c r="B4238" s="177" t="s">
        <v>6187</v>
      </c>
      <c r="C4238">
        <f>121/30</f>
        <v>4.03333333333333</v>
      </c>
      <c r="D4238" s="2">
        <v>0</v>
      </c>
      <c r="E4238" s="2"/>
      <c r="F4238" s="180" t="s">
        <v>6188</v>
      </c>
      <c r="G4238" s="160"/>
      <c r="H4238" s="2"/>
    </row>
    <row r="4239" customFormat="1" spans="1:8">
      <c r="A4239" s="176">
        <v>4292</v>
      </c>
      <c r="B4239" s="177" t="s">
        <v>6189</v>
      </c>
      <c r="C4239">
        <v>1</v>
      </c>
      <c r="D4239" s="2">
        <v>0</v>
      </c>
      <c r="E4239" s="2"/>
      <c r="F4239" s="180" t="s">
        <v>6190</v>
      </c>
      <c r="G4239" s="160"/>
      <c r="H4239" s="2"/>
    </row>
    <row r="4240" customFormat="1" spans="1:8">
      <c r="A4240" s="176">
        <v>4293</v>
      </c>
      <c r="B4240" s="177" t="s">
        <v>6191</v>
      </c>
      <c r="C4240">
        <f>121/30</f>
        <v>4.03333333333333</v>
      </c>
      <c r="D4240" s="2">
        <v>0</v>
      </c>
      <c r="E4240" s="2"/>
      <c r="F4240" s="180" t="s">
        <v>6192</v>
      </c>
      <c r="G4240" s="160"/>
      <c r="H4240" s="2"/>
    </row>
    <row r="4241" customFormat="1" spans="1:8">
      <c r="A4241" s="176">
        <v>4294</v>
      </c>
      <c r="B4241" s="177" t="s">
        <v>6193</v>
      </c>
      <c r="C4241">
        <f t="shared" ref="C4241:C4243" si="35">400/30</f>
        <v>13.3333333333333</v>
      </c>
      <c r="D4241" s="2">
        <v>0</v>
      </c>
      <c r="E4241" s="2"/>
      <c r="F4241" s="180" t="s">
        <v>6194</v>
      </c>
      <c r="G4241" s="160"/>
      <c r="H4241" s="2"/>
    </row>
    <row r="4242" customFormat="1" spans="1:8">
      <c r="A4242" s="176">
        <v>4295</v>
      </c>
      <c r="B4242" s="177" t="s">
        <v>6195</v>
      </c>
      <c r="C4242">
        <f t="shared" si="35"/>
        <v>13.3333333333333</v>
      </c>
      <c r="D4242" s="2">
        <v>0</v>
      </c>
      <c r="E4242" s="2"/>
      <c r="F4242" s="180" t="s">
        <v>6196</v>
      </c>
      <c r="G4242" s="160"/>
      <c r="H4242" s="2"/>
    </row>
    <row r="4243" customFormat="1" spans="1:8">
      <c r="A4243" s="176">
        <v>4296</v>
      </c>
      <c r="B4243" s="167" t="s">
        <v>6197</v>
      </c>
      <c r="C4243">
        <f>145/30</f>
        <v>4.83333333333333</v>
      </c>
      <c r="D4243" s="2">
        <v>0</v>
      </c>
      <c r="E4243" s="2"/>
      <c r="F4243" s="180" t="s">
        <v>6198</v>
      </c>
      <c r="G4243" s="160"/>
      <c r="H4243" s="2"/>
    </row>
    <row r="4244" customFormat="1" spans="1:8">
      <c r="A4244" s="176">
        <v>4297</v>
      </c>
      <c r="B4244" s="167" t="s">
        <v>6199</v>
      </c>
      <c r="C4244" s="2">
        <v>0</v>
      </c>
      <c r="D4244" s="2">
        <v>1</v>
      </c>
      <c r="E4244" s="2"/>
      <c r="F4244" s="180" t="s">
        <v>6200</v>
      </c>
      <c r="G4244" s="160"/>
      <c r="H4244" s="2"/>
    </row>
    <row r="4245" customFormat="1" spans="1:8">
      <c r="A4245" s="176">
        <v>4298</v>
      </c>
      <c r="B4245" s="177" t="s">
        <v>6201</v>
      </c>
      <c r="C4245" s="181">
        <v>2.46666666666667</v>
      </c>
      <c r="D4245" s="2">
        <v>0</v>
      </c>
      <c r="E4245" s="2"/>
      <c r="F4245" s="180" t="s">
        <v>6202</v>
      </c>
      <c r="G4245" s="160"/>
      <c r="H4245" s="2"/>
    </row>
    <row r="4246" customFormat="1" spans="1:8">
      <c r="A4246" s="176">
        <v>4299</v>
      </c>
      <c r="B4246" s="177" t="s">
        <v>6203</v>
      </c>
      <c r="C4246" s="2">
        <v>1</v>
      </c>
      <c r="D4246" s="2">
        <v>0</v>
      </c>
      <c r="E4246" s="2"/>
      <c r="F4246" s="180" t="s">
        <v>6204</v>
      </c>
      <c r="G4246" s="160"/>
      <c r="H4246" s="2"/>
    </row>
    <row r="4247" customFormat="1" spans="1:8">
      <c r="A4247" s="176">
        <v>4300</v>
      </c>
      <c r="B4247" s="177" t="s">
        <v>6205</v>
      </c>
      <c r="C4247" s="2">
        <v>1</v>
      </c>
      <c r="D4247" s="2">
        <v>0</v>
      </c>
      <c r="E4247" s="2"/>
      <c r="F4247" s="180" t="s">
        <v>6204</v>
      </c>
      <c r="G4247" s="160"/>
      <c r="H4247" s="2"/>
    </row>
    <row r="4248" customFormat="1" spans="1:8">
      <c r="A4248" s="176">
        <v>4301</v>
      </c>
      <c r="B4248" s="177" t="s">
        <v>6206</v>
      </c>
      <c r="C4248" s="181">
        <v>2</v>
      </c>
      <c r="D4248" s="2">
        <v>0</v>
      </c>
      <c r="E4248" s="2"/>
      <c r="F4248" s="180" t="s">
        <v>6207</v>
      </c>
      <c r="G4248" s="160"/>
      <c r="H4248" s="2"/>
    </row>
    <row r="4249" customFormat="1" spans="1:8">
      <c r="A4249" s="176">
        <v>4302</v>
      </c>
      <c r="B4249" s="177" t="s">
        <v>6208</v>
      </c>
      <c r="C4249" s="181">
        <v>4.33333333333333</v>
      </c>
      <c r="D4249" s="2">
        <v>0</v>
      </c>
      <c r="E4249" s="2"/>
      <c r="F4249" s="180" t="s">
        <v>6209</v>
      </c>
      <c r="G4249" s="160"/>
      <c r="H4249" s="2"/>
    </row>
    <row r="4250" customFormat="1" spans="1:8">
      <c r="A4250" s="176">
        <v>4303</v>
      </c>
      <c r="B4250" s="177" t="s">
        <v>6210</v>
      </c>
      <c r="C4250" s="2">
        <v>1</v>
      </c>
      <c r="D4250" s="2">
        <v>0</v>
      </c>
      <c r="E4250" s="2"/>
      <c r="F4250" s="180" t="s">
        <v>6211</v>
      </c>
      <c r="G4250" s="160"/>
      <c r="H4250" s="2"/>
    </row>
    <row r="4251" customFormat="1" spans="1:8">
      <c r="A4251" s="176">
        <v>4304</v>
      </c>
      <c r="B4251" s="177" t="s">
        <v>6212</v>
      </c>
      <c r="C4251" s="181">
        <v>2.96666666666667</v>
      </c>
      <c r="D4251" s="2">
        <v>0</v>
      </c>
      <c r="E4251" s="2"/>
      <c r="F4251" s="180" t="s">
        <v>6213</v>
      </c>
      <c r="G4251" s="160"/>
      <c r="H4251" s="2"/>
    </row>
    <row r="4252" customFormat="1" spans="1:8">
      <c r="A4252" s="176">
        <v>4305</v>
      </c>
      <c r="B4252" s="177" t="s">
        <v>6214</v>
      </c>
      <c r="C4252" s="2">
        <v>1</v>
      </c>
      <c r="D4252" s="2">
        <v>0</v>
      </c>
      <c r="E4252" s="2"/>
      <c r="F4252" s="180" t="s">
        <v>6215</v>
      </c>
      <c r="G4252" s="160"/>
      <c r="H4252" s="2"/>
    </row>
    <row r="4253" customFormat="1" spans="1:8">
      <c r="A4253" s="176">
        <v>4306</v>
      </c>
      <c r="B4253" s="177" t="s">
        <v>6216</v>
      </c>
      <c r="C4253" s="182">
        <v>9.166666667</v>
      </c>
      <c r="D4253" s="2">
        <v>0</v>
      </c>
      <c r="E4253" s="2"/>
      <c r="F4253" s="180" t="s">
        <v>6217</v>
      </c>
      <c r="G4253" s="160"/>
      <c r="H4253" s="2"/>
    </row>
    <row r="4254" customFormat="1" spans="1:8">
      <c r="A4254" s="176">
        <v>4308</v>
      </c>
      <c r="B4254" s="177" t="s">
        <v>6218</v>
      </c>
      <c r="C4254" s="183">
        <v>15</v>
      </c>
      <c r="D4254" s="2">
        <v>0</v>
      </c>
      <c r="E4254" s="2"/>
      <c r="F4254" s="180" t="s">
        <v>6219</v>
      </c>
      <c r="G4254" s="160"/>
      <c r="H4254" s="2"/>
    </row>
    <row r="4255" customFormat="1" spans="1:8">
      <c r="A4255" s="176">
        <v>4310</v>
      </c>
      <c r="B4255" s="177" t="s">
        <v>6220</v>
      </c>
      <c r="C4255" s="183">
        <v>15.6</v>
      </c>
      <c r="D4255" s="2">
        <v>0</v>
      </c>
      <c r="E4255" s="2"/>
      <c r="F4255" s="180" t="s">
        <v>6221</v>
      </c>
      <c r="G4255" s="160"/>
      <c r="H4255" s="2"/>
    </row>
    <row r="4256" customFormat="1" spans="1:8">
      <c r="A4256" s="176">
        <v>4312</v>
      </c>
      <c r="B4256" s="177" t="s">
        <v>6222</v>
      </c>
      <c r="C4256" s="183">
        <v>15</v>
      </c>
      <c r="D4256" s="2">
        <v>0</v>
      </c>
      <c r="E4256" s="2"/>
      <c r="F4256" s="180" t="s">
        <v>6223</v>
      </c>
      <c r="G4256" s="160"/>
      <c r="H4256" s="2"/>
    </row>
    <row r="4257" customFormat="1" spans="1:8">
      <c r="A4257" s="176">
        <v>4313</v>
      </c>
      <c r="B4257" s="177" t="s">
        <v>6224</v>
      </c>
      <c r="C4257" s="183">
        <v>15.6</v>
      </c>
      <c r="D4257" s="2">
        <v>0</v>
      </c>
      <c r="E4257" s="2"/>
      <c r="F4257" s="180" t="s">
        <v>6221</v>
      </c>
      <c r="G4257" s="160"/>
      <c r="H4257" s="2"/>
    </row>
    <row r="4258" customFormat="1" spans="1:8">
      <c r="A4258" s="176">
        <v>4314</v>
      </c>
      <c r="B4258" s="177" t="s">
        <v>6225</v>
      </c>
      <c r="C4258" s="2">
        <f>135/30</f>
        <v>4.5</v>
      </c>
      <c r="D4258" s="2">
        <v>0</v>
      </c>
      <c r="E4258" s="2"/>
      <c r="F4258" s="180" t="s">
        <v>6226</v>
      </c>
      <c r="G4258" s="160"/>
      <c r="H4258" s="2"/>
    </row>
    <row r="4259" customFormat="1" spans="1:8">
      <c r="A4259" s="176">
        <v>4315</v>
      </c>
      <c r="B4259" s="167" t="s">
        <v>6227</v>
      </c>
      <c r="C4259" s="2">
        <v>0</v>
      </c>
      <c r="D4259" s="2">
        <v>1</v>
      </c>
      <c r="E4259" s="2"/>
      <c r="F4259" s="180" t="s">
        <v>6228</v>
      </c>
      <c r="G4259" s="160"/>
      <c r="H4259" s="2"/>
    </row>
    <row r="4260" customFormat="1" spans="1:8">
      <c r="A4260" s="176">
        <v>4316</v>
      </c>
      <c r="B4260" s="167" t="s">
        <v>6229</v>
      </c>
      <c r="C4260" s="183">
        <v>15</v>
      </c>
      <c r="D4260" s="2">
        <v>0</v>
      </c>
      <c r="E4260" s="2"/>
      <c r="F4260" s="180" t="s">
        <v>6230</v>
      </c>
      <c r="G4260" s="160"/>
      <c r="H4260" s="2"/>
    </row>
    <row r="4261" customFormat="1" spans="1:8">
      <c r="A4261" s="176">
        <v>4317</v>
      </c>
      <c r="B4261" s="167" t="s">
        <v>6231</v>
      </c>
      <c r="C4261" s="183">
        <v>15.6</v>
      </c>
      <c r="D4261" s="2">
        <v>0</v>
      </c>
      <c r="E4261" s="2"/>
      <c r="F4261" s="180" t="s">
        <v>6232</v>
      </c>
      <c r="G4261" s="160"/>
      <c r="H4261" s="2"/>
    </row>
    <row r="4262" customFormat="1" spans="1:8">
      <c r="A4262" s="176">
        <v>4318</v>
      </c>
      <c r="B4262" s="177" t="s">
        <v>6233</v>
      </c>
      <c r="C4262" s="181">
        <f>368/30</f>
        <v>12.2666666666667</v>
      </c>
      <c r="D4262" s="2">
        <v>0</v>
      </c>
      <c r="E4262" s="2"/>
      <c r="F4262" s="180" t="s">
        <v>6234</v>
      </c>
      <c r="G4262" s="160"/>
      <c r="H4262" s="2"/>
    </row>
    <row r="4263" customFormat="1" spans="1:8">
      <c r="A4263" s="176">
        <v>4319</v>
      </c>
      <c r="B4263" s="177" t="s">
        <v>6235</v>
      </c>
      <c r="C4263" s="181">
        <f>368/30</f>
        <v>12.2666666666667</v>
      </c>
      <c r="D4263" s="2">
        <v>0</v>
      </c>
      <c r="E4263" s="2"/>
      <c r="F4263" s="180" t="s">
        <v>6236</v>
      </c>
      <c r="G4263" s="160"/>
      <c r="H4263" s="2"/>
    </row>
    <row r="4264" customFormat="1" spans="1:8">
      <c r="A4264" s="176">
        <v>4320</v>
      </c>
      <c r="B4264" s="167" t="s">
        <v>6237</v>
      </c>
      <c r="C4264" s="183">
        <v>15.6</v>
      </c>
      <c r="D4264" s="2">
        <v>0</v>
      </c>
      <c r="E4264" s="2"/>
      <c r="F4264" s="180" t="s">
        <v>6238</v>
      </c>
      <c r="G4264" s="160"/>
      <c r="H4264" s="2"/>
    </row>
    <row r="4265" customFormat="1" spans="1:8">
      <c r="A4265" s="176">
        <v>4321</v>
      </c>
      <c r="B4265" s="177" t="s">
        <v>6239</v>
      </c>
      <c r="C4265" s="181">
        <f>74/30</f>
        <v>2.46666666666667</v>
      </c>
      <c r="D4265" s="2">
        <v>0</v>
      </c>
      <c r="E4265" s="2"/>
      <c r="F4265" s="180" t="s">
        <v>6240</v>
      </c>
      <c r="G4265" s="160"/>
      <c r="H4265" s="2"/>
    </row>
    <row r="4266" customFormat="1" spans="1:8">
      <c r="A4266" s="176">
        <v>4322</v>
      </c>
      <c r="B4266" s="177" t="s">
        <v>6241</v>
      </c>
      <c r="C4266" s="2">
        <v>1</v>
      </c>
      <c r="D4266" s="2">
        <v>0</v>
      </c>
      <c r="E4266" s="2"/>
      <c r="F4266" s="180" t="s">
        <v>6242</v>
      </c>
      <c r="G4266" s="160"/>
      <c r="H4266" s="2"/>
    </row>
    <row r="4267" customFormat="1" spans="1:8">
      <c r="A4267" s="176">
        <v>4323</v>
      </c>
      <c r="B4267" s="177" t="s">
        <v>6243</v>
      </c>
      <c r="C4267" s="2">
        <v>1</v>
      </c>
      <c r="D4267" s="2">
        <v>0</v>
      </c>
      <c r="E4267" s="2"/>
      <c r="F4267" s="180" t="s">
        <v>6242</v>
      </c>
      <c r="G4267" s="160"/>
      <c r="H4267" s="2"/>
    </row>
    <row r="4268" customFormat="1" spans="1:8">
      <c r="A4268" s="176">
        <v>4324</v>
      </c>
      <c r="B4268" s="177" t="s">
        <v>6244</v>
      </c>
      <c r="C4268" s="181">
        <v>4.83</v>
      </c>
      <c r="D4268" s="2">
        <v>0</v>
      </c>
      <c r="E4268" s="2"/>
      <c r="F4268" s="180" t="s">
        <v>6245</v>
      </c>
      <c r="G4268" s="160"/>
      <c r="H4268" s="2"/>
    </row>
    <row r="4269" customFormat="1" spans="1:8">
      <c r="A4269" s="176">
        <v>4325</v>
      </c>
      <c r="B4269" s="177" t="s">
        <v>6246</v>
      </c>
      <c r="C4269" s="31">
        <f>(75+15+13)/30</f>
        <v>3.43333333333333</v>
      </c>
      <c r="D4269" s="2">
        <v>0</v>
      </c>
      <c r="E4269" s="2"/>
      <c r="F4269" s="180" t="s">
        <v>6247</v>
      </c>
      <c r="G4269" s="160"/>
      <c r="H4269" s="2"/>
    </row>
    <row r="4270" customFormat="1" spans="1:8">
      <c r="A4270" s="176">
        <v>4326</v>
      </c>
      <c r="B4270" s="177" t="s">
        <v>6248</v>
      </c>
      <c r="C4270" s="2">
        <v>1</v>
      </c>
      <c r="D4270" s="2">
        <v>0</v>
      </c>
      <c r="E4270" s="2"/>
      <c r="F4270" s="180" t="s">
        <v>6249</v>
      </c>
      <c r="G4270" s="160"/>
      <c r="H4270" s="2"/>
    </row>
    <row r="4271" customFormat="1" spans="1:8">
      <c r="A4271" s="176">
        <v>4327</v>
      </c>
      <c r="B4271" s="177" t="s">
        <v>6250</v>
      </c>
      <c r="C4271" s="2">
        <v>2.7</v>
      </c>
      <c r="D4271" s="2">
        <v>0</v>
      </c>
      <c r="E4271" s="2"/>
      <c r="F4271" s="180" t="s">
        <v>6249</v>
      </c>
      <c r="G4271" s="160"/>
      <c r="H4271" s="2"/>
    </row>
    <row r="4272" customFormat="1" spans="1:8">
      <c r="A4272" s="176">
        <v>4328</v>
      </c>
      <c r="B4272" s="177" t="s">
        <v>6251</v>
      </c>
      <c r="C4272" s="181">
        <f>380/30</f>
        <v>12.6666666666667</v>
      </c>
      <c r="D4272" s="2">
        <v>0</v>
      </c>
      <c r="E4272" s="2"/>
      <c r="F4272" s="180" t="s">
        <v>6252</v>
      </c>
      <c r="G4272" s="160"/>
      <c r="H4272" s="2"/>
    </row>
    <row r="4273" customFormat="1" spans="1:8">
      <c r="A4273" s="176">
        <v>4329</v>
      </c>
      <c r="B4273" s="177" t="s">
        <v>6253</v>
      </c>
      <c r="C4273" s="181">
        <f>270/30</f>
        <v>9</v>
      </c>
      <c r="D4273" s="2">
        <v>0</v>
      </c>
      <c r="E4273" s="2"/>
      <c r="F4273" s="180" t="s">
        <v>6254</v>
      </c>
      <c r="G4273" s="160"/>
      <c r="H4273" s="2"/>
    </row>
    <row r="4274" customFormat="1" spans="1:8">
      <c r="A4274" s="176">
        <v>4330</v>
      </c>
      <c r="B4274" s="177" t="s">
        <v>6255</v>
      </c>
      <c r="C4274" s="181">
        <f>424/30</f>
        <v>14.1333333333333</v>
      </c>
      <c r="D4274" s="2">
        <v>0</v>
      </c>
      <c r="E4274" s="2"/>
      <c r="F4274" s="180" t="s">
        <v>6256</v>
      </c>
      <c r="G4274" s="160"/>
      <c r="H4274" s="2"/>
    </row>
    <row r="4275" customFormat="1" spans="1:8">
      <c r="A4275" s="176">
        <v>4331</v>
      </c>
      <c r="B4275" s="177" t="s">
        <v>6257</v>
      </c>
      <c r="C4275" s="181">
        <f>129/30</f>
        <v>4.3</v>
      </c>
      <c r="D4275" s="2">
        <v>0</v>
      </c>
      <c r="E4275" s="2"/>
      <c r="F4275" s="180" t="s">
        <v>6258</v>
      </c>
      <c r="G4275" s="160"/>
      <c r="H4275" s="2"/>
    </row>
    <row r="4276" customFormat="1" spans="1:8">
      <c r="A4276" s="176">
        <v>4332</v>
      </c>
      <c r="B4276" s="177" t="s">
        <v>6259</v>
      </c>
      <c r="C4276" s="2">
        <v>1</v>
      </c>
      <c r="D4276" s="2">
        <v>0</v>
      </c>
      <c r="E4276" s="2"/>
      <c r="F4276" s="180" t="s">
        <v>6260</v>
      </c>
      <c r="G4276" s="160"/>
      <c r="H4276" s="2"/>
    </row>
    <row r="4277" customFormat="1" spans="1:8">
      <c r="A4277" s="176">
        <v>4333</v>
      </c>
      <c r="B4277" s="177" t="s">
        <v>6261</v>
      </c>
      <c r="C4277" s="181">
        <f>80/30</f>
        <v>2.66666666666667</v>
      </c>
      <c r="D4277" s="2">
        <v>0</v>
      </c>
      <c r="E4277" s="2"/>
      <c r="F4277" s="180" t="s">
        <v>6262</v>
      </c>
      <c r="G4277" s="160"/>
      <c r="H4277" s="2"/>
    </row>
    <row r="4278" customFormat="1" spans="1:8">
      <c r="A4278" s="176">
        <v>4334</v>
      </c>
      <c r="B4278" s="177" t="s">
        <v>6263</v>
      </c>
      <c r="C4278" s="2">
        <v>1</v>
      </c>
      <c r="D4278" s="2">
        <v>0</v>
      </c>
      <c r="E4278" s="2"/>
      <c r="F4278" s="180" t="s">
        <v>6264</v>
      </c>
      <c r="G4278" s="160"/>
      <c r="H4278" s="2"/>
    </row>
    <row r="4279" customFormat="1" spans="1:8">
      <c r="A4279" s="176">
        <v>4335</v>
      </c>
      <c r="B4279" s="177" t="s">
        <v>6265</v>
      </c>
      <c r="C4279" s="181">
        <f>125/30</f>
        <v>4.16666666666667</v>
      </c>
      <c r="D4279" s="2">
        <v>0</v>
      </c>
      <c r="E4279" s="2"/>
      <c r="F4279" s="180" t="s">
        <v>6266</v>
      </c>
      <c r="G4279" s="160"/>
      <c r="H4279" s="2"/>
    </row>
    <row r="4280" customFormat="1" spans="1:8">
      <c r="A4280" s="176">
        <v>4336</v>
      </c>
      <c r="B4280" s="177" t="s">
        <v>6267</v>
      </c>
      <c r="C4280" s="181">
        <f t="shared" ref="C4280:C4282" si="36">368/30</f>
        <v>12.2666666666667</v>
      </c>
      <c r="D4280" s="2">
        <v>0</v>
      </c>
      <c r="E4280" s="2"/>
      <c r="F4280" s="180" t="s">
        <v>6268</v>
      </c>
      <c r="G4280" s="160"/>
      <c r="H4280" s="2"/>
    </row>
    <row r="4281" customFormat="1" spans="1:8">
      <c r="A4281" s="176">
        <v>4337</v>
      </c>
      <c r="B4281" s="177" t="s">
        <v>6269</v>
      </c>
      <c r="C4281" s="181">
        <f t="shared" si="36"/>
        <v>12.2666666666667</v>
      </c>
      <c r="D4281" s="2">
        <v>0</v>
      </c>
      <c r="E4281" s="2"/>
      <c r="F4281" s="180" t="s">
        <v>6270</v>
      </c>
      <c r="G4281" s="160"/>
      <c r="H4281" s="2"/>
    </row>
    <row r="4282" customFormat="1" spans="1:8">
      <c r="A4282" s="176">
        <v>4338</v>
      </c>
      <c r="B4282" s="177" t="s">
        <v>6271</v>
      </c>
      <c r="C4282" s="181">
        <f t="shared" si="36"/>
        <v>12.2666666666667</v>
      </c>
      <c r="D4282" s="2">
        <v>0</v>
      </c>
      <c r="E4282" s="2"/>
      <c r="F4282" s="180" t="s">
        <v>6270</v>
      </c>
      <c r="G4282" s="160"/>
      <c r="H4282" s="2"/>
    </row>
    <row r="4283" customFormat="1" spans="1:8">
      <c r="A4283" s="176">
        <v>4339</v>
      </c>
      <c r="B4283" s="177" t="s">
        <v>6272</v>
      </c>
      <c r="C4283" s="2">
        <v>0</v>
      </c>
      <c r="D4283" s="2">
        <v>1</v>
      </c>
      <c r="E4283" s="2"/>
      <c r="F4283" s="180" t="s">
        <v>6273</v>
      </c>
      <c r="G4283" s="160"/>
      <c r="H4283" s="2"/>
    </row>
    <row r="4284" customFormat="1" spans="1:8">
      <c r="A4284" s="176">
        <v>4340</v>
      </c>
      <c r="B4284" s="177" t="s">
        <v>6274</v>
      </c>
      <c r="C4284" s="181">
        <f t="shared" ref="C4284:C4286" si="37">380/30</f>
        <v>12.6666666666667</v>
      </c>
      <c r="D4284" s="2">
        <v>0</v>
      </c>
      <c r="E4284" s="2"/>
      <c r="F4284" s="180" t="s">
        <v>6275</v>
      </c>
      <c r="G4284" s="160"/>
      <c r="H4284" s="2"/>
    </row>
    <row r="4285" customFormat="1" spans="1:8">
      <c r="A4285" s="176">
        <v>4341</v>
      </c>
      <c r="B4285" s="177" t="s">
        <v>6276</v>
      </c>
      <c r="C4285" s="181">
        <f>86/30</f>
        <v>2.86666666666667</v>
      </c>
      <c r="D4285" s="2">
        <v>0</v>
      </c>
      <c r="E4285" s="2"/>
      <c r="F4285" s="180" t="s">
        <v>6277</v>
      </c>
      <c r="G4285" s="160"/>
      <c r="H4285" s="2"/>
    </row>
    <row r="4286" customFormat="1" spans="1:8">
      <c r="A4286" s="176">
        <v>4342</v>
      </c>
      <c r="B4286" s="177" t="s">
        <v>6278</v>
      </c>
      <c r="C4286" s="181">
        <f>86/30</f>
        <v>2.86666666666667</v>
      </c>
      <c r="D4286" s="2">
        <v>0</v>
      </c>
      <c r="E4286" s="2"/>
      <c r="F4286" s="180" t="s">
        <v>6279</v>
      </c>
      <c r="G4286" s="160"/>
      <c r="H4286" s="2"/>
    </row>
    <row r="4287" customFormat="1" spans="1:8">
      <c r="A4287" s="176">
        <v>4343</v>
      </c>
      <c r="B4287" s="177" t="s">
        <v>6280</v>
      </c>
      <c r="C4287" s="2">
        <v>1</v>
      </c>
      <c r="D4287" s="2">
        <v>0</v>
      </c>
      <c r="E4287" s="2"/>
      <c r="F4287" s="180" t="s">
        <v>6281</v>
      </c>
      <c r="G4287" s="160"/>
      <c r="H4287" s="2"/>
    </row>
    <row r="4288" customFormat="1" spans="1:8">
      <c r="A4288" s="176">
        <v>4344</v>
      </c>
      <c r="B4288" s="177" t="s">
        <v>6282</v>
      </c>
      <c r="C4288" s="2">
        <v>1</v>
      </c>
      <c r="D4288" s="2">
        <v>0</v>
      </c>
      <c r="E4288" s="2"/>
      <c r="F4288" s="180" t="s">
        <v>6283</v>
      </c>
      <c r="G4288" s="160"/>
      <c r="H4288" s="2"/>
    </row>
    <row r="4289" customFormat="1" spans="1:8">
      <c r="A4289" s="176">
        <v>4345</v>
      </c>
      <c r="B4289" s="177" t="s">
        <v>6284</v>
      </c>
      <c r="C4289" s="181">
        <f>154/30</f>
        <v>5.13333333333333</v>
      </c>
      <c r="D4289" s="2">
        <v>0</v>
      </c>
      <c r="E4289" s="2"/>
      <c r="F4289" s="180" t="s">
        <v>6285</v>
      </c>
      <c r="G4289" s="160"/>
      <c r="H4289" s="2"/>
    </row>
    <row r="4290" customFormat="1" spans="1:8">
      <c r="A4290" s="176">
        <v>4346</v>
      </c>
      <c r="B4290" s="177" t="s">
        <v>6286</v>
      </c>
      <c r="C4290" s="2">
        <v>0</v>
      </c>
      <c r="D4290" s="2">
        <v>1</v>
      </c>
      <c r="E4290" s="2"/>
      <c r="F4290" s="180" t="s">
        <v>6287</v>
      </c>
      <c r="G4290" s="160"/>
      <c r="H4290" s="2"/>
    </row>
    <row r="4291" customFormat="1" spans="1:8">
      <c r="A4291" s="176">
        <v>4347</v>
      </c>
      <c r="B4291" s="177" t="s">
        <v>6288</v>
      </c>
      <c r="C4291" s="181">
        <f>194/30</f>
        <v>6.46666666666667</v>
      </c>
      <c r="D4291" s="2">
        <v>0</v>
      </c>
      <c r="E4291" s="2"/>
      <c r="F4291" s="180" t="s">
        <v>6289</v>
      </c>
      <c r="G4291" s="160"/>
      <c r="H4291" s="2"/>
    </row>
    <row r="4292" customFormat="1" spans="1:8">
      <c r="A4292" s="176">
        <v>4348</v>
      </c>
      <c r="B4292" s="177" t="s">
        <v>6290</v>
      </c>
      <c r="C4292" s="181">
        <f t="shared" ref="C4292:C4294" si="38">300/30</f>
        <v>10</v>
      </c>
      <c r="D4292" s="2">
        <v>0</v>
      </c>
      <c r="E4292" s="2"/>
      <c r="F4292" s="180" t="s">
        <v>6291</v>
      </c>
      <c r="G4292" s="160"/>
      <c r="H4292" s="2"/>
    </row>
    <row r="4293" customFormat="1" spans="1:8">
      <c r="A4293" s="176">
        <v>4349</v>
      </c>
      <c r="B4293" s="167" t="s">
        <v>6292</v>
      </c>
      <c r="C4293" s="181">
        <f t="shared" si="38"/>
        <v>10</v>
      </c>
      <c r="D4293" s="2">
        <v>0</v>
      </c>
      <c r="E4293" s="2"/>
      <c r="F4293" s="180" t="s">
        <v>6291</v>
      </c>
      <c r="G4293" s="160"/>
      <c r="H4293" s="2"/>
    </row>
    <row r="4294" customFormat="1" spans="1:8">
      <c r="A4294" s="176">
        <v>4350</v>
      </c>
      <c r="B4294" s="167" t="s">
        <v>6293</v>
      </c>
      <c r="C4294" s="181">
        <f t="shared" si="38"/>
        <v>10</v>
      </c>
      <c r="D4294" s="2">
        <v>0</v>
      </c>
      <c r="E4294" s="2"/>
      <c r="F4294" s="180" t="s">
        <v>6291</v>
      </c>
      <c r="G4294" s="160"/>
      <c r="H4294" s="2"/>
    </row>
    <row r="4295" s="32" customFormat="1" spans="1:8">
      <c r="A4295" s="184">
        <v>4351</v>
      </c>
      <c r="B4295" s="185" t="s">
        <v>6294</v>
      </c>
      <c r="C4295" s="32">
        <v>2.9</v>
      </c>
      <c r="D4295" s="51">
        <v>0</v>
      </c>
      <c r="E4295" s="51"/>
      <c r="F4295" s="186" t="s">
        <v>6295</v>
      </c>
      <c r="G4295" s="187"/>
      <c r="H4295" s="51"/>
    </row>
    <row r="4296" s="32" customFormat="1" spans="1:8">
      <c r="A4296" s="184">
        <v>4352</v>
      </c>
      <c r="B4296" s="185" t="s">
        <v>6296</v>
      </c>
      <c r="C4296" s="32">
        <v>2.9</v>
      </c>
      <c r="D4296" s="51">
        <v>0</v>
      </c>
      <c r="E4296" s="51"/>
      <c r="F4296" s="186" t="s">
        <v>6297</v>
      </c>
      <c r="G4296" s="187"/>
      <c r="H4296" s="51"/>
    </row>
    <row r="4297" s="32" customFormat="1" spans="1:8">
      <c r="A4297" s="184">
        <v>4353</v>
      </c>
      <c r="B4297" s="185" t="s">
        <v>6298</v>
      </c>
      <c r="C4297" s="51">
        <v>1</v>
      </c>
      <c r="D4297" s="51">
        <v>0</v>
      </c>
      <c r="E4297" s="51"/>
      <c r="F4297" s="186" t="s">
        <v>6299</v>
      </c>
      <c r="G4297" s="187"/>
      <c r="H4297" s="51"/>
    </row>
    <row r="4298" s="32" customFormat="1" spans="1:8">
      <c r="A4298" s="184">
        <v>4354</v>
      </c>
      <c r="B4298" s="185" t="s">
        <v>6300</v>
      </c>
      <c r="C4298" s="51">
        <v>0</v>
      </c>
      <c r="D4298" s="51">
        <v>1</v>
      </c>
      <c r="E4298" s="51"/>
      <c r="F4298" s="186" t="s">
        <v>6301</v>
      </c>
      <c r="G4298" s="187"/>
      <c r="H4298" s="51"/>
    </row>
    <row r="4299" s="32" customFormat="1" spans="1:8">
      <c r="A4299" s="184">
        <v>4355</v>
      </c>
      <c r="B4299" s="185" t="s">
        <v>6302</v>
      </c>
      <c r="C4299" s="51">
        <v>0</v>
      </c>
      <c r="D4299" s="51">
        <v>1</v>
      </c>
      <c r="E4299" s="51"/>
      <c r="F4299" s="186" t="s">
        <v>6301</v>
      </c>
      <c r="G4299" s="187"/>
      <c r="H4299" s="51"/>
    </row>
    <row r="4300" s="32" customFormat="1" spans="1:8">
      <c r="A4300" s="184">
        <v>4356</v>
      </c>
      <c r="B4300" s="185" t="s">
        <v>6303</v>
      </c>
      <c r="C4300" s="32">
        <v>2.5</v>
      </c>
      <c r="D4300" s="51">
        <v>0</v>
      </c>
      <c r="E4300" s="51"/>
      <c r="F4300" s="186" t="s">
        <v>6304</v>
      </c>
      <c r="G4300" s="187"/>
      <c r="H4300" s="51"/>
    </row>
    <row r="4301" s="32" customFormat="1" spans="1:8">
      <c r="A4301" s="184">
        <v>4357</v>
      </c>
      <c r="B4301" s="185" t="s">
        <v>6305</v>
      </c>
      <c r="C4301" s="51">
        <v>1</v>
      </c>
      <c r="D4301" s="51">
        <v>0</v>
      </c>
      <c r="E4301" s="51"/>
      <c r="F4301" s="186" t="s">
        <v>6306</v>
      </c>
      <c r="G4301" s="187"/>
      <c r="H4301" s="51"/>
    </row>
    <row r="4302" s="32" customFormat="1" spans="1:8">
      <c r="A4302" s="184">
        <v>4358</v>
      </c>
      <c r="B4302" s="185" t="s">
        <v>6307</v>
      </c>
      <c r="C4302" s="32">
        <v>3.83333333333333</v>
      </c>
      <c r="D4302" s="51">
        <v>0</v>
      </c>
      <c r="E4302" s="51"/>
      <c r="F4302" s="186" t="s">
        <v>6308</v>
      </c>
      <c r="G4302" s="187"/>
      <c r="H4302" s="51"/>
    </row>
    <row r="4303" s="32" customFormat="1" spans="1:8">
      <c r="A4303" s="184">
        <v>4359</v>
      </c>
      <c r="B4303" s="185" t="s">
        <v>6309</v>
      </c>
      <c r="C4303" s="32">
        <v>2</v>
      </c>
      <c r="D4303" s="51">
        <v>0</v>
      </c>
      <c r="E4303" s="51"/>
      <c r="F4303" s="186" t="s">
        <v>6310</v>
      </c>
      <c r="G4303" s="187"/>
      <c r="H4303" s="51"/>
    </row>
    <row r="4304" s="32" customFormat="1" spans="1:8">
      <c r="A4304" s="184">
        <v>4360</v>
      </c>
      <c r="B4304" s="185" t="s">
        <v>6311</v>
      </c>
      <c r="C4304" s="32">
        <v>2.83333333333333</v>
      </c>
      <c r="D4304" s="51">
        <v>0</v>
      </c>
      <c r="E4304" s="51"/>
      <c r="F4304" s="186" t="s">
        <v>6312</v>
      </c>
      <c r="G4304" s="187"/>
      <c r="H4304" s="51"/>
    </row>
    <row r="4305" s="32" customFormat="1" spans="1:8">
      <c r="A4305" s="184">
        <v>4361</v>
      </c>
      <c r="B4305" s="185" t="s">
        <v>6313</v>
      </c>
      <c r="C4305" s="32">
        <v>2.83333333333333</v>
      </c>
      <c r="D4305" s="51">
        <v>0</v>
      </c>
      <c r="E4305" s="51"/>
      <c r="F4305" s="186" t="s">
        <v>6314</v>
      </c>
      <c r="G4305" s="187"/>
      <c r="H4305" s="51"/>
    </row>
    <row r="4306" s="32" customFormat="1" spans="1:8">
      <c r="A4306" s="184">
        <v>4362</v>
      </c>
      <c r="B4306" s="185" t="s">
        <v>6315</v>
      </c>
      <c r="C4306" s="51">
        <v>0</v>
      </c>
      <c r="D4306" s="51">
        <v>1</v>
      </c>
      <c r="E4306" s="51"/>
      <c r="F4306" s="186" t="s">
        <v>6316</v>
      </c>
      <c r="G4306" s="187"/>
      <c r="H4306" s="51"/>
    </row>
    <row r="4307" s="32" customFormat="1" spans="1:8">
      <c r="A4307" s="184">
        <v>4363</v>
      </c>
      <c r="B4307" s="185" t="s">
        <v>6317</v>
      </c>
      <c r="C4307" s="32">
        <v>10.5666666666667</v>
      </c>
      <c r="D4307" s="51">
        <v>0</v>
      </c>
      <c r="E4307" s="51"/>
      <c r="F4307" s="186" t="s">
        <v>6318</v>
      </c>
      <c r="G4307" s="187"/>
      <c r="H4307" s="51"/>
    </row>
    <row r="4308" s="32" customFormat="1" spans="1:8">
      <c r="A4308" s="184">
        <v>4364</v>
      </c>
      <c r="B4308" s="185" t="s">
        <v>6319</v>
      </c>
      <c r="C4308" s="32">
        <v>13.2</v>
      </c>
      <c r="D4308" s="51">
        <v>0</v>
      </c>
      <c r="E4308" s="51"/>
      <c r="F4308" s="186" t="s">
        <v>6320</v>
      </c>
      <c r="G4308" s="187"/>
      <c r="H4308" s="51"/>
    </row>
    <row r="4309" s="32" customFormat="1" spans="1:8">
      <c r="A4309" s="184">
        <v>4365</v>
      </c>
      <c r="B4309" s="185" t="s">
        <v>6321</v>
      </c>
      <c r="C4309" s="32">
        <v>10.6666666666667</v>
      </c>
      <c r="D4309" s="51">
        <v>0</v>
      </c>
      <c r="E4309" s="51"/>
      <c r="F4309" s="186" t="s">
        <v>6322</v>
      </c>
      <c r="G4309" s="187"/>
      <c r="H4309" s="51"/>
    </row>
    <row r="4310" s="32" customFormat="1" spans="1:8">
      <c r="A4310" s="184">
        <v>4366</v>
      </c>
      <c r="B4310" s="188" t="s">
        <v>6323</v>
      </c>
      <c r="C4310" s="51">
        <f>138/30</f>
        <v>4.6</v>
      </c>
      <c r="D4310" s="51">
        <v>0</v>
      </c>
      <c r="E4310" s="51"/>
      <c r="F4310" s="186" t="s">
        <v>6324</v>
      </c>
      <c r="G4310" s="187"/>
      <c r="H4310" s="51"/>
    </row>
    <row r="4311" s="32" customFormat="1" spans="1:8">
      <c r="A4311" s="184">
        <v>4367</v>
      </c>
      <c r="B4311" s="188" t="s">
        <v>6325</v>
      </c>
      <c r="C4311" s="51">
        <v>0</v>
      </c>
      <c r="D4311" s="51">
        <v>1</v>
      </c>
      <c r="E4311" s="51"/>
      <c r="F4311" s="186" t="s">
        <v>6326</v>
      </c>
      <c r="G4311" s="187"/>
      <c r="H4311" s="51"/>
    </row>
    <row r="4312" s="31" customFormat="1" spans="1:8">
      <c r="A4312" s="176">
        <v>4368</v>
      </c>
      <c r="B4312" s="31" t="s">
        <v>6327</v>
      </c>
      <c r="C4312" s="55">
        <f t="shared" ref="C4312:C4315" si="39">93/30</f>
        <v>3.1</v>
      </c>
      <c r="D4312" s="55">
        <v>0</v>
      </c>
      <c r="E4312" s="55"/>
      <c r="F4312" s="178" t="s">
        <v>6328</v>
      </c>
      <c r="G4312" s="179"/>
      <c r="H4312" s="55"/>
    </row>
    <row r="4313" s="31" customFormat="1" spans="1:8">
      <c r="A4313" s="176">
        <v>4369</v>
      </c>
      <c r="B4313" s="31" t="s">
        <v>6329</v>
      </c>
      <c r="C4313" s="55">
        <f t="shared" si="39"/>
        <v>3.1</v>
      </c>
      <c r="D4313" s="55">
        <v>0</v>
      </c>
      <c r="E4313" s="55"/>
      <c r="F4313" s="178" t="s">
        <v>6328</v>
      </c>
      <c r="G4313" s="179"/>
      <c r="H4313" s="55"/>
    </row>
    <row r="4314" s="31" customFormat="1" spans="1:8">
      <c r="A4314" s="176">
        <v>4370</v>
      </c>
      <c r="B4314" s="31" t="s">
        <v>6330</v>
      </c>
      <c r="C4314" s="55">
        <v>1</v>
      </c>
      <c r="D4314" s="55">
        <v>0</v>
      </c>
      <c r="E4314" s="55"/>
      <c r="F4314" s="178" t="s">
        <v>6328</v>
      </c>
      <c r="G4314" s="179"/>
      <c r="H4314" s="55"/>
    </row>
    <row r="4315" s="31" customFormat="1" spans="1:8">
      <c r="A4315" s="176">
        <v>4371</v>
      </c>
      <c r="B4315" s="31" t="s">
        <v>6331</v>
      </c>
      <c r="C4315" s="55">
        <f t="shared" si="39"/>
        <v>3.1</v>
      </c>
      <c r="D4315" s="55">
        <v>0</v>
      </c>
      <c r="E4315" s="55"/>
      <c r="F4315" s="178" t="s">
        <v>6332</v>
      </c>
      <c r="G4315" s="179"/>
      <c r="H4315" s="55"/>
    </row>
    <row r="4316" s="31" customFormat="1" spans="1:8">
      <c r="A4316" s="176">
        <v>4372</v>
      </c>
      <c r="B4316" s="31" t="s">
        <v>6333</v>
      </c>
      <c r="C4316" s="55">
        <f>120/30</f>
        <v>4</v>
      </c>
      <c r="D4316" s="55">
        <v>0</v>
      </c>
      <c r="E4316" s="55"/>
      <c r="F4316" s="178" t="s">
        <v>6334</v>
      </c>
      <c r="G4316" s="179"/>
      <c r="H4316" s="55"/>
    </row>
    <row r="4317" s="31" customFormat="1" spans="1:8">
      <c r="A4317" s="176">
        <v>4373</v>
      </c>
      <c r="B4317" s="31" t="s">
        <v>6335</v>
      </c>
      <c r="C4317" s="55">
        <f>120/30</f>
        <v>4</v>
      </c>
      <c r="D4317" s="55">
        <v>0</v>
      </c>
      <c r="E4317" s="55"/>
      <c r="F4317" s="178" t="s">
        <v>6334</v>
      </c>
      <c r="G4317" s="179"/>
      <c r="H4317" s="55"/>
    </row>
    <row r="4318" s="31" customFormat="1" spans="1:8">
      <c r="A4318" s="176">
        <v>4374</v>
      </c>
      <c r="B4318" s="31" t="s">
        <v>6336</v>
      </c>
      <c r="C4318" s="55">
        <f t="shared" ref="C4318:C4321" si="40">115/30</f>
        <v>3.83333333333333</v>
      </c>
      <c r="D4318" s="55">
        <v>0</v>
      </c>
      <c r="E4318" s="55"/>
      <c r="F4318" s="178" t="s">
        <v>6337</v>
      </c>
      <c r="G4318" s="179"/>
      <c r="H4318" s="55"/>
    </row>
    <row r="4319" s="31" customFormat="1" spans="1:8">
      <c r="A4319" s="176">
        <v>4375</v>
      </c>
      <c r="B4319" s="31" t="s">
        <v>6338</v>
      </c>
      <c r="C4319" s="55">
        <f t="shared" si="40"/>
        <v>3.83333333333333</v>
      </c>
      <c r="D4319" s="55">
        <v>0</v>
      </c>
      <c r="E4319" s="55"/>
      <c r="F4319" s="178" t="s">
        <v>6337</v>
      </c>
      <c r="G4319" s="179"/>
      <c r="H4319" s="55"/>
    </row>
    <row r="4320" s="31" customFormat="1" spans="1:8">
      <c r="A4320" s="176">
        <v>4376</v>
      </c>
      <c r="B4320" s="31" t="s">
        <v>6339</v>
      </c>
      <c r="C4320" s="55">
        <f t="shared" si="40"/>
        <v>3.83333333333333</v>
      </c>
      <c r="D4320" s="55">
        <v>0</v>
      </c>
      <c r="E4320" s="55"/>
      <c r="F4320" s="178" t="s">
        <v>6337</v>
      </c>
      <c r="G4320" s="179"/>
      <c r="H4320" s="55"/>
    </row>
    <row r="4321" s="31" customFormat="1" spans="1:8">
      <c r="A4321" s="176">
        <v>4377</v>
      </c>
      <c r="B4321" s="189" t="s">
        <v>6340</v>
      </c>
      <c r="C4321" s="55">
        <f>135/30</f>
        <v>4.5</v>
      </c>
      <c r="D4321" s="55">
        <v>0</v>
      </c>
      <c r="E4321" s="55"/>
      <c r="F4321" s="178" t="s">
        <v>6337</v>
      </c>
      <c r="G4321" s="179"/>
      <c r="H4321" s="55"/>
    </row>
    <row r="4322" s="31" customFormat="1" spans="1:8">
      <c r="A4322" s="176">
        <v>4378</v>
      </c>
      <c r="B4322" s="189" t="s">
        <v>6341</v>
      </c>
      <c r="C4322" s="55">
        <f>215/30</f>
        <v>7.16666666666667</v>
      </c>
      <c r="D4322" s="55">
        <v>0</v>
      </c>
      <c r="E4322" s="55"/>
      <c r="F4322" s="178" t="s">
        <v>6342</v>
      </c>
      <c r="G4322" s="179"/>
      <c r="H4322" s="55"/>
    </row>
    <row r="4323" s="31" customFormat="1" spans="1:8">
      <c r="A4323" s="176">
        <v>4379</v>
      </c>
      <c r="B4323" s="189" t="s">
        <v>6343</v>
      </c>
      <c r="C4323" s="55">
        <f>128/30</f>
        <v>4.26666666666667</v>
      </c>
      <c r="D4323" s="55">
        <v>0</v>
      </c>
      <c r="E4323" s="55"/>
      <c r="F4323" s="178" t="s">
        <v>6344</v>
      </c>
      <c r="G4323" s="179"/>
      <c r="H4323" s="55"/>
    </row>
    <row r="4324" s="31" customFormat="1" spans="1:8">
      <c r="A4324" s="176">
        <v>4380</v>
      </c>
      <c r="B4324" s="189" t="s">
        <v>6345</v>
      </c>
      <c r="C4324" s="55">
        <f>98/30</f>
        <v>3.26666666666667</v>
      </c>
      <c r="D4324" s="55">
        <v>0</v>
      </c>
      <c r="E4324" s="55"/>
      <c r="F4324" s="178" t="s">
        <v>6344</v>
      </c>
      <c r="G4324" s="179"/>
      <c r="H4324" s="55"/>
    </row>
    <row r="4325" s="31" customFormat="1" spans="1:8">
      <c r="A4325" s="176">
        <v>4381</v>
      </c>
      <c r="B4325" s="189" t="s">
        <v>6346</v>
      </c>
      <c r="C4325" s="55">
        <f t="shared" ref="C4325:C4327" si="41">240/30</f>
        <v>8</v>
      </c>
      <c r="D4325" s="55">
        <v>0</v>
      </c>
      <c r="E4325" s="55"/>
      <c r="F4325" s="178" t="s">
        <v>6347</v>
      </c>
      <c r="G4325" s="179"/>
      <c r="H4325" s="55"/>
    </row>
    <row r="4326" s="31" customFormat="1" spans="1:8">
      <c r="A4326" s="176">
        <v>4382</v>
      </c>
      <c r="B4326" s="189" t="s">
        <v>6348</v>
      </c>
      <c r="C4326" s="55">
        <f t="shared" si="41"/>
        <v>8</v>
      </c>
      <c r="D4326" s="55">
        <v>0</v>
      </c>
      <c r="E4326" s="55"/>
      <c r="F4326" s="178" t="s">
        <v>6347</v>
      </c>
      <c r="G4326" s="179"/>
      <c r="H4326" s="55"/>
    </row>
    <row r="4327" s="31" customFormat="1" spans="1:8">
      <c r="A4327" s="176">
        <v>4383</v>
      </c>
      <c r="B4327" s="189" t="s">
        <v>6349</v>
      </c>
      <c r="C4327" s="55">
        <f t="shared" si="41"/>
        <v>8</v>
      </c>
      <c r="D4327" s="55">
        <v>0</v>
      </c>
      <c r="E4327" s="55"/>
      <c r="F4327" s="178" t="s">
        <v>6347</v>
      </c>
      <c r="G4327" s="179"/>
      <c r="H4327" s="55"/>
    </row>
    <row r="4328" s="31" customFormat="1" spans="1:8">
      <c r="A4328" s="176">
        <v>4384</v>
      </c>
      <c r="B4328" s="189" t="s">
        <v>6350</v>
      </c>
      <c r="C4328" s="55">
        <f t="shared" ref="C4328:C4331" si="42">400/30</f>
        <v>13.3333333333333</v>
      </c>
      <c r="D4328" s="55">
        <v>0</v>
      </c>
      <c r="E4328" s="55"/>
      <c r="F4328" s="178" t="s">
        <v>6351</v>
      </c>
      <c r="G4328" s="179"/>
      <c r="H4328" s="55"/>
    </row>
    <row r="4329" s="31" customFormat="1" spans="1:8">
      <c r="A4329" s="176">
        <v>4385</v>
      </c>
      <c r="B4329" s="189" t="s">
        <v>6352</v>
      </c>
      <c r="C4329" s="55">
        <f t="shared" si="42"/>
        <v>13.3333333333333</v>
      </c>
      <c r="D4329" s="55">
        <v>0</v>
      </c>
      <c r="E4329" s="55"/>
      <c r="F4329" s="178" t="s">
        <v>6351</v>
      </c>
      <c r="G4329" s="179"/>
      <c r="H4329" s="55"/>
    </row>
    <row r="4330" s="31" customFormat="1" spans="1:8">
      <c r="A4330" s="176">
        <v>4386</v>
      </c>
      <c r="B4330" s="189" t="s">
        <v>6353</v>
      </c>
      <c r="C4330" s="55">
        <f t="shared" si="42"/>
        <v>13.3333333333333</v>
      </c>
      <c r="D4330" s="55">
        <v>0</v>
      </c>
      <c r="E4330" s="55"/>
      <c r="F4330" s="178" t="s">
        <v>6351</v>
      </c>
      <c r="G4330" s="179"/>
      <c r="H4330" s="55"/>
    </row>
    <row r="4331" s="31" customFormat="1" spans="1:8">
      <c r="A4331" s="176">
        <v>4387</v>
      </c>
      <c r="B4331" s="189" t="s">
        <v>6354</v>
      </c>
      <c r="C4331" s="55">
        <f t="shared" si="42"/>
        <v>13.3333333333333</v>
      </c>
      <c r="D4331" s="55">
        <v>0</v>
      </c>
      <c r="E4331" s="55"/>
      <c r="F4331" s="178" t="s">
        <v>6351</v>
      </c>
      <c r="G4331" s="179"/>
      <c r="H4331" s="55"/>
    </row>
    <row r="4332" s="31" customFormat="1" spans="1:8">
      <c r="A4332" s="176">
        <v>4388</v>
      </c>
      <c r="B4332" s="189" t="s">
        <v>6355</v>
      </c>
      <c r="C4332" s="55">
        <f>360/30</f>
        <v>12</v>
      </c>
      <c r="D4332" s="55">
        <v>0</v>
      </c>
      <c r="E4332" s="55"/>
      <c r="F4332" s="178" t="s">
        <v>6356</v>
      </c>
      <c r="G4332" s="179"/>
      <c r="H4332" s="55"/>
    </row>
    <row r="4333" s="31" customFormat="1" spans="1:8">
      <c r="A4333" s="176">
        <v>4389</v>
      </c>
      <c r="B4333" s="189" t="s">
        <v>6357</v>
      </c>
      <c r="C4333" s="55">
        <f>360/30</f>
        <v>12</v>
      </c>
      <c r="D4333" s="55">
        <v>0</v>
      </c>
      <c r="E4333" s="55"/>
      <c r="F4333" s="178" t="s">
        <v>6356</v>
      </c>
      <c r="G4333" s="179"/>
      <c r="H4333" s="55"/>
    </row>
    <row r="4334" s="31" customFormat="1" spans="1:8">
      <c r="A4334" s="176">
        <v>4390</v>
      </c>
      <c r="B4334" s="189" t="s">
        <v>6358</v>
      </c>
      <c r="C4334" s="55">
        <f>159/30</f>
        <v>5.3</v>
      </c>
      <c r="D4334" s="55">
        <v>0</v>
      </c>
      <c r="E4334" s="55"/>
      <c r="F4334" s="178" t="s">
        <v>6359</v>
      </c>
      <c r="G4334" s="179"/>
      <c r="H4334" s="55"/>
    </row>
    <row r="4335" s="31" customFormat="1" spans="1:8">
      <c r="A4335" s="176">
        <v>4391</v>
      </c>
      <c r="B4335" s="189" t="s">
        <v>6360</v>
      </c>
      <c r="C4335" s="55">
        <v>0</v>
      </c>
      <c r="D4335" s="55">
        <v>1</v>
      </c>
      <c r="E4335" s="55"/>
      <c r="F4335" s="178" t="s">
        <v>6359</v>
      </c>
      <c r="G4335" s="179"/>
      <c r="H4335" s="55"/>
    </row>
    <row r="4336" customFormat="1" spans="1:8">
      <c r="A4336" s="176">
        <v>4392</v>
      </c>
      <c r="B4336" s="189" t="s">
        <v>6361</v>
      </c>
      <c r="C4336" s="55">
        <v>1</v>
      </c>
      <c r="D4336" s="55">
        <v>0</v>
      </c>
      <c r="E4336" s="2"/>
      <c r="F4336" s="178" t="s">
        <v>6347</v>
      </c>
      <c r="G4336" s="160"/>
      <c r="H4336" s="2"/>
    </row>
    <row r="4337" s="21" customFormat="1" spans="1:8">
      <c r="A4337" s="190">
        <v>4393</v>
      </c>
      <c r="B4337" s="191" t="s">
        <v>6362</v>
      </c>
      <c r="C4337" s="21">
        <f>100/30</f>
        <v>3.33333333333333</v>
      </c>
      <c r="D4337" s="142">
        <v>0</v>
      </c>
      <c r="E4337" s="142"/>
      <c r="F4337" s="192" t="s">
        <v>6363</v>
      </c>
      <c r="G4337" s="164"/>
      <c r="H4337" s="142"/>
    </row>
    <row r="4338" s="21" customFormat="1" spans="1:8">
      <c r="A4338" s="190">
        <v>4394</v>
      </c>
      <c r="B4338" s="191" t="s">
        <v>6364</v>
      </c>
      <c r="C4338" s="142">
        <v>1</v>
      </c>
      <c r="D4338" s="142">
        <v>0</v>
      </c>
      <c r="E4338" s="142"/>
      <c r="F4338" s="192" t="s">
        <v>6365</v>
      </c>
      <c r="G4338" s="164"/>
      <c r="H4338" s="142"/>
    </row>
    <row r="4339" s="21" customFormat="1" spans="1:7">
      <c r="A4339" s="190">
        <v>4395</v>
      </c>
      <c r="B4339" s="191" t="s">
        <v>6366</v>
      </c>
      <c r="C4339" s="21">
        <f>91/30</f>
        <v>3.03333333333333</v>
      </c>
      <c r="D4339" s="142">
        <v>0</v>
      </c>
      <c r="E4339" s="142"/>
      <c r="F4339" s="192" t="s">
        <v>6367</v>
      </c>
      <c r="G4339" s="164"/>
    </row>
    <row r="4340" s="21" customFormat="1" spans="1:7">
      <c r="A4340" s="190">
        <v>4396</v>
      </c>
      <c r="B4340" s="191" t="s">
        <v>6368</v>
      </c>
      <c r="C4340" s="142">
        <v>1</v>
      </c>
      <c r="D4340" s="142">
        <v>0</v>
      </c>
      <c r="E4340" s="142"/>
      <c r="F4340" s="192" t="s">
        <v>6369</v>
      </c>
      <c r="G4340" s="164"/>
    </row>
    <row r="4341" s="21" customFormat="1" spans="1:7">
      <c r="A4341" s="190">
        <v>4397</v>
      </c>
      <c r="B4341" s="191" t="s">
        <v>6370</v>
      </c>
      <c r="C4341" s="21">
        <f>160/30</f>
        <v>5.33333333333333</v>
      </c>
      <c r="D4341" s="142">
        <v>0</v>
      </c>
      <c r="E4341" s="142"/>
      <c r="F4341" s="192" t="s">
        <v>6371</v>
      </c>
      <c r="G4341" s="164"/>
    </row>
    <row r="4342" s="21" customFormat="1" spans="1:8">
      <c r="A4342" s="190">
        <v>4398</v>
      </c>
      <c r="B4342" s="191" t="s">
        <v>6372</v>
      </c>
      <c r="C4342" s="142">
        <v>0</v>
      </c>
      <c r="D4342" s="142">
        <v>1</v>
      </c>
      <c r="E4342" s="142"/>
      <c r="F4342" s="192" t="s">
        <v>6373</v>
      </c>
      <c r="G4342" s="164"/>
      <c r="H4342" s="142"/>
    </row>
    <row r="4343" customFormat="1" spans="1:8">
      <c r="A4343" s="190">
        <v>4399</v>
      </c>
      <c r="B4343" s="191" t="s">
        <v>6374</v>
      </c>
      <c r="C4343" s="21">
        <f>241/30</f>
        <v>8.03333333333333</v>
      </c>
      <c r="D4343" s="2">
        <v>0</v>
      </c>
      <c r="E4343" s="2"/>
      <c r="F4343" s="192" t="s">
        <v>6375</v>
      </c>
      <c r="G4343" s="160"/>
      <c r="H4343" s="2"/>
    </row>
    <row r="4344" customFormat="1" spans="1:8">
      <c r="A4344" s="190">
        <v>4400</v>
      </c>
      <c r="B4344" s="191" t="s">
        <v>6376</v>
      </c>
      <c r="C4344" s="21">
        <f>241/30</f>
        <v>8.03333333333333</v>
      </c>
      <c r="D4344" s="2">
        <v>0</v>
      </c>
      <c r="E4344" s="2"/>
      <c r="F4344" s="192" t="s">
        <v>6377</v>
      </c>
      <c r="G4344" s="160"/>
      <c r="H4344" s="2"/>
    </row>
    <row r="4345" s="26" customFormat="1" spans="1:8">
      <c r="A4345" s="150">
        <v>4401</v>
      </c>
      <c r="B4345" s="193" t="s">
        <v>6378</v>
      </c>
      <c r="C4345" s="26">
        <f>80/30</f>
        <v>2.66666666666667</v>
      </c>
      <c r="D4345" s="151">
        <v>0</v>
      </c>
      <c r="E4345" s="151"/>
      <c r="F4345" s="194" t="s">
        <v>6379</v>
      </c>
      <c r="G4345" s="195"/>
      <c r="H4345" s="151"/>
    </row>
    <row r="4346" s="26" customFormat="1" spans="1:8">
      <c r="A4346" s="150">
        <v>4402</v>
      </c>
      <c r="B4346" s="193" t="s">
        <v>6380</v>
      </c>
      <c r="C4346" s="151">
        <v>1</v>
      </c>
      <c r="D4346" s="151">
        <v>0</v>
      </c>
      <c r="E4346" s="151"/>
      <c r="F4346" s="194" t="s">
        <v>6381</v>
      </c>
      <c r="G4346" s="195"/>
      <c r="H4346" s="151"/>
    </row>
    <row r="4347" s="26" customFormat="1" spans="1:8">
      <c r="A4347" s="150">
        <v>4403</v>
      </c>
      <c r="B4347" s="193" t="s">
        <v>6382</v>
      </c>
      <c r="C4347" s="26">
        <f>87/30</f>
        <v>2.9</v>
      </c>
      <c r="D4347" s="151">
        <v>0</v>
      </c>
      <c r="E4347" s="151"/>
      <c r="F4347" s="194" t="s">
        <v>6383</v>
      </c>
      <c r="G4347" s="195"/>
      <c r="H4347" s="151"/>
    </row>
    <row r="4348" s="26" customFormat="1" spans="1:8">
      <c r="A4348" s="150">
        <v>4404</v>
      </c>
      <c r="B4348" s="193" t="s">
        <v>6384</v>
      </c>
      <c r="C4348" s="151">
        <v>1</v>
      </c>
      <c r="D4348" s="151">
        <v>0</v>
      </c>
      <c r="E4348" s="151"/>
      <c r="F4348" s="194" t="s">
        <v>6385</v>
      </c>
      <c r="G4348" s="195"/>
      <c r="H4348" s="151"/>
    </row>
    <row r="4349" s="26" customFormat="1" spans="1:8">
      <c r="A4349" s="150">
        <v>4405</v>
      </c>
      <c r="B4349" s="193" t="s">
        <v>6386</v>
      </c>
      <c r="C4349" s="26">
        <f>104/30</f>
        <v>3.46666666666667</v>
      </c>
      <c r="D4349" s="151">
        <v>0</v>
      </c>
      <c r="E4349" s="151"/>
      <c r="F4349" s="194" t="s">
        <v>6387</v>
      </c>
      <c r="G4349" s="195"/>
      <c r="H4349" s="151"/>
    </row>
    <row r="4350" s="26" customFormat="1" spans="1:8">
      <c r="A4350" s="150">
        <v>4406</v>
      </c>
      <c r="B4350" s="193" t="s">
        <v>6388</v>
      </c>
      <c r="C4350" s="26">
        <f>446/30</f>
        <v>14.8666666666667</v>
      </c>
      <c r="D4350" s="151">
        <v>0</v>
      </c>
      <c r="E4350" s="151"/>
      <c r="F4350" s="194" t="s">
        <v>6389</v>
      </c>
      <c r="G4350" s="195"/>
      <c r="H4350" s="151"/>
    </row>
    <row r="4351" s="26" customFormat="1" spans="1:8">
      <c r="A4351" s="150">
        <v>4407</v>
      </c>
      <c r="B4351" s="193" t="s">
        <v>6390</v>
      </c>
      <c r="C4351" s="26">
        <f>446/30</f>
        <v>14.8666666666667</v>
      </c>
      <c r="D4351" s="151">
        <v>0</v>
      </c>
      <c r="E4351" s="151"/>
      <c r="F4351" s="194"/>
      <c r="G4351" s="195"/>
      <c r="H4351" s="151"/>
    </row>
    <row r="4352" s="26" customFormat="1" spans="1:8">
      <c r="A4352" s="150">
        <v>4408</v>
      </c>
      <c r="B4352" s="193" t="s">
        <v>6391</v>
      </c>
      <c r="C4352" s="26">
        <f>92/30</f>
        <v>3.06666666666667</v>
      </c>
      <c r="D4352" s="151">
        <v>0</v>
      </c>
      <c r="E4352" s="151"/>
      <c r="F4352" s="194" t="s">
        <v>6392</v>
      </c>
      <c r="G4352" s="195"/>
      <c r="H4352" s="151"/>
    </row>
    <row r="4353" s="26" customFormat="1" spans="1:8">
      <c r="A4353" s="150">
        <v>4409</v>
      </c>
      <c r="B4353" s="193" t="s">
        <v>6393</v>
      </c>
      <c r="C4353" s="151">
        <v>1</v>
      </c>
      <c r="D4353" s="151">
        <v>0</v>
      </c>
      <c r="E4353" s="151"/>
      <c r="F4353" s="194" t="s">
        <v>6394</v>
      </c>
      <c r="G4353" s="195"/>
      <c r="H4353" s="151"/>
    </row>
    <row r="4354" s="26" customFormat="1" spans="1:8">
      <c r="A4354" s="150">
        <v>4410</v>
      </c>
      <c r="B4354" s="193" t="s">
        <v>6395</v>
      </c>
      <c r="C4354" s="26">
        <f>62/30</f>
        <v>2.06666666666667</v>
      </c>
      <c r="D4354" s="151">
        <v>0</v>
      </c>
      <c r="E4354" s="151"/>
      <c r="F4354" s="194" t="s">
        <v>6396</v>
      </c>
      <c r="G4354" s="195"/>
      <c r="H4354" s="151"/>
    </row>
    <row r="4355" s="26" customFormat="1" spans="1:8">
      <c r="A4355" s="150">
        <v>4411</v>
      </c>
      <c r="B4355" s="193" t="s">
        <v>6397</v>
      </c>
      <c r="C4355" s="151">
        <v>1</v>
      </c>
      <c r="D4355" s="151">
        <v>0</v>
      </c>
      <c r="E4355" s="151"/>
      <c r="F4355" s="194" t="s">
        <v>6396</v>
      </c>
      <c r="G4355" s="195"/>
      <c r="H4355" s="151"/>
    </row>
    <row r="4356" s="26" customFormat="1" spans="1:8">
      <c r="A4356" s="150">
        <v>4412</v>
      </c>
      <c r="B4356" s="193" t="s">
        <v>6398</v>
      </c>
      <c r="C4356" s="151">
        <v>1</v>
      </c>
      <c r="D4356" s="151">
        <v>0</v>
      </c>
      <c r="E4356" s="151"/>
      <c r="F4356" s="194" t="s">
        <v>6396</v>
      </c>
      <c r="G4356" s="195"/>
      <c r="H4356" s="151"/>
    </row>
    <row r="4357" s="26" customFormat="1" spans="1:8">
      <c r="A4357" s="150">
        <v>4413</v>
      </c>
      <c r="B4357" s="193" t="s">
        <v>6399</v>
      </c>
      <c r="C4357" s="26">
        <f>112/30</f>
        <v>3.73333333333333</v>
      </c>
      <c r="D4357" s="151">
        <v>0</v>
      </c>
      <c r="E4357" s="151"/>
      <c r="F4357" s="194" t="s">
        <v>6400</v>
      </c>
      <c r="G4357" s="195"/>
      <c r="H4357" s="151"/>
    </row>
    <row r="4358" s="26" customFormat="1" spans="1:8">
      <c r="A4358" s="150">
        <v>4414</v>
      </c>
      <c r="B4358" s="193" t="s">
        <v>6401</v>
      </c>
      <c r="C4358" s="151">
        <v>1</v>
      </c>
      <c r="D4358" s="151">
        <v>0</v>
      </c>
      <c r="E4358" s="151"/>
      <c r="F4358" s="194" t="s">
        <v>6402</v>
      </c>
      <c r="G4358" s="195"/>
      <c r="H4358" s="151"/>
    </row>
    <row r="4359" s="26" customFormat="1" spans="1:8">
      <c r="A4359" s="150">
        <v>4415</v>
      </c>
      <c r="B4359" s="193" t="s">
        <v>6403</v>
      </c>
      <c r="C4359" s="26">
        <f>77/30</f>
        <v>2.56666666666667</v>
      </c>
      <c r="D4359" s="151">
        <v>0</v>
      </c>
      <c r="E4359" s="151"/>
      <c r="F4359" s="194"/>
      <c r="G4359" s="195"/>
      <c r="H4359" s="151"/>
    </row>
    <row r="4360" s="26" customFormat="1" spans="1:8">
      <c r="A4360" s="150">
        <v>4416</v>
      </c>
      <c r="B4360" s="193" t="s">
        <v>6404</v>
      </c>
      <c r="C4360" s="151">
        <v>0</v>
      </c>
      <c r="D4360" s="151">
        <v>1</v>
      </c>
      <c r="E4360" s="151"/>
      <c r="F4360" s="194"/>
      <c r="G4360" s="195"/>
      <c r="H4360" s="151"/>
    </row>
    <row r="4361" s="26" customFormat="1" spans="1:8">
      <c r="A4361" s="150">
        <v>4417</v>
      </c>
      <c r="B4361" s="196" t="s">
        <v>6405</v>
      </c>
      <c r="C4361" s="26">
        <v>15</v>
      </c>
      <c r="D4361" s="151">
        <v>0</v>
      </c>
      <c r="E4361" s="151"/>
      <c r="F4361" s="194" t="s">
        <v>6406</v>
      </c>
      <c r="G4361" s="195"/>
      <c r="H4361" s="151"/>
    </row>
    <row r="4362" s="26" customFormat="1" spans="1:8">
      <c r="A4362" s="150">
        <v>4418</v>
      </c>
      <c r="B4362" s="196" t="s">
        <v>6407</v>
      </c>
      <c r="C4362" s="26">
        <v>9.33333333333333</v>
      </c>
      <c r="D4362" s="151">
        <v>0</v>
      </c>
      <c r="E4362" s="151"/>
      <c r="F4362" s="194" t="s">
        <v>6408</v>
      </c>
      <c r="G4362" s="195"/>
      <c r="H4362" s="151"/>
    </row>
    <row r="4363" customFormat="1" spans="1:8">
      <c r="A4363" s="150">
        <v>4419</v>
      </c>
      <c r="B4363" s="196" t="s">
        <v>6409</v>
      </c>
      <c r="C4363" s="26">
        <f>62/30</f>
        <v>2.06666666666667</v>
      </c>
      <c r="D4363" s="151">
        <v>0</v>
      </c>
      <c r="E4363" s="151"/>
      <c r="F4363" s="194" t="s">
        <v>6396</v>
      </c>
      <c r="G4363" s="160"/>
      <c r="H4363" s="2"/>
    </row>
    <row r="4364" s="17" customFormat="1" spans="1:8">
      <c r="A4364" s="150">
        <v>4420</v>
      </c>
      <c r="B4364" s="196" t="s">
        <v>6410</v>
      </c>
      <c r="C4364" s="26">
        <f>446/30</f>
        <v>14.8666666666667</v>
      </c>
      <c r="D4364" s="151">
        <v>0</v>
      </c>
      <c r="E4364" s="151"/>
      <c r="F4364" s="194" t="s">
        <v>6411</v>
      </c>
      <c r="G4364" s="34"/>
      <c r="H4364" s="34"/>
    </row>
    <row r="4365" s="17" customFormat="1" spans="1:8">
      <c r="A4365" s="197">
        <v>4501</v>
      </c>
      <c r="B4365" s="198" t="s">
        <v>6412</v>
      </c>
      <c r="C4365" s="17">
        <v>2.133</v>
      </c>
      <c r="D4365" s="34">
        <v>0</v>
      </c>
      <c r="E4365" s="34" t="s">
        <v>6413</v>
      </c>
      <c r="F4365" s="34" t="s">
        <v>6414</v>
      </c>
      <c r="G4365" s="34" t="s">
        <v>6413</v>
      </c>
      <c r="H4365" s="34"/>
    </row>
    <row r="4366" s="17" customFormat="1" spans="1:8">
      <c r="A4366" s="197">
        <v>4502</v>
      </c>
      <c r="B4366" s="198" t="s">
        <v>6415</v>
      </c>
      <c r="C4366" s="17">
        <v>1</v>
      </c>
      <c r="D4366" s="34">
        <v>0</v>
      </c>
      <c r="E4366" s="34" t="s">
        <v>6413</v>
      </c>
      <c r="F4366" s="199" t="s">
        <v>6416</v>
      </c>
      <c r="G4366" s="34" t="s">
        <v>6413</v>
      </c>
      <c r="H4366" s="34"/>
    </row>
    <row r="4367" s="17" customFormat="1" spans="1:8">
      <c r="A4367" s="197">
        <v>4503</v>
      </c>
      <c r="B4367" s="198" t="s">
        <v>6417</v>
      </c>
      <c r="C4367" s="17">
        <v>2.133</v>
      </c>
      <c r="D4367" s="34">
        <v>0</v>
      </c>
      <c r="E4367" s="34" t="s">
        <v>6413</v>
      </c>
      <c r="F4367" s="34" t="s">
        <v>6418</v>
      </c>
      <c r="G4367" s="34" t="s">
        <v>6413</v>
      </c>
      <c r="H4367" s="34"/>
    </row>
    <row r="4368" s="17" customFormat="1" spans="1:8">
      <c r="A4368" s="197">
        <v>4504</v>
      </c>
      <c r="B4368" s="198" t="s">
        <v>6419</v>
      </c>
      <c r="C4368" s="17">
        <v>1</v>
      </c>
      <c r="D4368" s="34">
        <v>0</v>
      </c>
      <c r="E4368" s="34" t="s">
        <v>6413</v>
      </c>
      <c r="F4368" s="199" t="s">
        <v>6420</v>
      </c>
      <c r="G4368" s="34" t="s">
        <v>6413</v>
      </c>
      <c r="H4368" s="34"/>
    </row>
    <row r="4369" s="27" customFormat="1" spans="1:8">
      <c r="A4369" s="152">
        <v>4505</v>
      </c>
      <c r="B4369" s="200" t="s">
        <v>6421</v>
      </c>
      <c r="C4369" s="27">
        <v>2</v>
      </c>
      <c r="D4369" s="52">
        <v>0</v>
      </c>
      <c r="E4369" s="52" t="s">
        <v>6413</v>
      </c>
      <c r="F4369" s="201" t="s">
        <v>6422</v>
      </c>
      <c r="G4369" s="52" t="s">
        <v>6413</v>
      </c>
      <c r="H4369" s="52"/>
    </row>
    <row r="4370" s="27" customFormat="1" spans="1:8">
      <c r="A4370" s="152">
        <v>4506</v>
      </c>
      <c r="B4370" s="200" t="s">
        <v>6423</v>
      </c>
      <c r="C4370" s="27">
        <v>1</v>
      </c>
      <c r="D4370" s="52">
        <v>0</v>
      </c>
      <c r="E4370" s="52" t="s">
        <v>6413</v>
      </c>
      <c r="F4370" s="201" t="s">
        <v>6424</v>
      </c>
      <c r="G4370" s="52" t="s">
        <v>6413</v>
      </c>
      <c r="H4370" s="52"/>
    </row>
    <row r="4371" s="27" customFormat="1" spans="1:8">
      <c r="A4371" s="152">
        <v>4507</v>
      </c>
      <c r="B4371" s="200" t="s">
        <v>6425</v>
      </c>
      <c r="C4371" s="27">
        <v>2.133</v>
      </c>
      <c r="D4371" s="52">
        <v>0</v>
      </c>
      <c r="E4371" s="52" t="s">
        <v>6413</v>
      </c>
      <c r="F4371" s="201" t="s">
        <v>6426</v>
      </c>
      <c r="G4371" s="52" t="s">
        <v>6413</v>
      </c>
      <c r="H4371" s="52"/>
    </row>
    <row r="4372" s="27" customFormat="1" spans="1:8">
      <c r="A4372" s="152">
        <v>4508</v>
      </c>
      <c r="B4372" s="200" t="s">
        <v>6427</v>
      </c>
      <c r="C4372" s="27">
        <v>1</v>
      </c>
      <c r="D4372" s="52">
        <v>0</v>
      </c>
      <c r="E4372" s="52" t="s">
        <v>6413</v>
      </c>
      <c r="F4372" s="201" t="s">
        <v>6428</v>
      </c>
      <c r="G4372" s="52" t="s">
        <v>6413</v>
      </c>
      <c r="H4372" s="52"/>
    </row>
    <row r="4373" s="17" customFormat="1" spans="1:8">
      <c r="A4373" s="197">
        <v>4509</v>
      </c>
      <c r="B4373" s="198" t="s">
        <v>6429</v>
      </c>
      <c r="C4373" s="17">
        <v>1</v>
      </c>
      <c r="D4373" s="34">
        <v>0</v>
      </c>
      <c r="E4373" s="34" t="s">
        <v>6413</v>
      </c>
      <c r="F4373" s="199" t="s">
        <v>6430</v>
      </c>
      <c r="G4373" s="34" t="s">
        <v>6413</v>
      </c>
      <c r="H4373" s="34"/>
    </row>
    <row r="4374" s="17" customFormat="1" spans="1:8">
      <c r="A4374" s="197">
        <v>4510</v>
      </c>
      <c r="B4374" s="198" t="s">
        <v>6431</v>
      </c>
      <c r="C4374" s="17">
        <v>1</v>
      </c>
      <c r="D4374" s="34">
        <v>0</v>
      </c>
      <c r="E4374" s="34" t="s">
        <v>6413</v>
      </c>
      <c r="F4374" s="199" t="s">
        <v>6432</v>
      </c>
      <c r="G4374" s="34" t="s">
        <v>6413</v>
      </c>
      <c r="H4374" s="34"/>
    </row>
    <row r="4375" s="17" customFormat="1" spans="1:8">
      <c r="A4375" s="197">
        <v>4511</v>
      </c>
      <c r="B4375" s="198" t="s">
        <v>6433</v>
      </c>
      <c r="C4375" s="17">
        <v>2</v>
      </c>
      <c r="D4375" s="34">
        <v>0</v>
      </c>
      <c r="E4375" s="34" t="s">
        <v>6413</v>
      </c>
      <c r="F4375" s="199" t="s">
        <v>6434</v>
      </c>
      <c r="G4375" s="34" t="s">
        <v>6413</v>
      </c>
      <c r="H4375" s="34"/>
    </row>
    <row r="4376" s="17" customFormat="1" spans="1:8">
      <c r="A4376" s="197">
        <v>4512</v>
      </c>
      <c r="B4376" s="198" t="s">
        <v>6435</v>
      </c>
      <c r="C4376" s="17">
        <v>1</v>
      </c>
      <c r="D4376" s="34">
        <v>0</v>
      </c>
      <c r="E4376" s="34" t="s">
        <v>6413</v>
      </c>
      <c r="F4376" s="199" t="s">
        <v>6436</v>
      </c>
      <c r="G4376" s="34" t="s">
        <v>6413</v>
      </c>
      <c r="H4376" s="34"/>
    </row>
    <row r="4377" s="17" customFormat="1" spans="1:8">
      <c r="A4377" s="197">
        <v>4513</v>
      </c>
      <c r="B4377" s="198" t="s">
        <v>6437</v>
      </c>
      <c r="C4377" s="17">
        <v>2.833</v>
      </c>
      <c r="D4377" s="34">
        <v>0</v>
      </c>
      <c r="E4377" s="34" t="s">
        <v>6413</v>
      </c>
      <c r="F4377" s="199" t="s">
        <v>6438</v>
      </c>
      <c r="G4377" s="34" t="s">
        <v>6413</v>
      </c>
      <c r="H4377" s="34"/>
    </row>
    <row r="4378" s="17" customFormat="1" spans="1:8">
      <c r="A4378" s="197">
        <v>4514</v>
      </c>
      <c r="B4378" s="198" t="s">
        <v>6439</v>
      </c>
      <c r="C4378" s="17">
        <v>1</v>
      </c>
      <c r="D4378" s="34">
        <v>0</v>
      </c>
      <c r="E4378" s="34" t="s">
        <v>6413</v>
      </c>
      <c r="F4378" s="199" t="s">
        <v>6440</v>
      </c>
      <c r="G4378" s="34" t="s">
        <v>6413</v>
      </c>
      <c r="H4378" s="34"/>
    </row>
    <row r="4379" s="27" customFormat="1" spans="1:8">
      <c r="A4379" s="152">
        <v>4515</v>
      </c>
      <c r="B4379" s="200" t="s">
        <v>6441</v>
      </c>
      <c r="C4379" s="27">
        <v>1.6</v>
      </c>
      <c r="D4379" s="52">
        <v>0</v>
      </c>
      <c r="E4379" s="52" t="s">
        <v>6413</v>
      </c>
      <c r="F4379" s="201" t="s">
        <v>6442</v>
      </c>
      <c r="G4379" s="52" t="s">
        <v>6413</v>
      </c>
      <c r="H4379" s="52"/>
    </row>
    <row r="4380" s="27" customFormat="1" spans="1:8">
      <c r="A4380" s="152">
        <v>4516</v>
      </c>
      <c r="B4380" s="200" t="s">
        <v>6443</v>
      </c>
      <c r="C4380" s="27">
        <v>1</v>
      </c>
      <c r="D4380" s="52">
        <v>0</v>
      </c>
      <c r="E4380" s="52" t="s">
        <v>6413</v>
      </c>
      <c r="F4380" s="201" t="s">
        <v>6444</v>
      </c>
      <c r="G4380" s="52" t="s">
        <v>6413</v>
      </c>
      <c r="H4380" s="52"/>
    </row>
    <row r="4381" s="27" customFormat="1" spans="1:8">
      <c r="A4381" s="152">
        <v>4517</v>
      </c>
      <c r="B4381" s="200" t="s">
        <v>6445</v>
      </c>
      <c r="C4381" s="27">
        <v>2.3</v>
      </c>
      <c r="D4381" s="52">
        <v>0</v>
      </c>
      <c r="E4381" s="52" t="s">
        <v>6413</v>
      </c>
      <c r="F4381" s="201" t="s">
        <v>6446</v>
      </c>
      <c r="G4381" s="52" t="s">
        <v>6413</v>
      </c>
      <c r="H4381" s="52"/>
    </row>
    <row r="4382" s="27" customFormat="1" spans="1:8">
      <c r="A4382" s="152">
        <v>4518</v>
      </c>
      <c r="B4382" s="200" t="s">
        <v>6445</v>
      </c>
      <c r="C4382" s="27">
        <v>1</v>
      </c>
      <c r="D4382" s="52">
        <v>0</v>
      </c>
      <c r="E4382" s="52" t="s">
        <v>6413</v>
      </c>
      <c r="F4382" s="202" t="s">
        <v>6447</v>
      </c>
      <c r="G4382" s="52" t="s">
        <v>6413</v>
      </c>
      <c r="H4382" s="52"/>
    </row>
    <row r="4383" s="27" customFormat="1" spans="1:8">
      <c r="A4383" s="152">
        <v>4519</v>
      </c>
      <c r="B4383" s="200" t="s">
        <v>6448</v>
      </c>
      <c r="C4383" s="27">
        <v>2.2</v>
      </c>
      <c r="D4383" s="52">
        <v>0</v>
      </c>
      <c r="E4383" s="52" t="s">
        <v>6413</v>
      </c>
      <c r="F4383" s="201" t="s">
        <v>6449</v>
      </c>
      <c r="G4383" s="52" t="s">
        <v>6413</v>
      </c>
      <c r="H4383" s="52"/>
    </row>
    <row r="4384" s="27" customFormat="1" spans="1:8">
      <c r="A4384" s="152">
        <v>4520</v>
      </c>
      <c r="B4384" s="200" t="s">
        <v>6450</v>
      </c>
      <c r="C4384" s="27">
        <v>1</v>
      </c>
      <c r="D4384" s="52">
        <v>0</v>
      </c>
      <c r="E4384" s="52" t="s">
        <v>6413</v>
      </c>
      <c r="F4384" s="201" t="s">
        <v>6451</v>
      </c>
      <c r="G4384" s="52" t="s">
        <v>6413</v>
      </c>
      <c r="H4384" s="52"/>
    </row>
    <row r="4385" s="17" customFormat="1" spans="1:8">
      <c r="A4385" s="197">
        <v>4521</v>
      </c>
      <c r="B4385" s="198" t="s">
        <v>6452</v>
      </c>
      <c r="C4385" s="17">
        <v>1.6</v>
      </c>
      <c r="D4385" s="34">
        <v>0</v>
      </c>
      <c r="E4385" s="34" t="s">
        <v>6413</v>
      </c>
      <c r="F4385" s="34" t="s">
        <v>6453</v>
      </c>
      <c r="G4385" s="34" t="s">
        <v>6413</v>
      </c>
      <c r="H4385" s="34"/>
    </row>
    <row r="4386" s="17" customFormat="1" spans="1:8">
      <c r="A4386" s="197">
        <v>4522</v>
      </c>
      <c r="B4386" s="198" t="s">
        <v>6454</v>
      </c>
      <c r="C4386" s="17">
        <v>1</v>
      </c>
      <c r="D4386" s="34">
        <v>0</v>
      </c>
      <c r="E4386" s="34" t="s">
        <v>6413</v>
      </c>
      <c r="F4386" s="199" t="s">
        <v>6455</v>
      </c>
      <c r="G4386" s="34" t="s">
        <v>6413</v>
      </c>
      <c r="H4386" s="34"/>
    </row>
    <row r="4387" s="27" customFormat="1" spans="1:8">
      <c r="A4387" s="152">
        <v>4523</v>
      </c>
      <c r="B4387" s="200" t="s">
        <v>6456</v>
      </c>
      <c r="C4387" s="27">
        <v>1.667</v>
      </c>
      <c r="D4387" s="52">
        <v>0</v>
      </c>
      <c r="E4387" s="52" t="s">
        <v>6413</v>
      </c>
      <c r="F4387" s="52" t="s">
        <v>6457</v>
      </c>
      <c r="G4387" s="52" t="s">
        <v>6413</v>
      </c>
      <c r="H4387" s="52"/>
    </row>
    <row r="4388" s="27" customFormat="1" spans="1:8">
      <c r="A4388" s="152">
        <v>4524</v>
      </c>
      <c r="B4388" s="200" t="s">
        <v>6458</v>
      </c>
      <c r="C4388" s="27">
        <v>1</v>
      </c>
      <c r="D4388" s="52">
        <v>0</v>
      </c>
      <c r="E4388" s="52" t="s">
        <v>6413</v>
      </c>
      <c r="F4388" s="201" t="s">
        <v>6459</v>
      </c>
      <c r="G4388" s="52" t="s">
        <v>6413</v>
      </c>
      <c r="H4388" s="52"/>
    </row>
    <row r="4389" s="17" customFormat="1" spans="1:8">
      <c r="A4389" s="197">
        <v>4525</v>
      </c>
      <c r="B4389" s="198" t="s">
        <v>6460</v>
      </c>
      <c r="C4389" s="17">
        <v>1.6</v>
      </c>
      <c r="D4389" s="34">
        <v>0</v>
      </c>
      <c r="E4389" s="34" t="s">
        <v>6413</v>
      </c>
      <c r="F4389" s="34" t="s">
        <v>6461</v>
      </c>
      <c r="G4389" s="34" t="s">
        <v>6413</v>
      </c>
      <c r="H4389" s="34"/>
    </row>
    <row r="4390" s="17" customFormat="1" spans="1:8">
      <c r="A4390" s="197">
        <v>4526</v>
      </c>
      <c r="B4390" s="198" t="s">
        <v>6462</v>
      </c>
      <c r="C4390" s="17">
        <v>1</v>
      </c>
      <c r="D4390" s="34">
        <v>0</v>
      </c>
      <c r="E4390" s="34" t="s">
        <v>6413</v>
      </c>
      <c r="F4390" s="199" t="s">
        <v>6463</v>
      </c>
      <c r="G4390" s="34" t="s">
        <v>6413</v>
      </c>
      <c r="H4390" s="34"/>
    </row>
    <row r="4391" s="27" customFormat="1" spans="1:8">
      <c r="A4391" s="152">
        <v>4527</v>
      </c>
      <c r="B4391" s="200" t="s">
        <v>6464</v>
      </c>
      <c r="C4391" s="27">
        <v>1.667</v>
      </c>
      <c r="D4391" s="52">
        <v>0</v>
      </c>
      <c r="E4391" s="52" t="s">
        <v>6413</v>
      </c>
      <c r="F4391" s="52" t="s">
        <v>6465</v>
      </c>
      <c r="G4391" s="52" t="s">
        <v>6413</v>
      </c>
      <c r="H4391" s="52"/>
    </row>
    <row r="4392" s="27" customFormat="1" spans="1:8">
      <c r="A4392" s="152">
        <v>4528</v>
      </c>
      <c r="B4392" s="200" t="s">
        <v>6464</v>
      </c>
      <c r="C4392" s="27">
        <v>1</v>
      </c>
      <c r="D4392" s="52">
        <v>0</v>
      </c>
      <c r="E4392" s="52" t="s">
        <v>6413</v>
      </c>
      <c r="F4392" s="202" t="s">
        <v>6466</v>
      </c>
      <c r="G4392" s="52" t="s">
        <v>6413</v>
      </c>
      <c r="H4392" s="52"/>
    </row>
    <row r="4393" s="17" customFormat="1" spans="1:8">
      <c r="A4393" s="197">
        <v>4529</v>
      </c>
      <c r="B4393" s="198" t="s">
        <v>6467</v>
      </c>
      <c r="C4393" s="17">
        <v>1.667</v>
      </c>
      <c r="D4393" s="34">
        <v>0</v>
      </c>
      <c r="E4393" s="34" t="s">
        <v>6413</v>
      </c>
      <c r="F4393" s="199" t="s">
        <v>6468</v>
      </c>
      <c r="G4393" s="34" t="s">
        <v>6413</v>
      </c>
      <c r="H4393" s="34"/>
    </row>
    <row r="4394" s="17" customFormat="1" spans="1:8">
      <c r="A4394" s="197">
        <v>4530</v>
      </c>
      <c r="B4394" s="198" t="s">
        <v>6469</v>
      </c>
      <c r="C4394" s="17">
        <v>1</v>
      </c>
      <c r="D4394" s="34">
        <v>0</v>
      </c>
      <c r="E4394" s="34" t="s">
        <v>6413</v>
      </c>
      <c r="F4394" s="199" t="s">
        <v>6470</v>
      </c>
      <c r="G4394" s="34" t="s">
        <v>6413</v>
      </c>
      <c r="H4394" s="34"/>
    </row>
    <row r="4395" s="17" customFormat="1" spans="1:8">
      <c r="A4395" s="197">
        <v>4531</v>
      </c>
      <c r="B4395" s="198" t="s">
        <v>6471</v>
      </c>
      <c r="C4395" s="17">
        <v>2.6</v>
      </c>
      <c r="D4395" s="34">
        <v>0</v>
      </c>
      <c r="E4395" s="34" t="s">
        <v>6413</v>
      </c>
      <c r="F4395" s="199" t="s">
        <v>6472</v>
      </c>
      <c r="G4395" s="34" t="s">
        <v>6413</v>
      </c>
      <c r="H4395" s="34"/>
    </row>
    <row r="4396" s="17" customFormat="1" spans="1:8">
      <c r="A4396" s="197">
        <v>4532</v>
      </c>
      <c r="B4396" s="198" t="s">
        <v>6473</v>
      </c>
      <c r="C4396" s="17">
        <v>1</v>
      </c>
      <c r="D4396" s="34">
        <v>0</v>
      </c>
      <c r="E4396" s="34" t="s">
        <v>6413</v>
      </c>
      <c r="F4396" s="199" t="s">
        <v>6474</v>
      </c>
      <c r="G4396" s="34" t="s">
        <v>6413</v>
      </c>
      <c r="H4396" s="34"/>
    </row>
    <row r="4397" s="17" customFormat="1" spans="1:8">
      <c r="A4397" s="197">
        <v>4533</v>
      </c>
      <c r="B4397" s="198" t="s">
        <v>6475</v>
      </c>
      <c r="C4397" s="17">
        <v>5.6</v>
      </c>
      <c r="D4397" s="34">
        <v>0</v>
      </c>
      <c r="E4397" s="34" t="s">
        <v>6413</v>
      </c>
      <c r="F4397" s="199" t="s">
        <v>6476</v>
      </c>
      <c r="G4397" s="34" t="s">
        <v>6413</v>
      </c>
      <c r="H4397" s="34"/>
    </row>
    <row r="4398" s="17" customFormat="1" spans="1:8">
      <c r="A4398" s="197">
        <v>4534</v>
      </c>
      <c r="B4398" s="198" t="s">
        <v>6477</v>
      </c>
      <c r="C4398" s="17">
        <v>1</v>
      </c>
      <c r="D4398" s="34">
        <v>0</v>
      </c>
      <c r="E4398" s="34" t="s">
        <v>6413</v>
      </c>
      <c r="F4398" s="178" t="s">
        <v>6478</v>
      </c>
      <c r="G4398" s="34" t="s">
        <v>6413</v>
      </c>
      <c r="H4398" s="34"/>
    </row>
    <row r="4399" s="27" customFormat="1" spans="1:8">
      <c r="A4399" s="152">
        <v>4535</v>
      </c>
      <c r="B4399" s="200" t="s">
        <v>6479</v>
      </c>
      <c r="C4399" s="27">
        <v>1.833</v>
      </c>
      <c r="D4399" s="52">
        <v>0</v>
      </c>
      <c r="E4399" s="52" t="s">
        <v>6413</v>
      </c>
      <c r="F4399" s="201" t="s">
        <v>6480</v>
      </c>
      <c r="G4399" s="52" t="s">
        <v>6413</v>
      </c>
      <c r="H4399" s="52"/>
    </row>
    <row r="4400" s="27" customFormat="1" spans="1:8">
      <c r="A4400" s="152">
        <v>4536</v>
      </c>
      <c r="B4400" s="200" t="s">
        <v>6481</v>
      </c>
      <c r="C4400" s="27">
        <v>1</v>
      </c>
      <c r="D4400" s="52">
        <v>0</v>
      </c>
      <c r="E4400" s="52" t="s">
        <v>6413</v>
      </c>
      <c r="F4400" s="201" t="s">
        <v>6482</v>
      </c>
      <c r="G4400" s="52" t="s">
        <v>6413</v>
      </c>
      <c r="H4400" s="52"/>
    </row>
    <row r="4401" s="27" customFormat="1" spans="1:8">
      <c r="A4401" s="152">
        <v>4537</v>
      </c>
      <c r="B4401" s="200" t="s">
        <v>6483</v>
      </c>
      <c r="C4401" s="27">
        <v>1.733</v>
      </c>
      <c r="D4401" s="52">
        <v>0</v>
      </c>
      <c r="E4401" s="52" t="s">
        <v>6413</v>
      </c>
      <c r="F4401" s="201" t="s">
        <v>6484</v>
      </c>
      <c r="G4401" s="52" t="s">
        <v>6413</v>
      </c>
      <c r="H4401" s="52"/>
    </row>
    <row r="4402" s="27" customFormat="1" spans="1:8">
      <c r="A4402" s="152">
        <v>4538</v>
      </c>
      <c r="B4402" s="200" t="s">
        <v>6483</v>
      </c>
      <c r="C4402" s="27">
        <v>1</v>
      </c>
      <c r="D4402" s="52">
        <v>0</v>
      </c>
      <c r="E4402" s="52" t="s">
        <v>6413</v>
      </c>
      <c r="F4402" s="202" t="s">
        <v>6485</v>
      </c>
      <c r="G4402" s="52" t="s">
        <v>6413</v>
      </c>
      <c r="H4402" s="52"/>
    </row>
    <row r="4403" s="27" customFormat="1" spans="1:8">
      <c r="A4403" s="152">
        <v>4539</v>
      </c>
      <c r="B4403" s="200" t="s">
        <v>6486</v>
      </c>
      <c r="C4403" s="27">
        <v>2.267</v>
      </c>
      <c r="D4403" s="52">
        <v>0</v>
      </c>
      <c r="E4403" s="52" t="s">
        <v>6413</v>
      </c>
      <c r="F4403" s="201" t="s">
        <v>6487</v>
      </c>
      <c r="G4403" s="52" t="s">
        <v>6413</v>
      </c>
      <c r="H4403" s="52"/>
    </row>
    <row r="4404" s="27" customFormat="1" spans="1:8">
      <c r="A4404" s="152">
        <v>4540</v>
      </c>
      <c r="B4404" s="200" t="s">
        <v>6486</v>
      </c>
      <c r="C4404" s="27">
        <v>1</v>
      </c>
      <c r="D4404" s="52">
        <v>0</v>
      </c>
      <c r="E4404" s="52" t="s">
        <v>6413</v>
      </c>
      <c r="F4404" s="202" t="s">
        <v>6488</v>
      </c>
      <c r="G4404" s="52" t="s">
        <v>6413</v>
      </c>
      <c r="H4404" s="52"/>
    </row>
    <row r="4405" s="27" customFormat="1" spans="1:8">
      <c r="A4405" s="152">
        <v>4541</v>
      </c>
      <c r="B4405" s="200" t="s">
        <v>6489</v>
      </c>
      <c r="C4405" s="27">
        <v>4.933</v>
      </c>
      <c r="D4405" s="52">
        <v>0</v>
      </c>
      <c r="E4405" s="52" t="s">
        <v>6413</v>
      </c>
      <c r="F4405" s="201" t="s">
        <v>6490</v>
      </c>
      <c r="G4405" s="52" t="s">
        <v>6413</v>
      </c>
      <c r="H4405" s="52"/>
    </row>
    <row r="4406" s="27" customFormat="1" spans="1:8">
      <c r="A4406" s="152">
        <v>4542</v>
      </c>
      <c r="B4406" s="200" t="s">
        <v>6491</v>
      </c>
      <c r="C4406" s="27">
        <v>1</v>
      </c>
      <c r="D4406" s="52">
        <v>0</v>
      </c>
      <c r="E4406" s="52" t="s">
        <v>6413</v>
      </c>
      <c r="F4406" s="178" t="s">
        <v>6492</v>
      </c>
      <c r="G4406" s="52" t="s">
        <v>6413</v>
      </c>
      <c r="H4406" s="52"/>
    </row>
    <row r="4407" s="24" customFormat="1" spans="1:8">
      <c r="A4407" s="147">
        <v>4543</v>
      </c>
      <c r="B4407" s="203" t="s">
        <v>6493</v>
      </c>
      <c r="C4407" s="54">
        <f>106/30</f>
        <v>3.53333333333333</v>
      </c>
      <c r="D4407" s="54">
        <v>0</v>
      </c>
      <c r="E4407" s="54"/>
      <c r="F4407" s="204" t="s">
        <v>6494</v>
      </c>
      <c r="G4407" s="203"/>
      <c r="H4407" s="54"/>
    </row>
    <row r="4408" s="24" customFormat="1" spans="1:8">
      <c r="A4408" s="147">
        <v>4544</v>
      </c>
      <c r="B4408" s="203" t="s">
        <v>6495</v>
      </c>
      <c r="C4408" s="54">
        <f>30/30</f>
        <v>1</v>
      </c>
      <c r="D4408" s="54">
        <v>0</v>
      </c>
      <c r="E4408" s="54"/>
      <c r="F4408" s="204" t="s">
        <v>6496</v>
      </c>
      <c r="G4408" s="203"/>
      <c r="H4408" s="54"/>
    </row>
    <row r="4409" s="24" customFormat="1" spans="1:8">
      <c r="A4409" s="147">
        <v>4545</v>
      </c>
      <c r="B4409" s="203" t="s">
        <v>6497</v>
      </c>
      <c r="C4409" s="54">
        <f>92/30</f>
        <v>3.06666666666667</v>
      </c>
      <c r="D4409" s="24">
        <v>0</v>
      </c>
      <c r="E4409" s="54"/>
      <c r="F4409" s="204" t="s">
        <v>6498</v>
      </c>
      <c r="G4409" s="203"/>
      <c r="H4409" s="54"/>
    </row>
    <row r="4410" s="24" customFormat="1" spans="1:8">
      <c r="A4410" s="147">
        <v>4546</v>
      </c>
      <c r="B4410" s="203" t="s">
        <v>6499</v>
      </c>
      <c r="C4410" s="54">
        <f>62/30</f>
        <v>2.06666666666667</v>
      </c>
      <c r="D4410" s="24">
        <v>0</v>
      </c>
      <c r="E4410" s="54"/>
      <c r="F4410" s="204" t="s">
        <v>6500</v>
      </c>
      <c r="G4410" s="203"/>
      <c r="H4410" s="54"/>
    </row>
    <row r="4411" s="24" customFormat="1" spans="1:8">
      <c r="A4411" s="147">
        <v>4547</v>
      </c>
      <c r="B4411" s="203" t="s">
        <v>6501</v>
      </c>
      <c r="C4411" s="54">
        <f>110/30</f>
        <v>3.66666666666667</v>
      </c>
      <c r="D4411" s="54">
        <v>0</v>
      </c>
      <c r="E4411" s="54"/>
      <c r="F4411" s="204" t="s">
        <v>6502</v>
      </c>
      <c r="G4411" s="203"/>
      <c r="H4411" s="54"/>
    </row>
    <row r="4412" s="24" customFormat="1" spans="1:8">
      <c r="A4412" s="147">
        <v>4548</v>
      </c>
      <c r="B4412" s="203" t="s">
        <v>6503</v>
      </c>
      <c r="C4412" s="54">
        <f>30/30</f>
        <v>1</v>
      </c>
      <c r="D4412" s="54">
        <v>0</v>
      </c>
      <c r="E4412" s="54"/>
      <c r="F4412" s="204" t="s">
        <v>6504</v>
      </c>
      <c r="G4412" s="203"/>
      <c r="H4412" s="54"/>
    </row>
    <row r="4413" s="24" customFormat="1" spans="1:8">
      <c r="A4413" s="147">
        <v>4549</v>
      </c>
      <c r="B4413" s="203" t="s">
        <v>6505</v>
      </c>
      <c r="C4413" s="54">
        <f>96/30</f>
        <v>3.2</v>
      </c>
      <c r="D4413" s="54">
        <v>0</v>
      </c>
      <c r="E4413" s="54"/>
      <c r="F4413" s="204" t="s">
        <v>6506</v>
      </c>
      <c r="G4413" s="203"/>
      <c r="H4413" s="54"/>
    </row>
    <row r="4414" s="24" customFormat="1" spans="1:8">
      <c r="A4414" s="147">
        <v>4550</v>
      </c>
      <c r="B4414" s="203" t="s">
        <v>6507</v>
      </c>
      <c r="C4414" s="54">
        <f>30/30</f>
        <v>1</v>
      </c>
      <c r="D4414" s="54">
        <v>0</v>
      </c>
      <c r="E4414" s="54"/>
      <c r="F4414" s="204" t="s">
        <v>6508</v>
      </c>
      <c r="G4414" s="203"/>
      <c r="H4414" s="54"/>
    </row>
    <row r="4415" s="24" customFormat="1" spans="1:8">
      <c r="A4415" s="147">
        <v>4551</v>
      </c>
      <c r="B4415" s="203" t="s">
        <v>6509</v>
      </c>
      <c r="C4415" s="54">
        <v>2.5</v>
      </c>
      <c r="D4415" s="54">
        <v>0</v>
      </c>
      <c r="E4415" s="54"/>
      <c r="F4415" s="204" t="s">
        <v>6510</v>
      </c>
      <c r="G4415" s="203"/>
      <c r="H4415" s="54"/>
    </row>
    <row r="4416" s="24" customFormat="1" spans="1:8">
      <c r="A4416" s="147">
        <v>4552</v>
      </c>
      <c r="B4416" s="203" t="s">
        <v>6511</v>
      </c>
      <c r="C4416" s="54">
        <f>67/30</f>
        <v>2.23333333333333</v>
      </c>
      <c r="D4416" s="54">
        <v>0</v>
      </c>
      <c r="E4416" s="54"/>
      <c r="F4416" s="204" t="s">
        <v>6512</v>
      </c>
      <c r="G4416" s="203"/>
      <c r="H4416" s="54"/>
    </row>
    <row r="4417" s="24" customFormat="1" spans="1:8">
      <c r="A4417" s="147">
        <v>4553</v>
      </c>
      <c r="B4417" s="203" t="s">
        <v>6513</v>
      </c>
      <c r="C4417" s="54">
        <f>30/30</f>
        <v>1</v>
      </c>
      <c r="D4417" s="54">
        <v>0</v>
      </c>
      <c r="E4417" s="54"/>
      <c r="F4417" s="204" t="s">
        <v>6514</v>
      </c>
      <c r="G4417" s="203"/>
      <c r="H4417" s="54"/>
    </row>
    <row r="4418" s="24" customFormat="1" spans="1:8">
      <c r="A4418" s="147">
        <v>4554</v>
      </c>
      <c r="B4418" s="203" t="s">
        <v>6515</v>
      </c>
      <c r="C4418" s="54">
        <f t="shared" ref="C4418:C4420" si="43">305/30</f>
        <v>10.1666666666667</v>
      </c>
      <c r="D4418" s="54">
        <v>0</v>
      </c>
      <c r="E4418" s="54"/>
      <c r="F4418" s="204" t="s">
        <v>6516</v>
      </c>
      <c r="G4418" s="203"/>
      <c r="H4418" s="54"/>
    </row>
    <row r="4419" s="24" customFormat="1" spans="1:8">
      <c r="A4419" s="147">
        <v>4555</v>
      </c>
      <c r="B4419" s="203" t="s">
        <v>6517</v>
      </c>
      <c r="C4419" s="54">
        <f t="shared" si="43"/>
        <v>10.1666666666667</v>
      </c>
      <c r="D4419" s="54">
        <v>0</v>
      </c>
      <c r="E4419" s="54"/>
      <c r="F4419" s="204" t="s">
        <v>6518</v>
      </c>
      <c r="G4419" s="203"/>
      <c r="H4419" s="54"/>
    </row>
    <row r="4420" s="24" customFormat="1" spans="1:8">
      <c r="A4420" s="147">
        <v>4556</v>
      </c>
      <c r="B4420" s="203" t="s">
        <v>6519</v>
      </c>
      <c r="C4420" s="54">
        <f t="shared" si="43"/>
        <v>10.1666666666667</v>
      </c>
      <c r="D4420" s="54">
        <v>0</v>
      </c>
      <c r="E4420" s="54"/>
      <c r="F4420" s="204" t="s">
        <v>6520</v>
      </c>
      <c r="G4420" s="203"/>
      <c r="H4420" s="54"/>
    </row>
    <row r="4421" s="24" customFormat="1" spans="1:8">
      <c r="A4421" s="147">
        <v>4557</v>
      </c>
      <c r="B4421" s="203" t="s">
        <v>6521</v>
      </c>
      <c r="C4421" s="54">
        <f>290/30</f>
        <v>9.66666666666667</v>
      </c>
      <c r="D4421" s="54">
        <v>0</v>
      </c>
      <c r="E4421" s="54"/>
      <c r="F4421" s="204" t="s">
        <v>6522</v>
      </c>
      <c r="G4421" s="203"/>
      <c r="H4421" s="54"/>
    </row>
    <row r="4422" s="24" customFormat="1" spans="1:8">
      <c r="A4422" s="147">
        <v>4558</v>
      </c>
      <c r="B4422" s="203" t="s">
        <v>6523</v>
      </c>
      <c r="C4422" s="54">
        <f>391/30</f>
        <v>13.0333333333333</v>
      </c>
      <c r="D4422" s="24">
        <v>0</v>
      </c>
      <c r="E4422" s="54"/>
      <c r="F4422" s="204" t="s">
        <v>6524</v>
      </c>
      <c r="G4422" s="203"/>
      <c r="H4422" s="54"/>
    </row>
    <row r="4423" s="24" customFormat="1" spans="1:8">
      <c r="A4423" s="147">
        <v>4559</v>
      </c>
      <c r="B4423" s="203" t="s">
        <v>6525</v>
      </c>
      <c r="C4423" s="54">
        <f>391/30</f>
        <v>13.0333333333333</v>
      </c>
      <c r="D4423" s="54">
        <v>0</v>
      </c>
      <c r="E4423" s="54"/>
      <c r="F4423" s="204" t="s">
        <v>6526</v>
      </c>
      <c r="G4423" s="203"/>
      <c r="H4423" s="54"/>
    </row>
    <row r="4424" s="24" customFormat="1" spans="1:8">
      <c r="A4424" s="147">
        <v>4560</v>
      </c>
      <c r="B4424" s="203" t="s">
        <v>6527</v>
      </c>
      <c r="C4424" s="54">
        <f>145/30</f>
        <v>4.83333333333333</v>
      </c>
      <c r="D4424" s="54">
        <v>0</v>
      </c>
      <c r="E4424" s="54"/>
      <c r="F4424" s="204" t="s">
        <v>6528</v>
      </c>
      <c r="G4424" s="203"/>
      <c r="H4424" s="54"/>
    </row>
    <row r="4425" s="24" customFormat="1" spans="1:8">
      <c r="A4425" s="147">
        <v>4561</v>
      </c>
      <c r="B4425" s="203" t="s">
        <v>6529</v>
      </c>
      <c r="C4425" s="54">
        <v>0</v>
      </c>
      <c r="D4425" s="54">
        <v>1</v>
      </c>
      <c r="E4425" s="54"/>
      <c r="F4425" s="204" t="s">
        <v>6530</v>
      </c>
      <c r="G4425" s="203"/>
      <c r="H4425" s="54"/>
    </row>
    <row r="4426" s="24" customFormat="1" spans="1:8">
      <c r="A4426" s="147">
        <v>4562</v>
      </c>
      <c r="B4426" s="203" t="s">
        <v>6531</v>
      </c>
      <c r="C4426" s="54">
        <v>150</v>
      </c>
      <c r="D4426" s="54">
        <v>0</v>
      </c>
      <c r="E4426" s="54"/>
      <c r="F4426" s="204" t="s">
        <v>6532</v>
      </c>
      <c r="G4426" s="203"/>
      <c r="H4426" s="54"/>
    </row>
    <row r="4427" s="24" customFormat="1" spans="1:8">
      <c r="A4427" s="147">
        <v>4563</v>
      </c>
      <c r="B4427" s="203" t="s">
        <v>6533</v>
      </c>
      <c r="C4427" s="54">
        <f>30/30</f>
        <v>1</v>
      </c>
      <c r="D4427" s="54">
        <v>0</v>
      </c>
      <c r="E4427" s="54"/>
      <c r="F4427" s="204" t="s">
        <v>6496</v>
      </c>
      <c r="G4427" s="205"/>
      <c r="H4427" s="54"/>
    </row>
    <row r="4428" s="26" customFormat="1" spans="1:8">
      <c r="A4428" s="150">
        <v>4564</v>
      </c>
      <c r="B4428" s="196" t="s">
        <v>6534</v>
      </c>
      <c r="C4428" s="26">
        <v>15</v>
      </c>
      <c r="D4428" s="151">
        <v>0</v>
      </c>
      <c r="E4428" s="151"/>
      <c r="F4428" s="194" t="s">
        <v>6406</v>
      </c>
      <c r="G4428" s="206"/>
      <c r="H4428" s="151"/>
    </row>
    <row r="4429" customFormat="1" spans="1:8">
      <c r="A4429" s="152">
        <v>4565</v>
      </c>
      <c r="B4429" s="24" t="s">
        <v>6535</v>
      </c>
      <c r="C4429" s="52">
        <f>470/30</f>
        <v>15.6666666666667</v>
      </c>
      <c r="D4429" s="52">
        <v>0</v>
      </c>
      <c r="E4429" s="52"/>
      <c r="F4429" s="201" t="s">
        <v>6536</v>
      </c>
      <c r="G4429" s="207"/>
      <c r="H4429" s="2"/>
    </row>
    <row r="4430" customFormat="1" spans="1:8">
      <c r="A4430" s="148">
        <v>4566</v>
      </c>
      <c r="B4430" s="208" t="s">
        <v>6537</v>
      </c>
      <c r="C4430" s="149">
        <f>75/30</f>
        <v>2.5</v>
      </c>
      <c r="D4430" s="149">
        <v>0</v>
      </c>
      <c r="E4430" s="2"/>
      <c r="F4430" s="180" t="s">
        <v>6538</v>
      </c>
      <c r="G4430" s="207"/>
      <c r="H4430" s="2"/>
    </row>
    <row r="4431" customFormat="1" spans="1:8">
      <c r="A4431" s="148">
        <v>4567</v>
      </c>
      <c r="B4431" s="208" t="s">
        <v>6539</v>
      </c>
      <c r="C4431" s="149">
        <f>75/30</f>
        <v>2.5</v>
      </c>
      <c r="D4431" s="149">
        <v>0</v>
      </c>
      <c r="E4431" s="2"/>
      <c r="F4431" s="180" t="s">
        <v>6540</v>
      </c>
      <c r="G4431" s="207"/>
      <c r="H4431" s="2"/>
    </row>
    <row r="4432" customFormat="1" spans="1:8">
      <c r="A4432" s="148">
        <v>4568</v>
      </c>
      <c r="B4432" s="208" t="s">
        <v>6541</v>
      </c>
      <c r="C4432" s="149">
        <f>76/30</f>
        <v>2.53333333333333</v>
      </c>
      <c r="D4432" s="149">
        <v>0</v>
      </c>
      <c r="E4432" s="2"/>
      <c r="F4432" s="180" t="s">
        <v>6542</v>
      </c>
      <c r="G4432" s="207"/>
      <c r="H4432" s="2"/>
    </row>
    <row r="4433" customFormat="1" spans="1:8">
      <c r="A4433" s="148">
        <v>4569</v>
      </c>
      <c r="B4433" s="208" t="s">
        <v>6543</v>
      </c>
      <c r="C4433" s="149">
        <f>76/30</f>
        <v>2.53333333333333</v>
      </c>
      <c r="D4433" s="149">
        <v>0</v>
      </c>
      <c r="E4433" s="2"/>
      <c r="F4433" s="180" t="s">
        <v>6544</v>
      </c>
      <c r="G4433" s="207"/>
      <c r="H4433" s="2"/>
    </row>
    <row r="4434" customFormat="1" spans="1:8">
      <c r="A4434" s="148">
        <v>4570</v>
      </c>
      <c r="B4434" s="208" t="s">
        <v>6545</v>
      </c>
      <c r="C4434" s="149">
        <v>1</v>
      </c>
      <c r="D4434" s="149">
        <v>0</v>
      </c>
      <c r="E4434" s="2"/>
      <c r="F4434" s="180" t="s">
        <v>6546</v>
      </c>
      <c r="G4434" s="207"/>
      <c r="H4434" s="2"/>
    </row>
    <row r="4435" customFormat="1" spans="1:8">
      <c r="A4435" s="148">
        <v>4571</v>
      </c>
      <c r="B4435" s="208" t="s">
        <v>6547</v>
      </c>
      <c r="C4435" s="149">
        <f>110/30</f>
        <v>3.66666666666667</v>
      </c>
      <c r="D4435" s="149">
        <v>0</v>
      </c>
      <c r="E4435" s="2"/>
      <c r="F4435" s="180" t="s">
        <v>6548</v>
      </c>
      <c r="G4435" s="207"/>
      <c r="H4435" s="2"/>
    </row>
    <row r="4436" customFormat="1" spans="1:8">
      <c r="A4436" s="148">
        <v>4572</v>
      </c>
      <c r="B4436" s="208" t="s">
        <v>6549</v>
      </c>
      <c r="C4436" s="149">
        <v>1</v>
      </c>
      <c r="D4436" s="149">
        <v>0</v>
      </c>
      <c r="E4436" s="2"/>
      <c r="F4436" s="180" t="s">
        <v>6550</v>
      </c>
      <c r="G4436" s="207"/>
      <c r="H4436" s="2"/>
    </row>
    <row r="4437" customFormat="1" spans="1:8">
      <c r="A4437" s="148">
        <v>4573</v>
      </c>
      <c r="B4437" s="208" t="s">
        <v>6551</v>
      </c>
      <c r="C4437" s="149">
        <f>66/30</f>
        <v>2.2</v>
      </c>
      <c r="D4437" s="149">
        <v>0</v>
      </c>
      <c r="E4437" s="2"/>
      <c r="F4437" s="180" t="s">
        <v>6552</v>
      </c>
      <c r="G4437" s="207"/>
      <c r="H4437" s="2"/>
    </row>
    <row r="4438" customFormat="1" spans="1:8">
      <c r="A4438" s="148">
        <v>4574</v>
      </c>
      <c r="B4438" s="208" t="s">
        <v>6553</v>
      </c>
      <c r="C4438" s="149">
        <f>235/30</f>
        <v>7.83333333333333</v>
      </c>
      <c r="D4438" s="149">
        <v>0</v>
      </c>
      <c r="E4438" s="2"/>
      <c r="F4438" s="180" t="s">
        <v>6554</v>
      </c>
      <c r="G4438" s="207"/>
      <c r="H4438" s="2"/>
    </row>
    <row r="4439" customFormat="1" spans="1:8">
      <c r="A4439" s="148">
        <v>4576</v>
      </c>
      <c r="B4439" s="208" t="s">
        <v>6555</v>
      </c>
      <c r="C4439" s="149">
        <f>301/30</f>
        <v>10.0333333333333</v>
      </c>
      <c r="D4439" s="149">
        <v>0</v>
      </c>
      <c r="E4439" s="2"/>
      <c r="F4439" s="180" t="s">
        <v>6556</v>
      </c>
      <c r="G4439" s="207"/>
      <c r="H4439" s="2"/>
    </row>
    <row r="4440" customFormat="1" spans="1:8">
      <c r="A4440" s="148">
        <v>4578</v>
      </c>
      <c r="B4440" s="208" t="s">
        <v>6557</v>
      </c>
      <c r="C4440" s="149">
        <f>418/30</f>
        <v>13.9333333333333</v>
      </c>
      <c r="D4440" s="149">
        <v>0</v>
      </c>
      <c r="E4440" s="2"/>
      <c r="F4440" s="180" t="s">
        <v>6558</v>
      </c>
      <c r="G4440" s="207"/>
      <c r="H4440" s="2"/>
    </row>
    <row r="4441" customFormat="1" spans="1:8">
      <c r="A4441" s="148">
        <v>4580</v>
      </c>
      <c r="B4441" s="208" t="s">
        <v>6559</v>
      </c>
      <c r="C4441" s="149">
        <f>340/30</f>
        <v>11.3333333333333</v>
      </c>
      <c r="D4441" s="149">
        <v>0</v>
      </c>
      <c r="E4441" s="2"/>
      <c r="F4441" s="180" t="s">
        <v>6560</v>
      </c>
      <c r="G4441" s="207"/>
      <c r="H4441" s="2"/>
    </row>
    <row r="4442" customFormat="1" spans="1:8">
      <c r="A4442" s="148">
        <v>4582</v>
      </c>
      <c r="B4442" s="208" t="s">
        <v>6561</v>
      </c>
      <c r="C4442" s="149">
        <f>100/30</f>
        <v>3.33333333333333</v>
      </c>
      <c r="D4442" s="149">
        <v>0</v>
      </c>
      <c r="E4442" s="2"/>
      <c r="F4442" s="180" t="s">
        <v>6562</v>
      </c>
      <c r="G4442" s="207"/>
      <c r="H4442" s="2"/>
    </row>
    <row r="4443" customFormat="1" spans="1:8">
      <c r="A4443" s="148">
        <v>4583</v>
      </c>
      <c r="B4443" s="208" t="s">
        <v>6563</v>
      </c>
      <c r="C4443" s="149">
        <f>100/30</f>
        <v>3.33333333333333</v>
      </c>
      <c r="D4443" s="149">
        <v>0</v>
      </c>
      <c r="E4443" s="2"/>
      <c r="F4443" s="180" t="s">
        <v>6562</v>
      </c>
      <c r="G4443" s="207"/>
      <c r="H4443" s="2"/>
    </row>
    <row r="4444" customFormat="1" spans="1:8">
      <c r="A4444" s="148">
        <v>4584</v>
      </c>
      <c r="B4444" s="208" t="s">
        <v>6564</v>
      </c>
      <c r="C4444" s="149">
        <v>0</v>
      </c>
      <c r="D4444" s="149">
        <v>1</v>
      </c>
      <c r="E4444" s="2"/>
      <c r="F4444" s="180" t="s">
        <v>6565</v>
      </c>
      <c r="G4444" s="207"/>
      <c r="H4444" s="2"/>
    </row>
    <row r="4445" customFormat="1" spans="1:8">
      <c r="A4445" s="148">
        <v>4585</v>
      </c>
      <c r="B4445" s="208" t="s">
        <v>6566</v>
      </c>
      <c r="C4445" s="149">
        <f>418/30</f>
        <v>13.9333333333333</v>
      </c>
      <c r="D4445" s="149">
        <v>0</v>
      </c>
      <c r="E4445" s="2"/>
      <c r="F4445" s="180" t="s">
        <v>6558</v>
      </c>
      <c r="G4445" s="207"/>
      <c r="H4445" s="2"/>
    </row>
    <row r="4446" customFormat="1" spans="1:8">
      <c r="A4446" s="209">
        <v>4586</v>
      </c>
      <c r="B4446" s="210" t="s">
        <v>6567</v>
      </c>
      <c r="C4446" s="49">
        <v>3.63333333333333</v>
      </c>
      <c r="D4446" s="49">
        <v>0</v>
      </c>
      <c r="E4446" s="49"/>
      <c r="F4446" s="211" t="s">
        <v>6568</v>
      </c>
      <c r="G4446" s="207"/>
      <c r="H4446" s="2"/>
    </row>
    <row r="4447" customFormat="1" spans="1:8">
      <c r="A4447" s="209">
        <v>4587</v>
      </c>
      <c r="B4447" s="210" t="s">
        <v>6569</v>
      </c>
      <c r="C4447" s="49">
        <v>1</v>
      </c>
      <c r="D4447" s="49">
        <v>0</v>
      </c>
      <c r="E4447" s="49"/>
      <c r="F4447" s="211" t="s">
        <v>6570</v>
      </c>
      <c r="G4447" s="207"/>
      <c r="H4447" s="2"/>
    </row>
    <row r="4448" customFormat="1" spans="1:8">
      <c r="A4448" s="209">
        <v>4588</v>
      </c>
      <c r="B4448" s="210" t="s">
        <v>6571</v>
      </c>
      <c r="C4448" s="49">
        <v>1</v>
      </c>
      <c r="D4448" s="49">
        <v>0</v>
      </c>
      <c r="E4448" s="49"/>
      <c r="F4448" s="211" t="s">
        <v>6570</v>
      </c>
      <c r="G4448" s="207"/>
      <c r="H4448" s="2"/>
    </row>
    <row r="4449" customFormat="1" spans="1:8">
      <c r="A4449" s="209">
        <v>4589</v>
      </c>
      <c r="B4449" s="210" t="s">
        <v>6572</v>
      </c>
      <c r="C4449" s="49">
        <v>5.23333333333333</v>
      </c>
      <c r="D4449" s="49">
        <v>0</v>
      </c>
      <c r="E4449" s="49"/>
      <c r="F4449" s="211" t="s">
        <v>6573</v>
      </c>
      <c r="G4449" s="207"/>
      <c r="H4449" s="2"/>
    </row>
    <row r="4450" customFormat="1" spans="1:8">
      <c r="A4450" s="209">
        <v>4590</v>
      </c>
      <c r="B4450" s="210" t="s">
        <v>6574</v>
      </c>
      <c r="C4450" s="49">
        <v>2.23333333333333</v>
      </c>
      <c r="D4450" s="49">
        <v>0</v>
      </c>
      <c r="E4450" s="49"/>
      <c r="F4450" s="211" t="s">
        <v>6575</v>
      </c>
      <c r="G4450" s="207"/>
      <c r="H4450" s="2"/>
    </row>
    <row r="4451" customFormat="1" spans="1:8">
      <c r="A4451" s="209">
        <v>4591</v>
      </c>
      <c r="B4451" s="210" t="s">
        <v>6576</v>
      </c>
      <c r="C4451" s="49">
        <v>1</v>
      </c>
      <c r="D4451" s="49">
        <v>0</v>
      </c>
      <c r="E4451" s="49"/>
      <c r="F4451" s="211" t="s">
        <v>6575</v>
      </c>
      <c r="G4451" s="207"/>
      <c r="H4451" s="2"/>
    </row>
    <row r="4452" customFormat="1" spans="1:8">
      <c r="A4452" s="209">
        <v>4592</v>
      </c>
      <c r="B4452" s="210" t="s">
        <v>6577</v>
      </c>
      <c r="C4452" s="49">
        <v>2.23333333333333</v>
      </c>
      <c r="D4452" s="49">
        <v>0</v>
      </c>
      <c r="E4452" s="49"/>
      <c r="F4452" s="211" t="s">
        <v>6575</v>
      </c>
      <c r="G4452" s="207"/>
      <c r="H4452" s="2"/>
    </row>
    <row r="4453" customFormat="1" spans="1:8">
      <c r="A4453" s="209">
        <v>4593</v>
      </c>
      <c r="B4453" s="210" t="s">
        <v>6578</v>
      </c>
      <c r="C4453" s="49">
        <v>2.23333333333333</v>
      </c>
      <c r="D4453" s="49">
        <v>0</v>
      </c>
      <c r="E4453" s="49"/>
      <c r="F4453" s="211" t="s">
        <v>6575</v>
      </c>
      <c r="G4453" s="207"/>
      <c r="H4453" s="2"/>
    </row>
    <row r="4454" customFormat="1" spans="1:8">
      <c r="A4454" s="209">
        <v>4594</v>
      </c>
      <c r="B4454" s="210" t="s">
        <v>6579</v>
      </c>
      <c r="C4454" s="49">
        <v>4.6</v>
      </c>
      <c r="D4454" s="49">
        <v>0</v>
      </c>
      <c r="E4454" s="49"/>
      <c r="F4454" s="211" t="s">
        <v>6580</v>
      </c>
      <c r="G4454" s="207"/>
      <c r="H4454" s="2"/>
    </row>
    <row r="4455" customFormat="1" spans="1:8">
      <c r="A4455" s="209">
        <v>4595</v>
      </c>
      <c r="B4455" s="210" t="s">
        <v>6581</v>
      </c>
      <c r="C4455" s="49">
        <v>1</v>
      </c>
      <c r="D4455" s="49">
        <v>0</v>
      </c>
      <c r="E4455" s="49"/>
      <c r="F4455" s="211" t="s">
        <v>6580</v>
      </c>
      <c r="G4455" s="207"/>
      <c r="H4455" s="2"/>
    </row>
    <row r="4456" customFormat="1" spans="1:8">
      <c r="A4456" s="209">
        <v>4596</v>
      </c>
      <c r="B4456" s="210" t="s">
        <v>6582</v>
      </c>
      <c r="C4456" s="49">
        <v>2.23333333333333</v>
      </c>
      <c r="D4456" s="49">
        <v>0</v>
      </c>
      <c r="E4456" s="49"/>
      <c r="F4456" s="211" t="s">
        <v>6583</v>
      </c>
      <c r="G4456" s="207"/>
      <c r="H4456" s="2"/>
    </row>
    <row r="4457" customFormat="1" spans="1:8">
      <c r="A4457" s="209">
        <v>4597</v>
      </c>
      <c r="B4457" s="210" t="s">
        <v>6584</v>
      </c>
      <c r="C4457" s="49">
        <v>1</v>
      </c>
      <c r="D4457" s="49">
        <v>0</v>
      </c>
      <c r="E4457" s="49"/>
      <c r="F4457" s="211" t="s">
        <v>6583</v>
      </c>
      <c r="G4457" s="207"/>
      <c r="H4457" s="2"/>
    </row>
    <row r="4458" customFormat="1" spans="1:8">
      <c r="A4458" s="209">
        <v>4598</v>
      </c>
      <c r="B4458" s="210" t="s">
        <v>6585</v>
      </c>
      <c r="C4458" s="49">
        <v>1</v>
      </c>
      <c r="D4458" s="49">
        <v>0</v>
      </c>
      <c r="E4458" s="49"/>
      <c r="F4458" s="211" t="s">
        <v>6583</v>
      </c>
      <c r="G4458" s="207"/>
      <c r="H4458" s="2"/>
    </row>
    <row r="4459" customFormat="1" spans="1:8">
      <c r="A4459" s="209">
        <v>4599</v>
      </c>
      <c r="B4459" s="210" t="s">
        <v>6586</v>
      </c>
      <c r="C4459" s="49">
        <v>12.4333333333333</v>
      </c>
      <c r="D4459" s="49">
        <v>0</v>
      </c>
      <c r="E4459" s="49"/>
      <c r="F4459" s="211" t="s">
        <v>6587</v>
      </c>
      <c r="G4459" s="207"/>
      <c r="H4459" s="2"/>
    </row>
    <row r="4460" customFormat="1" spans="1:8">
      <c r="A4460" s="209">
        <v>4600</v>
      </c>
      <c r="B4460" s="210" t="s">
        <v>6588</v>
      </c>
      <c r="C4460" s="49">
        <v>12</v>
      </c>
      <c r="D4460" s="49">
        <v>0</v>
      </c>
      <c r="E4460" s="49"/>
      <c r="F4460" s="211" t="s">
        <v>6589</v>
      </c>
      <c r="G4460" s="207"/>
      <c r="H4460" s="2"/>
    </row>
    <row r="4461" customFormat="1" spans="1:8">
      <c r="A4461" s="209">
        <v>4601</v>
      </c>
      <c r="B4461" s="210" t="s">
        <v>6590</v>
      </c>
      <c r="C4461" s="49">
        <v>12</v>
      </c>
      <c r="D4461" s="49">
        <v>0</v>
      </c>
      <c r="E4461" s="49"/>
      <c r="F4461" s="211" t="s">
        <v>6589</v>
      </c>
      <c r="G4461" s="207"/>
      <c r="H4461" s="2"/>
    </row>
    <row r="4462" customFormat="1" spans="1:8">
      <c r="A4462" s="209">
        <v>4602</v>
      </c>
      <c r="B4462" s="210" t="s">
        <v>6591</v>
      </c>
      <c r="C4462" s="49">
        <v>9.03333333333333</v>
      </c>
      <c r="D4462" s="49">
        <v>0</v>
      </c>
      <c r="E4462" s="49"/>
      <c r="F4462" s="211" t="s">
        <v>6592</v>
      </c>
      <c r="G4462" s="207"/>
      <c r="H4462" s="2"/>
    </row>
    <row r="4463" customFormat="1" spans="1:8">
      <c r="A4463" s="209">
        <v>4603</v>
      </c>
      <c r="B4463" s="210" t="s">
        <v>6593</v>
      </c>
      <c r="C4463" s="49">
        <f>136/30</f>
        <v>4.53333333333333</v>
      </c>
      <c r="D4463" s="49">
        <v>0</v>
      </c>
      <c r="E4463" s="49"/>
      <c r="F4463" s="211"/>
      <c r="G4463" s="207"/>
      <c r="H4463" s="2"/>
    </row>
    <row r="4464" customFormat="1" spans="1:8">
      <c r="A4464" s="209">
        <v>4604</v>
      </c>
      <c r="B4464" s="210" t="s">
        <v>6594</v>
      </c>
      <c r="C4464" s="49">
        <v>0</v>
      </c>
      <c r="D4464" s="49">
        <v>1</v>
      </c>
      <c r="E4464" s="49"/>
      <c r="F4464" s="211"/>
      <c r="G4464" s="207"/>
      <c r="H4464" s="2"/>
    </row>
    <row r="4465" customFormat="1" spans="1:8">
      <c r="A4465" s="209">
        <v>4605</v>
      </c>
      <c r="B4465" s="210" t="s">
        <v>6595</v>
      </c>
      <c r="C4465" s="49">
        <v>0</v>
      </c>
      <c r="D4465" s="49">
        <v>1</v>
      </c>
      <c r="E4465" s="49"/>
      <c r="F4465" s="211" t="s">
        <v>6596</v>
      </c>
      <c r="G4465" s="207"/>
      <c r="H4465" s="2"/>
    </row>
    <row r="4466" customFormat="1" spans="1:8">
      <c r="A4466" s="209">
        <v>4606</v>
      </c>
      <c r="B4466" s="210" t="s">
        <v>6597</v>
      </c>
      <c r="C4466" s="2">
        <v>120</v>
      </c>
      <c r="D4466" s="2">
        <v>0</v>
      </c>
      <c r="E4466" s="2"/>
      <c r="F4466" s="180" t="s">
        <v>6598</v>
      </c>
      <c r="G4466" s="207"/>
      <c r="H4466" s="2"/>
    </row>
    <row r="4467" customFormat="1" spans="1:8">
      <c r="A4467" s="209">
        <v>4607</v>
      </c>
      <c r="B4467" s="210" t="s">
        <v>6599</v>
      </c>
      <c r="C4467" s="2">
        <v>120</v>
      </c>
      <c r="D4467" s="2">
        <v>0</v>
      </c>
      <c r="E4467" s="2"/>
      <c r="F4467" s="180" t="s">
        <v>6600</v>
      </c>
      <c r="G4467" s="207"/>
      <c r="H4467" s="2"/>
    </row>
    <row r="4468" customFormat="1" spans="1:8">
      <c r="A4468" s="155">
        <v>4608</v>
      </c>
      <c r="B4468" s="156" t="s">
        <v>6601</v>
      </c>
      <c r="C4468" s="158">
        <f>70/30</f>
        <v>2.33333333333333</v>
      </c>
      <c r="D4468" s="158">
        <v>0</v>
      </c>
      <c r="E4468" s="158"/>
      <c r="F4468" s="212" t="s">
        <v>6602</v>
      </c>
      <c r="G4468" s="207"/>
      <c r="H4468" s="2"/>
    </row>
    <row r="4469" customFormat="1" spans="1:8">
      <c r="A4469" s="155">
        <v>4609</v>
      </c>
      <c r="B4469" s="156" t="s">
        <v>6603</v>
      </c>
      <c r="C4469" s="158">
        <v>1</v>
      </c>
      <c r="D4469" s="158">
        <v>0</v>
      </c>
      <c r="E4469" s="158"/>
      <c r="F4469" s="212" t="s">
        <v>6602</v>
      </c>
      <c r="G4469" s="207"/>
      <c r="H4469" s="2"/>
    </row>
    <row r="4470" customFormat="1" spans="1:8">
      <c r="A4470" s="155">
        <v>4610</v>
      </c>
      <c r="B4470" s="156" t="s">
        <v>6604</v>
      </c>
      <c r="C4470" s="158">
        <v>1</v>
      </c>
      <c r="D4470" s="158">
        <v>0</v>
      </c>
      <c r="E4470" s="158"/>
      <c r="F4470" s="212" t="s">
        <v>6602</v>
      </c>
      <c r="G4470" s="207"/>
      <c r="H4470" s="2"/>
    </row>
    <row r="4471" customFormat="1" spans="1:8">
      <c r="A4471" s="155">
        <v>4611</v>
      </c>
      <c r="B4471" s="156" t="s">
        <v>6605</v>
      </c>
      <c r="C4471" s="158">
        <v>1</v>
      </c>
      <c r="D4471" s="158">
        <v>0</v>
      </c>
      <c r="E4471" s="158"/>
      <c r="F4471" s="212" t="s">
        <v>6602</v>
      </c>
      <c r="G4471" s="207"/>
      <c r="H4471" s="2"/>
    </row>
    <row r="4472" customFormat="1" spans="1:8">
      <c r="A4472" s="155">
        <v>4612</v>
      </c>
      <c r="B4472" s="156" t="s">
        <v>6606</v>
      </c>
      <c r="C4472" s="158">
        <f>114/30</f>
        <v>3.8</v>
      </c>
      <c r="D4472" s="158">
        <v>0</v>
      </c>
      <c r="E4472" s="158"/>
      <c r="F4472" s="212" t="s">
        <v>6607</v>
      </c>
      <c r="G4472" s="207"/>
      <c r="H4472" s="2"/>
    </row>
    <row r="4473" customFormat="1" spans="1:8">
      <c r="A4473" s="155">
        <v>4613</v>
      </c>
      <c r="B4473" s="156" t="s">
        <v>6608</v>
      </c>
      <c r="C4473" s="158">
        <f>114/30</f>
        <v>3.8</v>
      </c>
      <c r="D4473" s="158">
        <v>0</v>
      </c>
      <c r="E4473" s="158"/>
      <c r="F4473" s="212" t="s">
        <v>6609</v>
      </c>
      <c r="G4473" s="207"/>
      <c r="H4473" s="2"/>
    </row>
    <row r="4474" customFormat="1" spans="1:8">
      <c r="A4474" s="155">
        <v>4614</v>
      </c>
      <c r="B4474" s="156" t="s">
        <v>6610</v>
      </c>
      <c r="C4474" s="158">
        <f>220/30</f>
        <v>7.33333333333333</v>
      </c>
      <c r="D4474" s="158">
        <v>0</v>
      </c>
      <c r="E4474" s="158"/>
      <c r="F4474" s="212" t="s">
        <v>6611</v>
      </c>
      <c r="G4474" s="207"/>
      <c r="H4474" s="2"/>
    </row>
    <row r="4475" customFormat="1" spans="1:8">
      <c r="A4475" s="155">
        <v>4615</v>
      </c>
      <c r="B4475" s="156" t="s">
        <v>6612</v>
      </c>
      <c r="C4475" s="158">
        <f>170/30</f>
        <v>5.66666666666667</v>
      </c>
      <c r="D4475" s="158">
        <v>0</v>
      </c>
      <c r="E4475" s="158"/>
      <c r="F4475" s="212" t="s">
        <v>6613</v>
      </c>
      <c r="G4475" s="207"/>
      <c r="H4475" s="2"/>
    </row>
    <row r="4476" customFormat="1" spans="1:8">
      <c r="A4476" s="155">
        <v>4616</v>
      </c>
      <c r="B4476" s="156" t="s">
        <v>6614</v>
      </c>
      <c r="C4476" s="158">
        <f>123/30</f>
        <v>4.1</v>
      </c>
      <c r="D4476" s="158">
        <v>0</v>
      </c>
      <c r="E4476" s="158"/>
      <c r="F4476" s="212" t="s">
        <v>6615</v>
      </c>
      <c r="G4476" s="207"/>
      <c r="H4476" s="2"/>
    </row>
    <row r="4477" customFormat="1" spans="1:8">
      <c r="A4477" s="155">
        <v>4617</v>
      </c>
      <c r="B4477" s="156" t="s">
        <v>6616</v>
      </c>
      <c r="C4477" s="158">
        <f>123/30</f>
        <v>4.1</v>
      </c>
      <c r="D4477" s="158">
        <v>0</v>
      </c>
      <c r="E4477" s="158"/>
      <c r="F4477" s="212" t="s">
        <v>6617</v>
      </c>
      <c r="G4477" s="207"/>
      <c r="H4477" s="2"/>
    </row>
    <row r="4478" customFormat="1" spans="1:8">
      <c r="A4478" s="155">
        <v>4618</v>
      </c>
      <c r="B4478" s="156" t="s">
        <v>6618</v>
      </c>
      <c r="C4478" s="158">
        <f>321/30</f>
        <v>10.7</v>
      </c>
      <c r="D4478" s="158">
        <v>0</v>
      </c>
      <c r="E4478" s="158"/>
      <c r="F4478" s="212" t="s">
        <v>6619</v>
      </c>
      <c r="G4478" s="207"/>
      <c r="H4478" s="2"/>
    </row>
    <row r="4479" customFormat="1" spans="1:8">
      <c r="A4479" s="155">
        <v>4619</v>
      </c>
      <c r="B4479" s="156" t="s">
        <v>6620</v>
      </c>
      <c r="C4479" s="158">
        <f>310/30</f>
        <v>10.3333333333333</v>
      </c>
      <c r="D4479" s="158">
        <v>0</v>
      </c>
      <c r="E4479" s="158"/>
      <c r="F4479" s="212" t="s">
        <v>6621</v>
      </c>
      <c r="G4479" s="207"/>
      <c r="H4479" s="2"/>
    </row>
    <row r="4480" customFormat="1" spans="1:8">
      <c r="A4480" s="155">
        <v>4620</v>
      </c>
      <c r="B4480" s="156" t="s">
        <v>6622</v>
      </c>
      <c r="C4480" s="158">
        <f>326/30</f>
        <v>10.8666666666667</v>
      </c>
      <c r="D4480" s="158">
        <v>0</v>
      </c>
      <c r="E4480" s="158"/>
      <c r="F4480" s="212" t="s">
        <v>6623</v>
      </c>
      <c r="G4480" s="207"/>
      <c r="H4480" s="2"/>
    </row>
    <row r="4481" customFormat="1" spans="1:8">
      <c r="A4481" s="155">
        <v>4621</v>
      </c>
      <c r="B4481" s="156" t="s">
        <v>6624</v>
      </c>
      <c r="C4481" s="158">
        <f>326/30</f>
        <v>10.8666666666667</v>
      </c>
      <c r="D4481" s="158">
        <v>0</v>
      </c>
      <c r="E4481" s="158"/>
      <c r="F4481" s="212" t="s">
        <v>6625</v>
      </c>
      <c r="G4481" s="207"/>
      <c r="H4481" s="2"/>
    </row>
    <row r="4482" customFormat="1" spans="1:8">
      <c r="A4482" s="155">
        <v>4622</v>
      </c>
      <c r="B4482" s="213" t="s">
        <v>6626</v>
      </c>
      <c r="C4482" s="158">
        <f>153/30</f>
        <v>5.1</v>
      </c>
      <c r="D4482" s="158">
        <v>0</v>
      </c>
      <c r="E4482" s="158"/>
      <c r="F4482" s="212" t="s">
        <v>6627</v>
      </c>
      <c r="G4482" s="207"/>
      <c r="H4482" s="2"/>
    </row>
    <row r="4483" customFormat="1" spans="1:8">
      <c r="A4483" s="155">
        <v>4623</v>
      </c>
      <c r="B4483" s="213" t="s">
        <v>6628</v>
      </c>
      <c r="C4483" s="158">
        <v>0</v>
      </c>
      <c r="D4483" s="158">
        <v>1</v>
      </c>
      <c r="E4483" s="158"/>
      <c r="F4483" s="212" t="s">
        <v>6627</v>
      </c>
      <c r="G4483" s="207"/>
      <c r="H4483" s="2"/>
    </row>
    <row r="4484" customFormat="1" spans="1:8">
      <c r="A4484" s="155">
        <v>4624</v>
      </c>
      <c r="B4484" s="213" t="s">
        <v>6629</v>
      </c>
      <c r="C4484" s="158">
        <f>170/30</f>
        <v>5.66666666666667</v>
      </c>
      <c r="D4484" s="158">
        <v>0</v>
      </c>
      <c r="E4484" s="158"/>
      <c r="F4484" s="212" t="s">
        <v>6630</v>
      </c>
      <c r="G4484" s="207"/>
      <c r="H4484" s="2"/>
    </row>
    <row r="4485" customFormat="1" spans="1:8">
      <c r="A4485" s="155">
        <v>4625</v>
      </c>
      <c r="B4485" s="213" t="s">
        <v>6631</v>
      </c>
      <c r="C4485" s="158">
        <f>310/30</f>
        <v>10.3333333333333</v>
      </c>
      <c r="D4485" s="158">
        <v>0</v>
      </c>
      <c r="E4485" s="158"/>
      <c r="F4485" s="212" t="s">
        <v>6630</v>
      </c>
      <c r="G4485" s="207"/>
      <c r="H4485" s="2"/>
    </row>
    <row r="4486" customFormat="1" spans="1:8">
      <c r="A4486" s="155">
        <v>4626</v>
      </c>
      <c r="B4486" s="213" t="s">
        <v>6632</v>
      </c>
      <c r="C4486" s="158">
        <f>321/30</f>
        <v>10.7</v>
      </c>
      <c r="D4486" s="158">
        <v>0</v>
      </c>
      <c r="E4486" s="158"/>
      <c r="F4486" s="212" t="s">
        <v>6630</v>
      </c>
      <c r="G4486" s="207"/>
      <c r="H4486" s="2"/>
    </row>
    <row r="4487" customFormat="1" spans="1:8">
      <c r="A4487" s="155">
        <v>4627</v>
      </c>
      <c r="B4487" s="213" t="s">
        <v>6633</v>
      </c>
      <c r="C4487" s="158">
        <f>220/30</f>
        <v>7.33333333333333</v>
      </c>
      <c r="D4487" s="158">
        <v>0</v>
      </c>
      <c r="E4487" s="158"/>
      <c r="F4487" s="212" t="s">
        <v>6634</v>
      </c>
      <c r="G4487" s="207"/>
      <c r="H4487" s="2"/>
    </row>
    <row r="4488" customFormat="1" spans="1:8">
      <c r="A4488" s="155">
        <v>4628</v>
      </c>
      <c r="B4488" s="213" t="s">
        <v>6635</v>
      </c>
      <c r="C4488" s="158">
        <f>170/30</f>
        <v>5.66666666666667</v>
      </c>
      <c r="D4488" s="158">
        <v>0</v>
      </c>
      <c r="E4488" s="158"/>
      <c r="F4488" s="212" t="s">
        <v>6636</v>
      </c>
      <c r="G4488" s="207"/>
      <c r="H4488" s="2"/>
    </row>
    <row r="4489" customFormat="1" spans="1:8">
      <c r="A4489" s="155">
        <v>4629</v>
      </c>
      <c r="B4489" s="213" t="s">
        <v>6637</v>
      </c>
      <c r="C4489" s="158">
        <f>310/30</f>
        <v>10.3333333333333</v>
      </c>
      <c r="D4489" s="158">
        <v>0</v>
      </c>
      <c r="E4489" s="158"/>
      <c r="F4489" s="212" t="s">
        <v>6636</v>
      </c>
      <c r="G4489" s="207"/>
      <c r="H4489" s="2"/>
    </row>
    <row r="4490" customFormat="1" spans="1:8">
      <c r="A4490" s="155">
        <v>4630</v>
      </c>
      <c r="B4490" s="213" t="s">
        <v>6638</v>
      </c>
      <c r="C4490" s="158">
        <f>321/30</f>
        <v>10.7</v>
      </c>
      <c r="D4490" s="158">
        <v>0</v>
      </c>
      <c r="E4490" s="158"/>
      <c r="F4490" s="212" t="s">
        <v>6636</v>
      </c>
      <c r="G4490" s="207"/>
      <c r="H4490" s="2"/>
    </row>
    <row r="4491" customFormat="1" spans="1:8">
      <c r="A4491" s="209">
        <v>4631</v>
      </c>
      <c r="B4491" s="210" t="s">
        <v>6639</v>
      </c>
      <c r="C4491" s="49">
        <v>0</v>
      </c>
      <c r="D4491" s="49">
        <v>1</v>
      </c>
      <c r="E4491" s="49"/>
      <c r="F4491" s="211" t="s">
        <v>6640</v>
      </c>
      <c r="G4491" s="207"/>
      <c r="H4491" s="2"/>
    </row>
    <row r="4492" customFormat="1" spans="1:8">
      <c r="A4492" s="209">
        <v>4632</v>
      </c>
      <c r="B4492" s="210" t="s">
        <v>6641</v>
      </c>
      <c r="C4492" s="49">
        <f>86/30</f>
        <v>2.86666666666667</v>
      </c>
      <c r="D4492" s="49">
        <v>0</v>
      </c>
      <c r="E4492" s="49"/>
      <c r="F4492" s="211" t="s">
        <v>6642</v>
      </c>
      <c r="G4492" s="207"/>
      <c r="H4492" s="2"/>
    </row>
    <row r="4493" customFormat="1" spans="1:8">
      <c r="A4493" s="209">
        <v>4633</v>
      </c>
      <c r="B4493" s="210" t="s">
        <v>6643</v>
      </c>
      <c r="C4493" s="214">
        <v>1</v>
      </c>
      <c r="D4493" s="49">
        <v>0</v>
      </c>
      <c r="E4493" s="49"/>
      <c r="F4493" s="211" t="s">
        <v>6644</v>
      </c>
      <c r="G4493" s="207"/>
      <c r="H4493" s="2"/>
    </row>
    <row r="4494" customFormat="1" spans="1:8">
      <c r="A4494" s="209">
        <v>4634</v>
      </c>
      <c r="B4494" s="210" t="s">
        <v>6645</v>
      </c>
      <c r="C4494" s="214">
        <v>1</v>
      </c>
      <c r="D4494" s="49">
        <v>0</v>
      </c>
      <c r="E4494" s="49"/>
      <c r="F4494" s="211" t="s">
        <v>6644</v>
      </c>
      <c r="G4494" s="207"/>
      <c r="H4494" s="2"/>
    </row>
    <row r="4495" customFormat="1" spans="1:8">
      <c r="A4495" s="209">
        <v>4635</v>
      </c>
      <c r="B4495" s="210" t="s">
        <v>6646</v>
      </c>
      <c r="C4495" s="49">
        <f>68/30</f>
        <v>2.26666666666667</v>
      </c>
      <c r="D4495" s="49">
        <v>0</v>
      </c>
      <c r="E4495" s="49"/>
      <c r="F4495" s="211" t="s">
        <v>6647</v>
      </c>
      <c r="G4495" s="207"/>
      <c r="H4495" s="2"/>
    </row>
    <row r="4496" customFormat="1" spans="1:8">
      <c r="A4496" s="209">
        <v>4636</v>
      </c>
      <c r="B4496" s="210" t="s">
        <v>6648</v>
      </c>
      <c r="C4496" s="214">
        <v>1</v>
      </c>
      <c r="D4496" s="49">
        <v>0</v>
      </c>
      <c r="E4496" s="49"/>
      <c r="F4496" s="211" t="s">
        <v>6649</v>
      </c>
      <c r="G4496" s="207"/>
      <c r="H4496" s="2"/>
    </row>
    <row r="4497" customFormat="1" spans="1:8">
      <c r="A4497" s="209">
        <v>4637</v>
      </c>
      <c r="B4497" s="210" t="s">
        <v>6650</v>
      </c>
      <c r="C4497" s="49">
        <f>92/30</f>
        <v>3.06666666666667</v>
      </c>
      <c r="D4497" s="49">
        <v>0</v>
      </c>
      <c r="E4497" s="49"/>
      <c r="F4497" s="211" t="s">
        <v>6651</v>
      </c>
      <c r="G4497" s="207"/>
      <c r="H4497" s="2"/>
    </row>
    <row r="4498" customFormat="1" spans="1:8">
      <c r="A4498" s="209">
        <v>4638</v>
      </c>
      <c r="B4498" s="210" t="s">
        <v>6652</v>
      </c>
      <c r="C4498" s="214">
        <v>1</v>
      </c>
      <c r="D4498" s="49">
        <v>0</v>
      </c>
      <c r="E4498" s="49"/>
      <c r="F4498" s="211" t="s">
        <v>6653</v>
      </c>
      <c r="G4498" s="207"/>
      <c r="H4498" s="2"/>
    </row>
    <row r="4499" customFormat="1" spans="1:8">
      <c r="A4499" s="209">
        <v>4639</v>
      </c>
      <c r="B4499" s="210" t="s">
        <v>6654</v>
      </c>
      <c r="C4499" s="49">
        <f>115/30</f>
        <v>3.83333333333333</v>
      </c>
      <c r="D4499" s="49">
        <v>0</v>
      </c>
      <c r="E4499" s="49"/>
      <c r="F4499" s="211" t="s">
        <v>6655</v>
      </c>
      <c r="G4499" s="207"/>
      <c r="H4499" s="2"/>
    </row>
    <row r="4500" customFormat="1" spans="1:8">
      <c r="A4500" s="209">
        <v>4640</v>
      </c>
      <c r="B4500" s="210" t="s">
        <v>6656</v>
      </c>
      <c r="C4500" s="49">
        <f>88/30</f>
        <v>2.93333333333333</v>
      </c>
      <c r="D4500" s="49">
        <v>0</v>
      </c>
      <c r="E4500" s="49"/>
      <c r="F4500" s="211" t="s">
        <v>6657</v>
      </c>
      <c r="G4500" s="207"/>
      <c r="H4500" s="2"/>
    </row>
    <row r="4501" customFormat="1" spans="1:8">
      <c r="A4501" s="209">
        <v>4641</v>
      </c>
      <c r="B4501" s="210" t="s">
        <v>6658</v>
      </c>
      <c r="C4501" s="214">
        <v>1</v>
      </c>
      <c r="D4501" s="49">
        <v>0</v>
      </c>
      <c r="E4501" s="49"/>
      <c r="F4501" s="211" t="s">
        <v>6659</v>
      </c>
      <c r="G4501" s="207"/>
      <c r="H4501" s="2"/>
    </row>
    <row r="4502" customFormat="1" spans="1:8">
      <c r="A4502" s="209">
        <v>4642</v>
      </c>
      <c r="B4502" s="210" t="s">
        <v>6660</v>
      </c>
      <c r="C4502" s="49">
        <v>1</v>
      </c>
      <c r="D4502" s="49">
        <v>0</v>
      </c>
      <c r="E4502" s="49"/>
      <c r="F4502" s="211" t="s">
        <v>6659</v>
      </c>
      <c r="G4502" s="207"/>
      <c r="H4502" s="2"/>
    </row>
    <row r="4503" customFormat="1" spans="1:8">
      <c r="A4503" s="209">
        <v>4643</v>
      </c>
      <c r="B4503" s="210" t="s">
        <v>6661</v>
      </c>
      <c r="C4503" s="49">
        <f>368/30</f>
        <v>12.2666666666667</v>
      </c>
      <c r="D4503" s="49">
        <v>0</v>
      </c>
      <c r="E4503" s="49"/>
      <c r="F4503" s="211" t="s">
        <v>6662</v>
      </c>
      <c r="G4503" s="207"/>
      <c r="H4503" s="2"/>
    </row>
    <row r="4504" customFormat="1" spans="1:8">
      <c r="A4504" s="209">
        <v>4644</v>
      </c>
      <c r="B4504" s="210" t="s">
        <v>6663</v>
      </c>
      <c r="C4504" s="49">
        <f>323/30</f>
        <v>10.7666666666667</v>
      </c>
      <c r="D4504" s="49">
        <v>0</v>
      </c>
      <c r="E4504" s="49"/>
      <c r="F4504" s="211" t="s">
        <v>6664</v>
      </c>
      <c r="G4504" s="207"/>
      <c r="H4504" s="2"/>
    </row>
    <row r="4505" customFormat="1" spans="1:8">
      <c r="A4505" s="209">
        <v>4645</v>
      </c>
      <c r="B4505" s="210" t="s">
        <v>6665</v>
      </c>
      <c r="C4505" s="49">
        <f>388/30</f>
        <v>12.9333333333333</v>
      </c>
      <c r="D4505" s="49">
        <v>0</v>
      </c>
      <c r="E4505" s="49"/>
      <c r="F4505" s="211" t="s">
        <v>6666</v>
      </c>
      <c r="G4505" s="207"/>
      <c r="H4505" s="2"/>
    </row>
    <row r="4506" s="29" customFormat="1" spans="1:8">
      <c r="A4506" s="170">
        <v>4646</v>
      </c>
      <c r="B4506" s="171" t="s">
        <v>6667</v>
      </c>
      <c r="C4506" s="29">
        <f>150/30</f>
        <v>5</v>
      </c>
      <c r="D4506" s="33">
        <v>0</v>
      </c>
      <c r="E4506" s="33"/>
      <c r="F4506" s="215" t="s">
        <v>6668</v>
      </c>
      <c r="G4506" s="169"/>
      <c r="H4506" s="33"/>
    </row>
    <row r="4507" s="29" customFormat="1" spans="1:8">
      <c r="A4507" s="170">
        <v>4647</v>
      </c>
      <c r="B4507" s="171" t="s">
        <v>6669</v>
      </c>
      <c r="C4507" s="29">
        <f>150/30</f>
        <v>5</v>
      </c>
      <c r="D4507" s="33">
        <v>0</v>
      </c>
      <c r="E4507" s="33"/>
      <c r="F4507" s="215" t="s">
        <v>6668</v>
      </c>
      <c r="G4507" s="169"/>
      <c r="H4507" s="33"/>
    </row>
    <row r="4508" s="29" customFormat="1" spans="1:8">
      <c r="A4508" s="170">
        <v>4648</v>
      </c>
      <c r="B4508" s="171" t="s">
        <v>6670</v>
      </c>
      <c r="C4508" s="29">
        <f>185/30</f>
        <v>6.16666666666667</v>
      </c>
      <c r="D4508" s="33">
        <v>0</v>
      </c>
      <c r="E4508" s="33"/>
      <c r="F4508" s="215" t="s">
        <v>6671</v>
      </c>
      <c r="G4508" s="169"/>
      <c r="H4508" s="33"/>
    </row>
    <row r="4509" s="29" customFormat="1" spans="1:8">
      <c r="A4509" s="170">
        <v>4650</v>
      </c>
      <c r="B4509" s="171" t="s">
        <v>6672</v>
      </c>
      <c r="C4509" s="29">
        <f>185/30</f>
        <v>6.16666666666667</v>
      </c>
      <c r="D4509" s="33">
        <v>0</v>
      </c>
      <c r="E4509" s="33"/>
      <c r="F4509" s="215" t="s">
        <v>6673</v>
      </c>
      <c r="G4509" s="169"/>
      <c r="H4509" s="33"/>
    </row>
    <row r="4510" s="29" customFormat="1" spans="1:8">
      <c r="A4510" s="170">
        <v>4651</v>
      </c>
      <c r="B4510" s="171" t="s">
        <v>6674</v>
      </c>
      <c r="C4510" s="33">
        <v>1</v>
      </c>
      <c r="D4510" s="33">
        <v>0</v>
      </c>
      <c r="E4510" s="33"/>
      <c r="F4510" s="215" t="s">
        <v>6675</v>
      </c>
      <c r="G4510" s="169"/>
      <c r="H4510" s="33"/>
    </row>
    <row r="4511" s="29" customFormat="1" spans="1:8">
      <c r="A4511" s="170">
        <v>4652</v>
      </c>
      <c r="B4511" s="171" t="s">
        <v>6676</v>
      </c>
      <c r="C4511" s="29">
        <f t="shared" ref="C4511:C4514" si="44">510/30</f>
        <v>17</v>
      </c>
      <c r="D4511" s="33">
        <v>0</v>
      </c>
      <c r="E4511" s="33"/>
      <c r="F4511" s="215" t="s">
        <v>6677</v>
      </c>
      <c r="G4511" s="169"/>
      <c r="H4511" s="33"/>
    </row>
    <row r="4512" s="29" customFormat="1" spans="1:8">
      <c r="A4512" s="170">
        <v>4653</v>
      </c>
      <c r="B4512" s="171" t="s">
        <v>6678</v>
      </c>
      <c r="C4512" s="29">
        <f t="shared" si="44"/>
        <v>17</v>
      </c>
      <c r="D4512" s="33">
        <v>0</v>
      </c>
      <c r="E4512" s="33"/>
      <c r="F4512" s="215" t="s">
        <v>6679</v>
      </c>
      <c r="G4512" s="169"/>
      <c r="H4512" s="33"/>
    </row>
    <row r="4513" s="29" customFormat="1" spans="1:8">
      <c r="A4513" s="170">
        <v>4654</v>
      </c>
      <c r="B4513" s="171" t="s">
        <v>6680</v>
      </c>
      <c r="C4513" s="29">
        <f t="shared" si="44"/>
        <v>17</v>
      </c>
      <c r="D4513" s="33">
        <v>0</v>
      </c>
      <c r="E4513" s="33"/>
      <c r="F4513" s="215" t="s">
        <v>6681</v>
      </c>
      <c r="G4513" s="169"/>
      <c r="H4513" s="33"/>
    </row>
    <row r="4514" s="29" customFormat="1" spans="1:8">
      <c r="A4514" s="170">
        <v>4655</v>
      </c>
      <c r="B4514" s="171" t="s">
        <v>6682</v>
      </c>
      <c r="C4514" s="29">
        <f t="shared" si="44"/>
        <v>17</v>
      </c>
      <c r="D4514" s="33">
        <v>0</v>
      </c>
      <c r="E4514" s="33"/>
      <c r="F4514" s="215" t="s">
        <v>6683</v>
      </c>
      <c r="G4514" s="169"/>
      <c r="H4514" s="33"/>
    </row>
    <row r="4515" s="29" customFormat="1" spans="1:8">
      <c r="A4515" s="170">
        <v>4656</v>
      </c>
      <c r="B4515" s="171" t="s">
        <v>6684</v>
      </c>
      <c r="C4515" s="29">
        <v>0</v>
      </c>
      <c r="D4515" s="33">
        <v>1</v>
      </c>
      <c r="E4515" s="33"/>
      <c r="F4515" s="215" t="s">
        <v>6685</v>
      </c>
      <c r="G4515" s="169"/>
      <c r="H4515" s="33"/>
    </row>
    <row r="4516" s="29" customFormat="1" spans="1:8">
      <c r="A4516" s="170">
        <v>4657</v>
      </c>
      <c r="B4516" s="171" t="s">
        <v>6686</v>
      </c>
      <c r="C4516" s="29">
        <f>100/30</f>
        <v>3.33333333333333</v>
      </c>
      <c r="D4516" s="33">
        <v>0</v>
      </c>
      <c r="E4516" s="33"/>
      <c r="F4516" s="215" t="s">
        <v>6687</v>
      </c>
      <c r="G4516" s="169"/>
      <c r="H4516" s="33"/>
    </row>
    <row r="4517" s="33" customFormat="1" ht="15" customHeight="1" spans="1:6">
      <c r="A4517" s="170">
        <v>4658</v>
      </c>
      <c r="B4517" s="216" t="s">
        <v>6688</v>
      </c>
      <c r="C4517" s="33">
        <v>0</v>
      </c>
      <c r="D4517" s="216">
        <v>1</v>
      </c>
      <c r="F4517" s="33" t="s">
        <v>6689</v>
      </c>
    </row>
    <row r="4518" s="34" customFormat="1" ht="15" customHeight="1" spans="1:6">
      <c r="A4518" s="197">
        <v>4659</v>
      </c>
      <c r="B4518" s="124" t="s">
        <v>6690</v>
      </c>
      <c r="C4518" s="34">
        <f>78/30</f>
        <v>2.6</v>
      </c>
      <c r="D4518" s="34">
        <v>0</v>
      </c>
      <c r="F4518" s="34" t="s">
        <v>6691</v>
      </c>
    </row>
    <row r="4519" s="34" customFormat="1" ht="15" customHeight="1" spans="1:6">
      <c r="A4519" s="197">
        <v>4660</v>
      </c>
      <c r="B4519" s="124" t="s">
        <v>6692</v>
      </c>
      <c r="C4519" s="34">
        <f>78/30</f>
        <v>2.6</v>
      </c>
      <c r="D4519" s="34">
        <v>0</v>
      </c>
      <c r="F4519" s="34" t="s">
        <v>6691</v>
      </c>
    </row>
    <row r="4520" s="34" customFormat="1" ht="15" customHeight="1" spans="1:6">
      <c r="A4520" s="197">
        <v>4661</v>
      </c>
      <c r="B4520" s="217" t="s">
        <v>6693</v>
      </c>
      <c r="C4520" s="218">
        <v>1</v>
      </c>
      <c r="D4520" s="218">
        <v>0</v>
      </c>
      <c r="E4520" s="218"/>
      <c r="F4520" s="218" t="s">
        <v>6694</v>
      </c>
    </row>
    <row r="4521" s="34" customFormat="1" ht="15" customHeight="1" spans="1:6">
      <c r="A4521" s="197">
        <v>4662</v>
      </c>
      <c r="B4521" s="217" t="s">
        <v>6695</v>
      </c>
      <c r="C4521" s="218">
        <v>1</v>
      </c>
      <c r="D4521" s="218">
        <v>0</v>
      </c>
      <c r="E4521" s="218"/>
      <c r="F4521" s="218" t="s">
        <v>6694</v>
      </c>
    </row>
    <row r="4522" s="34" customFormat="1" ht="15" customHeight="1" spans="1:6">
      <c r="A4522" s="197">
        <v>4663</v>
      </c>
      <c r="B4522" s="124" t="s">
        <v>6696</v>
      </c>
      <c r="C4522" s="34">
        <f>84/30</f>
        <v>2.8</v>
      </c>
      <c r="D4522" s="34">
        <v>0</v>
      </c>
      <c r="F4522" s="34" t="s">
        <v>6697</v>
      </c>
    </row>
    <row r="4523" s="34" customFormat="1" ht="15" customHeight="1" spans="1:6">
      <c r="A4523" s="197">
        <v>4664</v>
      </c>
      <c r="B4523" s="124" t="s">
        <v>6698</v>
      </c>
      <c r="C4523" s="34">
        <f>84/30</f>
        <v>2.8</v>
      </c>
      <c r="D4523" s="34">
        <v>0</v>
      </c>
      <c r="F4523" s="34" t="s">
        <v>6697</v>
      </c>
    </row>
    <row r="4524" s="34" customFormat="1" ht="15" customHeight="1" spans="1:6">
      <c r="A4524" s="197">
        <v>4665</v>
      </c>
      <c r="B4524" s="217" t="s">
        <v>6699</v>
      </c>
      <c r="C4524" s="218">
        <v>1</v>
      </c>
      <c r="D4524" s="218">
        <v>0</v>
      </c>
      <c r="E4524" s="218"/>
      <c r="F4524" s="218" t="s">
        <v>6700</v>
      </c>
    </row>
    <row r="4525" s="34" customFormat="1" ht="15" customHeight="1" spans="1:6">
      <c r="A4525" s="197">
        <v>4666</v>
      </c>
      <c r="B4525" s="124" t="s">
        <v>6701</v>
      </c>
      <c r="C4525" s="34">
        <f>137/30</f>
        <v>4.56666666666667</v>
      </c>
      <c r="D4525" s="34">
        <v>0</v>
      </c>
      <c r="F4525" s="34" t="s">
        <v>6702</v>
      </c>
    </row>
    <row r="4526" s="34" customFormat="1" ht="15" customHeight="1" spans="1:6">
      <c r="A4526" s="197">
        <v>4667</v>
      </c>
      <c r="B4526" s="124" t="s">
        <v>6703</v>
      </c>
      <c r="C4526" s="34">
        <f>137/30</f>
        <v>4.56666666666667</v>
      </c>
      <c r="D4526" s="34">
        <v>0</v>
      </c>
      <c r="F4526" s="34" t="s">
        <v>6702</v>
      </c>
    </row>
    <row r="4527" s="34" customFormat="1" ht="15" customHeight="1" spans="1:6">
      <c r="A4527" s="197">
        <v>4668</v>
      </c>
      <c r="B4527" s="217" t="s">
        <v>6704</v>
      </c>
      <c r="C4527" s="218">
        <v>1</v>
      </c>
      <c r="D4527" s="218">
        <v>0</v>
      </c>
      <c r="E4527" s="218"/>
      <c r="F4527" s="218" t="s">
        <v>6705</v>
      </c>
    </row>
    <row r="4528" s="34" customFormat="1" ht="15" customHeight="1" spans="1:6">
      <c r="A4528" s="197">
        <v>4669</v>
      </c>
      <c r="B4528" s="124" t="s">
        <v>6706</v>
      </c>
      <c r="C4528" s="34">
        <f t="shared" ref="C4528:C4530" si="45">75/30</f>
        <v>2.5</v>
      </c>
      <c r="D4528" s="34">
        <v>0</v>
      </c>
      <c r="F4528" s="34" t="s">
        <v>6707</v>
      </c>
    </row>
    <row r="4529" s="34" customFormat="1" ht="15" customHeight="1" spans="1:6">
      <c r="A4529" s="197">
        <v>4670</v>
      </c>
      <c r="B4529" s="124" t="s">
        <v>6708</v>
      </c>
      <c r="C4529" s="34">
        <f t="shared" si="45"/>
        <v>2.5</v>
      </c>
      <c r="D4529" s="34">
        <v>0</v>
      </c>
      <c r="F4529" s="34" t="s">
        <v>6707</v>
      </c>
    </row>
    <row r="4530" s="34" customFormat="1" ht="15" customHeight="1" spans="1:6">
      <c r="A4530" s="197">
        <v>4671</v>
      </c>
      <c r="B4530" s="124" t="s">
        <v>6709</v>
      </c>
      <c r="C4530" s="34">
        <f t="shared" si="45"/>
        <v>2.5</v>
      </c>
      <c r="D4530" s="34">
        <v>0</v>
      </c>
      <c r="F4530" s="34" t="s">
        <v>6707</v>
      </c>
    </row>
    <row r="4531" s="34" customFormat="1" ht="15" customHeight="1" spans="1:6">
      <c r="A4531" s="197">
        <v>4672</v>
      </c>
      <c r="B4531" s="217" t="s">
        <v>6710</v>
      </c>
      <c r="C4531" s="218">
        <v>1</v>
      </c>
      <c r="D4531" s="218">
        <v>0</v>
      </c>
      <c r="E4531" s="218"/>
      <c r="F4531" s="218" t="s">
        <v>6711</v>
      </c>
    </row>
    <row r="4532" s="34" customFormat="1" ht="15" customHeight="1" spans="1:6">
      <c r="A4532" s="197">
        <v>4673</v>
      </c>
      <c r="B4532" s="124" t="s">
        <v>6712</v>
      </c>
      <c r="C4532" s="34">
        <f>72/30</f>
        <v>2.4</v>
      </c>
      <c r="D4532" s="34">
        <v>0</v>
      </c>
      <c r="F4532" s="34" t="s">
        <v>6713</v>
      </c>
    </row>
    <row r="4533" s="34" customFormat="1" ht="15" customHeight="1" spans="1:6">
      <c r="A4533" s="197">
        <v>4674</v>
      </c>
      <c r="B4533" s="124" t="s">
        <v>6714</v>
      </c>
      <c r="C4533" s="34">
        <f>258/30</f>
        <v>8.6</v>
      </c>
      <c r="D4533" s="34">
        <v>0</v>
      </c>
      <c r="F4533" s="34" t="s">
        <v>6715</v>
      </c>
    </row>
    <row r="4534" s="34" customFormat="1" ht="15" customHeight="1" spans="1:6">
      <c r="A4534" s="197">
        <v>4675</v>
      </c>
      <c r="B4534" s="124" t="s">
        <v>6716</v>
      </c>
      <c r="C4534" s="34">
        <f>390/30</f>
        <v>13</v>
      </c>
      <c r="D4534" s="34">
        <v>0</v>
      </c>
      <c r="F4534" s="34" t="s">
        <v>6717</v>
      </c>
    </row>
    <row r="4535" s="34" customFormat="1" ht="15" customHeight="1" spans="1:6">
      <c r="A4535" s="197">
        <v>4676</v>
      </c>
      <c r="B4535" s="124" t="s">
        <v>6718</v>
      </c>
      <c r="C4535" s="34">
        <f>390/30</f>
        <v>13</v>
      </c>
      <c r="D4535" s="34">
        <v>0</v>
      </c>
      <c r="F4535" s="34" t="s">
        <v>6717</v>
      </c>
    </row>
    <row r="4536" s="34" customFormat="1" ht="15" customHeight="1" spans="1:6">
      <c r="A4536" s="197">
        <v>4677</v>
      </c>
      <c r="B4536" s="124" t="s">
        <v>6719</v>
      </c>
      <c r="C4536" s="34">
        <f>390/30</f>
        <v>13</v>
      </c>
      <c r="D4536" s="34">
        <v>0</v>
      </c>
      <c r="F4536" s="34" t="s">
        <v>6717</v>
      </c>
    </row>
    <row r="4537" s="34" customFormat="1" ht="15" customHeight="1" spans="1:6">
      <c r="A4537" s="197">
        <v>4678</v>
      </c>
      <c r="B4537" s="124" t="s">
        <v>6720</v>
      </c>
      <c r="C4537" s="34">
        <f>390/30</f>
        <v>13</v>
      </c>
      <c r="D4537" s="34">
        <v>0</v>
      </c>
      <c r="F4537" s="34" t="s">
        <v>6717</v>
      </c>
    </row>
    <row r="4538" s="34" customFormat="1" ht="15" customHeight="1" spans="1:6">
      <c r="A4538" s="197">
        <v>4679</v>
      </c>
      <c r="B4538" s="124" t="s">
        <v>6721</v>
      </c>
      <c r="C4538" s="34">
        <f>376/30</f>
        <v>12.5333333333333</v>
      </c>
      <c r="D4538" s="34">
        <v>0</v>
      </c>
      <c r="F4538" s="34" t="s">
        <v>6722</v>
      </c>
    </row>
    <row r="4539" s="34" customFormat="1" ht="15" customHeight="1" spans="1:6">
      <c r="A4539" s="197">
        <v>4680</v>
      </c>
      <c r="B4539" s="124" t="s">
        <v>6723</v>
      </c>
      <c r="C4539" s="34">
        <f>94/30</f>
        <v>3.13333333333333</v>
      </c>
      <c r="D4539" s="34">
        <v>0</v>
      </c>
      <c r="F4539" s="34" t="s">
        <v>6724</v>
      </c>
    </row>
    <row r="4540" s="34" customFormat="1" ht="15" customHeight="1" spans="1:6">
      <c r="A4540" s="197">
        <v>4681</v>
      </c>
      <c r="B4540" s="124" t="s">
        <v>6725</v>
      </c>
      <c r="C4540" s="34">
        <v>0</v>
      </c>
      <c r="D4540" s="34">
        <v>1</v>
      </c>
      <c r="F4540" s="34" t="s">
        <v>6726</v>
      </c>
    </row>
    <row r="4541" s="29" customFormat="1" spans="1:8">
      <c r="A4541" s="197">
        <v>4682</v>
      </c>
      <c r="B4541" s="171" t="s">
        <v>6727</v>
      </c>
      <c r="C4541" s="29">
        <f t="shared" ref="C4541:C4544" si="46">510/30</f>
        <v>17</v>
      </c>
      <c r="D4541" s="33">
        <v>0</v>
      </c>
      <c r="E4541" s="33"/>
      <c r="F4541" s="215" t="s">
        <v>6677</v>
      </c>
      <c r="G4541" s="169"/>
      <c r="H4541" s="33"/>
    </row>
    <row r="4542" s="29" customFormat="1" spans="1:8">
      <c r="A4542" s="197">
        <v>4683</v>
      </c>
      <c r="B4542" s="171" t="s">
        <v>6728</v>
      </c>
      <c r="C4542" s="29">
        <f t="shared" si="46"/>
        <v>17</v>
      </c>
      <c r="D4542" s="33">
        <v>0</v>
      </c>
      <c r="E4542" s="33"/>
      <c r="F4542" s="215" t="s">
        <v>6679</v>
      </c>
      <c r="G4542" s="169"/>
      <c r="H4542" s="33"/>
    </row>
    <row r="4543" s="29" customFormat="1" spans="1:8">
      <c r="A4543" s="197">
        <v>4684</v>
      </c>
      <c r="B4543" s="171" t="s">
        <v>6729</v>
      </c>
      <c r="C4543" s="29">
        <f t="shared" si="46"/>
        <v>17</v>
      </c>
      <c r="D4543" s="33">
        <v>0</v>
      </c>
      <c r="E4543" s="33"/>
      <c r="F4543" s="215" t="s">
        <v>6681</v>
      </c>
      <c r="G4543" s="169"/>
      <c r="H4543" s="33"/>
    </row>
    <row r="4544" s="29" customFormat="1" spans="1:8">
      <c r="A4544" s="197">
        <v>4685</v>
      </c>
      <c r="B4544" s="171" t="s">
        <v>6730</v>
      </c>
      <c r="C4544" s="29">
        <f t="shared" si="46"/>
        <v>17</v>
      </c>
      <c r="D4544" s="33">
        <v>0</v>
      </c>
      <c r="E4544" s="33"/>
      <c r="F4544" s="215" t="s">
        <v>6683</v>
      </c>
      <c r="G4544" s="169"/>
      <c r="H4544" s="33"/>
    </row>
    <row r="4545" s="11" customFormat="1" ht="15" customHeight="1" spans="1:6">
      <c r="A4545" s="197">
        <v>4686</v>
      </c>
      <c r="B4545" s="90" t="s">
        <v>6731</v>
      </c>
      <c r="C4545" s="11">
        <v>1</v>
      </c>
      <c r="D4545" s="90">
        <v>0</v>
      </c>
      <c r="F4545" s="11" t="s">
        <v>6732</v>
      </c>
    </row>
    <row r="4546" s="34" customFormat="1" ht="15" customHeight="1" spans="1:6">
      <c r="A4546" s="197">
        <v>4687</v>
      </c>
      <c r="B4546" s="217" t="s">
        <v>6733</v>
      </c>
      <c r="C4546" s="218">
        <v>1</v>
      </c>
      <c r="D4546" s="218">
        <v>0</v>
      </c>
      <c r="E4546" s="218"/>
      <c r="F4546" s="218" t="s">
        <v>6734</v>
      </c>
    </row>
    <row r="4547" s="6" customFormat="1" ht="15" customHeight="1" spans="1:6">
      <c r="A4547" s="118">
        <v>4688</v>
      </c>
      <c r="B4547" s="153" t="s">
        <v>6735</v>
      </c>
      <c r="C4547" s="5">
        <f>62/30</f>
        <v>2.06666666666667</v>
      </c>
      <c r="D4547" s="35">
        <v>0</v>
      </c>
      <c r="E4547" s="35"/>
      <c r="F4547" s="35" t="s">
        <v>6736</v>
      </c>
    </row>
    <row r="4548" s="35" customFormat="1" ht="15" customHeight="1" spans="1:6">
      <c r="A4548" s="219">
        <v>4689</v>
      </c>
      <c r="B4548" s="219" t="s">
        <v>6737</v>
      </c>
      <c r="C4548" s="35">
        <v>1</v>
      </c>
      <c r="D4548" s="35">
        <v>0</v>
      </c>
      <c r="F4548" s="35" t="s">
        <v>6738</v>
      </c>
    </row>
    <row r="4549" s="6" customFormat="1" ht="15" customHeight="1" spans="1:6">
      <c r="A4549" s="118">
        <v>4690</v>
      </c>
      <c r="B4549" s="153" t="s">
        <v>6739</v>
      </c>
      <c r="C4549" s="35">
        <f>114/30</f>
        <v>3.8</v>
      </c>
      <c r="D4549" s="35">
        <v>0</v>
      </c>
      <c r="E4549" s="35"/>
      <c r="F4549" s="35" t="s">
        <v>6740</v>
      </c>
    </row>
    <row r="4550" s="35" customFormat="1" ht="15" customHeight="1" spans="1:6">
      <c r="A4550" s="219">
        <v>4691</v>
      </c>
      <c r="B4550" s="219" t="s">
        <v>6741</v>
      </c>
      <c r="C4550" s="35">
        <v>1</v>
      </c>
      <c r="D4550" s="35">
        <v>0</v>
      </c>
      <c r="F4550" s="35" t="s">
        <v>6742</v>
      </c>
    </row>
    <row r="4551" s="6" customFormat="1" ht="15" customHeight="1" spans="1:6">
      <c r="A4551" s="118">
        <v>4692</v>
      </c>
      <c r="B4551" s="153" t="s">
        <v>6743</v>
      </c>
      <c r="C4551" s="35">
        <f>296/30</f>
        <v>9.86666666666667</v>
      </c>
      <c r="D4551" s="35">
        <v>0</v>
      </c>
      <c r="E4551" s="35"/>
      <c r="F4551" s="35" t="s">
        <v>6744</v>
      </c>
    </row>
    <row r="4552" s="6" customFormat="1" ht="15" customHeight="1" spans="1:6">
      <c r="A4552" s="118">
        <v>4693</v>
      </c>
      <c r="B4552" s="153" t="s">
        <v>6745</v>
      </c>
      <c r="C4552" s="35">
        <f>296/30</f>
        <v>9.86666666666667</v>
      </c>
      <c r="D4552" s="35">
        <v>0</v>
      </c>
      <c r="E4552" s="35"/>
      <c r="F4552" s="35" t="s">
        <v>6746</v>
      </c>
    </row>
    <row r="4553" s="6" customFormat="1" ht="15" customHeight="1" spans="1:6">
      <c r="A4553" s="118">
        <v>4694</v>
      </c>
      <c r="B4553" s="153" t="s">
        <v>6747</v>
      </c>
      <c r="C4553" s="35">
        <f>296/30</f>
        <v>9.86666666666667</v>
      </c>
      <c r="D4553" s="35">
        <v>0</v>
      </c>
      <c r="E4553" s="35"/>
      <c r="F4553" s="35" t="s">
        <v>6748</v>
      </c>
    </row>
    <row r="4554" s="6" customFormat="1" ht="15" customHeight="1" spans="1:6">
      <c r="A4554" s="118">
        <v>4695</v>
      </c>
      <c r="B4554" s="153" t="s">
        <v>6749</v>
      </c>
      <c r="C4554" s="35">
        <f>296/30</f>
        <v>9.86666666666667</v>
      </c>
      <c r="D4554" s="35">
        <v>0</v>
      </c>
      <c r="E4554" s="35"/>
      <c r="F4554" s="35" t="s">
        <v>6750</v>
      </c>
    </row>
    <row r="4555" s="6" customFormat="1" ht="15" customHeight="1" spans="1:6">
      <c r="A4555" s="118">
        <v>4696</v>
      </c>
      <c r="B4555" s="153" t="s">
        <v>6751</v>
      </c>
      <c r="C4555" s="35">
        <f>296/30</f>
        <v>9.86666666666667</v>
      </c>
      <c r="D4555" s="35">
        <v>0</v>
      </c>
      <c r="E4555" s="35"/>
      <c r="F4555" s="35" t="s">
        <v>6752</v>
      </c>
    </row>
    <row r="4556" s="6" customFormat="1" ht="15" customHeight="1" spans="1:6">
      <c r="A4556" s="118">
        <v>4697</v>
      </c>
      <c r="B4556" s="153" t="s">
        <v>6753</v>
      </c>
      <c r="C4556" s="35">
        <f>102/30</f>
        <v>3.4</v>
      </c>
      <c r="D4556" s="35">
        <v>0</v>
      </c>
      <c r="E4556" s="35"/>
      <c r="F4556" s="35" t="s">
        <v>6754</v>
      </c>
    </row>
    <row r="4557" s="6" customFormat="1" ht="15" customHeight="1" spans="1:6">
      <c r="A4557" s="118">
        <v>4698</v>
      </c>
      <c r="B4557" s="153" t="s">
        <v>6755</v>
      </c>
      <c r="C4557" s="35">
        <v>0</v>
      </c>
      <c r="D4557" s="35">
        <v>1</v>
      </c>
      <c r="E4557" s="35"/>
      <c r="F4557" s="35" t="s">
        <v>6756</v>
      </c>
    </row>
    <row r="4558" s="6" customFormat="1" ht="15" customHeight="1" spans="1:6">
      <c r="A4558" s="118">
        <v>4699</v>
      </c>
      <c r="B4558" s="153" t="s">
        <v>6757</v>
      </c>
      <c r="C4558" s="6">
        <f>480/30</f>
        <v>16</v>
      </c>
      <c r="D4558" s="6">
        <v>0</v>
      </c>
      <c r="F4558" s="6" t="s">
        <v>6758</v>
      </c>
    </row>
    <row r="4559" s="6" customFormat="1" ht="15" customHeight="1" spans="1:6">
      <c r="A4559" s="118">
        <v>4700</v>
      </c>
      <c r="B4559" s="153" t="s">
        <v>6759</v>
      </c>
      <c r="C4559" s="6">
        <f>254/30</f>
        <v>8.46666666666667</v>
      </c>
      <c r="D4559" s="6">
        <v>0</v>
      </c>
      <c r="F4559" s="6" t="s">
        <v>6760</v>
      </c>
    </row>
    <row r="4560" s="6" customFormat="1" ht="15" customHeight="1" spans="1:6">
      <c r="A4560" s="118">
        <v>4701</v>
      </c>
      <c r="B4560" s="153" t="s">
        <v>6761</v>
      </c>
      <c r="C4560" s="6">
        <f>156/30</f>
        <v>5.2</v>
      </c>
      <c r="D4560" s="6">
        <v>0</v>
      </c>
      <c r="F4560" s="6" t="s">
        <v>6762</v>
      </c>
    </row>
    <row r="4561" s="6" customFormat="1" ht="15" customHeight="1" spans="1:6">
      <c r="A4561" s="118">
        <v>4702</v>
      </c>
      <c r="B4561" s="153" t="s">
        <v>6763</v>
      </c>
      <c r="C4561" s="6">
        <f>85/30</f>
        <v>2.83333333333333</v>
      </c>
      <c r="D4561" s="6">
        <v>0</v>
      </c>
      <c r="F4561" s="6" t="s">
        <v>6764</v>
      </c>
    </row>
    <row r="4562" s="36" customFormat="1" ht="15" customHeight="1" spans="1:6">
      <c r="A4562" s="220">
        <v>4703</v>
      </c>
      <c r="B4562" s="221" t="s">
        <v>6765</v>
      </c>
      <c r="C4562" s="36">
        <f>68/30</f>
        <v>2.26666666666667</v>
      </c>
      <c r="D4562" s="36">
        <v>0</v>
      </c>
      <c r="F4562" s="36" t="s">
        <v>6766</v>
      </c>
    </row>
    <row r="4563" s="37" customFormat="1" ht="15" customHeight="1" spans="1:6">
      <c r="A4563" s="222">
        <v>4704</v>
      </c>
      <c r="B4563" s="222" t="s">
        <v>6767</v>
      </c>
      <c r="C4563" s="37">
        <v>1</v>
      </c>
      <c r="D4563" s="37">
        <v>0</v>
      </c>
      <c r="F4563" s="36" t="s">
        <v>6768</v>
      </c>
    </row>
    <row r="4564" s="36" customFormat="1" ht="15" customHeight="1" spans="1:6">
      <c r="A4564" s="220">
        <v>4705</v>
      </c>
      <c r="B4564" s="221" t="s">
        <v>6769</v>
      </c>
      <c r="C4564" s="36">
        <f>114/30</f>
        <v>3.8</v>
      </c>
      <c r="D4564" s="36">
        <v>0</v>
      </c>
      <c r="F4564" s="36" t="s">
        <v>6770</v>
      </c>
    </row>
    <row r="4565" s="36" customFormat="1" ht="15" customHeight="1" spans="1:6">
      <c r="A4565" s="220">
        <v>4706</v>
      </c>
      <c r="B4565" s="221" t="s">
        <v>6771</v>
      </c>
      <c r="C4565" s="36">
        <f>113/30</f>
        <v>3.76666666666667</v>
      </c>
      <c r="D4565" s="36">
        <v>0</v>
      </c>
      <c r="F4565" s="36" t="s">
        <v>6772</v>
      </c>
    </row>
    <row r="4566" s="37" customFormat="1" ht="15" customHeight="1" spans="1:6">
      <c r="A4566" s="222">
        <v>4707</v>
      </c>
      <c r="B4566" s="222" t="s">
        <v>6773</v>
      </c>
      <c r="C4566" s="37">
        <v>1</v>
      </c>
      <c r="D4566" s="37">
        <v>0</v>
      </c>
      <c r="F4566" s="36" t="s">
        <v>6774</v>
      </c>
    </row>
    <row r="4567" s="36" customFormat="1" ht="15" customHeight="1" spans="1:6">
      <c r="A4567" s="220">
        <v>4708</v>
      </c>
      <c r="B4567" s="221" t="s">
        <v>6775</v>
      </c>
      <c r="C4567" s="36">
        <f>79/30</f>
        <v>2.63333333333333</v>
      </c>
      <c r="D4567" s="36">
        <v>0</v>
      </c>
      <c r="F4567" s="36" t="s">
        <v>6776</v>
      </c>
    </row>
    <row r="4568" s="37" customFormat="1" ht="15" customHeight="1" spans="1:6">
      <c r="A4568" s="222">
        <v>4709</v>
      </c>
      <c r="B4568" s="222" t="s">
        <v>6777</v>
      </c>
      <c r="C4568" s="37">
        <v>1</v>
      </c>
      <c r="D4568" s="37">
        <v>0</v>
      </c>
      <c r="F4568" s="36" t="s">
        <v>6778</v>
      </c>
    </row>
    <row r="4569" s="36" customFormat="1" ht="15" customHeight="1" spans="1:6">
      <c r="A4569" s="220">
        <v>4710</v>
      </c>
      <c r="B4569" s="221" t="s">
        <v>6779</v>
      </c>
      <c r="C4569" s="36">
        <f>104/30</f>
        <v>3.46666666666667</v>
      </c>
      <c r="D4569" s="36">
        <v>0</v>
      </c>
      <c r="F4569" s="36" t="s">
        <v>6780</v>
      </c>
    </row>
    <row r="4570" s="36" customFormat="1" ht="15" customHeight="1" spans="1:6">
      <c r="A4570" s="220">
        <v>4711</v>
      </c>
      <c r="B4570" s="221" t="s">
        <v>6781</v>
      </c>
      <c r="C4570" s="36">
        <f>310/30</f>
        <v>10.3333333333333</v>
      </c>
      <c r="D4570" s="36">
        <v>0</v>
      </c>
      <c r="F4570" s="36" t="s">
        <v>6782</v>
      </c>
    </row>
    <row r="4571" s="36" customFormat="1" ht="15" customHeight="1" spans="1:6">
      <c r="A4571" s="220">
        <v>4712</v>
      </c>
      <c r="B4571" s="221" t="s">
        <v>6783</v>
      </c>
      <c r="C4571" s="36">
        <f>366/30</f>
        <v>12.2</v>
      </c>
      <c r="D4571" s="36">
        <v>0</v>
      </c>
      <c r="F4571" s="36" t="s">
        <v>6784</v>
      </c>
    </row>
    <row r="4572" s="36" customFormat="1" ht="15" customHeight="1" spans="1:6">
      <c r="A4572" s="220">
        <v>4713</v>
      </c>
      <c r="B4572" s="221" t="s">
        <v>6785</v>
      </c>
      <c r="C4572" s="36">
        <f>308/30</f>
        <v>10.2666666666667</v>
      </c>
      <c r="D4572" s="36">
        <v>0</v>
      </c>
      <c r="F4572" s="36" t="s">
        <v>6786</v>
      </c>
    </row>
    <row r="4573" s="36" customFormat="1" ht="15" customHeight="1" spans="1:6">
      <c r="A4573" s="220">
        <v>4714</v>
      </c>
      <c r="B4573" s="221" t="s">
        <v>6787</v>
      </c>
      <c r="C4573" s="36">
        <f>157/30</f>
        <v>5.23333333333333</v>
      </c>
      <c r="D4573" s="36">
        <v>0</v>
      </c>
      <c r="F4573" s="36" t="s">
        <v>6788</v>
      </c>
    </row>
    <row r="4574" s="36" customFormat="1" ht="15" customHeight="1" spans="1:6">
      <c r="A4574" s="220">
        <v>4715</v>
      </c>
      <c r="B4574" s="221" t="s">
        <v>6789</v>
      </c>
      <c r="C4574" s="36">
        <v>0</v>
      </c>
      <c r="D4574" s="36">
        <v>1</v>
      </c>
      <c r="F4574" s="36" t="s">
        <v>6790</v>
      </c>
    </row>
    <row r="4575" s="36" customFormat="1" ht="15" customHeight="1" spans="1:6">
      <c r="A4575" s="220">
        <v>4716</v>
      </c>
      <c r="B4575" s="221" t="s">
        <v>6791</v>
      </c>
      <c r="C4575" s="36">
        <f>366/30</f>
        <v>12.2</v>
      </c>
      <c r="D4575" s="36">
        <v>0</v>
      </c>
      <c r="F4575" s="36" t="s">
        <v>6792</v>
      </c>
    </row>
    <row r="4576" s="36" customFormat="1" ht="15" customHeight="1" spans="1:6">
      <c r="A4576" s="220">
        <v>4717</v>
      </c>
      <c r="B4576" s="221" t="s">
        <v>6793</v>
      </c>
      <c r="C4576" s="36">
        <f>366/30</f>
        <v>12.2</v>
      </c>
      <c r="D4576" s="36">
        <v>0</v>
      </c>
      <c r="F4576" s="36" t="s">
        <v>6794</v>
      </c>
    </row>
    <row r="4577" s="38" customFormat="1" ht="15" customHeight="1" spans="1:6">
      <c r="A4577" s="223">
        <v>4718</v>
      </c>
      <c r="B4577" s="224" t="s">
        <v>6795</v>
      </c>
      <c r="C4577" s="38">
        <f>111/30</f>
        <v>3.7</v>
      </c>
      <c r="D4577" s="38">
        <v>0</v>
      </c>
      <c r="F4577" s="38" t="s">
        <v>6796</v>
      </c>
    </row>
    <row r="4578" s="39" customFormat="1" ht="15" customHeight="1" spans="1:6">
      <c r="A4578" s="225">
        <v>4719</v>
      </c>
      <c r="B4578" s="225" t="s">
        <v>6797</v>
      </c>
      <c r="C4578" s="39">
        <v>1</v>
      </c>
      <c r="D4578" s="39">
        <v>0</v>
      </c>
      <c r="F4578" s="39" t="s">
        <v>6798</v>
      </c>
    </row>
    <row r="4579" s="38" customFormat="1" ht="15" customHeight="1" spans="1:6">
      <c r="A4579" s="223">
        <v>4720</v>
      </c>
      <c r="B4579" s="224" t="s">
        <v>6799</v>
      </c>
      <c r="C4579" s="38">
        <f>111/30</f>
        <v>3.7</v>
      </c>
      <c r="D4579" s="38">
        <v>0</v>
      </c>
      <c r="F4579" s="38" t="s">
        <v>6800</v>
      </c>
    </row>
    <row r="4580" s="39" customFormat="1" ht="15" customHeight="1" spans="1:6">
      <c r="A4580" s="225">
        <v>4721</v>
      </c>
      <c r="B4580" s="225" t="s">
        <v>6801</v>
      </c>
      <c r="C4580" s="39">
        <v>1</v>
      </c>
      <c r="D4580" s="39">
        <v>0</v>
      </c>
      <c r="F4580" s="39" t="s">
        <v>6802</v>
      </c>
    </row>
    <row r="4581" s="38" customFormat="1" ht="15" customHeight="1" spans="1:6">
      <c r="A4581" s="223">
        <v>4722</v>
      </c>
      <c r="B4581" s="224" t="s">
        <v>6803</v>
      </c>
      <c r="C4581" s="38">
        <f>69/30</f>
        <v>2.3</v>
      </c>
      <c r="D4581" s="38">
        <v>0</v>
      </c>
      <c r="F4581" s="38" t="s">
        <v>6804</v>
      </c>
    </row>
    <row r="4582" s="38" customFormat="1" ht="15" customHeight="1" spans="1:6">
      <c r="A4582" s="223">
        <v>4723</v>
      </c>
      <c r="B4582" s="224" t="s">
        <v>6805</v>
      </c>
      <c r="C4582" s="38">
        <f>75/30</f>
        <v>2.5</v>
      </c>
      <c r="D4582" s="38">
        <v>0</v>
      </c>
      <c r="F4582" s="38" t="s">
        <v>6806</v>
      </c>
    </row>
    <row r="4583" s="39" customFormat="1" ht="15" customHeight="1" spans="1:6">
      <c r="A4583" s="225">
        <v>4724</v>
      </c>
      <c r="B4583" s="225" t="s">
        <v>6807</v>
      </c>
      <c r="C4583" s="39">
        <v>1</v>
      </c>
      <c r="D4583" s="39">
        <v>0</v>
      </c>
      <c r="F4583" s="39" t="s">
        <v>6808</v>
      </c>
    </row>
    <row r="4584" s="38" customFormat="1" ht="15" customHeight="1" spans="1:6">
      <c r="A4584" s="223">
        <v>4725</v>
      </c>
      <c r="B4584" s="224" t="s">
        <v>6809</v>
      </c>
      <c r="C4584" s="38">
        <f>76/30</f>
        <v>2.53333333333333</v>
      </c>
      <c r="D4584" s="38">
        <v>0</v>
      </c>
      <c r="F4584" s="38" t="s">
        <v>6810</v>
      </c>
    </row>
    <row r="4585" s="38" customFormat="1" ht="15" customHeight="1" spans="1:6">
      <c r="A4585" s="223">
        <v>4726</v>
      </c>
      <c r="B4585" s="224" t="s">
        <v>6811</v>
      </c>
      <c r="C4585" s="38">
        <f>76/30</f>
        <v>2.53333333333333</v>
      </c>
      <c r="D4585" s="38">
        <v>0</v>
      </c>
      <c r="F4585" s="38" t="s">
        <v>6812</v>
      </c>
    </row>
    <row r="4586" s="39" customFormat="1" ht="15" customHeight="1" spans="1:6">
      <c r="A4586" s="225">
        <v>4727</v>
      </c>
      <c r="B4586" s="225" t="s">
        <v>6813</v>
      </c>
      <c r="C4586" s="39">
        <v>1</v>
      </c>
      <c r="D4586" s="39">
        <v>0</v>
      </c>
      <c r="F4586" s="39" t="s">
        <v>6814</v>
      </c>
    </row>
    <row r="4587" s="38" customFormat="1" ht="15" customHeight="1" spans="1:6">
      <c r="A4587" s="223">
        <v>4728</v>
      </c>
      <c r="B4587" s="224" t="s">
        <v>6815</v>
      </c>
      <c r="C4587" s="226">
        <f>329/30</f>
        <v>10.9666666666667</v>
      </c>
      <c r="D4587" s="38">
        <v>0</v>
      </c>
      <c r="F4587" s="38" t="s">
        <v>6816</v>
      </c>
    </row>
    <row r="4588" s="38" customFormat="1" ht="15" customHeight="1" spans="1:6">
      <c r="A4588" s="223">
        <v>4729</v>
      </c>
      <c r="B4588" s="224" t="s">
        <v>6817</v>
      </c>
      <c r="C4588" s="226">
        <f>329/30</f>
        <v>10.9666666666667</v>
      </c>
      <c r="D4588" s="38">
        <v>0</v>
      </c>
      <c r="F4588" s="38" t="s">
        <v>6818</v>
      </c>
    </row>
    <row r="4589" s="38" customFormat="1" ht="15" customHeight="1" spans="1:6">
      <c r="A4589" s="223">
        <v>4730</v>
      </c>
      <c r="B4589" s="224" t="s">
        <v>6819</v>
      </c>
      <c r="C4589" s="38">
        <f>243/30</f>
        <v>8.1</v>
      </c>
      <c r="D4589" s="38">
        <v>1</v>
      </c>
      <c r="F4589" s="38" t="s">
        <v>6820</v>
      </c>
    </row>
    <row r="4590" s="38" customFormat="1" ht="15" customHeight="1" spans="1:6">
      <c r="A4590" s="223">
        <v>4731</v>
      </c>
      <c r="B4590" s="224" t="s">
        <v>6821</v>
      </c>
      <c r="C4590" s="38">
        <f>243/30</f>
        <v>8.1</v>
      </c>
      <c r="D4590" s="38">
        <v>0</v>
      </c>
      <c r="F4590" s="38" t="s">
        <v>6822</v>
      </c>
    </row>
    <row r="4591" s="38" customFormat="1" ht="15" customHeight="1" spans="1:6">
      <c r="A4591" s="223">
        <v>4732</v>
      </c>
      <c r="B4591" s="224" t="s">
        <v>6823</v>
      </c>
      <c r="C4591" s="38">
        <f>243/30</f>
        <v>8.1</v>
      </c>
      <c r="D4591" s="38">
        <v>0</v>
      </c>
      <c r="F4591" s="38" t="s">
        <v>6824</v>
      </c>
    </row>
    <row r="4592" s="38" customFormat="1" ht="15" customHeight="1" spans="1:6">
      <c r="A4592" s="223">
        <v>4733</v>
      </c>
      <c r="B4592" s="224" t="s">
        <v>6825</v>
      </c>
      <c r="C4592" s="226">
        <f>457/30</f>
        <v>15.2333333333333</v>
      </c>
      <c r="D4592" s="38">
        <v>0</v>
      </c>
      <c r="F4592" s="38" t="s">
        <v>6826</v>
      </c>
    </row>
    <row r="4593" s="38" customFormat="1" ht="15" customHeight="1" spans="1:6">
      <c r="A4593" s="223">
        <v>4735</v>
      </c>
      <c r="B4593" s="224" t="s">
        <v>6827</v>
      </c>
      <c r="C4593" s="226">
        <f>457/30</f>
        <v>15.2333333333333</v>
      </c>
      <c r="D4593" s="38">
        <v>0</v>
      </c>
      <c r="F4593" s="38" t="s">
        <v>6828</v>
      </c>
    </row>
    <row r="4594" s="38" customFormat="1" ht="15" customHeight="1" spans="1:6">
      <c r="A4594" s="223">
        <v>4736</v>
      </c>
      <c r="B4594" s="224" t="s">
        <v>6829</v>
      </c>
      <c r="C4594" s="226">
        <f>76/30</f>
        <v>2.53333333333333</v>
      </c>
      <c r="D4594" s="38">
        <v>0</v>
      </c>
      <c r="F4594" s="38" t="s">
        <v>6830</v>
      </c>
    </row>
    <row r="4595" s="38" customFormat="1" ht="15" customHeight="1" spans="1:6">
      <c r="A4595" s="223">
        <v>4737</v>
      </c>
      <c r="B4595" s="224" t="s">
        <v>6831</v>
      </c>
      <c r="C4595" s="38">
        <v>0</v>
      </c>
      <c r="D4595" s="38">
        <v>1</v>
      </c>
      <c r="F4595" s="38" t="s">
        <v>6832</v>
      </c>
    </row>
    <row r="4596" s="38" customFormat="1" ht="15" customHeight="1" spans="1:6">
      <c r="A4596" s="223">
        <v>4738</v>
      </c>
      <c r="B4596" s="224" t="s">
        <v>6833</v>
      </c>
      <c r="C4596" s="226">
        <f>329/30</f>
        <v>10.9666666666667</v>
      </c>
      <c r="D4596" s="38">
        <v>0</v>
      </c>
      <c r="F4596" s="38" t="s">
        <v>6834</v>
      </c>
    </row>
    <row r="4597" s="38" customFormat="1" ht="15" customHeight="1" spans="1:6">
      <c r="A4597" s="223">
        <v>4739</v>
      </c>
      <c r="B4597" s="224" t="s">
        <v>6835</v>
      </c>
      <c r="C4597" s="226">
        <f>265/30</f>
        <v>8.83333333333333</v>
      </c>
      <c r="D4597" s="38">
        <v>0</v>
      </c>
      <c r="F4597" s="38" t="s">
        <v>6836</v>
      </c>
    </row>
    <row r="4598" s="40" customFormat="1" ht="15" customHeight="1" spans="1:6">
      <c r="A4598" s="172">
        <v>4740</v>
      </c>
      <c r="B4598" s="227" t="s">
        <v>6837</v>
      </c>
      <c r="C4598" s="30">
        <f>66/30</f>
        <v>2.2</v>
      </c>
      <c r="D4598" s="40">
        <v>0</v>
      </c>
      <c r="F4598" s="40" t="s">
        <v>6838</v>
      </c>
    </row>
    <row r="4599" s="41" customFormat="1" ht="15" customHeight="1" spans="1:8">
      <c r="A4599" s="228">
        <v>4741</v>
      </c>
      <c r="B4599" s="228" t="s">
        <v>6839</v>
      </c>
      <c r="C4599" s="41">
        <v>1</v>
      </c>
      <c r="D4599" s="41">
        <v>0</v>
      </c>
      <c r="E4599" s="40"/>
      <c r="F4599" s="40" t="s">
        <v>6840</v>
      </c>
      <c r="G4599" s="40"/>
      <c r="H4599" s="40"/>
    </row>
    <row r="4600" s="40" customFormat="1" ht="15" customHeight="1" spans="1:6">
      <c r="A4600" s="172">
        <v>4742</v>
      </c>
      <c r="B4600" s="227" t="s">
        <v>6841</v>
      </c>
      <c r="C4600" s="30">
        <f>114/30</f>
        <v>3.8</v>
      </c>
      <c r="D4600" s="40">
        <v>0</v>
      </c>
      <c r="F4600" s="40" t="s">
        <v>6842</v>
      </c>
    </row>
    <row r="4601" s="41" customFormat="1" ht="15" customHeight="1" spans="1:8">
      <c r="A4601" s="228">
        <v>4743</v>
      </c>
      <c r="B4601" s="228" t="s">
        <v>6843</v>
      </c>
      <c r="C4601" s="30">
        <f>114/30</f>
        <v>3.8</v>
      </c>
      <c r="D4601" s="41">
        <v>0</v>
      </c>
      <c r="E4601" s="40"/>
      <c r="F4601" s="40" t="s">
        <v>6844</v>
      </c>
      <c r="G4601" s="40"/>
      <c r="H4601" s="40"/>
    </row>
    <row r="4602" s="40" customFormat="1" ht="15" customHeight="1" spans="1:6">
      <c r="A4602" s="172">
        <v>4744</v>
      </c>
      <c r="B4602" s="227" t="s">
        <v>6845</v>
      </c>
      <c r="C4602" s="30">
        <f t="shared" ref="C4602:C4606" si="47">306/30</f>
        <v>10.2</v>
      </c>
      <c r="D4602" s="40">
        <v>0</v>
      </c>
      <c r="F4602" s="40" t="s">
        <v>6846</v>
      </c>
    </row>
    <row r="4603" s="40" customFormat="1" ht="15" customHeight="1" spans="1:6">
      <c r="A4603" s="172">
        <v>4745</v>
      </c>
      <c r="B4603" s="227" t="s">
        <v>6847</v>
      </c>
      <c r="C4603" s="40">
        <f>61/30</f>
        <v>2.03333333333333</v>
      </c>
      <c r="D4603" s="40">
        <v>0</v>
      </c>
      <c r="F4603" s="40" t="s">
        <v>6848</v>
      </c>
    </row>
    <row r="4604" s="40" customFormat="1" ht="15" customHeight="1" spans="1:6">
      <c r="A4604" s="172">
        <v>4746</v>
      </c>
      <c r="B4604" s="227" t="s">
        <v>6849</v>
      </c>
      <c r="C4604" s="40">
        <v>0</v>
      </c>
      <c r="D4604" s="40">
        <v>1</v>
      </c>
      <c r="F4604" s="40" t="s">
        <v>6850</v>
      </c>
    </row>
    <row r="4605" s="40" customFormat="1" ht="15" customHeight="1" spans="1:6">
      <c r="A4605" s="172">
        <v>4747</v>
      </c>
      <c r="B4605" s="227" t="s">
        <v>6851</v>
      </c>
      <c r="C4605" s="30">
        <f t="shared" si="47"/>
        <v>10.2</v>
      </c>
      <c r="D4605" s="40">
        <v>0</v>
      </c>
      <c r="F4605" s="40" t="s">
        <v>6852</v>
      </c>
    </row>
    <row r="4606" s="40" customFormat="1" ht="15" customHeight="1" spans="1:6">
      <c r="A4606" s="227">
        <v>4748</v>
      </c>
      <c r="B4606" s="227" t="s">
        <v>6853</v>
      </c>
      <c r="C4606" s="30">
        <f>142/30</f>
        <v>4.73333333333333</v>
      </c>
      <c r="D4606" s="40">
        <v>0</v>
      </c>
      <c r="F4606" s="40" t="s">
        <v>6854</v>
      </c>
    </row>
    <row r="4607" s="41" customFormat="1" ht="15" customHeight="1" spans="1:8">
      <c r="A4607" s="228">
        <v>4749</v>
      </c>
      <c r="B4607" s="228" t="s">
        <v>6855</v>
      </c>
      <c r="C4607" s="41">
        <v>1</v>
      </c>
      <c r="D4607" s="41">
        <v>0</v>
      </c>
      <c r="E4607" s="40"/>
      <c r="F4607" s="40" t="s">
        <v>6856</v>
      </c>
      <c r="G4607" s="40"/>
      <c r="H4607" s="40"/>
    </row>
    <row r="4608" s="40" customFormat="1" ht="15" customHeight="1" spans="1:6">
      <c r="A4608" s="227">
        <v>4750</v>
      </c>
      <c r="B4608" s="227" t="s">
        <v>6857</v>
      </c>
      <c r="C4608" s="30">
        <f>113/30</f>
        <v>3.76666666666667</v>
      </c>
      <c r="D4608" s="40">
        <v>0</v>
      </c>
      <c r="F4608" s="40" t="s">
        <v>6858</v>
      </c>
    </row>
    <row r="4609" s="41" customFormat="1" ht="15" customHeight="1" spans="1:8">
      <c r="A4609" s="228">
        <v>4751</v>
      </c>
      <c r="B4609" s="228" t="s">
        <v>6859</v>
      </c>
      <c r="C4609" s="41">
        <v>1</v>
      </c>
      <c r="D4609" s="41">
        <v>0</v>
      </c>
      <c r="E4609" s="40"/>
      <c r="F4609" s="40" t="s">
        <v>6860</v>
      </c>
      <c r="G4609" s="40"/>
      <c r="H4609" s="40"/>
    </row>
    <row r="4610" s="40" customFormat="1" ht="15" customHeight="1" spans="1:6">
      <c r="A4610" s="227">
        <v>4752</v>
      </c>
      <c r="B4610" s="227" t="s">
        <v>6861</v>
      </c>
      <c r="C4610" s="40">
        <f>150/30</f>
        <v>5</v>
      </c>
      <c r="D4610" s="40">
        <v>0</v>
      </c>
      <c r="F4610" s="40" t="s">
        <v>6862</v>
      </c>
    </row>
    <row r="4611" s="40" customFormat="1" ht="15" customHeight="1" spans="1:6">
      <c r="A4611" s="227">
        <v>4753</v>
      </c>
      <c r="B4611" s="227" t="s">
        <v>6863</v>
      </c>
      <c r="C4611" s="40">
        <f>150/30</f>
        <v>5</v>
      </c>
      <c r="D4611" s="40">
        <v>0</v>
      </c>
      <c r="F4611" s="40" t="s">
        <v>6864</v>
      </c>
    </row>
    <row r="4612" s="40" customFormat="1" ht="15" customHeight="1" spans="1:6">
      <c r="A4612" s="227">
        <v>4754</v>
      </c>
      <c r="B4612" s="227" t="s">
        <v>6865</v>
      </c>
      <c r="C4612" s="40">
        <v>0</v>
      </c>
      <c r="D4612" s="40">
        <v>1</v>
      </c>
      <c r="F4612" s="40" t="s">
        <v>6866</v>
      </c>
    </row>
    <row r="4613" s="40" customFormat="1" ht="15" customHeight="1" spans="1:6">
      <c r="A4613" s="172">
        <v>4755</v>
      </c>
      <c r="B4613" s="227" t="s">
        <v>6867</v>
      </c>
      <c r="C4613" s="30">
        <f>92/30</f>
        <v>3.06666666666667</v>
      </c>
      <c r="D4613" s="40">
        <v>0</v>
      </c>
      <c r="F4613" s="40" t="s">
        <v>6868</v>
      </c>
    </row>
    <row r="4614" s="41" customFormat="1" ht="15" customHeight="1" spans="1:6">
      <c r="A4614" s="228">
        <v>4756</v>
      </c>
      <c r="B4614" s="228" t="s">
        <v>6869</v>
      </c>
      <c r="C4614" s="41">
        <v>1.2</v>
      </c>
      <c r="D4614" s="41">
        <v>0</v>
      </c>
      <c r="F4614" s="40" t="s">
        <v>6870</v>
      </c>
    </row>
    <row r="4615" s="41" customFormat="1" ht="15" customHeight="1" spans="1:6">
      <c r="A4615" s="228">
        <v>4757</v>
      </c>
      <c r="B4615" s="228" t="s">
        <v>6871</v>
      </c>
      <c r="C4615" s="41">
        <v>1</v>
      </c>
      <c r="D4615" s="41">
        <v>0</v>
      </c>
      <c r="F4615" s="40" t="s">
        <v>6872</v>
      </c>
    </row>
    <row r="4616" s="40" customFormat="1" ht="15" customHeight="1" spans="1:6">
      <c r="A4616" s="172">
        <v>4758</v>
      </c>
      <c r="B4616" s="227" t="s">
        <v>6873</v>
      </c>
      <c r="C4616" s="30">
        <f>117/30</f>
        <v>3.9</v>
      </c>
      <c r="D4616" s="40">
        <v>0</v>
      </c>
      <c r="F4616" s="40" t="s">
        <v>6874</v>
      </c>
    </row>
    <row r="4617" s="41" customFormat="1" ht="15" customHeight="1" spans="1:6">
      <c r="A4617" s="228">
        <v>4759</v>
      </c>
      <c r="B4617" s="228" t="s">
        <v>6875</v>
      </c>
      <c r="C4617" s="41">
        <v>1</v>
      </c>
      <c r="D4617" s="41">
        <v>0</v>
      </c>
      <c r="F4617" s="40" t="s">
        <v>6876</v>
      </c>
    </row>
    <row r="4618" s="41" customFormat="1" ht="15" customHeight="1" spans="1:6">
      <c r="A4618" s="228">
        <v>4760</v>
      </c>
      <c r="B4618" s="228" t="s">
        <v>6877</v>
      </c>
      <c r="C4618" s="41">
        <v>1</v>
      </c>
      <c r="D4618" s="41">
        <v>0</v>
      </c>
      <c r="F4618" s="40" t="s">
        <v>6878</v>
      </c>
    </row>
    <row r="4619" s="40" customFormat="1" ht="15" customHeight="1" spans="1:6">
      <c r="A4619" s="172">
        <v>4761</v>
      </c>
      <c r="B4619" s="227" t="s">
        <v>6879</v>
      </c>
      <c r="C4619" s="30">
        <f>117/30</f>
        <v>3.9</v>
      </c>
      <c r="D4619" s="40">
        <v>0</v>
      </c>
      <c r="F4619" s="40" t="s">
        <v>6880</v>
      </c>
    </row>
    <row r="4620" s="40" customFormat="1" ht="15" customHeight="1" spans="1:6">
      <c r="A4620" s="172">
        <v>4762</v>
      </c>
      <c r="B4620" s="227" t="s">
        <v>6881</v>
      </c>
      <c r="C4620" s="30">
        <f>470/30</f>
        <v>15.6666666666667</v>
      </c>
      <c r="D4620" s="40">
        <v>0</v>
      </c>
      <c r="F4620" s="40" t="s">
        <v>6882</v>
      </c>
    </row>
    <row r="4621" s="40" customFormat="1" ht="15" customHeight="1" spans="1:6">
      <c r="A4621" s="172">
        <v>4763</v>
      </c>
      <c r="B4621" s="227" t="s">
        <v>6883</v>
      </c>
      <c r="C4621" s="30">
        <f>117/30</f>
        <v>3.9</v>
      </c>
      <c r="D4621" s="40">
        <v>0</v>
      </c>
      <c r="F4621" s="40" t="s">
        <v>6884</v>
      </c>
    </row>
    <row r="4622" s="41" customFormat="1" ht="15" customHeight="1" spans="1:6">
      <c r="A4622" s="228">
        <v>4764</v>
      </c>
      <c r="B4622" s="228" t="s">
        <v>6885</v>
      </c>
      <c r="C4622" s="41">
        <v>1</v>
      </c>
      <c r="D4622" s="41">
        <v>0</v>
      </c>
      <c r="F4622" s="40" t="s">
        <v>6886</v>
      </c>
    </row>
    <row r="4623" s="41" customFormat="1" ht="15" customHeight="1" spans="1:6">
      <c r="A4623" s="228">
        <v>4765</v>
      </c>
      <c r="B4623" s="228" t="s">
        <v>6887</v>
      </c>
      <c r="C4623" s="41">
        <v>1</v>
      </c>
      <c r="D4623" s="41">
        <v>0</v>
      </c>
      <c r="F4623" s="40" t="s">
        <v>6888</v>
      </c>
    </row>
    <row r="4624" s="41" customFormat="1" ht="15" customHeight="1" spans="1:6">
      <c r="A4624" s="228">
        <v>4766</v>
      </c>
      <c r="B4624" s="228" t="s">
        <v>6889</v>
      </c>
      <c r="C4624" s="41">
        <v>1</v>
      </c>
      <c r="D4624" s="41">
        <v>0</v>
      </c>
      <c r="F4624" s="40" t="s">
        <v>6890</v>
      </c>
    </row>
    <row r="4625" s="40" customFormat="1" ht="15" customHeight="1" spans="1:6">
      <c r="A4625" s="172">
        <v>4767</v>
      </c>
      <c r="B4625" s="227" t="s">
        <v>6891</v>
      </c>
      <c r="C4625" s="30">
        <f>117/30</f>
        <v>3.9</v>
      </c>
      <c r="D4625" s="40">
        <v>0</v>
      </c>
      <c r="F4625" s="40" t="s">
        <v>6892</v>
      </c>
    </row>
    <row r="4626" s="40" customFormat="1" ht="15" customHeight="1" spans="1:6">
      <c r="A4626" s="172">
        <v>4768</v>
      </c>
      <c r="B4626" s="227" t="s">
        <v>6893</v>
      </c>
      <c r="C4626" s="30">
        <f>140/30</f>
        <v>4.66666666666667</v>
      </c>
      <c r="D4626" s="40">
        <v>0</v>
      </c>
      <c r="F4626" s="40" t="s">
        <v>6894</v>
      </c>
    </row>
    <row r="4627" s="41" customFormat="1" ht="15" customHeight="1" spans="1:6">
      <c r="A4627" s="228">
        <v>4769</v>
      </c>
      <c r="B4627" s="228" t="s">
        <v>6895</v>
      </c>
      <c r="C4627" s="41">
        <v>1</v>
      </c>
      <c r="D4627" s="41">
        <v>0</v>
      </c>
      <c r="F4627" s="40" t="s">
        <v>6896</v>
      </c>
    </row>
    <row r="4628" s="40" customFormat="1" ht="15" customHeight="1" spans="1:6">
      <c r="A4628" s="172">
        <v>4770</v>
      </c>
      <c r="B4628" s="227" t="s">
        <v>6897</v>
      </c>
      <c r="C4628" s="30">
        <f>142/30</f>
        <v>4.73333333333333</v>
      </c>
      <c r="D4628" s="40">
        <v>0</v>
      </c>
      <c r="F4628" s="40" t="s">
        <v>6898</v>
      </c>
    </row>
    <row r="4629" s="40" customFormat="1" ht="15" customHeight="1" spans="1:6">
      <c r="A4629" s="172">
        <v>4771</v>
      </c>
      <c r="B4629" s="227" t="s">
        <v>6899</v>
      </c>
      <c r="C4629" s="30">
        <f>142/30</f>
        <v>4.73333333333333</v>
      </c>
      <c r="D4629" s="40">
        <v>0</v>
      </c>
      <c r="F4629" s="40" t="s">
        <v>6900</v>
      </c>
    </row>
    <row r="4630" s="40" customFormat="1" ht="15" customHeight="1" spans="1:6">
      <c r="A4630" s="172">
        <v>4772</v>
      </c>
      <c r="B4630" s="227" t="s">
        <v>6901</v>
      </c>
      <c r="C4630" s="30">
        <f>334/30</f>
        <v>11.1333333333333</v>
      </c>
      <c r="D4630" s="40">
        <v>0</v>
      </c>
      <c r="F4630" s="40" t="s">
        <v>6902</v>
      </c>
    </row>
    <row r="4631" s="40" customFormat="1" ht="15" customHeight="1" spans="1:6">
      <c r="A4631" s="172">
        <v>4773</v>
      </c>
      <c r="B4631" s="227" t="s">
        <v>6903</v>
      </c>
      <c r="C4631" s="30">
        <f>334/30</f>
        <v>11.1333333333333</v>
      </c>
      <c r="D4631" s="40">
        <v>0</v>
      </c>
      <c r="F4631" s="40" t="s">
        <v>6904</v>
      </c>
    </row>
    <row r="4632" s="40" customFormat="1" ht="15" customHeight="1" spans="1:6">
      <c r="A4632" s="172">
        <v>4774</v>
      </c>
      <c r="B4632" s="227" t="s">
        <v>6905</v>
      </c>
      <c r="C4632" s="30">
        <f>460/30</f>
        <v>15.3333333333333</v>
      </c>
      <c r="D4632" s="40">
        <v>0</v>
      </c>
      <c r="F4632" s="40" t="s">
        <v>6906</v>
      </c>
    </row>
    <row r="4633" s="40" customFormat="1" ht="15" customHeight="1" spans="1:6">
      <c r="A4633" s="172">
        <v>4776</v>
      </c>
      <c r="B4633" s="227" t="s">
        <v>6907</v>
      </c>
      <c r="C4633" s="30">
        <f>113/30</f>
        <v>3.76666666666667</v>
      </c>
      <c r="D4633" s="40">
        <v>0</v>
      </c>
      <c r="F4633" s="40" t="s">
        <v>6908</v>
      </c>
    </row>
    <row r="4634" s="40" customFormat="1" ht="15" customHeight="1" spans="1:6">
      <c r="A4634" s="172">
        <v>4777</v>
      </c>
      <c r="B4634" s="227" t="s">
        <v>6909</v>
      </c>
      <c r="C4634" s="30">
        <f>113/30</f>
        <v>3.76666666666667</v>
      </c>
      <c r="D4634" s="40">
        <v>0</v>
      </c>
      <c r="F4634" s="40" t="s">
        <v>6910</v>
      </c>
    </row>
    <row r="4635" s="41" customFormat="1" ht="15" customHeight="1" spans="1:6">
      <c r="A4635" s="228">
        <v>4778</v>
      </c>
      <c r="B4635" s="228" t="s">
        <v>6911</v>
      </c>
      <c r="C4635" s="41">
        <v>1</v>
      </c>
      <c r="D4635" s="41">
        <v>0</v>
      </c>
      <c r="F4635" s="40" t="s">
        <v>6912</v>
      </c>
    </row>
    <row r="4636" s="40" customFormat="1" ht="15" customHeight="1" spans="1:6">
      <c r="A4636" s="172">
        <v>4779</v>
      </c>
      <c r="B4636" s="227" t="s">
        <v>6913</v>
      </c>
      <c r="C4636" s="30">
        <f>118/30</f>
        <v>3.93333333333333</v>
      </c>
      <c r="D4636" s="40">
        <v>0</v>
      </c>
      <c r="F4636" s="40" t="s">
        <v>6914</v>
      </c>
    </row>
    <row r="4637" s="40" customFormat="1" ht="15" customHeight="1" spans="1:6">
      <c r="A4637" s="172">
        <v>4780</v>
      </c>
      <c r="B4637" s="227" t="s">
        <v>6915</v>
      </c>
      <c r="C4637" s="30">
        <v>0</v>
      </c>
      <c r="D4637" s="40">
        <v>1</v>
      </c>
      <c r="F4637" s="40" t="s">
        <v>6916</v>
      </c>
    </row>
    <row r="4638" s="40" customFormat="1" ht="15" customHeight="1" spans="1:4">
      <c r="A4638" s="172">
        <v>4782</v>
      </c>
      <c r="B4638" s="227" t="s">
        <v>6917</v>
      </c>
      <c r="C4638" s="30">
        <v>300</v>
      </c>
      <c r="D4638" s="40">
        <v>0</v>
      </c>
    </row>
    <row r="4639" s="40" customFormat="1" ht="15" customHeight="1" spans="1:4">
      <c r="A4639" s="172">
        <v>4783</v>
      </c>
      <c r="B4639" s="227" t="s">
        <v>6918</v>
      </c>
      <c r="C4639" s="30">
        <v>300</v>
      </c>
      <c r="D4639" s="40">
        <v>0</v>
      </c>
    </row>
    <row r="4640" s="42" customFormat="1" ht="15" customHeight="1" spans="1:6">
      <c r="A4640" s="229">
        <v>4784</v>
      </c>
      <c r="B4640" s="230" t="s">
        <v>6919</v>
      </c>
      <c r="C4640" s="231">
        <f>187/30</f>
        <v>6.23333333333333</v>
      </c>
      <c r="D4640" s="42">
        <v>0</v>
      </c>
      <c r="F4640" s="42" t="s">
        <v>6920</v>
      </c>
    </row>
    <row r="4641" s="42" customFormat="1" ht="15" customHeight="1" spans="1:6">
      <c r="A4641" s="229">
        <v>4785</v>
      </c>
      <c r="B4641" s="230" t="s">
        <v>6921</v>
      </c>
      <c r="C4641" s="231">
        <f>187/30</f>
        <v>6.23333333333333</v>
      </c>
      <c r="D4641" s="42">
        <v>0</v>
      </c>
      <c r="F4641" s="42" t="s">
        <v>6920</v>
      </c>
    </row>
    <row r="4642" s="42" customFormat="1" ht="15" customHeight="1" spans="1:6">
      <c r="A4642" s="229">
        <v>4786</v>
      </c>
      <c r="B4642" s="230" t="s">
        <v>6922</v>
      </c>
      <c r="C4642" s="231">
        <f>220/30</f>
        <v>7.33333333333333</v>
      </c>
      <c r="D4642" s="42">
        <v>0</v>
      </c>
      <c r="F4642" s="42" t="s">
        <v>6923</v>
      </c>
    </row>
    <row r="4643" s="42" customFormat="1" ht="15" customHeight="1" spans="1:6">
      <c r="A4643" s="229">
        <v>4787</v>
      </c>
      <c r="B4643" s="230" t="s">
        <v>6924</v>
      </c>
      <c r="C4643" s="231">
        <f>220/30</f>
        <v>7.33333333333333</v>
      </c>
      <c r="D4643" s="42">
        <v>0</v>
      </c>
      <c r="F4643" s="42" t="s">
        <v>6923</v>
      </c>
    </row>
    <row r="4644" s="42" customFormat="1" ht="15" customHeight="1" spans="1:6">
      <c r="A4644" s="229">
        <v>4788</v>
      </c>
      <c r="B4644" s="230" t="s">
        <v>6925</v>
      </c>
      <c r="C4644" s="231">
        <f>460/30</f>
        <v>15.3333333333333</v>
      </c>
      <c r="D4644" s="42">
        <v>0</v>
      </c>
      <c r="F4644" s="42" t="s">
        <v>6926</v>
      </c>
    </row>
    <row r="4645" s="42" customFormat="1" ht="15" customHeight="1" spans="1:6">
      <c r="A4645" s="229">
        <v>4789</v>
      </c>
      <c r="B4645" s="230" t="s">
        <v>6927</v>
      </c>
      <c r="C4645" s="231">
        <f t="shared" ref="C4645:C4647" si="48">195/30</f>
        <v>6.5</v>
      </c>
      <c r="D4645" s="42">
        <v>0</v>
      </c>
      <c r="F4645" s="42" t="s">
        <v>6926</v>
      </c>
    </row>
    <row r="4646" s="42" customFormat="1" ht="15" customHeight="1" spans="1:6">
      <c r="A4646" s="229">
        <v>4790</v>
      </c>
      <c r="B4646" s="230" t="s">
        <v>6928</v>
      </c>
      <c r="C4646" s="231">
        <f t="shared" si="48"/>
        <v>6.5</v>
      </c>
      <c r="D4646" s="42">
        <v>0</v>
      </c>
      <c r="F4646" s="42" t="s">
        <v>6926</v>
      </c>
    </row>
    <row r="4647" s="43" customFormat="1" ht="15" customHeight="1" spans="1:8">
      <c r="A4647" s="229">
        <v>4791</v>
      </c>
      <c r="B4647" s="232" t="s">
        <v>6929</v>
      </c>
      <c r="C4647" s="231">
        <f t="shared" si="48"/>
        <v>6.5</v>
      </c>
      <c r="D4647" s="43">
        <v>0</v>
      </c>
      <c r="E4647" s="42"/>
      <c r="F4647" s="42" t="s">
        <v>6926</v>
      </c>
      <c r="G4647" s="42"/>
      <c r="H4647" s="42"/>
    </row>
    <row r="4648" s="42" customFormat="1" ht="15" customHeight="1" spans="1:6">
      <c r="A4648" s="229">
        <v>4792</v>
      </c>
      <c r="B4648" s="230" t="s">
        <v>6930</v>
      </c>
      <c r="C4648" s="231">
        <f>191/30</f>
        <v>6.36666666666667</v>
      </c>
      <c r="D4648" s="42">
        <v>0</v>
      </c>
      <c r="F4648" s="42" t="s">
        <v>6931</v>
      </c>
    </row>
    <row r="4649" s="42" customFormat="1" ht="15" customHeight="1" spans="1:6">
      <c r="A4649" s="229">
        <v>4793</v>
      </c>
      <c r="B4649" s="230" t="s">
        <v>6932</v>
      </c>
      <c r="C4649" s="231">
        <v>0</v>
      </c>
      <c r="D4649" s="42">
        <v>1</v>
      </c>
      <c r="F4649" s="42" t="s">
        <v>6933</v>
      </c>
    </row>
    <row r="4650" s="42" customFormat="1" ht="15" customHeight="1" spans="1:6">
      <c r="A4650" s="229">
        <v>4794</v>
      </c>
      <c r="B4650" s="230" t="s">
        <v>6934</v>
      </c>
      <c r="C4650" s="231">
        <f>58/30</f>
        <v>1.93333333333333</v>
      </c>
      <c r="D4650" s="42">
        <v>0</v>
      </c>
      <c r="F4650" s="42" t="s">
        <v>6935</v>
      </c>
    </row>
    <row r="4651" s="43" customFormat="1" ht="15" customHeight="1" spans="1:8">
      <c r="A4651" s="232">
        <v>4795</v>
      </c>
      <c r="B4651" s="232" t="s">
        <v>6936</v>
      </c>
      <c r="C4651" s="43">
        <v>1</v>
      </c>
      <c r="D4651" s="43">
        <v>0</v>
      </c>
      <c r="E4651" s="42"/>
      <c r="F4651" s="42" t="s">
        <v>6937</v>
      </c>
      <c r="G4651" s="42"/>
      <c r="H4651" s="42"/>
    </row>
    <row r="4652" s="43" customFormat="1" ht="15" customHeight="1" spans="1:8">
      <c r="A4652" s="232">
        <v>4796</v>
      </c>
      <c r="B4652" s="232" t="s">
        <v>6938</v>
      </c>
      <c r="C4652" s="43">
        <v>1</v>
      </c>
      <c r="D4652" s="43">
        <v>0</v>
      </c>
      <c r="E4652" s="42"/>
      <c r="F4652" s="42" t="s">
        <v>6939</v>
      </c>
      <c r="G4652" s="42"/>
      <c r="H4652" s="42"/>
    </row>
    <row r="4653" s="42" customFormat="1" ht="15" customHeight="1" spans="1:6">
      <c r="A4653" s="229">
        <v>4797</v>
      </c>
      <c r="B4653" s="230" t="s">
        <v>6940</v>
      </c>
      <c r="C4653" s="231">
        <f>74/30</f>
        <v>2.46666666666667</v>
      </c>
      <c r="D4653" s="42">
        <v>0</v>
      </c>
      <c r="F4653" s="42" t="s">
        <v>6941</v>
      </c>
    </row>
    <row r="4654" s="42" customFormat="1" ht="15" customHeight="1" spans="1:6">
      <c r="A4654" s="229">
        <v>4798</v>
      </c>
      <c r="B4654" s="230" t="s">
        <v>6942</v>
      </c>
      <c r="C4654" s="231">
        <f>74/30</f>
        <v>2.46666666666667</v>
      </c>
      <c r="D4654" s="42">
        <v>0</v>
      </c>
      <c r="F4654" s="42" t="s">
        <v>6943</v>
      </c>
    </row>
    <row r="4655" s="42" customFormat="1" ht="15" customHeight="1" spans="1:6">
      <c r="A4655" s="229">
        <v>4799</v>
      </c>
      <c r="B4655" s="230" t="s">
        <v>6944</v>
      </c>
      <c r="C4655" s="231">
        <f>88/30</f>
        <v>2.93333333333333</v>
      </c>
      <c r="D4655" s="42">
        <v>0</v>
      </c>
      <c r="F4655" s="42" t="s">
        <v>6945</v>
      </c>
    </row>
    <row r="4656" s="42" customFormat="1" ht="15" customHeight="1" spans="1:6">
      <c r="A4656" s="229">
        <v>4800</v>
      </c>
      <c r="B4656" s="230" t="s">
        <v>6946</v>
      </c>
      <c r="C4656" s="231">
        <f>88/30</f>
        <v>2.93333333333333</v>
      </c>
      <c r="D4656" s="42">
        <v>0</v>
      </c>
      <c r="F4656" s="42" t="s">
        <v>6947</v>
      </c>
    </row>
    <row r="4657" s="43" customFormat="1" ht="15" customHeight="1" spans="1:8">
      <c r="A4657" s="232">
        <v>4801</v>
      </c>
      <c r="B4657" s="232" t="s">
        <v>6948</v>
      </c>
      <c r="C4657" s="43">
        <v>1</v>
      </c>
      <c r="D4657" s="43">
        <v>0</v>
      </c>
      <c r="E4657" s="42"/>
      <c r="F4657" s="42" t="s">
        <v>6949</v>
      </c>
      <c r="G4657" s="42"/>
      <c r="H4657" s="42"/>
    </row>
    <row r="4658" s="42" customFormat="1" ht="15" customHeight="1" spans="1:6">
      <c r="A4658" s="229">
        <v>4802</v>
      </c>
      <c r="B4658" s="230" t="s">
        <v>6950</v>
      </c>
      <c r="C4658" s="231">
        <f>111/30</f>
        <v>3.7</v>
      </c>
      <c r="D4658" s="42">
        <v>0</v>
      </c>
      <c r="F4658" s="42" t="s">
        <v>6951</v>
      </c>
    </row>
    <row r="4659" s="43" customFormat="1" ht="15" customHeight="1" spans="1:8">
      <c r="A4659" s="232">
        <v>4803</v>
      </c>
      <c r="B4659" s="232" t="s">
        <v>6952</v>
      </c>
      <c r="C4659" s="43">
        <v>1</v>
      </c>
      <c r="D4659" s="43">
        <v>0</v>
      </c>
      <c r="E4659" s="42"/>
      <c r="F4659" s="42" t="s">
        <v>6953</v>
      </c>
      <c r="G4659" s="42"/>
      <c r="H4659" s="42"/>
    </row>
    <row r="4660" s="42" customFormat="1" ht="15" customHeight="1" spans="1:6">
      <c r="A4660" s="229">
        <v>4804</v>
      </c>
      <c r="B4660" s="230" t="s">
        <v>6954</v>
      </c>
      <c r="C4660" s="231">
        <f t="shared" ref="C4660:C4662" si="49">95/30</f>
        <v>3.16666666666667</v>
      </c>
      <c r="D4660" s="42">
        <v>0</v>
      </c>
      <c r="F4660" s="42" t="s">
        <v>6955</v>
      </c>
    </row>
    <row r="4661" s="42" customFormat="1" ht="15" customHeight="1" spans="1:6">
      <c r="A4661" s="229">
        <v>4805</v>
      </c>
      <c r="B4661" s="230" t="s">
        <v>6956</v>
      </c>
      <c r="C4661" s="231">
        <f t="shared" si="49"/>
        <v>3.16666666666667</v>
      </c>
      <c r="D4661" s="42">
        <v>0</v>
      </c>
      <c r="F4661" s="42" t="s">
        <v>6957</v>
      </c>
    </row>
    <row r="4662" s="42" customFormat="1" ht="15" customHeight="1" spans="1:6">
      <c r="A4662" s="229">
        <v>4806</v>
      </c>
      <c r="B4662" s="230" t="s">
        <v>6958</v>
      </c>
      <c r="C4662" s="231">
        <f t="shared" si="49"/>
        <v>3.16666666666667</v>
      </c>
      <c r="D4662" s="42">
        <v>0</v>
      </c>
      <c r="F4662" s="42" t="s">
        <v>6959</v>
      </c>
    </row>
    <row r="4663" s="42" customFormat="1" ht="15" customHeight="1" spans="1:6">
      <c r="A4663" s="229">
        <v>4807</v>
      </c>
      <c r="B4663" s="230" t="s">
        <v>6960</v>
      </c>
      <c r="C4663" s="231">
        <f t="shared" ref="C4663:C4666" si="50">224/30</f>
        <v>7.46666666666667</v>
      </c>
      <c r="D4663" s="42">
        <v>0</v>
      </c>
      <c r="F4663" s="42" t="s">
        <v>6961</v>
      </c>
    </row>
    <row r="4664" s="42" customFormat="1" ht="15" customHeight="1" spans="1:6">
      <c r="A4664" s="229">
        <v>4808</v>
      </c>
      <c r="B4664" s="230" t="s">
        <v>6962</v>
      </c>
      <c r="C4664" s="231">
        <f t="shared" si="50"/>
        <v>7.46666666666667</v>
      </c>
      <c r="D4664" s="42">
        <v>0</v>
      </c>
      <c r="F4664" s="42" t="s">
        <v>6963</v>
      </c>
    </row>
    <row r="4665" s="42" customFormat="1" ht="15" customHeight="1" spans="1:6">
      <c r="A4665" s="229">
        <v>4809</v>
      </c>
      <c r="B4665" s="230" t="s">
        <v>6964</v>
      </c>
      <c r="C4665" s="231">
        <f t="shared" si="50"/>
        <v>7.46666666666667</v>
      </c>
      <c r="D4665" s="42">
        <v>0</v>
      </c>
      <c r="F4665" s="42" t="s">
        <v>6963</v>
      </c>
    </row>
    <row r="4666" s="42" customFormat="1" ht="15" customHeight="1" spans="1:6">
      <c r="A4666" s="229">
        <v>4810</v>
      </c>
      <c r="B4666" s="230" t="s">
        <v>6965</v>
      </c>
      <c r="C4666" s="231">
        <f t="shared" si="50"/>
        <v>7.46666666666667</v>
      </c>
      <c r="D4666" s="42">
        <v>0</v>
      </c>
      <c r="F4666" s="42" t="s">
        <v>6963</v>
      </c>
    </row>
    <row r="4667" s="43" customFormat="1" ht="15" customHeight="1" spans="1:8">
      <c r="A4667" s="232">
        <v>4811</v>
      </c>
      <c r="B4667" s="232" t="s">
        <v>6966</v>
      </c>
      <c r="C4667" s="43">
        <v>1</v>
      </c>
      <c r="D4667" s="42">
        <v>0</v>
      </c>
      <c r="E4667" s="42"/>
      <c r="F4667" s="42" t="s">
        <v>6967</v>
      </c>
      <c r="G4667" s="42"/>
      <c r="H4667" s="42"/>
    </row>
    <row r="4668" s="42" customFormat="1" ht="15" customHeight="1" spans="1:6">
      <c r="A4668" s="229">
        <v>4812</v>
      </c>
      <c r="B4668" s="230" t="s">
        <v>6968</v>
      </c>
      <c r="C4668" s="231">
        <f>163/30</f>
        <v>5.43333333333333</v>
      </c>
      <c r="D4668" s="42">
        <v>0</v>
      </c>
      <c r="F4668" s="42" t="s">
        <v>6969</v>
      </c>
    </row>
    <row r="4669" s="43" customFormat="1" ht="15" customHeight="1" spans="1:8">
      <c r="A4669" s="232">
        <v>4813</v>
      </c>
      <c r="B4669" s="232" t="s">
        <v>6970</v>
      </c>
      <c r="C4669" s="43">
        <v>1</v>
      </c>
      <c r="D4669" s="42">
        <v>0</v>
      </c>
      <c r="E4669" s="42"/>
      <c r="F4669" s="42" t="s">
        <v>6971</v>
      </c>
      <c r="G4669" s="42"/>
      <c r="H4669" s="42"/>
    </row>
    <row r="4670" s="42" customFormat="1" ht="15" customHeight="1" spans="1:6">
      <c r="A4670" s="229">
        <v>4814</v>
      </c>
      <c r="B4670" s="230" t="s">
        <v>6972</v>
      </c>
      <c r="C4670" s="231">
        <f t="shared" ref="C4670:C4672" si="51">199/30</f>
        <v>6.63333333333333</v>
      </c>
      <c r="D4670" s="42">
        <v>0</v>
      </c>
      <c r="F4670" s="42" t="s">
        <v>6973</v>
      </c>
    </row>
    <row r="4671" s="42" customFormat="1" ht="15" customHeight="1" spans="1:6">
      <c r="A4671" s="229">
        <v>4815</v>
      </c>
      <c r="B4671" s="230" t="s">
        <v>6974</v>
      </c>
      <c r="C4671" s="231">
        <f>74/30</f>
        <v>2.46666666666667</v>
      </c>
      <c r="D4671" s="42">
        <v>0</v>
      </c>
      <c r="F4671" s="42" t="s">
        <v>6975</v>
      </c>
    </row>
    <row r="4672" s="42" customFormat="1" ht="15" customHeight="1" spans="1:6">
      <c r="A4672" s="229">
        <v>4816</v>
      </c>
      <c r="B4672" s="230" t="s">
        <v>6976</v>
      </c>
      <c r="C4672" s="231">
        <f>74/30</f>
        <v>2.46666666666667</v>
      </c>
      <c r="D4672" s="42">
        <v>0</v>
      </c>
      <c r="F4672" s="42" t="s">
        <v>6975</v>
      </c>
    </row>
    <row r="4673" s="42" customFormat="1" ht="15" customHeight="1" spans="1:6">
      <c r="A4673" s="229">
        <v>4817</v>
      </c>
      <c r="B4673" s="230" t="s">
        <v>6977</v>
      </c>
      <c r="C4673" s="231">
        <v>0</v>
      </c>
      <c r="D4673" s="42">
        <v>1</v>
      </c>
      <c r="F4673" s="42" t="s">
        <v>6978</v>
      </c>
    </row>
    <row r="4674" s="42" customFormat="1" ht="15" customHeight="1" spans="1:6">
      <c r="A4674" s="229">
        <v>4818</v>
      </c>
      <c r="B4674" s="230" t="s">
        <v>6979</v>
      </c>
      <c r="C4674" s="231">
        <f>111/30</f>
        <v>3.7</v>
      </c>
      <c r="D4674" s="42">
        <v>0</v>
      </c>
      <c r="F4674" s="42" t="s">
        <v>6980</v>
      </c>
    </row>
    <row r="4675" s="42" customFormat="1" ht="15" customHeight="1" spans="1:6">
      <c r="A4675" s="229">
        <v>4819</v>
      </c>
      <c r="B4675" s="230" t="s">
        <v>6981</v>
      </c>
      <c r="C4675" s="231">
        <f>199/30</f>
        <v>6.63333333333333</v>
      </c>
      <c r="D4675" s="42">
        <v>0</v>
      </c>
      <c r="F4675" s="42" t="s">
        <v>6982</v>
      </c>
    </row>
    <row r="4676" s="6" customFormat="1" ht="15" customHeight="1" spans="1:6">
      <c r="A4676" s="118">
        <v>4820</v>
      </c>
      <c r="B4676" s="153" t="s">
        <v>6983</v>
      </c>
      <c r="C4676" s="214">
        <f>61/30</f>
        <v>2.03333333333333</v>
      </c>
      <c r="D4676" s="6">
        <v>0</v>
      </c>
      <c r="F4676" s="6" t="s">
        <v>6984</v>
      </c>
    </row>
    <row r="4677" s="6" customFormat="1" ht="15" customHeight="1" spans="1:6">
      <c r="A4677" s="118">
        <v>4821</v>
      </c>
      <c r="B4677" s="153" t="s">
        <v>6985</v>
      </c>
      <c r="C4677" s="43">
        <v>1</v>
      </c>
      <c r="D4677" s="42">
        <v>0</v>
      </c>
      <c r="E4677" s="42"/>
      <c r="F4677" s="6" t="s">
        <v>6986</v>
      </c>
    </row>
    <row r="4678" s="6" customFormat="1" ht="15" customHeight="1" spans="1:6">
      <c r="A4678" s="118">
        <v>4822</v>
      </c>
      <c r="B4678" s="153" t="s">
        <v>6987</v>
      </c>
      <c r="C4678" s="214">
        <f>83/30</f>
        <v>2.76666666666667</v>
      </c>
      <c r="D4678" s="6">
        <v>0</v>
      </c>
      <c r="F4678" s="6" t="s">
        <v>6988</v>
      </c>
    </row>
    <row r="4679" s="6" customFormat="1" ht="15" customHeight="1" spans="1:6">
      <c r="A4679" s="118">
        <v>4823</v>
      </c>
      <c r="B4679" s="153" t="s">
        <v>6989</v>
      </c>
      <c r="C4679" s="43">
        <v>1</v>
      </c>
      <c r="D4679" s="42">
        <v>0</v>
      </c>
      <c r="E4679" s="42"/>
      <c r="F4679" s="6" t="s">
        <v>6990</v>
      </c>
    </row>
    <row r="4680" s="6" customFormat="1" ht="15" customHeight="1" spans="1:6">
      <c r="A4680" s="118">
        <v>4824</v>
      </c>
      <c r="B4680" s="153" t="s">
        <v>6991</v>
      </c>
      <c r="C4680" s="214">
        <f>331/30</f>
        <v>11.0333333333333</v>
      </c>
      <c r="D4680" s="6">
        <v>0</v>
      </c>
      <c r="F4680" s="6" t="s">
        <v>6992</v>
      </c>
    </row>
    <row r="4681" s="6" customFormat="1" ht="15" customHeight="1" spans="1:6">
      <c r="A4681" s="118">
        <v>4825</v>
      </c>
      <c r="B4681" s="153" t="s">
        <v>6993</v>
      </c>
      <c r="C4681" s="214">
        <f>100/30</f>
        <v>3.33333333333333</v>
      </c>
      <c r="D4681" s="6">
        <v>0</v>
      </c>
      <c r="F4681" s="6" t="s">
        <v>6994</v>
      </c>
    </row>
    <row r="4682" s="6" customFormat="1" ht="15" customHeight="1" spans="1:6">
      <c r="A4682" s="118">
        <v>4826</v>
      </c>
      <c r="B4682" s="153" t="s">
        <v>6995</v>
      </c>
      <c r="C4682" s="214">
        <v>0</v>
      </c>
      <c r="D4682" s="6">
        <v>1</v>
      </c>
      <c r="F4682" s="6" t="s">
        <v>6996</v>
      </c>
    </row>
    <row r="4683" s="44" customFormat="1" ht="15" customHeight="1" spans="1:6">
      <c r="A4683" s="233">
        <v>4827</v>
      </c>
      <c r="B4683" s="234" t="s">
        <v>6997</v>
      </c>
      <c r="C4683" s="235">
        <v>2</v>
      </c>
      <c r="D4683" s="44">
        <v>0</v>
      </c>
      <c r="F4683" s="44" t="s">
        <v>6998</v>
      </c>
    </row>
    <row r="4684" s="44" customFormat="1" ht="15" customHeight="1" spans="1:6">
      <c r="A4684" s="233">
        <v>4828</v>
      </c>
      <c r="B4684" s="234" t="s">
        <v>6999</v>
      </c>
      <c r="C4684" s="235">
        <v>1</v>
      </c>
      <c r="D4684" s="44">
        <v>0</v>
      </c>
      <c r="F4684" s="44" t="s">
        <v>7000</v>
      </c>
    </row>
    <row r="4685" s="45" customFormat="1" ht="15" customHeight="1" spans="1:6">
      <c r="A4685" s="236">
        <v>4829</v>
      </c>
      <c r="B4685" s="237" t="s">
        <v>7001</v>
      </c>
      <c r="C4685" s="238">
        <v>2</v>
      </c>
      <c r="D4685" s="45">
        <v>0</v>
      </c>
      <c r="F4685" s="45" t="s">
        <v>7002</v>
      </c>
    </row>
    <row r="4686" s="45" customFormat="1" ht="15" customHeight="1" spans="1:6">
      <c r="A4686" s="236">
        <v>4830</v>
      </c>
      <c r="B4686" s="237" t="s">
        <v>7003</v>
      </c>
      <c r="C4686" s="238">
        <v>1</v>
      </c>
      <c r="D4686" s="45">
        <v>0</v>
      </c>
      <c r="F4686" s="45" t="s">
        <v>7004</v>
      </c>
    </row>
    <row r="4687" s="44" customFormat="1" ht="15" customHeight="1" spans="1:6">
      <c r="A4687" s="233">
        <v>4831</v>
      </c>
      <c r="B4687" s="234" t="s">
        <v>7005</v>
      </c>
      <c r="C4687" s="235">
        <v>1.8</v>
      </c>
      <c r="D4687" s="44">
        <v>0</v>
      </c>
      <c r="F4687" s="44" t="s">
        <v>7006</v>
      </c>
    </row>
    <row r="4688" s="44" customFormat="1" ht="15" customHeight="1" spans="1:6">
      <c r="A4688" s="233">
        <v>4832</v>
      </c>
      <c r="B4688" s="234" t="s">
        <v>7007</v>
      </c>
      <c r="C4688" s="235">
        <v>1</v>
      </c>
      <c r="D4688" s="44">
        <v>0</v>
      </c>
      <c r="F4688" s="44" t="s">
        <v>7008</v>
      </c>
    </row>
    <row r="4689" s="44" customFormat="1" ht="15" customHeight="1" spans="1:6">
      <c r="A4689" s="233">
        <v>4833</v>
      </c>
      <c r="B4689" s="234" t="s">
        <v>7009</v>
      </c>
      <c r="C4689" s="235">
        <v>1.933</v>
      </c>
      <c r="D4689" s="44">
        <v>0</v>
      </c>
      <c r="F4689" s="44" t="s">
        <v>7010</v>
      </c>
    </row>
    <row r="4690" s="44" customFormat="1" ht="15" customHeight="1" spans="1:6">
      <c r="A4690" s="233">
        <v>4834</v>
      </c>
      <c r="B4690" s="234" t="s">
        <v>7011</v>
      </c>
      <c r="C4690" s="235">
        <v>1</v>
      </c>
      <c r="D4690" s="44">
        <v>0</v>
      </c>
      <c r="F4690" s="44" t="s">
        <v>7012</v>
      </c>
    </row>
    <row r="4691" s="44" customFormat="1" ht="15" customHeight="1" spans="1:6">
      <c r="A4691" s="233">
        <v>4835</v>
      </c>
      <c r="B4691" s="234" t="s">
        <v>7013</v>
      </c>
      <c r="C4691" s="235">
        <v>2.267</v>
      </c>
      <c r="D4691" s="44">
        <v>0</v>
      </c>
      <c r="F4691" s="44" t="s">
        <v>7014</v>
      </c>
    </row>
    <row r="4692" s="44" customFormat="1" ht="15" customHeight="1" spans="1:6">
      <c r="A4692" s="233">
        <v>4836</v>
      </c>
      <c r="B4692" s="234" t="s">
        <v>7015</v>
      </c>
      <c r="C4692" s="235">
        <v>1</v>
      </c>
      <c r="D4692" s="44">
        <v>0</v>
      </c>
      <c r="F4692" s="44" t="s">
        <v>7016</v>
      </c>
    </row>
    <row r="4693" s="45" customFormat="1" ht="15" customHeight="1" spans="1:6">
      <c r="A4693" s="236">
        <v>4837</v>
      </c>
      <c r="B4693" s="237" t="s">
        <v>7017</v>
      </c>
      <c r="C4693" s="238">
        <v>1.933</v>
      </c>
      <c r="D4693" s="45">
        <v>0</v>
      </c>
      <c r="F4693" s="45" t="s">
        <v>7018</v>
      </c>
    </row>
    <row r="4694" s="45" customFormat="1" ht="15" customHeight="1" spans="1:6">
      <c r="A4694" s="236">
        <v>4838</v>
      </c>
      <c r="B4694" s="237" t="s">
        <v>7019</v>
      </c>
      <c r="C4694" s="238">
        <v>1</v>
      </c>
      <c r="D4694" s="45">
        <v>0</v>
      </c>
      <c r="F4694" s="45" t="s">
        <v>7020</v>
      </c>
    </row>
    <row r="4695" s="45" customFormat="1" ht="15" customHeight="1" spans="1:6">
      <c r="A4695" s="236">
        <v>4839</v>
      </c>
      <c r="B4695" s="237" t="s">
        <v>7021</v>
      </c>
      <c r="C4695" s="238">
        <v>2.833</v>
      </c>
      <c r="D4695" s="45">
        <v>0</v>
      </c>
      <c r="F4695" s="45" t="s">
        <v>7022</v>
      </c>
    </row>
    <row r="4696" s="45" customFormat="1" ht="15" customHeight="1" spans="1:6">
      <c r="A4696" s="236">
        <v>4840</v>
      </c>
      <c r="B4696" s="237" t="s">
        <v>7023</v>
      </c>
      <c r="C4696" s="238">
        <v>1</v>
      </c>
      <c r="D4696" s="45">
        <v>0</v>
      </c>
      <c r="F4696" s="45" t="s">
        <v>7024</v>
      </c>
    </row>
    <row r="4697" s="45" customFormat="1" ht="15" customHeight="1" spans="1:6">
      <c r="A4697" s="236">
        <v>4841</v>
      </c>
      <c r="B4697" s="237" t="s">
        <v>7025</v>
      </c>
      <c r="C4697" s="238">
        <v>2.167</v>
      </c>
      <c r="D4697" s="45">
        <v>0</v>
      </c>
      <c r="F4697" s="45" t="s">
        <v>7026</v>
      </c>
    </row>
    <row r="4698" s="45" customFormat="1" ht="15" customHeight="1" spans="1:6">
      <c r="A4698" s="236">
        <v>4842</v>
      </c>
      <c r="B4698" s="237" t="s">
        <v>7027</v>
      </c>
      <c r="C4698" s="238">
        <v>1</v>
      </c>
      <c r="D4698" s="45">
        <v>0</v>
      </c>
      <c r="F4698" s="45" t="s">
        <v>7028</v>
      </c>
    </row>
    <row r="4699" s="45" customFormat="1" ht="15" customHeight="1" spans="1:6">
      <c r="A4699" s="236">
        <v>4843</v>
      </c>
      <c r="B4699" s="237" t="s">
        <v>7029</v>
      </c>
      <c r="C4699" s="238">
        <v>1</v>
      </c>
      <c r="D4699" s="45">
        <v>0</v>
      </c>
      <c r="F4699" s="45" t="s">
        <v>7030</v>
      </c>
    </row>
    <row r="4700" s="44" customFormat="1" ht="15" customHeight="1" spans="1:6">
      <c r="A4700" s="233">
        <v>4844</v>
      </c>
      <c r="B4700" s="234" t="s">
        <v>7031</v>
      </c>
      <c r="C4700" s="235">
        <v>2.7</v>
      </c>
      <c r="D4700" s="44">
        <v>0</v>
      </c>
      <c r="F4700" s="44" t="s">
        <v>7032</v>
      </c>
    </row>
    <row r="4701" s="44" customFormat="1" ht="15" customHeight="1" spans="1:6">
      <c r="A4701" s="233">
        <v>4845</v>
      </c>
      <c r="B4701" s="234" t="s">
        <v>7033</v>
      </c>
      <c r="C4701" s="235">
        <v>1</v>
      </c>
      <c r="D4701" s="44">
        <v>0</v>
      </c>
      <c r="F4701" s="44" t="s">
        <v>7034</v>
      </c>
    </row>
    <row r="4702" s="44" customFormat="1" ht="15" customHeight="1" spans="1:6">
      <c r="A4702" s="233">
        <v>4846</v>
      </c>
      <c r="B4702" s="234" t="s">
        <v>7035</v>
      </c>
      <c r="C4702" s="235">
        <v>2.1</v>
      </c>
      <c r="D4702" s="44">
        <v>0</v>
      </c>
      <c r="F4702" s="44" t="s">
        <v>7036</v>
      </c>
    </row>
    <row r="4703" s="44" customFormat="1" ht="15" customHeight="1" spans="1:6">
      <c r="A4703" s="233">
        <v>4847</v>
      </c>
      <c r="B4703" s="234" t="s">
        <v>7037</v>
      </c>
      <c r="C4703" s="235">
        <v>1</v>
      </c>
      <c r="D4703" s="44">
        <v>0</v>
      </c>
      <c r="F4703" s="44" t="s">
        <v>7038</v>
      </c>
    </row>
    <row r="4704" s="44" customFormat="1" ht="15" customHeight="1" spans="1:6">
      <c r="A4704" s="233">
        <v>4848</v>
      </c>
      <c r="B4704" s="234" t="s">
        <v>7039</v>
      </c>
      <c r="C4704" s="235">
        <v>6</v>
      </c>
      <c r="D4704" s="44">
        <v>0</v>
      </c>
      <c r="F4704" s="44" t="s">
        <v>7040</v>
      </c>
    </row>
    <row r="4705" s="44" customFormat="1" ht="15" customHeight="1" spans="1:6">
      <c r="A4705" s="233">
        <v>4849</v>
      </c>
      <c r="B4705" s="234" t="s">
        <v>7041</v>
      </c>
      <c r="C4705" s="235">
        <v>1</v>
      </c>
      <c r="D4705" s="44">
        <v>0</v>
      </c>
      <c r="F4705" s="44" t="s">
        <v>7042</v>
      </c>
    </row>
    <row r="4706" s="46" customFormat="1" ht="15" customHeight="1" spans="1:6">
      <c r="A4706" s="233">
        <v>4850</v>
      </c>
      <c r="B4706" s="239" t="s">
        <v>7043</v>
      </c>
      <c r="C4706" s="240">
        <v>3</v>
      </c>
      <c r="D4706" s="46">
        <v>0</v>
      </c>
      <c r="F4706" s="46" t="s">
        <v>7044</v>
      </c>
    </row>
    <row r="4707" s="46" customFormat="1" ht="15" customHeight="1" spans="1:6">
      <c r="A4707" s="233">
        <v>4851</v>
      </c>
      <c r="B4707" s="239" t="s">
        <v>7045</v>
      </c>
      <c r="C4707" s="240">
        <v>0</v>
      </c>
      <c r="D4707" s="46">
        <v>1</v>
      </c>
      <c r="F4707" s="46" t="s">
        <v>7046</v>
      </c>
    </row>
    <row r="4708" s="47" customFormat="1" ht="15" customHeight="1" spans="1:8">
      <c r="A4708" s="241">
        <v>4852</v>
      </c>
      <c r="B4708" s="242" t="s">
        <v>7047</v>
      </c>
      <c r="C4708" s="47">
        <v>1</v>
      </c>
      <c r="D4708" s="9">
        <v>0</v>
      </c>
      <c r="E4708" s="9"/>
      <c r="F4708" s="47" t="s">
        <v>7048</v>
      </c>
      <c r="G4708" s="9"/>
      <c r="H4708" s="9"/>
    </row>
    <row r="4709" s="47" customFormat="1" ht="15" customHeight="1" spans="1:8">
      <c r="A4709" s="241">
        <v>4853</v>
      </c>
      <c r="B4709" s="242" t="s">
        <v>7049</v>
      </c>
      <c r="C4709" s="47">
        <v>1</v>
      </c>
      <c r="D4709" s="9">
        <v>0</v>
      </c>
      <c r="E4709" s="9"/>
      <c r="F4709" s="47" t="s">
        <v>7050</v>
      </c>
      <c r="G4709" s="9"/>
      <c r="H4709" s="9"/>
    </row>
    <row r="4710" s="46" customFormat="1" ht="15" customHeight="1" spans="1:6">
      <c r="A4710" s="233">
        <v>4854</v>
      </c>
      <c r="B4710" s="239" t="s">
        <v>7051</v>
      </c>
      <c r="C4710" s="240">
        <v>3.06666666666667</v>
      </c>
      <c r="D4710" s="46">
        <v>0</v>
      </c>
      <c r="F4710" s="46" t="s">
        <v>7052</v>
      </c>
    </row>
    <row r="4711" s="46" customFormat="1" ht="15" customHeight="1" spans="1:6">
      <c r="A4711" s="233">
        <v>4855</v>
      </c>
      <c r="B4711" s="239" t="s">
        <v>7053</v>
      </c>
      <c r="C4711" s="240">
        <v>3.96666666666667</v>
      </c>
      <c r="D4711" s="46">
        <v>0</v>
      </c>
      <c r="F4711" s="46" t="s">
        <v>7054</v>
      </c>
    </row>
    <row r="4712" s="47" customFormat="1" ht="15" customHeight="1" spans="1:8">
      <c r="A4712" s="241">
        <v>4856</v>
      </c>
      <c r="B4712" s="242" t="s">
        <v>7055</v>
      </c>
      <c r="C4712" s="47">
        <v>1</v>
      </c>
      <c r="D4712" s="9">
        <v>0</v>
      </c>
      <c r="E4712" s="9"/>
      <c r="F4712" s="47" t="s">
        <v>7056</v>
      </c>
      <c r="G4712" s="9"/>
      <c r="H4712" s="9"/>
    </row>
    <row r="4713" s="46" customFormat="1" ht="15" customHeight="1" spans="1:6">
      <c r="A4713" s="233">
        <v>4857</v>
      </c>
      <c r="B4713" s="239" t="s">
        <v>7057</v>
      </c>
      <c r="C4713" s="240">
        <v>2.53333333333333</v>
      </c>
      <c r="D4713" s="46">
        <v>0</v>
      </c>
      <c r="F4713" s="46" t="s">
        <v>7058</v>
      </c>
    </row>
    <row r="4714" s="47" customFormat="1" ht="15" customHeight="1" spans="1:8">
      <c r="A4714" s="241">
        <v>4858</v>
      </c>
      <c r="B4714" s="242" t="s">
        <v>7059</v>
      </c>
      <c r="C4714" s="47">
        <v>1</v>
      </c>
      <c r="D4714" s="9">
        <v>0</v>
      </c>
      <c r="E4714" s="9"/>
      <c r="F4714" s="47" t="s">
        <v>7060</v>
      </c>
      <c r="G4714" s="9"/>
      <c r="H4714" s="9"/>
    </row>
    <row r="4715" s="46" customFormat="1" ht="15" customHeight="1" spans="1:6">
      <c r="A4715" s="233">
        <v>4859</v>
      </c>
      <c r="B4715" s="239" t="s">
        <v>7061</v>
      </c>
      <c r="C4715" s="214">
        <v>2.3</v>
      </c>
      <c r="D4715" s="46">
        <v>0</v>
      </c>
      <c r="F4715" s="46" t="s">
        <v>7062</v>
      </c>
    </row>
    <row r="4716" s="47" customFormat="1" ht="15" customHeight="1" spans="1:8">
      <c r="A4716" s="241">
        <v>4860</v>
      </c>
      <c r="B4716" s="242" t="s">
        <v>7063</v>
      </c>
      <c r="C4716" s="47">
        <v>1</v>
      </c>
      <c r="D4716" s="9">
        <v>0</v>
      </c>
      <c r="E4716" s="9"/>
      <c r="F4716" s="47" t="s">
        <v>7064</v>
      </c>
      <c r="G4716" s="9"/>
      <c r="H4716" s="9"/>
    </row>
    <row r="4717" s="46" customFormat="1" ht="15" customHeight="1" spans="1:6">
      <c r="A4717" s="233">
        <v>4861</v>
      </c>
      <c r="B4717" s="239" t="s">
        <v>7065</v>
      </c>
      <c r="C4717" s="214">
        <v>11.4</v>
      </c>
      <c r="D4717" s="46">
        <v>0</v>
      </c>
      <c r="F4717" s="46" t="s">
        <v>7066</v>
      </c>
    </row>
    <row r="4718" s="46" customFormat="1" ht="15" customHeight="1" spans="1:6">
      <c r="A4718" s="233">
        <v>4862</v>
      </c>
      <c r="B4718" s="239" t="s">
        <v>7067</v>
      </c>
      <c r="C4718" s="214">
        <v>11.4</v>
      </c>
      <c r="D4718" s="46">
        <v>0</v>
      </c>
      <c r="F4718" s="46" t="s">
        <v>7068</v>
      </c>
    </row>
    <row r="4719" s="46" customFormat="1" ht="15" customHeight="1" spans="1:6">
      <c r="A4719" s="233">
        <v>4863</v>
      </c>
      <c r="B4719" s="239" t="s">
        <v>7069</v>
      </c>
      <c r="C4719" s="214">
        <v>11.4</v>
      </c>
      <c r="D4719" s="46">
        <v>0</v>
      </c>
      <c r="F4719" s="46" t="s">
        <v>7070</v>
      </c>
    </row>
    <row r="4720" s="46" customFormat="1" ht="15" customHeight="1" spans="1:6">
      <c r="A4720" s="233">
        <v>4864</v>
      </c>
      <c r="B4720" s="239" t="s">
        <v>7071</v>
      </c>
      <c r="C4720" s="214">
        <v>11.4</v>
      </c>
      <c r="D4720" s="46">
        <v>0</v>
      </c>
      <c r="F4720" s="46" t="s">
        <v>7072</v>
      </c>
    </row>
    <row r="4721" s="46" customFormat="1" ht="15" customHeight="1" spans="1:6">
      <c r="A4721" s="233">
        <v>4865</v>
      </c>
      <c r="B4721" s="239" t="s">
        <v>7073</v>
      </c>
      <c r="C4721" s="214">
        <v>11.4</v>
      </c>
      <c r="D4721" s="46">
        <v>0</v>
      </c>
      <c r="F4721" s="46" t="s">
        <v>7074</v>
      </c>
    </row>
    <row r="4722" s="46" customFormat="1" ht="15" customHeight="1" spans="1:6">
      <c r="A4722" s="233">
        <v>4866</v>
      </c>
      <c r="B4722" s="239" t="s">
        <v>7075</v>
      </c>
      <c r="C4722" s="214">
        <v>8.2</v>
      </c>
      <c r="D4722" s="46">
        <v>0</v>
      </c>
      <c r="F4722" s="46" t="s">
        <v>7076</v>
      </c>
    </row>
    <row r="4723" s="46" customFormat="1" ht="15" customHeight="1" spans="1:6">
      <c r="A4723" s="233">
        <v>4867</v>
      </c>
      <c r="B4723" s="239" t="s">
        <v>7077</v>
      </c>
      <c r="C4723" s="214">
        <v>8.2</v>
      </c>
      <c r="D4723" s="46">
        <v>0</v>
      </c>
      <c r="F4723" s="46" t="s">
        <v>7078</v>
      </c>
    </row>
    <row r="4724" s="46" customFormat="1" ht="15" customHeight="1" spans="1:6">
      <c r="A4724" s="233">
        <v>4868</v>
      </c>
      <c r="B4724" s="239" t="s">
        <v>7079</v>
      </c>
      <c r="C4724" s="214">
        <v>8.2</v>
      </c>
      <c r="D4724" s="46">
        <v>0</v>
      </c>
      <c r="F4724" s="46" t="s">
        <v>7080</v>
      </c>
    </row>
    <row r="4725" s="46" customFormat="1" ht="15" customHeight="1" spans="1:6">
      <c r="A4725" s="233">
        <v>4869</v>
      </c>
      <c r="B4725" s="239" t="s">
        <v>7081</v>
      </c>
      <c r="C4725" s="214">
        <v>8.2</v>
      </c>
      <c r="D4725" s="46">
        <v>0</v>
      </c>
      <c r="F4725" s="46" t="s">
        <v>7082</v>
      </c>
    </row>
    <row r="4726" s="46" customFormat="1" ht="15" customHeight="1" spans="1:6">
      <c r="A4726" s="233">
        <v>4870</v>
      </c>
      <c r="B4726" s="239" t="s">
        <v>7083</v>
      </c>
      <c r="C4726" s="214">
        <v>7.66666666666667</v>
      </c>
      <c r="D4726" s="46">
        <v>0</v>
      </c>
      <c r="F4726" s="46" t="s">
        <v>7084</v>
      </c>
    </row>
    <row r="4727" s="46" customFormat="1" ht="15" customHeight="1" spans="1:6">
      <c r="A4727" s="233">
        <v>4871</v>
      </c>
      <c r="B4727" s="239" t="s">
        <v>7085</v>
      </c>
      <c r="C4727" s="214">
        <v>7.66666666666667</v>
      </c>
      <c r="D4727" s="46">
        <v>0</v>
      </c>
      <c r="F4727" s="46" t="s">
        <v>7086</v>
      </c>
    </row>
    <row r="4728" s="46" customFormat="1" ht="15" customHeight="1" spans="1:6">
      <c r="A4728" s="233">
        <v>4872</v>
      </c>
      <c r="B4728" s="239" t="s">
        <v>7087</v>
      </c>
      <c r="C4728" s="226">
        <v>3.43333333333333</v>
      </c>
      <c r="D4728" s="46">
        <v>0</v>
      </c>
      <c r="F4728" s="46" t="s">
        <v>7088</v>
      </c>
    </row>
    <row r="4729" s="46" customFormat="1" ht="15" customHeight="1" spans="1:6">
      <c r="A4729" s="233">
        <v>4873</v>
      </c>
      <c r="B4729" s="239" t="s">
        <v>7089</v>
      </c>
      <c r="C4729" s="214">
        <v>0</v>
      </c>
      <c r="D4729" s="6">
        <v>1</v>
      </c>
      <c r="F4729" s="46" t="s">
        <v>7090</v>
      </c>
    </row>
    <row r="4730" s="46" customFormat="1" ht="15" customHeight="1" spans="1:5">
      <c r="A4730" s="233">
        <v>4874</v>
      </c>
      <c r="B4730" s="239" t="s">
        <v>7091</v>
      </c>
      <c r="C4730" s="243"/>
      <c r="D4730" s="244">
        <v>1</v>
      </c>
      <c r="E4730" s="245"/>
    </row>
    <row r="4731" s="46" customFormat="1" ht="15" customHeight="1" spans="1:5">
      <c r="A4731" s="233">
        <v>4875</v>
      </c>
      <c r="B4731" s="239" t="s">
        <v>7092</v>
      </c>
      <c r="C4731" s="243"/>
      <c r="D4731" s="244">
        <v>1</v>
      </c>
      <c r="E4731" s="245"/>
    </row>
    <row r="4732" s="46" customFormat="1" ht="15" customHeight="1" spans="1:5">
      <c r="A4732" s="233">
        <v>4876</v>
      </c>
      <c r="B4732" s="239" t="s">
        <v>7093</v>
      </c>
      <c r="C4732" s="243">
        <v>1</v>
      </c>
      <c r="D4732" s="244">
        <v>0</v>
      </c>
      <c r="E4732" s="245"/>
    </row>
    <row r="4733" s="6" customFormat="1" ht="15" customHeight="1" spans="1:6">
      <c r="A4733" s="118">
        <v>4877</v>
      </c>
      <c r="B4733" s="153" t="s">
        <v>7094</v>
      </c>
      <c r="C4733" s="246">
        <f>101/30</f>
        <v>3.36666666666667</v>
      </c>
      <c r="D4733" s="244">
        <v>0</v>
      </c>
      <c r="E4733" s="244"/>
      <c r="F4733" s="6" t="s">
        <v>7095</v>
      </c>
    </row>
    <row r="4734" s="6" customFormat="1" ht="15" customHeight="1" spans="1:6">
      <c r="A4734" s="118">
        <v>4878</v>
      </c>
      <c r="B4734" s="153" t="s">
        <v>7096</v>
      </c>
      <c r="C4734" s="243">
        <v>1</v>
      </c>
      <c r="D4734" s="244">
        <v>0</v>
      </c>
      <c r="E4734" s="244"/>
      <c r="F4734" s="6" t="s">
        <v>7097</v>
      </c>
    </row>
    <row r="4735" s="6" customFormat="1" ht="15" customHeight="1" spans="1:6">
      <c r="A4735" s="118">
        <v>4879</v>
      </c>
      <c r="B4735" s="153" t="s">
        <v>7098</v>
      </c>
      <c r="C4735" s="243">
        <v>1</v>
      </c>
      <c r="D4735" s="244">
        <v>0</v>
      </c>
      <c r="E4735" s="244"/>
      <c r="F4735" s="6" t="s">
        <v>7099</v>
      </c>
    </row>
    <row r="4736" s="6" customFormat="1" ht="15" customHeight="1" spans="1:6">
      <c r="A4736" s="118">
        <v>4880</v>
      </c>
      <c r="B4736" s="153" t="s">
        <v>7100</v>
      </c>
      <c r="C4736" s="246">
        <f>59/30</f>
        <v>1.96666666666667</v>
      </c>
      <c r="D4736" s="244">
        <v>0</v>
      </c>
      <c r="E4736" s="244"/>
      <c r="F4736" s="6" t="s">
        <v>7101</v>
      </c>
    </row>
    <row r="4737" s="6" customFormat="1" ht="15" customHeight="1" spans="1:6">
      <c r="A4737" s="118">
        <v>4881</v>
      </c>
      <c r="B4737" s="153" t="s">
        <v>7102</v>
      </c>
      <c r="C4737" s="243">
        <v>1</v>
      </c>
      <c r="D4737" s="244">
        <v>0</v>
      </c>
      <c r="E4737" s="244"/>
      <c r="F4737" s="6" t="s">
        <v>7103</v>
      </c>
    </row>
    <row r="4738" s="6" customFormat="1" ht="15" customHeight="1" spans="1:6">
      <c r="A4738" s="118">
        <v>4882</v>
      </c>
      <c r="B4738" s="153" t="s">
        <v>7104</v>
      </c>
      <c r="C4738" s="246">
        <f t="shared" ref="C4738:C4740" si="52">305/30</f>
        <v>10.1666666666667</v>
      </c>
      <c r="D4738" s="244">
        <v>0</v>
      </c>
      <c r="E4738" s="244"/>
      <c r="F4738" s="6" t="s">
        <v>7105</v>
      </c>
    </row>
    <row r="4739" s="6" customFormat="1" ht="15" customHeight="1" spans="1:6">
      <c r="A4739" s="118">
        <v>4883</v>
      </c>
      <c r="B4739" s="153" t="s">
        <v>7106</v>
      </c>
      <c r="C4739" s="246">
        <f t="shared" si="52"/>
        <v>10.1666666666667</v>
      </c>
      <c r="D4739" s="244">
        <v>0</v>
      </c>
      <c r="E4739" s="244"/>
      <c r="F4739" s="6" t="s">
        <v>7107</v>
      </c>
    </row>
    <row r="4740" s="6" customFormat="1" ht="15" customHeight="1" spans="1:6">
      <c r="A4740" s="118">
        <v>4884</v>
      </c>
      <c r="B4740" s="153" t="s">
        <v>7108</v>
      </c>
      <c r="C4740" s="246">
        <f t="shared" si="52"/>
        <v>10.1666666666667</v>
      </c>
      <c r="D4740" s="244">
        <v>0</v>
      </c>
      <c r="E4740" s="244"/>
      <c r="F4740" s="6" t="s">
        <v>7109</v>
      </c>
    </row>
    <row r="4741" s="6" customFormat="1" ht="15" customHeight="1" spans="1:6">
      <c r="A4741" s="118">
        <v>4885</v>
      </c>
      <c r="B4741" s="153" t="s">
        <v>7110</v>
      </c>
      <c r="C4741" s="247">
        <f>105/30</f>
        <v>3.5</v>
      </c>
      <c r="D4741" s="244">
        <v>0</v>
      </c>
      <c r="E4741" s="244"/>
      <c r="F4741" s="6" t="s">
        <v>7111</v>
      </c>
    </row>
    <row r="4742" s="6" customFormat="1" ht="15" customHeight="1" spans="1:6">
      <c r="A4742" s="118">
        <v>4886</v>
      </c>
      <c r="B4742" s="153" t="s">
        <v>7112</v>
      </c>
      <c r="C4742" s="214">
        <v>0</v>
      </c>
      <c r="D4742" s="6">
        <v>1</v>
      </c>
      <c r="E4742" s="244"/>
      <c r="F4742" s="6" t="s">
        <v>7113</v>
      </c>
    </row>
    <row r="4743" s="6" customFormat="1" ht="15" customHeight="1" spans="1:6">
      <c r="A4743" s="118">
        <v>4887</v>
      </c>
      <c r="B4743" s="153" t="s">
        <v>7114</v>
      </c>
      <c r="C4743" s="246">
        <f>305/30</f>
        <v>10.1666666666667</v>
      </c>
      <c r="D4743" s="244">
        <v>0</v>
      </c>
      <c r="E4743" s="244"/>
      <c r="F4743" s="6" t="s">
        <v>7115</v>
      </c>
    </row>
    <row r="4744" s="48" customFormat="1" ht="15" customHeight="1" spans="1:6">
      <c r="A4744" s="248">
        <v>4888</v>
      </c>
      <c r="B4744" s="249" t="s">
        <v>7116</v>
      </c>
      <c r="C4744" s="250">
        <v>4.233</v>
      </c>
      <c r="D4744" s="251">
        <v>0</v>
      </c>
      <c r="E4744" s="251"/>
      <c r="F4744" s="48" t="s">
        <v>7117</v>
      </c>
    </row>
    <row r="4745" s="48" customFormat="1" ht="15" customHeight="1" spans="1:6">
      <c r="A4745" s="248">
        <v>4889</v>
      </c>
      <c r="B4745" s="249" t="s">
        <v>7118</v>
      </c>
      <c r="C4745" s="250">
        <v>0</v>
      </c>
      <c r="D4745" s="251">
        <v>1</v>
      </c>
      <c r="E4745" s="251"/>
      <c r="F4745" s="48" t="s">
        <v>7119</v>
      </c>
    </row>
    <row r="4746" s="48" customFormat="1" ht="15" customHeight="1" spans="1:6">
      <c r="A4746" s="248">
        <v>4890</v>
      </c>
      <c r="B4746" s="249" t="s">
        <v>7120</v>
      </c>
      <c r="C4746" s="250">
        <v>4.233</v>
      </c>
      <c r="D4746" s="251">
        <v>0</v>
      </c>
      <c r="E4746" s="251"/>
      <c r="F4746" s="48" t="s">
        <v>7121</v>
      </c>
    </row>
    <row r="4747" s="49" customFormat="1" ht="15" customHeight="1" spans="1:6">
      <c r="A4747" s="209">
        <v>4891</v>
      </c>
      <c r="B4747" s="252" t="s">
        <v>7122</v>
      </c>
      <c r="C4747" s="253">
        <v>7.767</v>
      </c>
      <c r="D4747" s="254">
        <v>0</v>
      </c>
      <c r="E4747" s="254"/>
      <c r="F4747" s="49" t="s">
        <v>7123</v>
      </c>
    </row>
    <row r="4748" s="49" customFormat="1" ht="15" customHeight="1" spans="1:6">
      <c r="A4748" s="209">
        <v>4892</v>
      </c>
      <c r="B4748" s="252" t="s">
        <v>7124</v>
      </c>
      <c r="C4748" s="253">
        <v>7.767</v>
      </c>
      <c r="D4748" s="254">
        <v>0</v>
      </c>
      <c r="E4748" s="254"/>
      <c r="F4748" s="49" t="s">
        <v>7125</v>
      </c>
    </row>
    <row r="4749" s="50" customFormat="1" ht="15" customHeight="1" spans="1:6">
      <c r="A4749" s="255">
        <v>4893</v>
      </c>
      <c r="B4749" s="256" t="s">
        <v>7126</v>
      </c>
      <c r="C4749" s="257">
        <v>2.7</v>
      </c>
      <c r="D4749" s="258">
        <v>0</v>
      </c>
      <c r="E4749" s="258"/>
      <c r="F4749" s="50" t="s">
        <v>7127</v>
      </c>
    </row>
    <row r="4750" s="50" customFormat="1" ht="15" customHeight="1" spans="1:6">
      <c r="A4750" s="255">
        <v>4894</v>
      </c>
      <c r="B4750" s="256" t="s">
        <v>7128</v>
      </c>
      <c r="C4750" s="257">
        <v>1</v>
      </c>
      <c r="D4750" s="258">
        <v>0</v>
      </c>
      <c r="E4750" s="258"/>
      <c r="F4750" s="50" t="s">
        <v>7129</v>
      </c>
    </row>
    <row r="4751" s="50" customFormat="1" ht="15" customHeight="1" spans="1:6">
      <c r="A4751" s="255">
        <v>4895</v>
      </c>
      <c r="B4751" s="256" t="s">
        <v>7130</v>
      </c>
      <c r="C4751" s="257">
        <v>1</v>
      </c>
      <c r="D4751" s="258">
        <v>0</v>
      </c>
      <c r="E4751" s="258"/>
      <c r="F4751" s="50" t="s">
        <v>7131</v>
      </c>
    </row>
    <row r="4752" s="33" customFormat="1" ht="15" customHeight="1" spans="1:6">
      <c r="A4752" s="170">
        <v>4896</v>
      </c>
      <c r="B4752" s="216" t="s">
        <v>7132</v>
      </c>
      <c r="C4752" s="259">
        <v>2.167</v>
      </c>
      <c r="D4752" s="260">
        <v>0</v>
      </c>
      <c r="E4752" s="260"/>
      <c r="F4752" s="33" t="s">
        <v>7133</v>
      </c>
    </row>
    <row r="4753" s="33" customFormat="1" ht="15" customHeight="1" spans="1:6">
      <c r="A4753" s="170">
        <v>4897</v>
      </c>
      <c r="B4753" s="216" t="s">
        <v>7134</v>
      </c>
      <c r="C4753" s="259">
        <v>1</v>
      </c>
      <c r="D4753" s="260">
        <v>0</v>
      </c>
      <c r="E4753" s="260"/>
      <c r="F4753" s="33" t="s">
        <v>7135</v>
      </c>
    </row>
    <row r="4754" s="50" customFormat="1" ht="15" customHeight="1" spans="1:6">
      <c r="A4754" s="255">
        <v>4898</v>
      </c>
      <c r="B4754" s="256" t="s">
        <v>7136</v>
      </c>
      <c r="C4754" s="257">
        <v>2.867</v>
      </c>
      <c r="D4754" s="258">
        <v>0</v>
      </c>
      <c r="E4754" s="258"/>
      <c r="F4754" s="50" t="s">
        <v>7137</v>
      </c>
    </row>
    <row r="4755" s="50" customFormat="1" ht="15" customHeight="1" spans="1:6">
      <c r="A4755" s="255">
        <v>4899</v>
      </c>
      <c r="B4755" s="256" t="s">
        <v>7138</v>
      </c>
      <c r="C4755" s="257">
        <v>1</v>
      </c>
      <c r="D4755" s="258">
        <v>0</v>
      </c>
      <c r="E4755" s="258"/>
      <c r="F4755" s="50" t="s">
        <v>7139</v>
      </c>
    </row>
    <row r="4756" s="33" customFormat="1" ht="15" customHeight="1" spans="1:6">
      <c r="A4756" s="170">
        <v>4900</v>
      </c>
      <c r="B4756" s="216" t="s">
        <v>7140</v>
      </c>
      <c r="C4756" s="259">
        <v>13.1</v>
      </c>
      <c r="D4756" s="260">
        <v>0</v>
      </c>
      <c r="E4756" s="260"/>
      <c r="F4756" s="33" t="s">
        <v>7141</v>
      </c>
    </row>
    <row r="4757" s="33" customFormat="1" ht="15" customHeight="1" spans="1:6">
      <c r="A4757" s="170">
        <v>4901</v>
      </c>
      <c r="B4757" s="216" t="s">
        <v>7142</v>
      </c>
      <c r="C4757" s="259">
        <v>13.1</v>
      </c>
      <c r="D4757" s="260">
        <v>0</v>
      </c>
      <c r="E4757" s="260"/>
      <c r="F4757" s="33" t="s">
        <v>7143</v>
      </c>
    </row>
    <row r="4758" s="33" customFormat="1" ht="15" customHeight="1" spans="1:6">
      <c r="A4758" s="170">
        <v>4902</v>
      </c>
      <c r="B4758" s="216" t="s">
        <v>7144</v>
      </c>
      <c r="C4758" s="259">
        <v>13.1</v>
      </c>
      <c r="D4758" s="260">
        <v>0</v>
      </c>
      <c r="E4758" s="260"/>
      <c r="F4758" s="33" t="s">
        <v>7145</v>
      </c>
    </row>
    <row r="4759" s="33" customFormat="1" ht="15" customHeight="1" spans="1:6">
      <c r="A4759" s="170">
        <v>4903</v>
      </c>
      <c r="B4759" s="216" t="s">
        <v>7146</v>
      </c>
      <c r="C4759" s="259">
        <v>13.1</v>
      </c>
      <c r="D4759" s="260">
        <v>0</v>
      </c>
      <c r="E4759" s="260"/>
      <c r="F4759" s="33" t="s">
        <v>7147</v>
      </c>
    </row>
    <row r="4760" s="33" customFormat="1" ht="15" customHeight="1" spans="1:6">
      <c r="A4760" s="170">
        <v>4904</v>
      </c>
      <c r="B4760" s="216" t="s">
        <v>7148</v>
      </c>
      <c r="C4760" s="259">
        <v>13.1</v>
      </c>
      <c r="D4760" s="260">
        <v>0</v>
      </c>
      <c r="E4760" s="260"/>
      <c r="F4760" s="33" t="s">
        <v>7149</v>
      </c>
    </row>
    <row r="4761" s="50" customFormat="1" ht="15" customHeight="1" spans="1:6">
      <c r="A4761" s="255">
        <v>4905</v>
      </c>
      <c r="B4761" s="256" t="s">
        <v>7150</v>
      </c>
      <c r="C4761" s="257">
        <v>6.267</v>
      </c>
      <c r="D4761" s="258">
        <v>0</v>
      </c>
      <c r="E4761" s="258"/>
      <c r="F4761" s="50" t="s">
        <v>7151</v>
      </c>
    </row>
    <row r="4762" s="50" customFormat="1" ht="15" customHeight="1" spans="1:6">
      <c r="A4762" s="255">
        <v>4906</v>
      </c>
      <c r="B4762" s="256" t="s">
        <v>7152</v>
      </c>
      <c r="C4762" s="257">
        <v>6.267</v>
      </c>
      <c r="D4762" s="258">
        <v>0</v>
      </c>
      <c r="E4762" s="258"/>
      <c r="F4762" s="50" t="s">
        <v>7153</v>
      </c>
    </row>
    <row r="4763" s="33" customFormat="1" ht="15" customHeight="1" spans="1:6">
      <c r="A4763" s="170">
        <v>4907</v>
      </c>
      <c r="B4763" s="216" t="s">
        <v>7154</v>
      </c>
      <c r="C4763" s="259">
        <v>2.467</v>
      </c>
      <c r="D4763" s="260">
        <v>0</v>
      </c>
      <c r="E4763" s="260"/>
      <c r="F4763" s="33" t="s">
        <v>7155</v>
      </c>
    </row>
    <row r="4764" s="33" customFormat="1" ht="15" customHeight="1" spans="1:6">
      <c r="A4764" s="170">
        <v>4908</v>
      </c>
      <c r="B4764" s="216" t="s">
        <v>7156</v>
      </c>
      <c r="C4764" s="259">
        <v>2.467</v>
      </c>
      <c r="D4764" s="260">
        <v>0</v>
      </c>
      <c r="E4764" s="260"/>
      <c r="F4764" s="33" t="s">
        <v>7157</v>
      </c>
    </row>
    <row r="4765" s="33" customFormat="1" ht="15" customHeight="1" spans="1:6">
      <c r="A4765" s="170">
        <v>4909</v>
      </c>
      <c r="B4765" s="216" t="s">
        <v>7158</v>
      </c>
      <c r="C4765" s="259">
        <v>2.467</v>
      </c>
      <c r="D4765" s="260">
        <v>0</v>
      </c>
      <c r="E4765" s="260"/>
      <c r="F4765" s="33" t="s">
        <v>7159</v>
      </c>
    </row>
    <row r="4766" s="33" customFormat="1" ht="15" customHeight="1" spans="1:6">
      <c r="A4766" s="170">
        <v>4910</v>
      </c>
      <c r="B4766" s="216" t="s">
        <v>7160</v>
      </c>
      <c r="C4766" s="259">
        <v>1</v>
      </c>
      <c r="D4766" s="260">
        <v>0</v>
      </c>
      <c r="E4766" s="260"/>
      <c r="F4766" s="33" t="s">
        <v>7161</v>
      </c>
    </row>
    <row r="4767" s="50" customFormat="1" ht="15" customHeight="1" spans="1:6">
      <c r="A4767" s="255">
        <v>4911</v>
      </c>
      <c r="B4767" s="256" t="s">
        <v>7162</v>
      </c>
      <c r="C4767" s="257">
        <v>2.133</v>
      </c>
      <c r="D4767" s="258">
        <v>0</v>
      </c>
      <c r="E4767" s="258"/>
      <c r="F4767" s="50" t="s">
        <v>7163</v>
      </c>
    </row>
    <row r="4768" s="50" customFormat="1" ht="15" customHeight="1" spans="1:6">
      <c r="A4768" s="255">
        <v>4912</v>
      </c>
      <c r="B4768" s="256" t="s">
        <v>7164</v>
      </c>
      <c r="C4768" s="257">
        <v>2.133</v>
      </c>
      <c r="D4768" s="258">
        <v>0</v>
      </c>
      <c r="E4768" s="258"/>
      <c r="F4768" s="50" t="s">
        <v>7165</v>
      </c>
    </row>
    <row r="4769" s="50" customFormat="1" ht="15" customHeight="1" spans="1:6">
      <c r="A4769" s="255">
        <v>4913</v>
      </c>
      <c r="B4769" s="256" t="s">
        <v>7166</v>
      </c>
      <c r="C4769" s="257">
        <v>2.133</v>
      </c>
      <c r="D4769" s="258">
        <v>0</v>
      </c>
      <c r="E4769" s="258"/>
      <c r="F4769" s="50" t="s">
        <v>7167</v>
      </c>
    </row>
    <row r="4770" s="50" customFormat="1" ht="15" customHeight="1" spans="1:6">
      <c r="A4770" s="255">
        <v>4914</v>
      </c>
      <c r="B4770" s="256" t="s">
        <v>7168</v>
      </c>
      <c r="C4770" s="257">
        <v>1</v>
      </c>
      <c r="D4770" s="258">
        <v>0</v>
      </c>
      <c r="E4770" s="258"/>
      <c r="F4770" s="50" t="s">
        <v>7169</v>
      </c>
    </row>
    <row r="4771" s="33" customFormat="1" ht="15" customHeight="1" spans="1:6">
      <c r="A4771" s="170">
        <v>4915</v>
      </c>
      <c r="B4771" s="216" t="s">
        <v>7170</v>
      </c>
      <c r="C4771" s="259">
        <v>2.067</v>
      </c>
      <c r="D4771" s="260">
        <v>0</v>
      </c>
      <c r="E4771" s="260"/>
      <c r="F4771" s="33" t="s">
        <v>7171</v>
      </c>
    </row>
    <row r="4772" s="33" customFormat="1" ht="15" customHeight="1" spans="1:6">
      <c r="A4772" s="170">
        <v>4916</v>
      </c>
      <c r="B4772" s="216" t="s">
        <v>7172</v>
      </c>
      <c r="C4772" s="259">
        <v>2.067</v>
      </c>
      <c r="D4772" s="260">
        <v>0</v>
      </c>
      <c r="E4772" s="260"/>
      <c r="F4772" s="33" t="s">
        <v>7173</v>
      </c>
    </row>
    <row r="4773" s="33" customFormat="1" ht="15" customHeight="1" spans="1:6">
      <c r="A4773" s="170">
        <v>4917</v>
      </c>
      <c r="B4773" s="216" t="s">
        <v>7174</v>
      </c>
      <c r="C4773" s="259">
        <v>2.067</v>
      </c>
      <c r="D4773" s="260">
        <v>0</v>
      </c>
      <c r="E4773" s="260"/>
      <c r="F4773" s="33" t="s">
        <v>7175</v>
      </c>
    </row>
    <row r="4774" s="33" customFormat="1" ht="15" customHeight="1" spans="1:6">
      <c r="A4774" s="170">
        <v>4918</v>
      </c>
      <c r="B4774" s="216" t="s">
        <v>7176</v>
      </c>
      <c r="C4774" s="259">
        <v>1</v>
      </c>
      <c r="D4774" s="260">
        <v>0</v>
      </c>
      <c r="E4774" s="260"/>
      <c r="F4774" s="33" t="s">
        <v>7177</v>
      </c>
    </row>
    <row r="4775" s="50" customFormat="1" ht="15" customHeight="1" spans="1:6">
      <c r="A4775" s="255">
        <v>4919</v>
      </c>
      <c r="B4775" s="256" t="s">
        <v>7178</v>
      </c>
      <c r="C4775" s="257">
        <v>6.3</v>
      </c>
      <c r="D4775" s="258">
        <v>0</v>
      </c>
      <c r="E4775" s="258"/>
      <c r="F4775" s="50" t="s">
        <v>7179</v>
      </c>
    </row>
    <row r="4776" s="50" customFormat="1" ht="15" customHeight="1" spans="1:6">
      <c r="A4776" s="255">
        <v>4920</v>
      </c>
      <c r="B4776" s="256" t="s">
        <v>7180</v>
      </c>
      <c r="C4776" s="257">
        <v>6.3</v>
      </c>
      <c r="D4776" s="258">
        <v>0</v>
      </c>
      <c r="E4776" s="258"/>
      <c r="F4776" s="50" t="s">
        <v>7181</v>
      </c>
    </row>
    <row r="4777" s="50" customFormat="1" ht="15" customHeight="1" spans="1:6">
      <c r="A4777" s="255">
        <v>4921</v>
      </c>
      <c r="B4777" s="256" t="s">
        <v>7182</v>
      </c>
      <c r="C4777" s="257">
        <v>6.3</v>
      </c>
      <c r="D4777" s="258">
        <v>0</v>
      </c>
      <c r="E4777" s="258"/>
      <c r="F4777" s="50" t="s">
        <v>7183</v>
      </c>
    </row>
    <row r="4778" s="50" customFormat="1" ht="15" customHeight="1" spans="1:6">
      <c r="A4778" s="255">
        <v>4922</v>
      </c>
      <c r="B4778" s="256" t="s">
        <v>7184</v>
      </c>
      <c r="C4778" s="257">
        <v>6.3</v>
      </c>
      <c r="D4778" s="258">
        <v>0</v>
      </c>
      <c r="E4778" s="258"/>
      <c r="F4778" s="50" t="s">
        <v>7185</v>
      </c>
    </row>
    <row r="4779" s="33" customFormat="1" ht="15" customHeight="1" spans="1:6">
      <c r="A4779" s="170">
        <v>4923</v>
      </c>
      <c r="B4779" s="216" t="s">
        <v>7186</v>
      </c>
      <c r="C4779" s="259">
        <v>2.667</v>
      </c>
      <c r="D4779" s="260">
        <v>0</v>
      </c>
      <c r="E4779" s="260"/>
      <c r="F4779" s="33" t="s">
        <v>7187</v>
      </c>
    </row>
    <row r="4780" s="33" customFormat="1" ht="15" customHeight="1" spans="1:6">
      <c r="A4780" s="170">
        <v>4924</v>
      </c>
      <c r="B4780" s="216" t="s">
        <v>7188</v>
      </c>
      <c r="C4780" s="259">
        <v>0</v>
      </c>
      <c r="D4780" s="260">
        <v>1</v>
      </c>
      <c r="E4780" s="260"/>
      <c r="F4780" s="33" t="s">
        <v>7189</v>
      </c>
    </row>
    <row r="4781" s="33" customFormat="1" ht="15" customHeight="1" spans="1:6">
      <c r="A4781" s="170">
        <v>4925</v>
      </c>
      <c r="B4781" s="216" t="s">
        <v>7190</v>
      </c>
      <c r="C4781" s="259">
        <v>0</v>
      </c>
      <c r="D4781" s="260">
        <v>0</v>
      </c>
      <c r="E4781" s="260"/>
      <c r="F4781" s="33" t="s">
        <v>7191</v>
      </c>
    </row>
    <row r="4782" s="33" customFormat="1" ht="15" customHeight="1" spans="1:6">
      <c r="A4782" s="170">
        <v>4926</v>
      </c>
      <c r="B4782" s="216" t="s">
        <v>7192</v>
      </c>
      <c r="C4782" s="259">
        <v>0</v>
      </c>
      <c r="D4782" s="260">
        <v>1</v>
      </c>
      <c r="E4782" s="260"/>
      <c r="F4782" s="33" t="s">
        <v>7193</v>
      </c>
    </row>
    <row r="4783" s="33" customFormat="1" ht="15" customHeight="1" spans="1:6">
      <c r="A4783" s="170">
        <v>4927</v>
      </c>
      <c r="B4783" s="216" t="s">
        <v>7194</v>
      </c>
      <c r="C4783" s="259">
        <v>0</v>
      </c>
      <c r="D4783" s="260">
        <v>1</v>
      </c>
      <c r="E4783" s="260"/>
      <c r="F4783" s="33" t="s">
        <v>7195</v>
      </c>
    </row>
    <row r="4784" s="51" customFormat="1" ht="15" customHeight="1" spans="1:6">
      <c r="A4784" s="184">
        <v>4928</v>
      </c>
      <c r="B4784" s="261" t="s">
        <v>7196</v>
      </c>
      <c r="C4784" s="262">
        <v>2.333</v>
      </c>
      <c r="D4784" s="263">
        <v>0</v>
      </c>
      <c r="E4784" s="263"/>
      <c r="F4784" s="51" t="s">
        <v>7197</v>
      </c>
    </row>
    <row r="4785" s="51" customFormat="1" ht="15" customHeight="1" spans="1:6">
      <c r="A4785" s="184">
        <v>4929</v>
      </c>
      <c r="B4785" s="261" t="s">
        <v>7198</v>
      </c>
      <c r="C4785" s="262">
        <v>1</v>
      </c>
      <c r="D4785" s="263">
        <v>0</v>
      </c>
      <c r="E4785" s="263"/>
      <c r="F4785" s="51" t="s">
        <v>7199</v>
      </c>
    </row>
    <row r="4786" s="51" customFormat="1" ht="15" customHeight="1" spans="1:6">
      <c r="A4786" s="184">
        <v>4930</v>
      </c>
      <c r="B4786" s="261" t="s">
        <v>7200</v>
      </c>
      <c r="C4786" s="262">
        <v>1.967</v>
      </c>
      <c r="D4786" s="263">
        <v>0</v>
      </c>
      <c r="E4786" s="263"/>
      <c r="F4786" s="51" t="s">
        <v>7201</v>
      </c>
    </row>
    <row r="4787" s="51" customFormat="1" ht="15" customHeight="1" spans="1:6">
      <c r="A4787" s="184">
        <v>4931</v>
      </c>
      <c r="B4787" s="261" t="s">
        <v>7202</v>
      </c>
      <c r="C4787" s="262">
        <v>1</v>
      </c>
      <c r="D4787" s="263">
        <v>0</v>
      </c>
      <c r="E4787" s="263"/>
      <c r="F4787" s="51" t="s">
        <v>7203</v>
      </c>
    </row>
    <row r="4788" s="34" customFormat="1" ht="15" customHeight="1" spans="1:6">
      <c r="A4788" s="197">
        <v>4932</v>
      </c>
      <c r="B4788" s="124" t="s">
        <v>7204</v>
      </c>
      <c r="C4788" s="264">
        <v>1.933</v>
      </c>
      <c r="D4788" s="265">
        <v>0</v>
      </c>
      <c r="E4788" s="265"/>
      <c r="F4788" s="34" t="s">
        <v>7205</v>
      </c>
    </row>
    <row r="4789" s="34" customFormat="1" ht="15" customHeight="1" spans="1:6">
      <c r="A4789" s="197">
        <v>4933</v>
      </c>
      <c r="B4789" s="124" t="s">
        <v>7206</v>
      </c>
      <c r="C4789" s="264">
        <v>1</v>
      </c>
      <c r="D4789" s="265">
        <v>0</v>
      </c>
      <c r="E4789" s="265"/>
      <c r="F4789" s="34" t="s">
        <v>7207</v>
      </c>
    </row>
    <row r="4790" s="34" customFormat="1" ht="15" customHeight="1" spans="1:6">
      <c r="A4790" s="197">
        <v>4934</v>
      </c>
      <c r="B4790" s="124" t="s">
        <v>7208</v>
      </c>
      <c r="C4790" s="264">
        <v>3.5</v>
      </c>
      <c r="D4790" s="265">
        <v>0</v>
      </c>
      <c r="E4790" s="265"/>
      <c r="F4790" s="34" t="s">
        <v>7209</v>
      </c>
    </row>
    <row r="4791" s="34" customFormat="1" ht="15" customHeight="1" spans="1:6">
      <c r="A4791" s="197">
        <v>4935</v>
      </c>
      <c r="B4791" s="124" t="s">
        <v>7210</v>
      </c>
      <c r="C4791" s="264">
        <v>3.5</v>
      </c>
      <c r="D4791" s="265">
        <v>0</v>
      </c>
      <c r="E4791" s="265"/>
      <c r="F4791" s="34" t="s">
        <v>7211</v>
      </c>
    </row>
    <row r="4792" s="34" customFormat="1" ht="15" customHeight="1" spans="1:6">
      <c r="A4792" s="197">
        <v>4936</v>
      </c>
      <c r="B4792" s="124" t="s">
        <v>7212</v>
      </c>
      <c r="C4792" s="264">
        <v>1</v>
      </c>
      <c r="D4792" s="265">
        <v>0</v>
      </c>
      <c r="E4792" s="265"/>
      <c r="F4792" s="34" t="s">
        <v>7213</v>
      </c>
    </row>
    <row r="4793" s="34" customFormat="1" ht="15" customHeight="1" spans="1:6">
      <c r="A4793" s="197">
        <v>4937</v>
      </c>
      <c r="B4793" s="124" t="s">
        <v>7214</v>
      </c>
      <c r="C4793" s="264">
        <v>1.8</v>
      </c>
      <c r="D4793" s="265">
        <v>0</v>
      </c>
      <c r="E4793" s="265"/>
      <c r="F4793" s="34" t="s">
        <v>7215</v>
      </c>
    </row>
    <row r="4794" s="34" customFormat="1" ht="15" customHeight="1" spans="1:6">
      <c r="A4794" s="197">
        <v>4938</v>
      </c>
      <c r="B4794" s="124" t="s">
        <v>7216</v>
      </c>
      <c r="C4794" s="264">
        <v>1</v>
      </c>
      <c r="D4794" s="265">
        <v>0</v>
      </c>
      <c r="E4794" s="265"/>
      <c r="F4794" s="34" t="s">
        <v>7217</v>
      </c>
    </row>
    <row r="4795" s="51" customFormat="1" ht="15" customHeight="1" spans="1:6">
      <c r="A4795" s="184">
        <v>4939</v>
      </c>
      <c r="B4795" s="261" t="s">
        <v>7218</v>
      </c>
      <c r="C4795" s="262">
        <v>1.6</v>
      </c>
      <c r="D4795" s="263">
        <v>0</v>
      </c>
      <c r="E4795" s="263"/>
      <c r="F4795" s="51" t="s">
        <v>7219</v>
      </c>
    </row>
    <row r="4796" s="51" customFormat="1" ht="15" customHeight="1" spans="1:6">
      <c r="A4796" s="184">
        <v>4940</v>
      </c>
      <c r="B4796" s="261" t="s">
        <v>7220</v>
      </c>
      <c r="C4796" s="262">
        <v>1</v>
      </c>
      <c r="D4796" s="263">
        <v>0</v>
      </c>
      <c r="E4796" s="263"/>
      <c r="F4796" s="51" t="s">
        <v>7221</v>
      </c>
    </row>
    <row r="4797" s="51" customFormat="1" ht="15" customHeight="1" spans="1:6">
      <c r="A4797" s="184">
        <v>4941</v>
      </c>
      <c r="B4797" s="261" t="s">
        <v>7222</v>
      </c>
      <c r="C4797" s="262">
        <v>1.8</v>
      </c>
      <c r="D4797" s="263">
        <v>0</v>
      </c>
      <c r="E4797" s="263"/>
      <c r="F4797" s="51" t="s">
        <v>7223</v>
      </c>
    </row>
    <row r="4798" s="51" customFormat="1" ht="15" customHeight="1" spans="1:6">
      <c r="A4798" s="184">
        <v>4942</v>
      </c>
      <c r="B4798" s="261" t="s">
        <v>7224</v>
      </c>
      <c r="C4798" s="262">
        <v>1</v>
      </c>
      <c r="D4798" s="263">
        <v>0</v>
      </c>
      <c r="E4798" s="263"/>
      <c r="F4798" s="51" t="s">
        <v>7225</v>
      </c>
    </row>
    <row r="4799" s="34" customFormat="1" ht="15" customHeight="1" spans="1:6">
      <c r="A4799" s="217">
        <v>4943</v>
      </c>
      <c r="B4799" s="217" t="s">
        <v>7218</v>
      </c>
      <c r="C4799" s="266">
        <v>1.467</v>
      </c>
      <c r="D4799" s="267">
        <v>0</v>
      </c>
      <c r="E4799" s="267"/>
      <c r="F4799" s="218" t="s">
        <v>7226</v>
      </c>
    </row>
    <row r="4800" s="34" customFormat="1" ht="15" customHeight="1" spans="1:6">
      <c r="A4800" s="217">
        <v>4944</v>
      </c>
      <c r="B4800" s="217" t="s">
        <v>7220</v>
      </c>
      <c r="C4800" s="266">
        <v>1</v>
      </c>
      <c r="D4800" s="267">
        <v>0</v>
      </c>
      <c r="E4800" s="267"/>
      <c r="F4800" s="218" t="s">
        <v>7227</v>
      </c>
    </row>
    <row r="4801" s="52" customFormat="1" ht="15" customHeight="1" spans="1:6">
      <c r="A4801" s="268">
        <v>4945</v>
      </c>
      <c r="B4801" s="269" t="s">
        <v>7228</v>
      </c>
      <c r="C4801" s="270">
        <v>0</v>
      </c>
      <c r="D4801" s="271">
        <v>1</v>
      </c>
      <c r="E4801" s="271"/>
      <c r="F4801" s="52" t="s">
        <v>7229</v>
      </c>
    </row>
    <row r="4802" s="52" customFormat="1" ht="15" customHeight="1" spans="1:6">
      <c r="A4802" s="268">
        <v>4946</v>
      </c>
      <c r="B4802" s="269" t="s">
        <v>7230</v>
      </c>
      <c r="C4802" s="270">
        <v>0</v>
      </c>
      <c r="D4802" s="271">
        <v>1</v>
      </c>
      <c r="E4802" s="271"/>
      <c r="F4802" s="52" t="s">
        <v>7231</v>
      </c>
    </row>
    <row r="4803" s="50" customFormat="1" ht="15" customHeight="1" spans="1:6">
      <c r="A4803" s="255">
        <v>4947</v>
      </c>
      <c r="B4803" s="256" t="s">
        <v>7232</v>
      </c>
      <c r="C4803" s="257">
        <f t="shared" ref="C4803:C4805" si="53">86/30</f>
        <v>2.86666666666667</v>
      </c>
      <c r="D4803" s="258">
        <v>0</v>
      </c>
      <c r="E4803" s="258"/>
      <c r="F4803" s="50" t="s">
        <v>7233</v>
      </c>
    </row>
    <row r="4804" s="50" customFormat="1" ht="15" customHeight="1" spans="1:6">
      <c r="A4804" s="255">
        <v>4948</v>
      </c>
      <c r="B4804" s="256" t="s">
        <v>7234</v>
      </c>
      <c r="C4804" s="257">
        <f t="shared" si="53"/>
        <v>2.86666666666667</v>
      </c>
      <c r="D4804" s="258">
        <v>0</v>
      </c>
      <c r="E4804" s="258"/>
      <c r="F4804" s="50" t="s">
        <v>7235</v>
      </c>
    </row>
    <row r="4805" s="50" customFormat="1" ht="15" customHeight="1" spans="1:6">
      <c r="A4805" s="255">
        <v>4949</v>
      </c>
      <c r="B4805" s="256" t="s">
        <v>7236</v>
      </c>
      <c r="C4805" s="257">
        <f t="shared" si="53"/>
        <v>2.86666666666667</v>
      </c>
      <c r="D4805" s="258">
        <v>0</v>
      </c>
      <c r="E4805" s="258"/>
      <c r="F4805" s="50" t="s">
        <v>7235</v>
      </c>
    </row>
    <row r="4806" s="50" customFormat="1" ht="15" customHeight="1" spans="1:6">
      <c r="A4806" s="255">
        <v>4950</v>
      </c>
      <c r="B4806" s="256" t="s">
        <v>7237</v>
      </c>
      <c r="C4806" s="257">
        <v>1</v>
      </c>
      <c r="D4806" s="258">
        <v>0</v>
      </c>
      <c r="E4806" s="258"/>
      <c r="F4806" s="50" t="s">
        <v>7238</v>
      </c>
    </row>
    <row r="4807" s="50" customFormat="1" ht="15" customHeight="1" spans="1:6">
      <c r="A4807" s="255">
        <v>4951</v>
      </c>
      <c r="B4807" s="256" t="s">
        <v>7239</v>
      </c>
      <c r="C4807" s="257">
        <v>1</v>
      </c>
      <c r="D4807" s="258">
        <v>0</v>
      </c>
      <c r="E4807" s="258"/>
      <c r="F4807" s="50" t="s">
        <v>7238</v>
      </c>
    </row>
    <row r="4808" s="50" customFormat="1" ht="15" customHeight="1" spans="1:6">
      <c r="A4808" s="255">
        <v>4952</v>
      </c>
      <c r="B4808" s="256" t="s">
        <v>7240</v>
      </c>
      <c r="C4808" s="257">
        <f t="shared" ref="C4808:C4812" si="54">105/30</f>
        <v>3.5</v>
      </c>
      <c r="D4808" s="258">
        <v>0</v>
      </c>
      <c r="E4808" s="258"/>
      <c r="F4808" s="50" t="s">
        <v>7241</v>
      </c>
    </row>
    <row r="4809" s="50" customFormat="1" ht="15" customHeight="1" spans="1:6">
      <c r="A4809" s="255">
        <v>4953</v>
      </c>
      <c r="B4809" s="256" t="s">
        <v>7242</v>
      </c>
      <c r="C4809" s="257">
        <f t="shared" si="54"/>
        <v>3.5</v>
      </c>
      <c r="D4809" s="258">
        <v>0</v>
      </c>
      <c r="E4809" s="258"/>
      <c r="F4809" s="50" t="s">
        <v>7243</v>
      </c>
    </row>
    <row r="4810" s="50" customFormat="1" ht="15" customHeight="1" spans="1:6">
      <c r="A4810" s="255">
        <v>4954</v>
      </c>
      <c r="B4810" s="256" t="s">
        <v>7244</v>
      </c>
      <c r="C4810" s="257">
        <f t="shared" ref="C4810:C4815" si="55">406/30</f>
        <v>13.5333333333333</v>
      </c>
      <c r="D4810" s="258">
        <v>0</v>
      </c>
      <c r="E4810" s="258"/>
      <c r="F4810" s="50" t="s">
        <v>7245</v>
      </c>
    </row>
    <row r="4811" s="50" customFormat="1" ht="15" customHeight="1" spans="1:6">
      <c r="A4811" s="255">
        <v>4955</v>
      </c>
      <c r="B4811" s="256" t="s">
        <v>7246</v>
      </c>
      <c r="C4811" s="257">
        <f t="shared" si="55"/>
        <v>13.5333333333333</v>
      </c>
      <c r="D4811" s="258">
        <v>0</v>
      </c>
      <c r="E4811" s="258"/>
      <c r="F4811" s="50" t="s">
        <v>7247</v>
      </c>
    </row>
    <row r="4812" s="50" customFormat="1" ht="15" customHeight="1" spans="1:6">
      <c r="A4812" s="255">
        <v>4956</v>
      </c>
      <c r="B4812" s="256" t="s">
        <v>7248</v>
      </c>
      <c r="C4812" s="257">
        <f t="shared" si="54"/>
        <v>3.5</v>
      </c>
      <c r="D4812" s="258">
        <v>0</v>
      </c>
      <c r="E4812" s="258"/>
      <c r="F4812" s="50" t="s">
        <v>7249</v>
      </c>
    </row>
    <row r="4813" s="50" customFormat="1" ht="15" customHeight="1" spans="1:6">
      <c r="A4813" s="255">
        <v>4957</v>
      </c>
      <c r="B4813" s="256" t="s">
        <v>941</v>
      </c>
      <c r="C4813" s="257">
        <v>0</v>
      </c>
      <c r="D4813" s="258">
        <v>1</v>
      </c>
      <c r="E4813" s="258"/>
      <c r="F4813" s="50" t="s">
        <v>7250</v>
      </c>
    </row>
    <row r="4814" s="50" customFormat="1" ht="15" customHeight="1" spans="1:6">
      <c r="A4814" s="255">
        <v>4958</v>
      </c>
      <c r="B4814" s="256" t="s">
        <v>7251</v>
      </c>
      <c r="C4814" s="257">
        <v>0</v>
      </c>
      <c r="D4814" s="258">
        <v>1</v>
      </c>
      <c r="E4814" s="258"/>
      <c r="F4814" s="50" t="s">
        <v>7252</v>
      </c>
    </row>
    <row r="4815" s="50" customFormat="1" ht="15" customHeight="1" spans="1:6">
      <c r="A4815" s="255">
        <v>4959</v>
      </c>
      <c r="B4815" s="256" t="s">
        <v>7253</v>
      </c>
      <c r="C4815" s="257">
        <f t="shared" si="55"/>
        <v>13.5333333333333</v>
      </c>
      <c r="D4815" s="258">
        <v>0</v>
      </c>
      <c r="E4815" s="258"/>
      <c r="F4815" s="50" t="s">
        <v>7254</v>
      </c>
    </row>
    <row r="4816" s="53" customFormat="1" ht="15" customHeight="1" spans="1:6">
      <c r="A4816" s="272">
        <v>4960</v>
      </c>
      <c r="B4816" s="273" t="s">
        <v>7255</v>
      </c>
      <c r="C4816" s="274">
        <v>2.533333</v>
      </c>
      <c r="D4816" s="275">
        <v>0</v>
      </c>
      <c r="E4816" s="275"/>
      <c r="F4816" s="53" t="s">
        <v>7256</v>
      </c>
    </row>
    <row r="4817" s="53" customFormat="1" ht="15" customHeight="1" spans="1:6">
      <c r="A4817" s="272">
        <v>4961</v>
      </c>
      <c r="B4817" s="273" t="s">
        <v>7257</v>
      </c>
      <c r="C4817" s="274">
        <v>1</v>
      </c>
      <c r="D4817" s="275">
        <v>0</v>
      </c>
      <c r="E4817" s="275"/>
      <c r="F4817" s="53" t="s">
        <v>7258</v>
      </c>
    </row>
    <row r="4818" s="53" customFormat="1" ht="15" customHeight="1" spans="1:6">
      <c r="A4818" s="272">
        <v>4962</v>
      </c>
      <c r="B4818" s="273" t="s">
        <v>7259</v>
      </c>
      <c r="C4818" s="274">
        <v>1</v>
      </c>
      <c r="D4818" s="275">
        <v>0</v>
      </c>
      <c r="E4818" s="275"/>
      <c r="F4818" s="53" t="s">
        <v>7260</v>
      </c>
    </row>
    <row r="4819" s="53" customFormat="1" ht="15" customHeight="1" spans="1:6">
      <c r="A4819" s="272">
        <v>4963</v>
      </c>
      <c r="B4819" s="273" t="s">
        <v>7261</v>
      </c>
      <c r="C4819" s="274">
        <v>2.3</v>
      </c>
      <c r="D4819" s="275">
        <v>0</v>
      </c>
      <c r="E4819" s="275"/>
      <c r="F4819" s="53" t="s">
        <v>7262</v>
      </c>
    </row>
    <row r="4820" s="53" customFormat="1" ht="15" customHeight="1" spans="1:6">
      <c r="A4820" s="272">
        <v>4964</v>
      </c>
      <c r="B4820" s="273" t="s">
        <v>7263</v>
      </c>
      <c r="C4820" s="274">
        <v>1</v>
      </c>
      <c r="D4820" s="275">
        <v>0</v>
      </c>
      <c r="E4820" s="275"/>
      <c r="F4820" s="53" t="s">
        <v>7264</v>
      </c>
    </row>
    <row r="4821" s="53" customFormat="1" ht="15" customHeight="1" spans="1:6">
      <c r="A4821" s="272">
        <v>4965</v>
      </c>
      <c r="B4821" s="273" t="s">
        <v>7265</v>
      </c>
      <c r="C4821" s="274">
        <v>2.033333</v>
      </c>
      <c r="D4821" s="275">
        <v>0</v>
      </c>
      <c r="E4821" s="275"/>
      <c r="F4821" s="53" t="s">
        <v>7266</v>
      </c>
    </row>
    <row r="4822" s="53" customFormat="1" ht="15" customHeight="1" spans="1:6">
      <c r="A4822" s="272">
        <v>4966</v>
      </c>
      <c r="B4822" s="273" t="s">
        <v>7267</v>
      </c>
      <c r="C4822" s="274">
        <v>2.033333</v>
      </c>
      <c r="D4822" s="275">
        <v>0</v>
      </c>
      <c r="E4822" s="275"/>
      <c r="F4822" s="53" t="s">
        <v>7268</v>
      </c>
    </row>
    <row r="4823" s="53" customFormat="1" ht="15" customHeight="1" spans="1:6">
      <c r="A4823" s="272">
        <v>4967</v>
      </c>
      <c r="B4823" s="273" t="s">
        <v>7269</v>
      </c>
      <c r="C4823" s="274">
        <v>1</v>
      </c>
      <c r="D4823" s="275">
        <v>0</v>
      </c>
      <c r="E4823" s="275"/>
      <c r="F4823" s="53" t="s">
        <v>7270</v>
      </c>
    </row>
    <row r="4824" s="53" customFormat="1" ht="15" customHeight="1" spans="1:6">
      <c r="A4824" s="272">
        <v>4968</v>
      </c>
      <c r="B4824" s="273" t="s">
        <v>7271</v>
      </c>
      <c r="C4824" s="274">
        <v>3.7333333</v>
      </c>
      <c r="D4824" s="275">
        <v>0</v>
      </c>
      <c r="E4824" s="275"/>
      <c r="F4824" s="53" t="s">
        <v>7272</v>
      </c>
    </row>
    <row r="4825" s="53" customFormat="1" ht="15" customHeight="1" spans="1:6">
      <c r="A4825" s="272">
        <v>4969</v>
      </c>
      <c r="B4825" s="273" t="s">
        <v>7273</v>
      </c>
      <c r="C4825" s="274">
        <v>1</v>
      </c>
      <c r="D4825" s="275">
        <v>0</v>
      </c>
      <c r="E4825" s="275"/>
      <c r="F4825" s="53" t="s">
        <v>7274</v>
      </c>
    </row>
    <row r="4826" s="53" customFormat="1" ht="15" customHeight="1" spans="1:6">
      <c r="A4826" s="272">
        <v>4970</v>
      </c>
      <c r="B4826" s="273" t="s">
        <v>7275</v>
      </c>
      <c r="C4826" s="274">
        <v>1</v>
      </c>
      <c r="D4826" s="275">
        <v>0</v>
      </c>
      <c r="E4826" s="275"/>
      <c r="F4826" s="53" t="s">
        <v>7276</v>
      </c>
    </row>
    <row r="4827" s="53" customFormat="1" ht="15" customHeight="1" spans="1:6">
      <c r="A4827" s="272">
        <v>4971</v>
      </c>
      <c r="B4827" s="273" t="s">
        <v>7277</v>
      </c>
      <c r="C4827" s="274">
        <v>11.666667</v>
      </c>
      <c r="D4827" s="275">
        <v>0</v>
      </c>
      <c r="E4827" s="275"/>
      <c r="F4827" s="53" t="s">
        <v>7278</v>
      </c>
    </row>
    <row r="4828" s="53" customFormat="1" ht="15" customHeight="1" spans="1:6">
      <c r="A4828" s="272">
        <v>4972</v>
      </c>
      <c r="B4828" s="273" t="s">
        <v>7279</v>
      </c>
      <c r="C4828" s="274">
        <v>11.666667</v>
      </c>
      <c r="D4828" s="275">
        <v>0</v>
      </c>
      <c r="E4828" s="275"/>
      <c r="F4828" s="53" t="s">
        <v>7280</v>
      </c>
    </row>
    <row r="4829" s="53" customFormat="1" ht="15" customHeight="1" spans="1:6">
      <c r="A4829" s="272">
        <v>4973</v>
      </c>
      <c r="B4829" s="273" t="s">
        <v>7281</v>
      </c>
      <c r="C4829" s="274">
        <v>1</v>
      </c>
      <c r="D4829" s="275">
        <v>0</v>
      </c>
      <c r="E4829" s="275"/>
      <c r="F4829" s="53" t="s">
        <v>7282</v>
      </c>
    </row>
    <row r="4830" s="53" customFormat="1" ht="15" customHeight="1" spans="1:6">
      <c r="A4830" s="272">
        <v>4974</v>
      </c>
      <c r="B4830" s="273" t="s">
        <v>7283</v>
      </c>
      <c r="C4830" s="274">
        <v>12</v>
      </c>
      <c r="D4830" s="275">
        <v>0</v>
      </c>
      <c r="E4830" s="275"/>
      <c r="F4830" s="53" t="s">
        <v>7284</v>
      </c>
    </row>
    <row r="4831" s="53" customFormat="1" ht="15" customHeight="1" spans="1:6">
      <c r="A4831" s="272">
        <v>4975</v>
      </c>
      <c r="B4831" s="273" t="s">
        <v>7285</v>
      </c>
      <c r="C4831" s="276">
        <f>250/30</f>
        <v>8.33333333333333</v>
      </c>
      <c r="D4831" s="275">
        <v>0</v>
      </c>
      <c r="E4831" s="275"/>
      <c r="F4831" s="277" t="s">
        <v>7286</v>
      </c>
    </row>
    <row r="4832" s="53" customFormat="1" ht="15" customHeight="1" spans="1:6">
      <c r="A4832" s="272">
        <v>4976</v>
      </c>
      <c r="B4832" s="273" t="s">
        <v>7287</v>
      </c>
      <c r="C4832" s="274">
        <f>100/30</f>
        <v>3.33333333333333</v>
      </c>
      <c r="D4832" s="275">
        <v>0</v>
      </c>
      <c r="E4832" s="275"/>
      <c r="F4832" s="53" t="s">
        <v>7288</v>
      </c>
    </row>
    <row r="4833" s="53" customFormat="1" ht="15" customHeight="1" spans="1:6">
      <c r="A4833" s="272">
        <v>4977</v>
      </c>
      <c r="B4833" s="273" t="s">
        <v>7289</v>
      </c>
      <c r="C4833" s="274">
        <v>0</v>
      </c>
      <c r="D4833" s="275">
        <v>1</v>
      </c>
      <c r="E4833" s="275"/>
      <c r="F4833" s="53" t="s">
        <v>7290</v>
      </c>
    </row>
    <row r="4834" s="53" customFormat="1" ht="15" customHeight="1" spans="1:6">
      <c r="A4834" s="272">
        <v>4978</v>
      </c>
      <c r="B4834" s="273" t="s">
        <v>7291</v>
      </c>
      <c r="C4834" s="274">
        <f>70/30</f>
        <v>2.33333333333333</v>
      </c>
      <c r="D4834" s="275">
        <v>0</v>
      </c>
      <c r="E4834" s="275"/>
      <c r="F4834" s="53" t="s">
        <v>7292</v>
      </c>
    </row>
    <row r="4835" s="53" customFormat="1" ht="15" customHeight="1" spans="1:6">
      <c r="A4835" s="272">
        <v>4979</v>
      </c>
      <c r="B4835" s="273" t="s">
        <v>7293</v>
      </c>
      <c r="C4835" s="274">
        <v>1</v>
      </c>
      <c r="D4835" s="275">
        <v>0</v>
      </c>
      <c r="E4835" s="275"/>
      <c r="F4835" s="53" t="s">
        <v>7294</v>
      </c>
    </row>
    <row r="4836" s="53" customFormat="1" ht="15" customHeight="1" spans="1:6">
      <c r="A4836" s="272">
        <v>4980</v>
      </c>
      <c r="B4836" s="273" t="s">
        <v>7295</v>
      </c>
      <c r="C4836" s="274">
        <v>12</v>
      </c>
      <c r="D4836" s="275">
        <v>0</v>
      </c>
      <c r="E4836" s="275"/>
      <c r="F4836" s="53" t="s">
        <v>7296</v>
      </c>
    </row>
    <row r="4837" s="53" customFormat="1" ht="15" customHeight="1" spans="1:6">
      <c r="A4837" s="272">
        <v>4981</v>
      </c>
      <c r="B4837" s="273" t="s">
        <v>7297</v>
      </c>
      <c r="C4837" s="274">
        <f>102/30</f>
        <v>3.4</v>
      </c>
      <c r="D4837" s="275">
        <v>0</v>
      </c>
      <c r="E4837" s="275"/>
      <c r="F4837" s="53" t="s">
        <v>7298</v>
      </c>
    </row>
    <row r="4838" s="53" customFormat="1" ht="15" customHeight="1" spans="1:6">
      <c r="A4838" s="272">
        <v>4982</v>
      </c>
      <c r="B4838" s="273" t="s">
        <v>7299</v>
      </c>
      <c r="C4838" s="274">
        <v>1</v>
      </c>
      <c r="D4838" s="275">
        <v>0</v>
      </c>
      <c r="E4838" s="275"/>
      <c r="F4838" s="53" t="s">
        <v>7300</v>
      </c>
    </row>
    <row r="4839" s="53" customFormat="1" ht="15" customHeight="1" spans="1:6">
      <c r="A4839" s="272">
        <v>4983</v>
      </c>
      <c r="B4839" s="273" t="s">
        <v>7301</v>
      </c>
      <c r="C4839" s="274">
        <v>1</v>
      </c>
      <c r="D4839" s="275">
        <v>0</v>
      </c>
      <c r="E4839" s="275"/>
      <c r="F4839" s="53" t="s">
        <v>7302</v>
      </c>
    </row>
    <row r="4840" s="53" customFormat="1" ht="15" customHeight="1" spans="1:6">
      <c r="A4840" s="272">
        <v>4984</v>
      </c>
      <c r="B4840" s="273" t="s">
        <v>7303</v>
      </c>
      <c r="C4840" s="278">
        <f>403/30</f>
        <v>13.4333333333333</v>
      </c>
      <c r="D4840" s="275">
        <v>0</v>
      </c>
      <c r="E4840" s="275"/>
      <c r="F4840" s="53" t="s">
        <v>7304</v>
      </c>
    </row>
    <row r="4841" s="53" customFormat="1" ht="15" customHeight="1" spans="1:6">
      <c r="A4841" s="272">
        <v>4985</v>
      </c>
      <c r="B4841" s="273" t="s">
        <v>7305</v>
      </c>
      <c r="C4841" s="278">
        <f>480/30</f>
        <v>16</v>
      </c>
      <c r="D4841" s="275">
        <v>0</v>
      </c>
      <c r="E4841" s="275"/>
      <c r="F4841" s="53" t="s">
        <v>7304</v>
      </c>
    </row>
    <row r="4842" s="53" customFormat="1" ht="15" customHeight="1" spans="1:6">
      <c r="A4842" s="272">
        <v>4986</v>
      </c>
      <c r="B4842" s="273" t="s">
        <v>7306</v>
      </c>
      <c r="C4842" s="278">
        <f>375/30</f>
        <v>12.5</v>
      </c>
      <c r="D4842" s="275">
        <v>0</v>
      </c>
      <c r="E4842" s="275"/>
      <c r="F4842" s="53" t="s">
        <v>7304</v>
      </c>
    </row>
    <row r="4843" s="53" customFormat="1" ht="15" customHeight="1" spans="1:6">
      <c r="A4843" s="272">
        <v>4987</v>
      </c>
      <c r="B4843" s="273" t="s">
        <v>7307</v>
      </c>
      <c r="C4843" s="278">
        <f>375/30</f>
        <v>12.5</v>
      </c>
      <c r="D4843" s="275">
        <v>0</v>
      </c>
      <c r="E4843" s="275"/>
      <c r="F4843" s="53" t="s">
        <v>7304</v>
      </c>
    </row>
    <row r="4844" s="50" customFormat="1" ht="15" customHeight="1" spans="1:25">
      <c r="A4844" s="256">
        <v>4988</v>
      </c>
      <c r="B4844" s="256" t="s">
        <v>7308</v>
      </c>
      <c r="C4844" s="257">
        <f>240/30</f>
        <v>8</v>
      </c>
      <c r="D4844" s="257">
        <v>0</v>
      </c>
      <c r="E4844" s="257"/>
      <c r="F4844" s="257" t="s">
        <v>7309</v>
      </c>
      <c r="G4844" s="256"/>
      <c r="H4844" s="256"/>
      <c r="I4844" s="256"/>
      <c r="J4844" s="256"/>
      <c r="K4844" s="256"/>
      <c r="L4844" s="256"/>
      <c r="M4844" s="256"/>
      <c r="N4844" s="256"/>
      <c r="O4844" s="256"/>
      <c r="P4844" s="256"/>
      <c r="Q4844" s="256"/>
      <c r="R4844" s="256"/>
      <c r="S4844" s="256"/>
      <c r="T4844" s="256"/>
      <c r="U4844" s="256"/>
      <c r="V4844" s="256"/>
      <c r="W4844" s="256"/>
      <c r="X4844" s="256"/>
      <c r="Y4844" s="256"/>
    </row>
    <row r="4845" s="50" customFormat="1" ht="15" customHeight="1" spans="1:25">
      <c r="A4845" s="256">
        <v>4989</v>
      </c>
      <c r="B4845" s="256" t="s">
        <v>7310</v>
      </c>
      <c r="C4845" s="257">
        <v>1</v>
      </c>
      <c r="D4845" s="257">
        <v>0</v>
      </c>
      <c r="E4845" s="257"/>
      <c r="F4845" s="257" t="s">
        <v>7311</v>
      </c>
      <c r="G4845" s="256"/>
      <c r="H4845" s="256"/>
      <c r="I4845" s="256"/>
      <c r="J4845" s="256"/>
      <c r="K4845" s="256"/>
      <c r="L4845" s="256"/>
      <c r="M4845" s="256"/>
      <c r="N4845" s="256"/>
      <c r="O4845" s="256"/>
      <c r="P4845" s="256"/>
      <c r="Q4845" s="256"/>
      <c r="R4845" s="256"/>
      <c r="S4845" s="256"/>
      <c r="T4845" s="256"/>
      <c r="U4845" s="256"/>
      <c r="V4845" s="256"/>
      <c r="W4845" s="256"/>
      <c r="X4845" s="256"/>
      <c r="Y4845" s="256"/>
    </row>
    <row r="4846" s="50" customFormat="1" ht="15" customHeight="1" spans="1:25">
      <c r="A4846" s="256">
        <v>4990</v>
      </c>
      <c r="B4846" s="256" t="s">
        <v>7312</v>
      </c>
      <c r="C4846" s="257">
        <v>1</v>
      </c>
      <c r="D4846" s="257">
        <v>0</v>
      </c>
      <c r="E4846" s="257"/>
      <c r="F4846" s="257" t="s">
        <v>7313</v>
      </c>
      <c r="G4846" s="256"/>
      <c r="H4846" s="256"/>
      <c r="I4846" s="256"/>
      <c r="J4846" s="256"/>
      <c r="K4846" s="256"/>
      <c r="L4846" s="256"/>
      <c r="M4846" s="256"/>
      <c r="N4846" s="256"/>
      <c r="O4846" s="256"/>
      <c r="P4846" s="256"/>
      <c r="Q4846" s="256"/>
      <c r="R4846" s="256"/>
      <c r="S4846" s="256"/>
      <c r="T4846" s="256"/>
      <c r="U4846" s="256"/>
      <c r="V4846" s="256"/>
      <c r="W4846" s="256"/>
      <c r="X4846" s="256"/>
      <c r="Y4846" s="256"/>
    </row>
    <row r="4847" s="50" customFormat="1" ht="15" customHeight="1" spans="1:25">
      <c r="A4847" s="256">
        <v>4991</v>
      </c>
      <c r="B4847" s="256" t="s">
        <v>7314</v>
      </c>
      <c r="C4847" s="257">
        <f>80/30</f>
        <v>2.66666666666667</v>
      </c>
      <c r="D4847" s="257">
        <v>0</v>
      </c>
      <c r="E4847" s="257"/>
      <c r="F4847" s="257" t="s">
        <v>7315</v>
      </c>
      <c r="G4847" s="256"/>
      <c r="H4847" s="256"/>
      <c r="I4847" s="256"/>
      <c r="J4847" s="256"/>
      <c r="K4847" s="256"/>
      <c r="L4847" s="256"/>
      <c r="M4847" s="256"/>
      <c r="N4847" s="256"/>
      <c r="O4847" s="256"/>
      <c r="P4847" s="256"/>
      <c r="Q4847" s="256"/>
      <c r="R4847" s="256"/>
      <c r="S4847" s="256"/>
      <c r="T4847" s="256"/>
      <c r="U4847" s="256"/>
      <c r="V4847" s="256"/>
      <c r="W4847" s="256"/>
      <c r="X4847" s="256"/>
      <c r="Y4847" s="256"/>
    </row>
    <row r="4848" s="50" customFormat="1" ht="15" customHeight="1" spans="1:25">
      <c r="A4848" s="256">
        <v>4992</v>
      </c>
      <c r="B4848" s="256" t="s">
        <v>7316</v>
      </c>
      <c r="C4848" s="257">
        <v>1</v>
      </c>
      <c r="D4848" s="257">
        <v>0</v>
      </c>
      <c r="E4848" s="257"/>
      <c r="F4848" s="257" t="s">
        <v>7317</v>
      </c>
      <c r="G4848" s="256"/>
      <c r="H4848" s="256"/>
      <c r="I4848" s="256"/>
      <c r="J4848" s="256"/>
      <c r="K4848" s="256"/>
      <c r="L4848" s="256"/>
      <c r="M4848" s="256"/>
      <c r="N4848" s="256"/>
      <c r="O4848" s="256"/>
      <c r="P4848" s="256"/>
      <c r="Q4848" s="256"/>
      <c r="R4848" s="256"/>
      <c r="S4848" s="256"/>
      <c r="T4848" s="256"/>
      <c r="U4848" s="256"/>
      <c r="V4848" s="256"/>
      <c r="W4848" s="256"/>
      <c r="X4848" s="256"/>
      <c r="Y4848" s="256"/>
    </row>
    <row r="4849" s="50" customFormat="1" ht="15" customHeight="1" spans="1:25">
      <c r="A4849" s="256">
        <v>4993</v>
      </c>
      <c r="B4849" s="256" t="s">
        <v>7318</v>
      </c>
      <c r="C4849" s="257">
        <f>108/30</f>
        <v>3.6</v>
      </c>
      <c r="D4849" s="257">
        <v>0</v>
      </c>
      <c r="E4849" s="257"/>
      <c r="F4849" s="257" t="s">
        <v>7319</v>
      </c>
      <c r="G4849" s="256"/>
      <c r="H4849" s="256"/>
      <c r="I4849" s="256"/>
      <c r="J4849" s="256"/>
      <c r="K4849" s="256"/>
      <c r="L4849" s="256"/>
      <c r="M4849" s="256"/>
      <c r="N4849" s="256"/>
      <c r="O4849" s="256"/>
      <c r="P4849" s="256"/>
      <c r="Q4849" s="256"/>
      <c r="R4849" s="256"/>
      <c r="S4849" s="256"/>
      <c r="T4849" s="256"/>
      <c r="U4849" s="256"/>
      <c r="V4849" s="256"/>
      <c r="W4849" s="256"/>
      <c r="X4849" s="256"/>
      <c r="Y4849" s="256"/>
    </row>
    <row r="4850" s="50" customFormat="1" ht="15" customHeight="1" spans="1:25">
      <c r="A4850" s="256">
        <v>4994</v>
      </c>
      <c r="B4850" s="256" t="s">
        <v>7320</v>
      </c>
      <c r="C4850" s="257">
        <v>1</v>
      </c>
      <c r="D4850" s="257">
        <v>0</v>
      </c>
      <c r="E4850" s="257"/>
      <c r="F4850" s="257" t="s">
        <v>7321</v>
      </c>
      <c r="G4850" s="256"/>
      <c r="H4850" s="256"/>
      <c r="I4850" s="256"/>
      <c r="J4850" s="256"/>
      <c r="K4850" s="256"/>
      <c r="L4850" s="256"/>
      <c r="M4850" s="256"/>
      <c r="N4850" s="256"/>
      <c r="O4850" s="256"/>
      <c r="P4850" s="256"/>
      <c r="Q4850" s="256"/>
      <c r="R4850" s="256"/>
      <c r="S4850" s="256"/>
      <c r="T4850" s="256"/>
      <c r="U4850" s="256"/>
      <c r="V4850" s="256"/>
      <c r="W4850" s="256"/>
      <c r="X4850" s="256"/>
      <c r="Y4850" s="256"/>
    </row>
    <row r="4851" s="50" customFormat="1" ht="15" customHeight="1" spans="1:25">
      <c r="A4851" s="256">
        <v>4995</v>
      </c>
      <c r="B4851" s="256" t="s">
        <v>7322</v>
      </c>
      <c r="C4851" s="257">
        <f>181/30</f>
        <v>6.03333333333333</v>
      </c>
      <c r="D4851" s="257">
        <v>0</v>
      </c>
      <c r="E4851" s="257"/>
      <c r="F4851" s="257" t="s">
        <v>7323</v>
      </c>
      <c r="G4851" s="256"/>
      <c r="H4851" s="256"/>
      <c r="I4851" s="256"/>
      <c r="J4851" s="256"/>
      <c r="K4851" s="256"/>
      <c r="L4851" s="256"/>
      <c r="M4851" s="256"/>
      <c r="N4851" s="256"/>
      <c r="O4851" s="256"/>
      <c r="P4851" s="256"/>
      <c r="Q4851" s="256"/>
      <c r="R4851" s="256"/>
      <c r="S4851" s="256"/>
      <c r="T4851" s="256"/>
      <c r="U4851" s="256"/>
      <c r="V4851" s="256"/>
      <c r="W4851" s="256"/>
      <c r="X4851" s="256"/>
      <c r="Y4851" s="256"/>
    </row>
    <row r="4852" s="50" customFormat="1" ht="15" customHeight="1" spans="1:25">
      <c r="A4852" s="256">
        <v>4996</v>
      </c>
      <c r="B4852" s="256" t="s">
        <v>7324</v>
      </c>
      <c r="C4852" s="257">
        <f>181/30</f>
        <v>6.03333333333333</v>
      </c>
      <c r="D4852" s="257">
        <v>0</v>
      </c>
      <c r="E4852" s="257"/>
      <c r="F4852" s="257" t="s">
        <v>7325</v>
      </c>
      <c r="G4852" s="256"/>
      <c r="H4852" s="256"/>
      <c r="I4852" s="256"/>
      <c r="J4852" s="256"/>
      <c r="K4852" s="256"/>
      <c r="L4852" s="256"/>
      <c r="M4852" s="256"/>
      <c r="N4852" s="256"/>
      <c r="O4852" s="256"/>
      <c r="P4852" s="256"/>
      <c r="Q4852" s="256"/>
      <c r="R4852" s="256"/>
      <c r="S4852" s="256"/>
      <c r="T4852" s="256"/>
      <c r="U4852" s="256"/>
      <c r="V4852" s="256"/>
      <c r="W4852" s="256"/>
      <c r="X4852" s="256"/>
      <c r="Y4852" s="256"/>
    </row>
    <row r="4853" s="50" customFormat="1" ht="15" customHeight="1" spans="1:25">
      <c r="A4853" s="256">
        <v>4997</v>
      </c>
      <c r="B4853" s="256" t="s">
        <v>7326</v>
      </c>
      <c r="C4853" s="257">
        <v>10</v>
      </c>
      <c r="D4853" s="257">
        <v>0</v>
      </c>
      <c r="E4853" s="257"/>
      <c r="F4853" s="257" t="s">
        <v>7327</v>
      </c>
      <c r="G4853" s="256"/>
      <c r="H4853" s="256"/>
      <c r="I4853" s="256"/>
      <c r="J4853" s="256"/>
      <c r="K4853" s="256"/>
      <c r="L4853" s="256"/>
      <c r="M4853" s="256"/>
      <c r="N4853" s="256"/>
      <c r="O4853" s="256"/>
      <c r="P4853" s="256"/>
      <c r="Q4853" s="256"/>
      <c r="R4853" s="256"/>
      <c r="S4853" s="256"/>
      <c r="T4853" s="256"/>
      <c r="U4853" s="256"/>
      <c r="V4853" s="256"/>
      <c r="W4853" s="256"/>
      <c r="X4853" s="256"/>
      <c r="Y4853" s="256"/>
    </row>
    <row r="4854" s="50" customFormat="1" ht="15" customHeight="1" spans="1:25">
      <c r="A4854" s="256">
        <v>4998</v>
      </c>
      <c r="B4854" s="256" t="s">
        <v>7328</v>
      </c>
      <c r="C4854" s="257">
        <v>10</v>
      </c>
      <c r="D4854" s="257">
        <v>0</v>
      </c>
      <c r="E4854" s="257"/>
      <c r="F4854" s="257" t="s">
        <v>7329</v>
      </c>
      <c r="G4854" s="256"/>
      <c r="H4854" s="256"/>
      <c r="I4854" s="256"/>
      <c r="J4854" s="256"/>
      <c r="K4854" s="256"/>
      <c r="L4854" s="256"/>
      <c r="M4854" s="256"/>
      <c r="N4854" s="256"/>
      <c r="O4854" s="256"/>
      <c r="P4854" s="256"/>
      <c r="Q4854" s="256"/>
      <c r="R4854" s="256"/>
      <c r="S4854" s="256"/>
      <c r="T4854" s="256"/>
      <c r="U4854" s="256"/>
      <c r="V4854" s="256"/>
      <c r="W4854" s="256"/>
      <c r="X4854" s="256"/>
      <c r="Y4854" s="256"/>
    </row>
    <row r="4855" s="50" customFormat="1" ht="15" customHeight="1" spans="1:25">
      <c r="A4855" s="256">
        <v>4999</v>
      </c>
      <c r="B4855" s="256" t="s">
        <v>7330</v>
      </c>
      <c r="C4855" s="257">
        <v>10</v>
      </c>
      <c r="D4855" s="257">
        <v>0</v>
      </c>
      <c r="E4855" s="257"/>
      <c r="F4855" s="257" t="s">
        <v>7331</v>
      </c>
      <c r="G4855" s="256"/>
      <c r="H4855" s="256"/>
      <c r="I4855" s="256"/>
      <c r="J4855" s="256"/>
      <c r="K4855" s="256"/>
      <c r="L4855" s="256"/>
      <c r="M4855" s="256"/>
      <c r="N4855" s="256"/>
      <c r="O4855" s="256"/>
      <c r="P4855" s="256"/>
      <c r="Q4855" s="256"/>
      <c r="R4855" s="256"/>
      <c r="S4855" s="256"/>
      <c r="T4855" s="256"/>
      <c r="U4855" s="256"/>
      <c r="V4855" s="256"/>
      <c r="W4855" s="256"/>
      <c r="X4855" s="256"/>
      <c r="Y4855" s="256"/>
    </row>
    <row r="4856" s="50" customFormat="1" ht="15" customHeight="1" spans="1:25">
      <c r="A4856" s="256">
        <v>5000</v>
      </c>
      <c r="B4856" s="256" t="s">
        <v>7332</v>
      </c>
      <c r="C4856" s="257">
        <v>3.13333333333333</v>
      </c>
      <c r="D4856" s="257">
        <v>0</v>
      </c>
      <c r="E4856" s="257"/>
      <c r="F4856" s="257" t="s">
        <v>7333</v>
      </c>
      <c r="G4856" s="256"/>
      <c r="H4856" s="256"/>
      <c r="I4856" s="256"/>
      <c r="J4856" s="256"/>
      <c r="K4856" s="256"/>
      <c r="L4856" s="256"/>
      <c r="M4856" s="256"/>
      <c r="N4856" s="256"/>
      <c r="O4856" s="256"/>
      <c r="P4856" s="256"/>
      <c r="Q4856" s="256"/>
      <c r="R4856" s="256"/>
      <c r="S4856" s="256"/>
      <c r="T4856" s="256"/>
      <c r="U4856" s="256"/>
      <c r="V4856" s="256"/>
      <c r="W4856" s="256"/>
      <c r="X4856" s="256"/>
      <c r="Y4856" s="256"/>
    </row>
    <row r="4857" s="50" customFormat="1" ht="15" customHeight="1" spans="1:25">
      <c r="A4857" s="256">
        <v>5001</v>
      </c>
      <c r="B4857" s="256" t="s">
        <v>7334</v>
      </c>
      <c r="C4857" s="257">
        <v>1</v>
      </c>
      <c r="D4857" s="257">
        <v>0</v>
      </c>
      <c r="E4857" s="257"/>
      <c r="F4857" s="257" t="s">
        <v>7335</v>
      </c>
      <c r="G4857" s="256"/>
      <c r="H4857" s="256"/>
      <c r="I4857" s="256"/>
      <c r="J4857" s="256"/>
      <c r="K4857" s="256"/>
      <c r="L4857" s="256"/>
      <c r="M4857" s="256"/>
      <c r="N4857" s="256"/>
      <c r="O4857" s="256"/>
      <c r="P4857" s="256"/>
      <c r="Q4857" s="256"/>
      <c r="R4857" s="256"/>
      <c r="S4857" s="256"/>
      <c r="T4857" s="256"/>
      <c r="U4857" s="256"/>
      <c r="V4857" s="256"/>
      <c r="W4857" s="256"/>
      <c r="X4857" s="256"/>
      <c r="Y4857" s="256"/>
    </row>
    <row r="4858" s="50" customFormat="1" ht="15" customHeight="1" spans="1:25">
      <c r="A4858" s="256">
        <v>5002</v>
      </c>
      <c r="B4858" s="256" t="s">
        <v>7336</v>
      </c>
      <c r="C4858" s="257">
        <v>3.13333333333333</v>
      </c>
      <c r="D4858" s="257">
        <v>0</v>
      </c>
      <c r="E4858" s="257"/>
      <c r="F4858" s="257" t="s">
        <v>7337</v>
      </c>
      <c r="G4858" s="256"/>
      <c r="H4858" s="256"/>
      <c r="I4858" s="256"/>
      <c r="J4858" s="256"/>
      <c r="K4858" s="256"/>
      <c r="L4858" s="256"/>
      <c r="M4858" s="256"/>
      <c r="N4858" s="256"/>
      <c r="O4858" s="256"/>
      <c r="P4858" s="256"/>
      <c r="Q4858" s="256"/>
      <c r="R4858" s="256"/>
      <c r="S4858" s="256"/>
      <c r="T4858" s="256"/>
      <c r="U4858" s="256"/>
      <c r="V4858" s="256"/>
      <c r="W4858" s="256"/>
      <c r="X4858" s="256"/>
      <c r="Y4858" s="256"/>
    </row>
    <row r="4859" s="50" customFormat="1" ht="15" customHeight="1" spans="1:25">
      <c r="A4859" s="256">
        <v>5003</v>
      </c>
      <c r="B4859" s="256" t="s">
        <v>7338</v>
      </c>
      <c r="C4859" s="257">
        <f>380/30</f>
        <v>12.6666666666667</v>
      </c>
      <c r="D4859" s="257">
        <v>0</v>
      </c>
      <c r="E4859" s="257"/>
      <c r="F4859" s="257" t="s">
        <v>7339</v>
      </c>
      <c r="G4859" s="256"/>
      <c r="H4859" s="256"/>
      <c r="I4859" s="256"/>
      <c r="J4859" s="256"/>
      <c r="K4859" s="256"/>
      <c r="L4859" s="256"/>
      <c r="M4859" s="256"/>
      <c r="N4859" s="256"/>
      <c r="O4859" s="256"/>
      <c r="P4859" s="256"/>
      <c r="Q4859" s="256"/>
      <c r="R4859" s="256"/>
      <c r="S4859" s="256"/>
      <c r="T4859" s="256"/>
      <c r="U4859" s="256"/>
      <c r="V4859" s="256"/>
      <c r="W4859" s="256"/>
      <c r="X4859" s="256"/>
      <c r="Y4859" s="256"/>
    </row>
    <row r="4860" s="50" customFormat="1" ht="15" customHeight="1" spans="1:25">
      <c r="A4860" s="256">
        <v>5004</v>
      </c>
      <c r="B4860" s="256" t="s">
        <v>7340</v>
      </c>
      <c r="C4860" s="257">
        <v>1.1</v>
      </c>
      <c r="D4860" s="257">
        <v>0</v>
      </c>
      <c r="E4860" s="257"/>
      <c r="F4860" s="257" t="s">
        <v>7341</v>
      </c>
      <c r="G4860" s="256"/>
      <c r="H4860" s="256"/>
      <c r="I4860" s="256"/>
      <c r="J4860" s="256"/>
      <c r="K4860" s="256"/>
      <c r="L4860" s="256"/>
      <c r="M4860" s="256"/>
      <c r="N4860" s="256"/>
      <c r="O4860" s="256"/>
      <c r="P4860" s="256"/>
      <c r="Q4860" s="256"/>
      <c r="R4860" s="256"/>
      <c r="S4860" s="256"/>
      <c r="T4860" s="256"/>
      <c r="U4860" s="256"/>
      <c r="V4860" s="256"/>
      <c r="W4860" s="256"/>
      <c r="X4860" s="256"/>
      <c r="Y4860" s="256"/>
    </row>
    <row r="4861" s="50" customFormat="1" ht="15" customHeight="1" spans="1:25">
      <c r="A4861" s="256">
        <v>5005</v>
      </c>
      <c r="B4861" s="256" t="s">
        <v>7342</v>
      </c>
      <c r="C4861" s="257">
        <v>1.4</v>
      </c>
      <c r="D4861" s="257">
        <v>0</v>
      </c>
      <c r="E4861" s="257"/>
      <c r="F4861" s="257" t="s">
        <v>7343</v>
      </c>
      <c r="G4861" s="256"/>
      <c r="H4861" s="256"/>
      <c r="I4861" s="256"/>
      <c r="J4861" s="256"/>
      <c r="K4861" s="256"/>
      <c r="L4861" s="256"/>
      <c r="M4861" s="256"/>
      <c r="N4861" s="256"/>
      <c r="O4861" s="256"/>
      <c r="P4861" s="256"/>
      <c r="Q4861" s="256"/>
      <c r="R4861" s="256"/>
      <c r="S4861" s="256"/>
      <c r="T4861" s="256"/>
      <c r="U4861" s="256"/>
      <c r="V4861" s="256"/>
      <c r="W4861" s="256"/>
      <c r="X4861" s="256"/>
      <c r="Y4861" s="256"/>
    </row>
    <row r="4862" s="50" customFormat="1" ht="15" customHeight="1" spans="1:25">
      <c r="A4862" s="256">
        <v>5006</v>
      </c>
      <c r="B4862" s="256" t="s">
        <v>7344</v>
      </c>
      <c r="C4862" s="257">
        <v>0</v>
      </c>
      <c r="D4862" s="257">
        <v>1</v>
      </c>
      <c r="E4862" s="257"/>
      <c r="F4862" s="257" t="s">
        <v>7345</v>
      </c>
      <c r="G4862" s="256"/>
      <c r="H4862" s="256"/>
      <c r="I4862" s="256"/>
      <c r="J4862" s="256"/>
      <c r="K4862" s="256"/>
      <c r="L4862" s="256"/>
      <c r="M4862" s="256"/>
      <c r="N4862" s="256"/>
      <c r="O4862" s="256"/>
      <c r="P4862" s="256"/>
      <c r="Q4862" s="256"/>
      <c r="R4862" s="256"/>
      <c r="S4862" s="256"/>
      <c r="T4862" s="256"/>
      <c r="U4862" s="256"/>
      <c r="V4862" s="256"/>
      <c r="W4862" s="256"/>
      <c r="X4862" s="256"/>
      <c r="Y4862" s="256"/>
    </row>
    <row r="4863" s="50" customFormat="1" ht="15" customHeight="1" spans="1:25">
      <c r="A4863" s="256">
        <v>5007</v>
      </c>
      <c r="B4863" s="256" t="s">
        <v>7346</v>
      </c>
      <c r="C4863" s="257">
        <v>0</v>
      </c>
      <c r="D4863" s="257">
        <v>1</v>
      </c>
      <c r="E4863" s="257"/>
      <c r="F4863" s="257" t="s">
        <v>7347</v>
      </c>
      <c r="G4863" s="256"/>
      <c r="H4863" s="256"/>
      <c r="I4863" s="256"/>
      <c r="J4863" s="256"/>
      <c r="K4863" s="256"/>
      <c r="L4863" s="256"/>
      <c r="M4863" s="256"/>
      <c r="N4863" s="256"/>
      <c r="O4863" s="256"/>
      <c r="P4863" s="256"/>
      <c r="Q4863" s="256"/>
      <c r="R4863" s="256"/>
      <c r="S4863" s="256"/>
      <c r="T4863" s="256"/>
      <c r="U4863" s="256"/>
      <c r="V4863" s="256"/>
      <c r="W4863" s="256"/>
      <c r="X4863" s="256"/>
      <c r="Y4863" s="256"/>
    </row>
    <row r="4864" s="50" customFormat="1" ht="15" customHeight="1" spans="1:25">
      <c r="A4864" s="256">
        <v>5008</v>
      </c>
      <c r="B4864" s="256" t="s">
        <v>7348</v>
      </c>
      <c r="C4864" s="257">
        <v>0</v>
      </c>
      <c r="D4864" s="257">
        <v>1</v>
      </c>
      <c r="E4864" s="257"/>
      <c r="F4864" s="257" t="s">
        <v>7349</v>
      </c>
      <c r="G4864" s="256"/>
      <c r="H4864" s="256"/>
      <c r="I4864" s="256"/>
      <c r="J4864" s="256"/>
      <c r="K4864" s="256"/>
      <c r="L4864" s="256"/>
      <c r="M4864" s="256"/>
      <c r="N4864" s="256"/>
      <c r="O4864" s="256"/>
      <c r="P4864" s="256"/>
      <c r="Q4864" s="256"/>
      <c r="R4864" s="256"/>
      <c r="S4864" s="256"/>
      <c r="T4864" s="256"/>
      <c r="U4864" s="256"/>
      <c r="V4864" s="256"/>
      <c r="W4864" s="256"/>
      <c r="X4864" s="256"/>
      <c r="Y4864" s="256"/>
    </row>
    <row r="4865" s="50" customFormat="1" ht="15" customHeight="1" spans="1:25">
      <c r="A4865" s="256">
        <v>5009</v>
      </c>
      <c r="B4865" s="256" t="s">
        <v>7350</v>
      </c>
      <c r="C4865" s="257">
        <v>2.66666666666667</v>
      </c>
      <c r="D4865" s="257">
        <v>0</v>
      </c>
      <c r="E4865" s="257"/>
      <c r="F4865" s="257" t="s">
        <v>7351</v>
      </c>
      <c r="G4865" s="256"/>
      <c r="H4865" s="256"/>
      <c r="I4865" s="256"/>
      <c r="J4865" s="256"/>
      <c r="K4865" s="256"/>
      <c r="L4865" s="256"/>
      <c r="M4865" s="256"/>
      <c r="N4865" s="256"/>
      <c r="O4865" s="256"/>
      <c r="P4865" s="256"/>
      <c r="Q4865" s="256"/>
      <c r="R4865" s="256"/>
      <c r="S4865" s="256"/>
      <c r="T4865" s="256"/>
      <c r="U4865" s="256"/>
      <c r="V4865" s="256"/>
      <c r="W4865" s="256"/>
      <c r="X4865" s="256"/>
      <c r="Y4865" s="256"/>
    </row>
    <row r="4866" s="50" customFormat="1" ht="15" customHeight="1" spans="1:25">
      <c r="A4866" s="256">
        <v>5010</v>
      </c>
      <c r="B4866" s="256" t="s">
        <v>7352</v>
      </c>
      <c r="C4866" s="257">
        <v>2.66666666666667</v>
      </c>
      <c r="D4866" s="257">
        <v>0</v>
      </c>
      <c r="E4866" s="257"/>
      <c r="F4866" s="257" t="s">
        <v>7353</v>
      </c>
      <c r="G4866" s="256"/>
      <c r="H4866" s="256"/>
      <c r="I4866" s="256"/>
      <c r="J4866" s="256"/>
      <c r="K4866" s="256"/>
      <c r="L4866" s="256"/>
      <c r="M4866" s="256"/>
      <c r="N4866" s="256"/>
      <c r="O4866" s="256"/>
      <c r="P4866" s="256"/>
      <c r="Q4866" s="256"/>
      <c r="R4866" s="256"/>
      <c r="S4866" s="256"/>
      <c r="T4866" s="256"/>
      <c r="U4866" s="256"/>
      <c r="V4866" s="256"/>
      <c r="W4866" s="256"/>
      <c r="X4866" s="256"/>
      <c r="Y4866" s="256"/>
    </row>
    <row r="4867" s="50" customFormat="1" ht="15" customHeight="1" spans="1:25">
      <c r="A4867" s="256">
        <v>5011</v>
      </c>
      <c r="B4867" s="256" t="s">
        <v>7354</v>
      </c>
      <c r="C4867" s="257">
        <v>3.06666666666667</v>
      </c>
      <c r="D4867" s="257">
        <v>0</v>
      </c>
      <c r="E4867" s="257"/>
      <c r="F4867" s="257" t="s">
        <v>7355</v>
      </c>
      <c r="G4867" s="256"/>
      <c r="H4867" s="256"/>
      <c r="I4867" s="256"/>
      <c r="J4867" s="256"/>
      <c r="K4867" s="256"/>
      <c r="L4867" s="256"/>
      <c r="M4867" s="256"/>
      <c r="N4867" s="256"/>
      <c r="O4867" s="256"/>
      <c r="P4867" s="256"/>
      <c r="Q4867" s="256"/>
      <c r="R4867" s="256"/>
      <c r="S4867" s="256"/>
      <c r="T4867" s="256"/>
      <c r="U4867" s="256"/>
      <c r="V4867" s="256"/>
      <c r="W4867" s="256"/>
      <c r="X4867" s="256"/>
      <c r="Y4867" s="256"/>
    </row>
    <row r="4868" s="50" customFormat="1" ht="15" customHeight="1" spans="1:25">
      <c r="A4868" s="256">
        <v>5012</v>
      </c>
      <c r="B4868" s="256" t="s">
        <v>7356</v>
      </c>
      <c r="C4868" s="257">
        <v>1</v>
      </c>
      <c r="D4868" s="257">
        <v>0</v>
      </c>
      <c r="E4868" s="257"/>
      <c r="F4868" s="257" t="s">
        <v>7357</v>
      </c>
      <c r="G4868" s="256"/>
      <c r="H4868" s="256"/>
      <c r="I4868" s="256"/>
      <c r="J4868" s="256"/>
      <c r="K4868" s="256"/>
      <c r="L4868" s="256"/>
      <c r="M4868" s="256"/>
      <c r="N4868" s="256"/>
      <c r="O4868" s="256"/>
      <c r="P4868" s="256"/>
      <c r="Q4868" s="256"/>
      <c r="R4868" s="256"/>
      <c r="S4868" s="256"/>
      <c r="T4868" s="256"/>
      <c r="U4868" s="256"/>
      <c r="V4868" s="256"/>
      <c r="W4868" s="256"/>
      <c r="X4868" s="256"/>
      <c r="Y4868" s="256"/>
    </row>
    <row r="4869" s="50" customFormat="1" ht="15" customHeight="1" spans="1:25">
      <c r="A4869" s="256">
        <v>5013</v>
      </c>
      <c r="B4869" s="256" t="s">
        <v>7358</v>
      </c>
      <c r="C4869" s="257">
        <v>5.33333333333333</v>
      </c>
      <c r="D4869" s="257">
        <v>0</v>
      </c>
      <c r="E4869" s="257"/>
      <c r="F4869" s="257" t="s">
        <v>7359</v>
      </c>
      <c r="G4869" s="256"/>
      <c r="H4869" s="256"/>
      <c r="I4869" s="256"/>
      <c r="J4869" s="256"/>
      <c r="K4869" s="256"/>
      <c r="L4869" s="256"/>
      <c r="M4869" s="256"/>
      <c r="N4869" s="256"/>
      <c r="O4869" s="256"/>
      <c r="P4869" s="256"/>
      <c r="Q4869" s="256"/>
      <c r="R4869" s="256"/>
      <c r="S4869" s="256"/>
      <c r="T4869" s="256"/>
      <c r="U4869" s="256"/>
      <c r="V4869" s="256"/>
      <c r="W4869" s="256"/>
      <c r="X4869" s="256"/>
      <c r="Y4869" s="256"/>
    </row>
    <row r="4870" s="50" customFormat="1" ht="15" customHeight="1" spans="1:25">
      <c r="A4870" s="256">
        <v>5014</v>
      </c>
      <c r="B4870" s="256" t="s">
        <v>7360</v>
      </c>
      <c r="C4870" s="257">
        <v>9.8</v>
      </c>
      <c r="D4870" s="257">
        <v>0</v>
      </c>
      <c r="E4870" s="257"/>
      <c r="F4870" s="257" t="s">
        <v>7361</v>
      </c>
      <c r="G4870" s="256"/>
      <c r="H4870" s="256"/>
      <c r="I4870" s="256"/>
      <c r="J4870" s="256"/>
      <c r="K4870" s="256"/>
      <c r="L4870" s="256"/>
      <c r="M4870" s="256"/>
      <c r="N4870" s="256"/>
      <c r="O4870" s="256"/>
      <c r="P4870" s="256"/>
      <c r="Q4870" s="256"/>
      <c r="R4870" s="256"/>
      <c r="S4870" s="256"/>
      <c r="T4870" s="256"/>
      <c r="U4870" s="256"/>
      <c r="V4870" s="256"/>
      <c r="W4870" s="256"/>
      <c r="X4870" s="256"/>
      <c r="Y4870" s="256"/>
    </row>
    <row r="4871" s="50" customFormat="1" ht="15" customHeight="1" spans="1:25">
      <c r="A4871" s="256">
        <v>5015</v>
      </c>
      <c r="B4871" s="256" t="s">
        <v>7362</v>
      </c>
      <c r="C4871" s="257">
        <v>5.83333333333333</v>
      </c>
      <c r="D4871" s="257">
        <v>0</v>
      </c>
      <c r="E4871" s="257"/>
      <c r="F4871" s="257" t="s">
        <v>7363</v>
      </c>
      <c r="G4871" s="256"/>
      <c r="H4871" s="256"/>
      <c r="I4871" s="256"/>
      <c r="J4871" s="256"/>
      <c r="K4871" s="256"/>
      <c r="L4871" s="256"/>
      <c r="M4871" s="256"/>
      <c r="N4871" s="256"/>
      <c r="O4871" s="256"/>
      <c r="P4871" s="256"/>
      <c r="Q4871" s="256"/>
      <c r="R4871" s="256"/>
      <c r="S4871" s="256"/>
      <c r="T4871" s="256"/>
      <c r="U4871" s="256"/>
      <c r="V4871" s="256"/>
      <c r="W4871" s="256"/>
      <c r="X4871" s="256"/>
      <c r="Y4871" s="256"/>
    </row>
    <row r="4872" s="50" customFormat="1" ht="15" customHeight="1" spans="1:25">
      <c r="A4872" s="256">
        <v>5016</v>
      </c>
      <c r="B4872" s="256" t="s">
        <v>7364</v>
      </c>
      <c r="C4872" s="257">
        <v>10.1</v>
      </c>
      <c r="D4872" s="257">
        <v>0</v>
      </c>
      <c r="E4872" s="257"/>
      <c r="F4872" s="257" t="s">
        <v>7365</v>
      </c>
      <c r="G4872" s="256"/>
      <c r="H4872" s="256"/>
      <c r="I4872" s="256"/>
      <c r="J4872" s="256"/>
      <c r="K4872" s="256"/>
      <c r="L4872" s="256"/>
      <c r="M4872" s="256"/>
      <c r="N4872" s="256"/>
      <c r="O4872" s="256"/>
      <c r="P4872" s="256"/>
      <c r="Q4872" s="256"/>
      <c r="R4872" s="256"/>
      <c r="S4872" s="256"/>
      <c r="T4872" s="256"/>
      <c r="U4872" s="256"/>
      <c r="V4872" s="256"/>
      <c r="W4872" s="256"/>
      <c r="X4872" s="256"/>
      <c r="Y4872" s="256"/>
    </row>
    <row r="4873" s="50" customFormat="1" ht="15" customHeight="1" spans="1:25">
      <c r="A4873" s="256">
        <v>5017</v>
      </c>
      <c r="B4873" s="256" t="s">
        <v>7366</v>
      </c>
      <c r="C4873" s="257">
        <v>2</v>
      </c>
      <c r="D4873" s="257">
        <v>0</v>
      </c>
      <c r="E4873" s="257"/>
      <c r="F4873" s="257" t="s">
        <v>7367</v>
      </c>
      <c r="G4873" s="256"/>
      <c r="H4873" s="256"/>
      <c r="I4873" s="256"/>
      <c r="J4873" s="256"/>
      <c r="K4873" s="256"/>
      <c r="L4873" s="256"/>
      <c r="M4873" s="256"/>
      <c r="N4873" s="256"/>
      <c r="O4873" s="256"/>
      <c r="P4873" s="256"/>
      <c r="Q4873" s="256"/>
      <c r="R4873" s="256"/>
      <c r="S4873" s="256"/>
      <c r="T4873" s="256"/>
      <c r="U4873" s="256"/>
      <c r="V4873" s="256"/>
      <c r="W4873" s="256"/>
      <c r="X4873" s="256"/>
      <c r="Y4873" s="256"/>
    </row>
    <row r="4874" s="50" customFormat="1" ht="15" customHeight="1" spans="1:25">
      <c r="A4874" s="256">
        <v>5018</v>
      </c>
      <c r="B4874" s="256" t="s">
        <v>7368</v>
      </c>
      <c r="C4874" s="257">
        <v>2.6</v>
      </c>
      <c r="D4874" s="257">
        <v>0</v>
      </c>
      <c r="E4874" s="257"/>
      <c r="F4874" s="257" t="s">
        <v>7369</v>
      </c>
      <c r="G4874" s="256"/>
      <c r="H4874" s="256"/>
      <c r="I4874" s="256"/>
      <c r="J4874" s="256"/>
      <c r="K4874" s="256"/>
      <c r="L4874" s="256"/>
      <c r="M4874" s="256"/>
      <c r="N4874" s="256"/>
      <c r="O4874" s="256"/>
      <c r="P4874" s="256"/>
      <c r="Q4874" s="256"/>
      <c r="R4874" s="256"/>
      <c r="S4874" s="256"/>
      <c r="T4874" s="256"/>
      <c r="U4874" s="256"/>
      <c r="V4874" s="256"/>
      <c r="W4874" s="256"/>
      <c r="X4874" s="256"/>
      <c r="Y4874" s="256"/>
    </row>
    <row r="4875" s="50" customFormat="1" ht="15" customHeight="1" spans="1:25">
      <c r="A4875" s="256">
        <v>5019</v>
      </c>
      <c r="B4875" s="256" t="s">
        <v>7370</v>
      </c>
      <c r="C4875" s="257">
        <f>240/30</f>
        <v>8</v>
      </c>
      <c r="D4875" s="257">
        <v>0</v>
      </c>
      <c r="E4875" s="257"/>
      <c r="F4875" s="257" t="s">
        <v>7371</v>
      </c>
      <c r="G4875" s="256"/>
      <c r="H4875" s="256"/>
      <c r="I4875" s="256"/>
      <c r="J4875" s="256"/>
      <c r="K4875" s="256"/>
      <c r="L4875" s="256"/>
      <c r="M4875" s="256"/>
      <c r="N4875" s="256"/>
      <c r="O4875" s="256"/>
      <c r="P4875" s="256"/>
      <c r="Q4875" s="256"/>
      <c r="R4875" s="256"/>
      <c r="S4875" s="256"/>
      <c r="T4875" s="256"/>
      <c r="U4875" s="256"/>
      <c r="V4875" s="256"/>
      <c r="W4875" s="256"/>
      <c r="X4875" s="256"/>
      <c r="Y4875" s="256"/>
    </row>
    <row r="4876" s="50" customFormat="1" ht="15" customHeight="1" spans="1:25">
      <c r="A4876" s="256">
        <v>5020</v>
      </c>
      <c r="B4876" s="256" t="s">
        <v>7372</v>
      </c>
      <c r="C4876" s="257">
        <v>0</v>
      </c>
      <c r="D4876" s="257">
        <v>1</v>
      </c>
      <c r="E4876" s="257"/>
      <c r="F4876" s="257" t="s">
        <v>7373</v>
      </c>
      <c r="G4876" s="256"/>
      <c r="H4876" s="256"/>
      <c r="I4876" s="256"/>
      <c r="J4876" s="256"/>
      <c r="K4876" s="256"/>
      <c r="L4876" s="256"/>
      <c r="M4876" s="256"/>
      <c r="N4876" s="256"/>
      <c r="O4876" s="256"/>
      <c r="P4876" s="256"/>
      <c r="Q4876" s="256"/>
      <c r="R4876" s="256"/>
      <c r="S4876" s="256"/>
      <c r="T4876" s="256"/>
      <c r="U4876" s="256"/>
      <c r="V4876" s="256"/>
      <c r="W4876" s="256"/>
      <c r="X4876" s="256"/>
      <c r="Y4876" s="256"/>
    </row>
    <row r="4877" s="50" customFormat="1" ht="15" customHeight="1" spans="1:25">
      <c r="A4877" s="256">
        <v>5021</v>
      </c>
      <c r="B4877" s="256" t="s">
        <v>7374</v>
      </c>
      <c r="C4877" s="257">
        <v>0</v>
      </c>
      <c r="D4877" s="257">
        <v>1</v>
      </c>
      <c r="E4877" s="257"/>
      <c r="F4877" s="257" t="s">
        <v>7375</v>
      </c>
      <c r="G4877" s="256"/>
      <c r="H4877" s="256"/>
      <c r="I4877" s="256"/>
      <c r="J4877" s="256"/>
      <c r="K4877" s="256"/>
      <c r="L4877" s="256"/>
      <c r="M4877" s="256"/>
      <c r="N4877" s="256"/>
      <c r="O4877" s="256"/>
      <c r="P4877" s="256"/>
      <c r="Q4877" s="256"/>
      <c r="R4877" s="256"/>
      <c r="S4877" s="256"/>
      <c r="T4877" s="256"/>
      <c r="U4877" s="256"/>
      <c r="V4877" s="256"/>
      <c r="W4877" s="256"/>
      <c r="X4877" s="256"/>
      <c r="Y4877" s="256"/>
    </row>
    <row r="4878" s="50" customFormat="1" ht="15" customHeight="1" spans="1:25">
      <c r="A4878" s="256">
        <v>5022</v>
      </c>
      <c r="B4878" s="256" t="s">
        <v>7376</v>
      </c>
      <c r="C4878" s="257">
        <v>0</v>
      </c>
      <c r="D4878" s="257">
        <v>1</v>
      </c>
      <c r="E4878" s="257"/>
      <c r="F4878" s="257" t="s">
        <v>7377</v>
      </c>
      <c r="G4878" s="256"/>
      <c r="H4878" s="256"/>
      <c r="I4878" s="256"/>
      <c r="J4878" s="256"/>
      <c r="K4878" s="256"/>
      <c r="L4878" s="256"/>
      <c r="M4878" s="256"/>
      <c r="N4878" s="256"/>
      <c r="O4878" s="256"/>
      <c r="P4878" s="256"/>
      <c r="Q4878" s="256"/>
      <c r="R4878" s="256"/>
      <c r="S4878" s="256"/>
      <c r="T4878" s="256"/>
      <c r="U4878" s="256"/>
      <c r="V4878" s="256"/>
      <c r="W4878" s="256"/>
      <c r="X4878" s="256"/>
      <c r="Y4878" s="256"/>
    </row>
    <row r="4879" s="50" customFormat="1" ht="15" customHeight="1" spans="1:25">
      <c r="A4879" s="256">
        <v>5023</v>
      </c>
      <c r="B4879" s="256" t="s">
        <v>7378</v>
      </c>
      <c r="C4879" s="257">
        <v>0</v>
      </c>
      <c r="D4879" s="257">
        <v>1</v>
      </c>
      <c r="E4879" s="257"/>
      <c r="F4879" s="257" t="s">
        <v>7379</v>
      </c>
      <c r="G4879" s="256"/>
      <c r="H4879" s="256"/>
      <c r="I4879" s="256"/>
      <c r="J4879" s="256"/>
      <c r="K4879" s="256"/>
      <c r="L4879" s="256"/>
      <c r="M4879" s="256"/>
      <c r="N4879" s="256"/>
      <c r="O4879" s="256"/>
      <c r="P4879" s="256"/>
      <c r="Q4879" s="256"/>
      <c r="R4879" s="256"/>
      <c r="S4879" s="256"/>
      <c r="T4879" s="256"/>
      <c r="U4879" s="256"/>
      <c r="V4879" s="256"/>
      <c r="W4879" s="256"/>
      <c r="X4879" s="256"/>
      <c r="Y4879" s="256"/>
    </row>
    <row r="4880" s="50" customFormat="1" ht="15" customHeight="1" spans="1:25">
      <c r="A4880" s="256">
        <v>5024</v>
      </c>
      <c r="B4880" s="256" t="s">
        <v>7380</v>
      </c>
      <c r="C4880" s="257">
        <v>0</v>
      </c>
      <c r="D4880" s="257">
        <v>1</v>
      </c>
      <c r="E4880" s="257"/>
      <c r="F4880" s="257" t="s">
        <v>7381</v>
      </c>
      <c r="G4880" s="256"/>
      <c r="H4880" s="256"/>
      <c r="I4880" s="256"/>
      <c r="J4880" s="256"/>
      <c r="K4880" s="256"/>
      <c r="L4880" s="256"/>
      <c r="M4880" s="256"/>
      <c r="N4880" s="256"/>
      <c r="O4880" s="256"/>
      <c r="P4880" s="256"/>
      <c r="Q4880" s="256"/>
      <c r="R4880" s="256"/>
      <c r="S4880" s="256"/>
      <c r="T4880" s="256"/>
      <c r="U4880" s="256"/>
      <c r="V4880" s="256"/>
      <c r="W4880" s="256"/>
      <c r="X4880" s="256"/>
      <c r="Y4880" s="256"/>
    </row>
    <row r="4881" s="50" customFormat="1" ht="15" customHeight="1" spans="1:26">
      <c r="A4881" s="256">
        <v>5025</v>
      </c>
      <c r="B4881" s="256" t="s">
        <v>7382</v>
      </c>
      <c r="C4881" s="256">
        <v>5.33333333333333</v>
      </c>
      <c r="D4881" s="256">
        <v>0</v>
      </c>
      <c r="E4881" s="256"/>
      <c r="F4881" s="256" t="s">
        <v>7383</v>
      </c>
      <c r="G4881" s="256"/>
      <c r="H4881" s="256"/>
      <c r="I4881" s="256"/>
      <c r="J4881" s="256"/>
      <c r="K4881" s="256"/>
      <c r="L4881" s="256"/>
      <c r="M4881" s="256"/>
      <c r="N4881" s="256"/>
      <c r="O4881" s="256"/>
      <c r="P4881" s="256"/>
      <c r="Q4881" s="256"/>
      <c r="R4881" s="256"/>
      <c r="S4881" s="256"/>
      <c r="T4881" s="256"/>
      <c r="U4881" s="256"/>
      <c r="V4881" s="256"/>
      <c r="W4881" s="256"/>
      <c r="X4881" s="256"/>
      <c r="Y4881" s="256"/>
      <c r="Z4881" s="256"/>
    </row>
    <row r="4882" s="50" customFormat="1" ht="15" customHeight="1" spans="1:25">
      <c r="A4882" s="256">
        <v>5026</v>
      </c>
      <c r="B4882" s="256" t="s">
        <v>7384</v>
      </c>
      <c r="C4882" s="257">
        <v>9.8</v>
      </c>
      <c r="D4882" s="257">
        <v>0</v>
      </c>
      <c r="E4882" s="257"/>
      <c r="F4882" s="257" t="s">
        <v>7385</v>
      </c>
      <c r="G4882" s="256"/>
      <c r="H4882" s="256"/>
      <c r="I4882" s="256"/>
      <c r="J4882" s="256"/>
      <c r="K4882" s="256"/>
      <c r="L4882" s="256"/>
      <c r="M4882" s="256"/>
      <c r="N4882" s="256"/>
      <c r="O4882" s="256"/>
      <c r="P4882" s="256"/>
      <c r="Q4882" s="256"/>
      <c r="R4882" s="256"/>
      <c r="S4882" s="256"/>
      <c r="T4882" s="256"/>
      <c r="U4882" s="256"/>
      <c r="V4882" s="256"/>
      <c r="W4882" s="256"/>
      <c r="X4882" s="256"/>
      <c r="Y4882" s="256"/>
    </row>
    <row r="4883" s="50" customFormat="1" ht="15" customHeight="1" spans="1:25">
      <c r="A4883" s="256">
        <v>5027</v>
      </c>
      <c r="B4883" s="256" t="s">
        <v>7386</v>
      </c>
      <c r="C4883" s="257">
        <f>380/30</f>
        <v>12.6666666666667</v>
      </c>
      <c r="D4883" s="257">
        <v>0</v>
      </c>
      <c r="E4883" s="257"/>
      <c r="F4883" s="257" t="s">
        <v>7387</v>
      </c>
      <c r="G4883" s="256"/>
      <c r="H4883" s="256"/>
      <c r="I4883" s="256"/>
      <c r="J4883" s="256"/>
      <c r="K4883" s="256"/>
      <c r="L4883" s="256"/>
      <c r="M4883" s="256"/>
      <c r="N4883" s="256"/>
      <c r="O4883" s="256"/>
      <c r="P4883" s="256"/>
      <c r="Q4883" s="256"/>
      <c r="R4883" s="256"/>
      <c r="S4883" s="256"/>
      <c r="T4883" s="256"/>
      <c r="U4883" s="256"/>
      <c r="V4883" s="256"/>
      <c r="W4883" s="256"/>
      <c r="X4883" s="256"/>
      <c r="Y4883" s="256"/>
    </row>
    <row r="4884" s="50" customFormat="1" ht="15" customHeight="1" spans="1:25">
      <c r="A4884" s="256">
        <v>5028</v>
      </c>
      <c r="B4884" s="256" t="s">
        <v>7388</v>
      </c>
      <c r="C4884" s="257">
        <v>5.83333333333333</v>
      </c>
      <c r="D4884" s="257">
        <v>0</v>
      </c>
      <c r="E4884" s="257"/>
      <c r="F4884" s="257" t="s">
        <v>7389</v>
      </c>
      <c r="G4884" s="256"/>
      <c r="H4884" s="256"/>
      <c r="I4884" s="256"/>
      <c r="J4884" s="256"/>
      <c r="K4884" s="256"/>
      <c r="L4884" s="256"/>
      <c r="M4884" s="256"/>
      <c r="N4884" s="256"/>
      <c r="O4884" s="256"/>
      <c r="P4884" s="256"/>
      <c r="Q4884" s="256"/>
      <c r="R4884" s="256"/>
      <c r="S4884" s="256"/>
      <c r="T4884" s="256"/>
      <c r="U4884" s="256"/>
      <c r="V4884" s="256"/>
      <c r="W4884" s="256"/>
      <c r="X4884" s="256"/>
      <c r="Y4884" s="256"/>
    </row>
    <row r="4885" s="6" customFormat="1" ht="15" customHeight="1" spans="1:25">
      <c r="A4885" s="153">
        <v>5029</v>
      </c>
      <c r="B4885" s="153" t="s">
        <v>7390</v>
      </c>
      <c r="C4885" s="246">
        <v>10.1</v>
      </c>
      <c r="D4885" s="246">
        <v>0</v>
      </c>
      <c r="E4885" s="246"/>
      <c r="F4885" s="246" t="s">
        <v>7391</v>
      </c>
      <c r="G4885" s="153"/>
      <c r="H4885" s="153"/>
      <c r="I4885" s="153"/>
      <c r="J4885" s="153"/>
      <c r="K4885" s="153"/>
      <c r="L4885" s="153"/>
      <c r="M4885" s="153"/>
      <c r="N4885" s="153"/>
      <c r="O4885" s="153"/>
      <c r="P4885" s="153"/>
      <c r="Q4885" s="153"/>
      <c r="R4885" s="153"/>
      <c r="S4885" s="153"/>
      <c r="T4885" s="153"/>
      <c r="U4885" s="153"/>
      <c r="V4885" s="153"/>
      <c r="W4885" s="153"/>
      <c r="X4885" s="153"/>
      <c r="Y4885" s="153"/>
    </row>
    <row r="4886" s="50" customFormat="1" ht="15" customHeight="1" spans="1:25">
      <c r="A4886" s="256">
        <v>5030</v>
      </c>
      <c r="B4886" s="256" t="s">
        <v>7392</v>
      </c>
      <c r="C4886" s="257">
        <v>5.33333333333333</v>
      </c>
      <c r="D4886" s="257">
        <v>0</v>
      </c>
      <c r="E4886" s="257"/>
      <c r="F4886" s="257" t="s">
        <v>7393</v>
      </c>
      <c r="G4886" s="256"/>
      <c r="H4886" s="256"/>
      <c r="I4886" s="256"/>
      <c r="J4886" s="256"/>
      <c r="K4886" s="256"/>
      <c r="L4886" s="256"/>
      <c r="M4886" s="256"/>
      <c r="N4886" s="256"/>
      <c r="O4886" s="256"/>
      <c r="P4886" s="256"/>
      <c r="Q4886" s="256"/>
      <c r="R4886" s="256"/>
      <c r="S4886" s="256"/>
      <c r="T4886" s="256"/>
      <c r="U4886" s="256"/>
      <c r="V4886" s="256"/>
      <c r="W4886" s="256"/>
      <c r="X4886" s="256"/>
      <c r="Y4886" s="256"/>
    </row>
    <row r="4887" s="50" customFormat="1" ht="15" customHeight="1" spans="1:25">
      <c r="A4887" s="256">
        <v>5031</v>
      </c>
      <c r="B4887" s="256" t="s">
        <v>7394</v>
      </c>
      <c r="C4887" s="257">
        <v>9.8</v>
      </c>
      <c r="D4887" s="257">
        <v>0</v>
      </c>
      <c r="E4887" s="257"/>
      <c r="F4887" s="257" t="s">
        <v>7395</v>
      </c>
      <c r="G4887" s="256"/>
      <c r="H4887" s="256"/>
      <c r="I4887" s="256"/>
      <c r="J4887" s="256"/>
      <c r="K4887" s="256"/>
      <c r="L4887" s="256"/>
      <c r="M4887" s="256"/>
      <c r="N4887" s="256"/>
      <c r="O4887" s="256"/>
      <c r="P4887" s="256"/>
      <c r="Q4887" s="256"/>
      <c r="R4887" s="256"/>
      <c r="S4887" s="256"/>
      <c r="T4887" s="256"/>
      <c r="U4887" s="256"/>
      <c r="V4887" s="256"/>
      <c r="W4887" s="256"/>
      <c r="X4887" s="256"/>
      <c r="Y4887" s="256"/>
    </row>
    <row r="4888" s="50" customFormat="1" ht="15" customHeight="1" spans="1:25">
      <c r="A4888" s="256">
        <v>5032</v>
      </c>
      <c r="B4888" s="256" t="s">
        <v>7396</v>
      </c>
      <c r="C4888" s="257">
        <f>380/30</f>
        <v>12.6666666666667</v>
      </c>
      <c r="D4888" s="257">
        <v>0</v>
      </c>
      <c r="E4888" s="257"/>
      <c r="F4888" s="257" t="s">
        <v>7397</v>
      </c>
      <c r="G4888" s="256"/>
      <c r="H4888" s="256"/>
      <c r="I4888" s="256"/>
      <c r="J4888" s="256"/>
      <c r="K4888" s="256"/>
      <c r="L4888" s="256"/>
      <c r="M4888" s="256"/>
      <c r="N4888" s="256"/>
      <c r="O4888" s="256"/>
      <c r="P4888" s="256"/>
      <c r="Q4888" s="256"/>
      <c r="R4888" s="256"/>
      <c r="S4888" s="256"/>
      <c r="T4888" s="256"/>
      <c r="U4888" s="256"/>
      <c r="V4888" s="256"/>
      <c r="W4888" s="256"/>
      <c r="X4888" s="256"/>
      <c r="Y4888" s="256"/>
    </row>
    <row r="4889" s="50" customFormat="1" ht="15" customHeight="1" spans="1:25">
      <c r="A4889" s="256">
        <v>5033</v>
      </c>
      <c r="B4889" s="256" t="s">
        <v>7398</v>
      </c>
      <c r="C4889" s="257">
        <v>5.83333333333333</v>
      </c>
      <c r="D4889" s="257">
        <v>0</v>
      </c>
      <c r="E4889" s="257"/>
      <c r="F4889" s="257" t="s">
        <v>7399</v>
      </c>
      <c r="G4889" s="256"/>
      <c r="H4889" s="256"/>
      <c r="I4889" s="256"/>
      <c r="J4889" s="256"/>
      <c r="K4889" s="256"/>
      <c r="L4889" s="256"/>
      <c r="M4889" s="256"/>
      <c r="N4889" s="256"/>
      <c r="O4889" s="256"/>
      <c r="P4889" s="256"/>
      <c r="Q4889" s="256"/>
      <c r="R4889" s="256"/>
      <c r="S4889" s="256"/>
      <c r="T4889" s="256"/>
      <c r="U4889" s="256"/>
      <c r="V4889" s="256"/>
      <c r="W4889" s="256"/>
      <c r="X4889" s="256"/>
      <c r="Y4889" s="256"/>
    </row>
    <row r="4890" s="6" customFormat="1" ht="15" customHeight="1" spans="1:25">
      <c r="A4890" s="153">
        <v>5034</v>
      </c>
      <c r="B4890" s="153" t="s">
        <v>7400</v>
      </c>
      <c r="C4890" s="246">
        <v>10.1</v>
      </c>
      <c r="D4890" s="246">
        <v>0</v>
      </c>
      <c r="E4890" s="246"/>
      <c r="F4890" s="246" t="s">
        <v>7401</v>
      </c>
      <c r="G4890" s="153"/>
      <c r="H4890" s="153"/>
      <c r="I4890" s="153"/>
      <c r="J4890" s="153"/>
      <c r="K4890" s="153"/>
      <c r="L4890" s="153"/>
      <c r="M4890" s="153"/>
      <c r="N4890" s="153"/>
      <c r="O4890" s="153"/>
      <c r="P4890" s="153"/>
      <c r="Q4890" s="153"/>
      <c r="R4890" s="153"/>
      <c r="S4890" s="153"/>
      <c r="T4890" s="153"/>
      <c r="U4890" s="153"/>
      <c r="V4890" s="153"/>
      <c r="W4890" s="153"/>
      <c r="X4890" s="153"/>
      <c r="Y4890" s="153"/>
    </row>
    <row r="4891" s="6" customFormat="1" ht="15" customHeight="1" spans="1:25">
      <c r="A4891" s="153">
        <v>5035</v>
      </c>
      <c r="B4891" s="153" t="s">
        <v>7402</v>
      </c>
      <c r="C4891" s="246">
        <v>0</v>
      </c>
      <c r="D4891" s="246">
        <v>1</v>
      </c>
      <c r="E4891" s="246"/>
      <c r="F4891" s="246" t="s">
        <v>7403</v>
      </c>
      <c r="G4891" s="153"/>
      <c r="H4891" s="153"/>
      <c r="I4891" s="153"/>
      <c r="J4891" s="153"/>
      <c r="K4891" s="153"/>
      <c r="L4891" s="153"/>
      <c r="M4891" s="153"/>
      <c r="N4891" s="153"/>
      <c r="O4891" s="153"/>
      <c r="P4891" s="153"/>
      <c r="Q4891" s="153"/>
      <c r="R4891" s="153"/>
      <c r="S4891" s="153"/>
      <c r="T4891" s="153"/>
      <c r="U4891" s="153"/>
      <c r="V4891" s="153"/>
      <c r="W4891" s="153"/>
      <c r="X4891" s="153"/>
      <c r="Y4891" s="153"/>
    </row>
    <row r="4892" s="54" customFormat="1" ht="15" customHeight="1" spans="1:25">
      <c r="A4892" s="279">
        <v>5036</v>
      </c>
      <c r="B4892" s="279" t="s">
        <v>7404</v>
      </c>
      <c r="C4892" s="280">
        <v>7</v>
      </c>
      <c r="D4892" s="280">
        <v>0</v>
      </c>
      <c r="E4892" s="280"/>
      <c r="F4892" s="280" t="s">
        <v>7405</v>
      </c>
      <c r="G4892" s="279"/>
      <c r="H4892" s="279"/>
      <c r="I4892" s="279"/>
      <c r="J4892" s="279"/>
      <c r="K4892" s="279"/>
      <c r="L4892" s="279"/>
      <c r="M4892" s="279"/>
      <c r="N4892" s="279"/>
      <c r="O4892" s="279"/>
      <c r="P4892" s="279"/>
      <c r="Q4892" s="279"/>
      <c r="R4892" s="279"/>
      <c r="S4892" s="279"/>
      <c r="T4892" s="279"/>
      <c r="U4892" s="279"/>
      <c r="V4892" s="279"/>
      <c r="W4892" s="279"/>
      <c r="X4892" s="279"/>
      <c r="Y4892" s="279"/>
    </row>
    <row r="4893" s="54" customFormat="1" ht="15" customHeight="1" spans="1:25">
      <c r="A4893" s="279">
        <v>5037</v>
      </c>
      <c r="B4893" s="279" t="s">
        <v>7406</v>
      </c>
      <c r="C4893" s="280">
        <v>1</v>
      </c>
      <c r="D4893" s="280">
        <v>0</v>
      </c>
      <c r="E4893" s="280"/>
      <c r="F4893" s="280" t="s">
        <v>7407</v>
      </c>
      <c r="G4893" s="279"/>
      <c r="H4893" s="279"/>
      <c r="I4893" s="279"/>
      <c r="J4893" s="279"/>
      <c r="K4893" s="279"/>
      <c r="L4893" s="279"/>
      <c r="M4893" s="279"/>
      <c r="N4893" s="279"/>
      <c r="O4893" s="279"/>
      <c r="P4893" s="279"/>
      <c r="Q4893" s="279"/>
      <c r="R4893" s="279"/>
      <c r="S4893" s="279"/>
      <c r="T4893" s="279"/>
      <c r="U4893" s="279"/>
      <c r="V4893" s="279"/>
      <c r="W4893" s="279"/>
      <c r="X4893" s="279"/>
      <c r="Y4893" s="279"/>
    </row>
    <row r="4894" s="54" customFormat="1" ht="15" customHeight="1" spans="1:25">
      <c r="A4894" s="279">
        <v>5038</v>
      </c>
      <c r="B4894" s="279" t="s">
        <v>7408</v>
      </c>
      <c r="C4894" s="280">
        <f>112/30</f>
        <v>3.73333333333333</v>
      </c>
      <c r="D4894" s="280">
        <v>0</v>
      </c>
      <c r="E4894" s="280"/>
      <c r="F4894" s="280" t="s">
        <v>7409</v>
      </c>
      <c r="G4894" s="279"/>
      <c r="H4894" s="279"/>
      <c r="I4894" s="279"/>
      <c r="J4894" s="279"/>
      <c r="K4894" s="279"/>
      <c r="L4894" s="279"/>
      <c r="M4894" s="279"/>
      <c r="N4894" s="279"/>
      <c r="O4894" s="279"/>
      <c r="P4894" s="279"/>
      <c r="Q4894" s="279"/>
      <c r="R4894" s="279"/>
      <c r="S4894" s="279"/>
      <c r="T4894" s="279"/>
      <c r="U4894" s="279"/>
      <c r="V4894" s="279"/>
      <c r="W4894" s="279"/>
      <c r="X4894" s="279"/>
      <c r="Y4894" s="279"/>
    </row>
    <row r="4895" s="54" customFormat="1" ht="15" customHeight="1" spans="1:25">
      <c r="A4895" s="279">
        <v>5039</v>
      </c>
      <c r="B4895" s="279" t="s">
        <v>7410</v>
      </c>
      <c r="C4895" s="280">
        <v>1</v>
      </c>
      <c r="D4895" s="280">
        <v>0</v>
      </c>
      <c r="E4895" s="280"/>
      <c r="F4895" s="280" t="s">
        <v>7411</v>
      </c>
      <c r="G4895" s="279"/>
      <c r="H4895" s="279"/>
      <c r="I4895" s="279"/>
      <c r="J4895" s="279"/>
      <c r="K4895" s="279"/>
      <c r="L4895" s="279"/>
      <c r="M4895" s="279"/>
      <c r="N4895" s="279"/>
      <c r="O4895" s="279"/>
      <c r="P4895" s="279"/>
      <c r="Q4895" s="279"/>
      <c r="R4895" s="279"/>
      <c r="S4895" s="279"/>
      <c r="T4895" s="279"/>
      <c r="U4895" s="279"/>
      <c r="V4895" s="279"/>
      <c r="W4895" s="279"/>
      <c r="X4895" s="279"/>
      <c r="Y4895" s="279"/>
    </row>
    <row r="4896" s="54" customFormat="1" ht="15" customHeight="1" spans="1:25">
      <c r="A4896" s="279">
        <v>5040</v>
      </c>
      <c r="B4896" s="279" t="s">
        <v>7412</v>
      </c>
      <c r="C4896" s="280">
        <f>396/30</f>
        <v>13.2</v>
      </c>
      <c r="D4896" s="280">
        <v>0</v>
      </c>
      <c r="E4896" s="280"/>
      <c r="F4896" s="280" t="s">
        <v>7413</v>
      </c>
      <c r="G4896" s="279"/>
      <c r="H4896" s="279"/>
      <c r="I4896" s="279"/>
      <c r="J4896" s="279"/>
      <c r="K4896" s="279"/>
      <c r="L4896" s="279"/>
      <c r="M4896" s="279"/>
      <c r="N4896" s="279"/>
      <c r="O4896" s="279"/>
      <c r="P4896" s="279"/>
      <c r="Q4896" s="279"/>
      <c r="R4896" s="279"/>
      <c r="S4896" s="279"/>
      <c r="T4896" s="279"/>
      <c r="U4896" s="279"/>
      <c r="V4896" s="279"/>
      <c r="W4896" s="279"/>
      <c r="X4896" s="279"/>
      <c r="Y4896" s="279"/>
    </row>
    <row r="4897" s="54" customFormat="1" ht="15" customHeight="1" spans="1:25">
      <c r="A4897" s="279">
        <v>5041</v>
      </c>
      <c r="B4897" s="279" t="s">
        <v>7414</v>
      </c>
      <c r="C4897" s="280">
        <f>396/30</f>
        <v>13.2</v>
      </c>
      <c r="D4897" s="280">
        <v>0</v>
      </c>
      <c r="E4897" s="280"/>
      <c r="F4897" s="280" t="s">
        <v>7415</v>
      </c>
      <c r="G4897" s="279"/>
      <c r="H4897" s="279"/>
      <c r="I4897" s="279"/>
      <c r="J4897" s="279"/>
      <c r="K4897" s="279"/>
      <c r="L4897" s="279"/>
      <c r="M4897" s="279"/>
      <c r="N4897" s="279"/>
      <c r="O4897" s="279"/>
      <c r="P4897" s="279"/>
      <c r="Q4897" s="279"/>
      <c r="R4897" s="279"/>
      <c r="S4897" s="279"/>
      <c r="T4897" s="279"/>
      <c r="U4897" s="279"/>
      <c r="V4897" s="279"/>
      <c r="W4897" s="279"/>
      <c r="X4897" s="279"/>
      <c r="Y4897" s="279"/>
    </row>
    <row r="4898" s="54" customFormat="1" ht="15" customHeight="1" spans="1:25">
      <c r="A4898" s="279">
        <v>5042</v>
      </c>
      <c r="B4898" s="279" t="s">
        <v>7416</v>
      </c>
      <c r="C4898" s="280">
        <v>0</v>
      </c>
      <c r="D4898" s="280">
        <v>1</v>
      </c>
      <c r="E4898" s="280"/>
      <c r="F4898" s="280" t="s">
        <v>7417</v>
      </c>
      <c r="G4898" s="279"/>
      <c r="H4898" s="279"/>
      <c r="I4898" s="279"/>
      <c r="J4898" s="279"/>
      <c r="K4898" s="279"/>
      <c r="L4898" s="279"/>
      <c r="M4898" s="279"/>
      <c r="N4898" s="279"/>
      <c r="O4898" s="279"/>
      <c r="P4898" s="279"/>
      <c r="Q4898" s="279"/>
      <c r="R4898" s="279"/>
      <c r="S4898" s="279"/>
      <c r="T4898" s="279"/>
      <c r="U4898" s="279"/>
      <c r="V4898" s="279"/>
      <c r="W4898" s="279"/>
      <c r="X4898" s="279"/>
      <c r="Y4898" s="279"/>
    </row>
    <row r="4899" s="54" customFormat="1" ht="15" customHeight="1" spans="1:25">
      <c r="A4899" s="279">
        <v>5043</v>
      </c>
      <c r="B4899" s="279" t="s">
        <v>7418</v>
      </c>
      <c r="C4899" s="280">
        <v>0</v>
      </c>
      <c r="D4899" s="280">
        <v>1</v>
      </c>
      <c r="E4899" s="280"/>
      <c r="F4899" s="280" t="s">
        <v>7419</v>
      </c>
      <c r="G4899" s="279"/>
      <c r="H4899" s="279"/>
      <c r="I4899" s="279"/>
      <c r="J4899" s="279"/>
      <c r="K4899" s="279"/>
      <c r="L4899" s="279"/>
      <c r="M4899" s="279"/>
      <c r="N4899" s="279"/>
      <c r="O4899" s="279"/>
      <c r="P4899" s="279"/>
      <c r="Q4899" s="279"/>
      <c r="R4899" s="279"/>
      <c r="S4899" s="279"/>
      <c r="T4899" s="279"/>
      <c r="U4899" s="279"/>
      <c r="V4899" s="279"/>
      <c r="W4899" s="279"/>
      <c r="X4899" s="279"/>
      <c r="Y4899" s="279"/>
    </row>
    <row r="4900" s="54" customFormat="1" ht="15" customHeight="1" spans="1:25">
      <c r="A4900" s="279">
        <v>5044</v>
      </c>
      <c r="B4900" s="279" t="s">
        <v>7420</v>
      </c>
      <c r="C4900" s="280">
        <f>396/30</f>
        <v>13.2</v>
      </c>
      <c r="D4900" s="280">
        <v>0</v>
      </c>
      <c r="E4900" s="280"/>
      <c r="F4900" s="280" t="s">
        <v>7421</v>
      </c>
      <c r="G4900" s="279"/>
      <c r="H4900" s="279"/>
      <c r="I4900" s="279"/>
      <c r="J4900" s="279"/>
      <c r="K4900" s="279"/>
      <c r="L4900" s="279"/>
      <c r="M4900" s="279"/>
      <c r="N4900" s="279"/>
      <c r="O4900" s="279"/>
      <c r="P4900" s="279"/>
      <c r="Q4900" s="279"/>
      <c r="R4900" s="279"/>
      <c r="S4900" s="279"/>
      <c r="T4900" s="279"/>
      <c r="U4900" s="279"/>
      <c r="V4900" s="279"/>
      <c r="W4900" s="279"/>
      <c r="X4900" s="279"/>
      <c r="Y4900" s="279"/>
    </row>
    <row r="4901" s="55" customFormat="1" ht="15" customHeight="1" spans="1:25">
      <c r="A4901" s="281">
        <v>5045</v>
      </c>
      <c r="B4901" s="281" t="s">
        <v>7422</v>
      </c>
      <c r="C4901" s="282">
        <v>2.2</v>
      </c>
      <c r="D4901" s="282">
        <v>0</v>
      </c>
      <c r="E4901" s="282"/>
      <c r="F4901" s="282" t="s">
        <v>7423</v>
      </c>
      <c r="G4901" s="281"/>
      <c r="H4901" s="281"/>
      <c r="I4901" s="281"/>
      <c r="J4901" s="281"/>
      <c r="K4901" s="281"/>
      <c r="L4901" s="281"/>
      <c r="M4901" s="281"/>
      <c r="N4901" s="281"/>
      <c r="O4901" s="281"/>
      <c r="P4901" s="281"/>
      <c r="Q4901" s="281"/>
      <c r="R4901" s="281"/>
      <c r="S4901" s="281"/>
      <c r="T4901" s="281"/>
      <c r="U4901" s="281"/>
      <c r="V4901" s="281"/>
      <c r="W4901" s="281"/>
      <c r="X4901" s="281"/>
      <c r="Y4901" s="281"/>
    </row>
    <row r="4902" s="55" customFormat="1" ht="15" customHeight="1" spans="1:25">
      <c r="A4902" s="281">
        <v>5046</v>
      </c>
      <c r="B4902" s="281" t="s">
        <v>7424</v>
      </c>
      <c r="C4902" s="282">
        <v>1</v>
      </c>
      <c r="D4902" s="282">
        <v>0</v>
      </c>
      <c r="E4902" s="282"/>
      <c r="F4902" s="282" t="s">
        <v>7425</v>
      </c>
      <c r="G4902" s="281"/>
      <c r="H4902" s="281"/>
      <c r="I4902" s="281"/>
      <c r="J4902" s="281"/>
      <c r="K4902" s="281"/>
      <c r="L4902" s="281"/>
      <c r="M4902" s="281"/>
      <c r="N4902" s="281"/>
      <c r="O4902" s="281"/>
      <c r="P4902" s="281"/>
      <c r="Q4902" s="281"/>
      <c r="R4902" s="281"/>
      <c r="S4902" s="281"/>
      <c r="T4902" s="281"/>
      <c r="U4902" s="281"/>
      <c r="V4902" s="281"/>
      <c r="W4902" s="281"/>
      <c r="X4902" s="281"/>
      <c r="Y4902" s="281"/>
    </row>
    <row r="4903" s="55" customFormat="1" ht="15" customHeight="1" spans="1:25">
      <c r="A4903" s="281">
        <v>5047</v>
      </c>
      <c r="B4903" s="281" t="s">
        <v>7426</v>
      </c>
      <c r="C4903" s="282">
        <v>1</v>
      </c>
      <c r="D4903" s="282">
        <v>0</v>
      </c>
      <c r="E4903" s="282"/>
      <c r="F4903" s="282" t="s">
        <v>7427</v>
      </c>
      <c r="G4903" s="281"/>
      <c r="H4903" s="281"/>
      <c r="I4903" s="281"/>
      <c r="J4903" s="281"/>
      <c r="K4903" s="281"/>
      <c r="L4903" s="281"/>
      <c r="M4903" s="281"/>
      <c r="N4903" s="281"/>
      <c r="O4903" s="281"/>
      <c r="P4903" s="281"/>
      <c r="Q4903" s="281"/>
      <c r="R4903" s="281"/>
      <c r="S4903" s="281"/>
      <c r="T4903" s="281"/>
      <c r="U4903" s="281"/>
      <c r="V4903" s="281"/>
      <c r="W4903" s="281"/>
      <c r="X4903" s="281"/>
      <c r="Y4903" s="281"/>
    </row>
    <row r="4904" s="55" customFormat="1" ht="15" customHeight="1" spans="1:25">
      <c r="A4904" s="281">
        <v>5048</v>
      </c>
      <c r="B4904" s="281" t="s">
        <v>7428</v>
      </c>
      <c r="C4904" s="282">
        <f>68/30</f>
        <v>2.26666666666667</v>
      </c>
      <c r="D4904" s="282">
        <v>0</v>
      </c>
      <c r="E4904" s="282"/>
      <c r="F4904" s="282" t="s">
        <v>7429</v>
      </c>
      <c r="G4904" s="281"/>
      <c r="H4904" s="281"/>
      <c r="I4904" s="281"/>
      <c r="J4904" s="281"/>
      <c r="K4904" s="281"/>
      <c r="L4904" s="281"/>
      <c r="M4904" s="281"/>
      <c r="N4904" s="281"/>
      <c r="O4904" s="281"/>
      <c r="P4904" s="281"/>
      <c r="Q4904" s="281"/>
      <c r="R4904" s="281"/>
      <c r="S4904" s="281"/>
      <c r="T4904" s="281"/>
      <c r="U4904" s="281"/>
      <c r="V4904" s="281"/>
      <c r="W4904" s="281"/>
      <c r="X4904" s="281"/>
      <c r="Y4904" s="281"/>
    </row>
    <row r="4905" s="55" customFormat="1" ht="15" customHeight="1" spans="1:25">
      <c r="A4905" s="281">
        <v>5049</v>
      </c>
      <c r="B4905" s="281" t="s">
        <v>7430</v>
      </c>
      <c r="C4905" s="282">
        <v>1</v>
      </c>
      <c r="D4905" s="282">
        <v>0</v>
      </c>
      <c r="E4905" s="282"/>
      <c r="F4905" s="282" t="s">
        <v>7431</v>
      </c>
      <c r="G4905" s="281"/>
      <c r="H4905" s="281"/>
      <c r="I4905" s="281"/>
      <c r="J4905" s="281"/>
      <c r="K4905" s="281"/>
      <c r="L4905" s="281"/>
      <c r="M4905" s="281"/>
      <c r="N4905" s="281"/>
      <c r="O4905" s="281"/>
      <c r="P4905" s="281"/>
      <c r="Q4905" s="281"/>
      <c r="R4905" s="281"/>
      <c r="S4905" s="281"/>
      <c r="T4905" s="281"/>
      <c r="U4905" s="281"/>
      <c r="V4905" s="281"/>
      <c r="W4905" s="281"/>
      <c r="X4905" s="281"/>
      <c r="Y4905" s="281"/>
    </row>
    <row r="4906" s="55" customFormat="1" ht="15" customHeight="1" spans="1:25">
      <c r="A4906" s="281">
        <v>5050</v>
      </c>
      <c r="B4906" s="281" t="s">
        <v>7432</v>
      </c>
      <c r="C4906" s="282">
        <f>71/30</f>
        <v>2.36666666666667</v>
      </c>
      <c r="D4906" s="282">
        <v>0</v>
      </c>
      <c r="E4906" s="282"/>
      <c r="F4906" s="282" t="s">
        <v>7433</v>
      </c>
      <c r="G4906" s="281"/>
      <c r="H4906" s="281"/>
      <c r="I4906" s="281"/>
      <c r="J4906" s="281"/>
      <c r="K4906" s="281"/>
      <c r="L4906" s="281"/>
      <c r="M4906" s="281"/>
      <c r="N4906" s="281"/>
      <c r="O4906" s="281"/>
      <c r="P4906" s="281"/>
      <c r="Q4906" s="281"/>
      <c r="R4906" s="281"/>
      <c r="S4906" s="281"/>
      <c r="T4906" s="281"/>
      <c r="U4906" s="281"/>
      <c r="V4906" s="281"/>
      <c r="W4906" s="281"/>
      <c r="X4906" s="281"/>
      <c r="Y4906" s="281"/>
    </row>
    <row r="4907" s="55" customFormat="1" ht="15" customHeight="1" spans="1:25">
      <c r="A4907" s="281">
        <v>5051</v>
      </c>
      <c r="B4907" s="281" t="s">
        <v>7434</v>
      </c>
      <c r="C4907" s="282">
        <v>1</v>
      </c>
      <c r="D4907" s="282">
        <v>0</v>
      </c>
      <c r="E4907" s="282"/>
      <c r="F4907" s="282" t="s">
        <v>7435</v>
      </c>
      <c r="G4907" s="281"/>
      <c r="H4907" s="281"/>
      <c r="I4907" s="281"/>
      <c r="J4907" s="281"/>
      <c r="K4907" s="281"/>
      <c r="L4907" s="281"/>
      <c r="M4907" s="281"/>
      <c r="N4907" s="281"/>
      <c r="O4907" s="281"/>
      <c r="P4907" s="281"/>
      <c r="Q4907" s="281"/>
      <c r="R4907" s="281"/>
      <c r="S4907" s="281"/>
      <c r="T4907" s="281"/>
      <c r="U4907" s="281"/>
      <c r="V4907" s="281"/>
      <c r="W4907" s="281"/>
      <c r="X4907" s="281"/>
      <c r="Y4907" s="281"/>
    </row>
    <row r="4908" s="55" customFormat="1" ht="15" customHeight="1" spans="1:25">
      <c r="A4908" s="281">
        <v>5052</v>
      </c>
      <c r="B4908" s="281" t="s">
        <v>7436</v>
      </c>
      <c r="C4908" s="282">
        <f>60/30</f>
        <v>2</v>
      </c>
      <c r="D4908" s="282">
        <v>0</v>
      </c>
      <c r="E4908" s="282"/>
      <c r="F4908" s="282" t="s">
        <v>7437</v>
      </c>
      <c r="G4908" s="281"/>
      <c r="H4908" s="281"/>
      <c r="I4908" s="281"/>
      <c r="J4908" s="281"/>
      <c r="K4908" s="281"/>
      <c r="L4908" s="281"/>
      <c r="M4908" s="281"/>
      <c r="N4908" s="281"/>
      <c r="O4908" s="281"/>
      <c r="P4908" s="281"/>
      <c r="Q4908" s="281"/>
      <c r="R4908" s="281"/>
      <c r="S4908" s="281"/>
      <c r="T4908" s="281"/>
      <c r="U4908" s="281"/>
      <c r="V4908" s="281"/>
      <c r="W4908" s="281"/>
      <c r="X4908" s="281"/>
      <c r="Y4908" s="281"/>
    </row>
    <row r="4909" s="55" customFormat="1" ht="15" customHeight="1" spans="1:25">
      <c r="A4909" s="281">
        <v>5053</v>
      </c>
      <c r="B4909" s="281" t="s">
        <v>7438</v>
      </c>
      <c r="C4909" s="282">
        <f>86/30</f>
        <v>2.86666666666667</v>
      </c>
      <c r="D4909" s="282">
        <v>0</v>
      </c>
      <c r="E4909" s="282"/>
      <c r="F4909" s="282" t="s">
        <v>7439</v>
      </c>
      <c r="G4909" s="281"/>
      <c r="H4909" s="281"/>
      <c r="I4909" s="281"/>
      <c r="J4909" s="281"/>
      <c r="K4909" s="281"/>
      <c r="L4909" s="281"/>
      <c r="M4909" s="281"/>
      <c r="N4909" s="281"/>
      <c r="O4909" s="281"/>
      <c r="P4909" s="281"/>
      <c r="Q4909" s="281"/>
      <c r="R4909" s="281"/>
      <c r="S4909" s="281"/>
      <c r="T4909" s="281"/>
      <c r="U4909" s="281"/>
      <c r="V4909" s="281"/>
      <c r="W4909" s="281"/>
      <c r="X4909" s="281"/>
      <c r="Y4909" s="281"/>
    </row>
    <row r="4910" s="55" customFormat="1" ht="15" customHeight="1" spans="1:25">
      <c r="A4910" s="281">
        <v>5054</v>
      </c>
      <c r="B4910" s="281" t="s">
        <v>7440</v>
      </c>
      <c r="C4910" s="282">
        <v>1</v>
      </c>
      <c r="D4910" s="282">
        <v>0</v>
      </c>
      <c r="E4910" s="282"/>
      <c r="F4910" s="282" t="s">
        <v>7441</v>
      </c>
      <c r="G4910" s="281"/>
      <c r="H4910" s="281"/>
      <c r="I4910" s="281"/>
      <c r="J4910" s="281"/>
      <c r="K4910" s="281"/>
      <c r="L4910" s="281"/>
      <c r="M4910" s="281"/>
      <c r="N4910" s="281"/>
      <c r="O4910" s="281"/>
      <c r="P4910" s="281"/>
      <c r="Q4910" s="281"/>
      <c r="R4910" s="281"/>
      <c r="S4910" s="281"/>
      <c r="T4910" s="281"/>
      <c r="U4910" s="281"/>
      <c r="V4910" s="281"/>
      <c r="W4910" s="281"/>
      <c r="X4910" s="281"/>
      <c r="Y4910" s="281"/>
    </row>
    <row r="4911" s="55" customFormat="1" ht="15" customHeight="1" spans="1:25">
      <c r="A4911" s="281">
        <v>5055</v>
      </c>
      <c r="B4911" s="281" t="s">
        <v>7442</v>
      </c>
      <c r="C4911" s="282">
        <f>91/30</f>
        <v>3.03333333333333</v>
      </c>
      <c r="D4911" s="282">
        <v>0</v>
      </c>
      <c r="E4911" s="282"/>
      <c r="F4911" s="282" t="s">
        <v>7443</v>
      </c>
      <c r="G4911" s="281"/>
      <c r="H4911" s="281"/>
      <c r="I4911" s="281"/>
      <c r="J4911" s="281"/>
      <c r="K4911" s="281"/>
      <c r="L4911" s="281"/>
      <c r="M4911" s="281"/>
      <c r="N4911" s="281"/>
      <c r="O4911" s="281"/>
      <c r="P4911" s="281"/>
      <c r="Q4911" s="281"/>
      <c r="R4911" s="281"/>
      <c r="S4911" s="281"/>
      <c r="T4911" s="281"/>
      <c r="U4911" s="281"/>
      <c r="V4911" s="281"/>
      <c r="W4911" s="281"/>
      <c r="X4911" s="281"/>
      <c r="Y4911" s="281"/>
    </row>
    <row r="4912" s="55" customFormat="1" ht="15" customHeight="1" spans="1:25">
      <c r="A4912" s="281">
        <v>5056</v>
      </c>
      <c r="B4912" s="281" t="s">
        <v>7444</v>
      </c>
      <c r="C4912" s="282">
        <v>1</v>
      </c>
      <c r="D4912" s="282">
        <v>0</v>
      </c>
      <c r="E4912" s="282"/>
      <c r="F4912" s="282" t="s">
        <v>7445</v>
      </c>
      <c r="G4912" s="281"/>
      <c r="H4912" s="281"/>
      <c r="I4912" s="281"/>
      <c r="J4912" s="281"/>
      <c r="K4912" s="281"/>
      <c r="L4912" s="281"/>
      <c r="M4912" s="281"/>
      <c r="N4912" s="281"/>
      <c r="O4912" s="281"/>
      <c r="P4912" s="281"/>
      <c r="Q4912" s="281"/>
      <c r="R4912" s="281"/>
      <c r="S4912" s="281"/>
      <c r="T4912" s="281"/>
      <c r="U4912" s="281"/>
      <c r="V4912" s="281"/>
      <c r="W4912" s="281"/>
      <c r="X4912" s="281"/>
      <c r="Y4912" s="281"/>
    </row>
    <row r="4913" s="55" customFormat="1" ht="15" customHeight="1" spans="1:25">
      <c r="A4913" s="281">
        <v>5057</v>
      </c>
      <c r="B4913" s="281" t="s">
        <v>7446</v>
      </c>
      <c r="C4913" s="282">
        <f>451/30</f>
        <v>15.0333333333333</v>
      </c>
      <c r="D4913" s="282">
        <v>0</v>
      </c>
      <c r="E4913" s="282"/>
      <c r="F4913" s="282" t="s">
        <v>7447</v>
      </c>
      <c r="G4913" s="281"/>
      <c r="H4913" s="281"/>
      <c r="I4913" s="281"/>
      <c r="J4913" s="281"/>
      <c r="K4913" s="281"/>
      <c r="L4913" s="281"/>
      <c r="M4913" s="281"/>
      <c r="N4913" s="281"/>
      <c r="O4913" s="281"/>
      <c r="P4913" s="281"/>
      <c r="Q4913" s="281"/>
      <c r="R4913" s="281"/>
      <c r="S4913" s="281"/>
      <c r="T4913" s="281"/>
      <c r="U4913" s="281"/>
      <c r="V4913" s="281"/>
      <c r="W4913" s="281"/>
      <c r="X4913" s="281"/>
      <c r="Y4913" s="281"/>
    </row>
    <row r="4914" s="55" customFormat="1" ht="15" customHeight="1" spans="1:25">
      <c r="A4914" s="281">
        <v>5058</v>
      </c>
      <c r="B4914" s="281" t="s">
        <v>7448</v>
      </c>
      <c r="C4914" s="282">
        <f>232/30</f>
        <v>7.73333333333333</v>
      </c>
      <c r="D4914" s="282">
        <v>0</v>
      </c>
      <c r="E4914" s="282"/>
      <c r="F4914" s="282" t="s">
        <v>7449</v>
      </c>
      <c r="G4914" s="281"/>
      <c r="H4914" s="281"/>
      <c r="I4914" s="281"/>
      <c r="J4914" s="281"/>
      <c r="K4914" s="281"/>
      <c r="L4914" s="281"/>
      <c r="M4914" s="281"/>
      <c r="N4914" s="281"/>
      <c r="O4914" s="281"/>
      <c r="P4914" s="281"/>
      <c r="Q4914" s="281"/>
      <c r="R4914" s="281"/>
      <c r="S4914" s="281"/>
      <c r="T4914" s="281"/>
      <c r="U4914" s="281"/>
      <c r="V4914" s="281"/>
      <c r="W4914" s="281"/>
      <c r="X4914" s="281"/>
      <c r="Y4914" s="281"/>
    </row>
    <row r="4915" s="55" customFormat="1" ht="15" customHeight="1" spans="1:25">
      <c r="A4915" s="281">
        <v>5059</v>
      </c>
      <c r="B4915" s="281" t="s">
        <v>7450</v>
      </c>
      <c r="C4915" s="282">
        <f>232/30</f>
        <v>7.73333333333333</v>
      </c>
      <c r="D4915" s="282">
        <v>0</v>
      </c>
      <c r="E4915" s="282"/>
      <c r="F4915" s="282" t="s">
        <v>7451</v>
      </c>
      <c r="G4915" s="281"/>
      <c r="H4915" s="281"/>
      <c r="I4915" s="281"/>
      <c r="J4915" s="281"/>
      <c r="K4915" s="281"/>
      <c r="L4915" s="281"/>
      <c r="M4915" s="281"/>
      <c r="N4915" s="281"/>
      <c r="O4915" s="281"/>
      <c r="P4915" s="281"/>
      <c r="Q4915" s="281"/>
      <c r="R4915" s="281"/>
      <c r="S4915" s="281"/>
      <c r="T4915" s="281"/>
      <c r="U4915" s="281"/>
      <c r="V4915" s="281"/>
      <c r="W4915" s="281"/>
      <c r="X4915" s="281"/>
      <c r="Y4915" s="281"/>
    </row>
    <row r="4916" s="55" customFormat="1" ht="15" customHeight="1" spans="1:25">
      <c r="A4916" s="281">
        <v>5060</v>
      </c>
      <c r="B4916" s="281" t="s">
        <v>7452</v>
      </c>
      <c r="C4916" s="282">
        <v>2.76666666666667</v>
      </c>
      <c r="D4916" s="282">
        <v>0</v>
      </c>
      <c r="E4916" s="282"/>
      <c r="F4916" s="282" t="s">
        <v>7453</v>
      </c>
      <c r="G4916" s="281"/>
      <c r="H4916" s="281"/>
      <c r="I4916" s="281"/>
      <c r="J4916" s="281"/>
      <c r="K4916" s="281"/>
      <c r="L4916" s="281"/>
      <c r="M4916" s="281"/>
      <c r="N4916" s="281"/>
      <c r="O4916" s="281"/>
      <c r="P4916" s="281"/>
      <c r="Q4916" s="281"/>
      <c r="R4916" s="281"/>
      <c r="S4916" s="281"/>
      <c r="T4916" s="281"/>
      <c r="U4916" s="281"/>
      <c r="V4916" s="281"/>
      <c r="W4916" s="281"/>
      <c r="X4916" s="281"/>
      <c r="Y4916" s="281"/>
    </row>
    <row r="4917" s="55" customFormat="1" ht="15" customHeight="1" spans="1:25">
      <c r="A4917" s="281">
        <v>5061</v>
      </c>
      <c r="B4917" s="281" t="s">
        <v>7454</v>
      </c>
      <c r="C4917" s="282">
        <v>1</v>
      </c>
      <c r="D4917" s="282">
        <v>0</v>
      </c>
      <c r="E4917" s="282"/>
      <c r="F4917" s="282" t="s">
        <v>7455</v>
      </c>
      <c r="G4917" s="281"/>
      <c r="H4917" s="281"/>
      <c r="I4917" s="281"/>
      <c r="J4917" s="281"/>
      <c r="K4917" s="281"/>
      <c r="L4917" s="281"/>
      <c r="M4917" s="281"/>
      <c r="N4917" s="281"/>
      <c r="O4917" s="281"/>
      <c r="P4917" s="281"/>
      <c r="Q4917" s="281"/>
      <c r="R4917" s="281"/>
      <c r="S4917" s="281"/>
      <c r="T4917" s="281"/>
      <c r="U4917" s="281"/>
      <c r="V4917" s="281"/>
      <c r="W4917" s="281"/>
      <c r="X4917" s="281"/>
      <c r="Y4917" s="281"/>
    </row>
    <row r="4918" s="55" customFormat="1" ht="15" customHeight="1" spans="1:25">
      <c r="A4918" s="281">
        <v>5062</v>
      </c>
      <c r="B4918" s="281" t="s">
        <v>7456</v>
      </c>
      <c r="C4918" s="282">
        <v>1</v>
      </c>
      <c r="D4918" s="282">
        <v>0</v>
      </c>
      <c r="E4918" s="282"/>
      <c r="F4918" s="282" t="s">
        <v>7457</v>
      </c>
      <c r="G4918" s="281"/>
      <c r="H4918" s="281"/>
      <c r="I4918" s="281"/>
      <c r="J4918" s="281"/>
      <c r="K4918" s="281"/>
      <c r="L4918" s="281"/>
      <c r="M4918" s="281"/>
      <c r="N4918" s="281"/>
      <c r="O4918" s="281"/>
      <c r="P4918" s="281"/>
      <c r="Q4918" s="281"/>
      <c r="R4918" s="281"/>
      <c r="S4918" s="281"/>
      <c r="T4918" s="281"/>
      <c r="U4918" s="281"/>
      <c r="V4918" s="281"/>
      <c r="W4918" s="281"/>
      <c r="X4918" s="281"/>
      <c r="Y4918" s="281"/>
    </row>
    <row r="4919" s="55" customFormat="1" ht="15" customHeight="1" spans="1:25">
      <c r="A4919" s="281">
        <v>5063</v>
      </c>
      <c r="B4919" s="281" t="s">
        <v>7458</v>
      </c>
      <c r="C4919" s="282">
        <v>4</v>
      </c>
      <c r="D4919" s="282">
        <v>0</v>
      </c>
      <c r="E4919" s="282"/>
      <c r="F4919" s="282" t="s">
        <v>7459</v>
      </c>
      <c r="G4919" s="281"/>
      <c r="H4919" s="281"/>
      <c r="I4919" s="281"/>
      <c r="J4919" s="281"/>
      <c r="K4919" s="281"/>
      <c r="L4919" s="281"/>
      <c r="M4919" s="281"/>
      <c r="N4919" s="281"/>
      <c r="O4919" s="281"/>
      <c r="P4919" s="281"/>
      <c r="Q4919" s="281"/>
      <c r="R4919" s="281"/>
      <c r="S4919" s="281"/>
      <c r="T4919" s="281"/>
      <c r="U4919" s="281"/>
      <c r="V4919" s="281"/>
      <c r="W4919" s="281"/>
      <c r="X4919" s="281"/>
      <c r="Y4919" s="281"/>
    </row>
    <row r="4920" s="55" customFormat="1" ht="15" customHeight="1" spans="1:25">
      <c r="A4920" s="281">
        <v>5064</v>
      </c>
      <c r="B4920" s="281" t="s">
        <v>7460</v>
      </c>
      <c r="C4920" s="282">
        <f>88/30</f>
        <v>2.93333333333333</v>
      </c>
      <c r="D4920" s="282">
        <v>0</v>
      </c>
      <c r="E4920" s="282"/>
      <c r="F4920" s="282" t="s">
        <v>7461</v>
      </c>
      <c r="G4920" s="281"/>
      <c r="H4920" s="281"/>
      <c r="I4920" s="281"/>
      <c r="J4920" s="281"/>
      <c r="K4920" s="281"/>
      <c r="L4920" s="281"/>
      <c r="M4920" s="281"/>
      <c r="N4920" s="281"/>
      <c r="O4920" s="281"/>
      <c r="P4920" s="281"/>
      <c r="Q4920" s="281"/>
      <c r="R4920" s="281"/>
      <c r="S4920" s="281"/>
      <c r="T4920" s="281"/>
      <c r="U4920" s="281"/>
      <c r="V4920" s="281"/>
      <c r="W4920" s="281"/>
      <c r="X4920" s="281"/>
      <c r="Y4920" s="281"/>
    </row>
    <row r="4921" s="55" customFormat="1" ht="15" customHeight="1" spans="1:25">
      <c r="A4921" s="281">
        <v>5065</v>
      </c>
      <c r="B4921" s="281" t="s">
        <v>7462</v>
      </c>
      <c r="C4921" s="282">
        <f>88/30</f>
        <v>2.93333333333333</v>
      </c>
      <c r="D4921" s="282">
        <v>0</v>
      </c>
      <c r="E4921" s="282"/>
      <c r="F4921" s="282" t="s">
        <v>7463</v>
      </c>
      <c r="G4921" s="281"/>
      <c r="H4921" s="281"/>
      <c r="I4921" s="281"/>
      <c r="J4921" s="281"/>
      <c r="K4921" s="281"/>
      <c r="L4921" s="281"/>
      <c r="M4921" s="281"/>
      <c r="N4921" s="281"/>
      <c r="O4921" s="281"/>
      <c r="P4921" s="281"/>
      <c r="Q4921" s="281"/>
      <c r="R4921" s="281"/>
      <c r="S4921" s="281"/>
      <c r="T4921" s="281"/>
      <c r="U4921" s="281"/>
      <c r="V4921" s="281"/>
      <c r="W4921" s="281"/>
      <c r="X4921" s="281"/>
      <c r="Y4921" s="281"/>
    </row>
    <row r="4922" s="55" customFormat="1" ht="15" customHeight="1" spans="1:25">
      <c r="A4922" s="281">
        <v>5066</v>
      </c>
      <c r="B4922" s="281" t="s">
        <v>7464</v>
      </c>
      <c r="C4922" s="282">
        <f>40/30</f>
        <v>1.33333333333333</v>
      </c>
      <c r="D4922" s="282">
        <v>0</v>
      </c>
      <c r="E4922" s="282"/>
      <c r="F4922" s="282" t="s">
        <v>7465</v>
      </c>
      <c r="G4922" s="281"/>
      <c r="H4922" s="281"/>
      <c r="I4922" s="281"/>
      <c r="J4922" s="281"/>
      <c r="K4922" s="281"/>
      <c r="L4922" s="281"/>
      <c r="M4922" s="281"/>
      <c r="N4922" s="281"/>
      <c r="O4922" s="281"/>
      <c r="P4922" s="281"/>
      <c r="Q4922" s="281"/>
      <c r="R4922" s="281"/>
      <c r="S4922" s="281"/>
      <c r="T4922" s="281"/>
      <c r="U4922" s="281"/>
      <c r="V4922" s="281"/>
      <c r="W4922" s="281"/>
      <c r="X4922" s="281"/>
      <c r="Y4922" s="281"/>
    </row>
    <row r="4923" s="55" customFormat="1" ht="15" customHeight="1" spans="1:25">
      <c r="A4923" s="281">
        <v>5067</v>
      </c>
      <c r="B4923" s="281" t="s">
        <v>7466</v>
      </c>
      <c r="C4923" s="282">
        <v>0</v>
      </c>
      <c r="D4923" s="282">
        <v>1</v>
      </c>
      <c r="E4923" s="282"/>
      <c r="F4923" s="282" t="s">
        <v>7467</v>
      </c>
      <c r="G4923" s="281"/>
      <c r="H4923" s="281"/>
      <c r="I4923" s="281"/>
      <c r="J4923" s="281"/>
      <c r="K4923" s="281"/>
      <c r="L4923" s="281"/>
      <c r="M4923" s="281"/>
      <c r="N4923" s="281"/>
      <c r="O4923" s="281"/>
      <c r="P4923" s="281"/>
      <c r="Q4923" s="281"/>
      <c r="R4923" s="281"/>
      <c r="S4923" s="281"/>
      <c r="T4923" s="281"/>
      <c r="U4923" s="281"/>
      <c r="V4923" s="281"/>
      <c r="W4923" s="281"/>
      <c r="X4923" s="281"/>
      <c r="Y4923" s="281"/>
    </row>
    <row r="4924" s="55" customFormat="1" ht="15" customHeight="1" spans="1:25">
      <c r="A4924" s="281">
        <v>5068</v>
      </c>
      <c r="B4924" s="281" t="s">
        <v>7468</v>
      </c>
      <c r="C4924" s="282">
        <v>0</v>
      </c>
      <c r="D4924" s="282">
        <v>1</v>
      </c>
      <c r="E4924" s="282"/>
      <c r="F4924" s="282" t="s">
        <v>7469</v>
      </c>
      <c r="G4924" s="281"/>
      <c r="H4924" s="281"/>
      <c r="I4924" s="281"/>
      <c r="J4924" s="281"/>
      <c r="K4924" s="281"/>
      <c r="L4924" s="281"/>
      <c r="M4924" s="281"/>
      <c r="N4924" s="281"/>
      <c r="O4924" s="281"/>
      <c r="P4924" s="281"/>
      <c r="Q4924" s="281"/>
      <c r="R4924" s="281"/>
      <c r="S4924" s="281"/>
      <c r="T4924" s="281"/>
      <c r="U4924" s="281"/>
      <c r="V4924" s="281"/>
      <c r="W4924" s="281"/>
      <c r="X4924" s="281"/>
      <c r="Y4924" s="281"/>
    </row>
    <row r="4925" s="55" customFormat="1" ht="15" customHeight="1" spans="1:25">
      <c r="A4925" s="281">
        <v>5069</v>
      </c>
      <c r="B4925" s="281" t="s">
        <v>7470</v>
      </c>
      <c r="C4925" s="282">
        <v>2</v>
      </c>
      <c r="D4925" s="282">
        <v>0</v>
      </c>
      <c r="E4925" s="282"/>
      <c r="F4925" s="282" t="s">
        <v>7471</v>
      </c>
      <c r="G4925" s="281"/>
      <c r="H4925" s="281"/>
      <c r="I4925" s="281"/>
      <c r="J4925" s="281"/>
      <c r="K4925" s="281"/>
      <c r="L4925" s="281"/>
      <c r="M4925" s="281"/>
      <c r="N4925" s="281"/>
      <c r="O4925" s="281"/>
      <c r="P4925" s="281"/>
      <c r="Q4925" s="281"/>
      <c r="R4925" s="281"/>
      <c r="S4925" s="281"/>
      <c r="T4925" s="281"/>
      <c r="U4925" s="281"/>
      <c r="V4925" s="281"/>
      <c r="W4925" s="281"/>
      <c r="X4925" s="281"/>
      <c r="Y4925" s="281"/>
    </row>
    <row r="4926" s="55" customFormat="1" ht="15" customHeight="1" spans="1:25">
      <c r="A4926" s="281">
        <v>5070</v>
      </c>
      <c r="B4926" s="281" t="s">
        <v>7472</v>
      </c>
      <c r="C4926" s="282">
        <v>1</v>
      </c>
      <c r="D4926" s="282">
        <v>0</v>
      </c>
      <c r="E4926" s="282"/>
      <c r="F4926" s="282" t="s">
        <v>7473</v>
      </c>
      <c r="G4926" s="281"/>
      <c r="H4926" s="281"/>
      <c r="I4926" s="281"/>
      <c r="J4926" s="281"/>
      <c r="K4926" s="281"/>
      <c r="L4926" s="281"/>
      <c r="M4926" s="281"/>
      <c r="N4926" s="281"/>
      <c r="O4926" s="281"/>
      <c r="P4926" s="281"/>
      <c r="Q4926" s="281"/>
      <c r="R4926" s="281"/>
      <c r="S4926" s="281"/>
      <c r="T4926" s="281"/>
      <c r="U4926" s="281"/>
      <c r="V4926" s="281"/>
      <c r="W4926" s="281"/>
      <c r="X4926" s="281"/>
      <c r="Y4926" s="281"/>
    </row>
    <row r="4927" s="55" customFormat="1" ht="15" customHeight="1" spans="1:25">
      <c r="A4927" s="281">
        <v>5071</v>
      </c>
      <c r="B4927" s="281" t="s">
        <v>7474</v>
      </c>
      <c r="C4927" s="282">
        <v>7.66666666666667</v>
      </c>
      <c r="D4927" s="282">
        <v>0</v>
      </c>
      <c r="E4927" s="282"/>
      <c r="F4927" s="282" t="s">
        <v>7475</v>
      </c>
      <c r="G4927" s="281"/>
      <c r="H4927" s="281"/>
      <c r="I4927" s="281"/>
      <c r="J4927" s="281"/>
      <c r="K4927" s="281"/>
      <c r="L4927" s="281"/>
      <c r="M4927" s="281"/>
      <c r="N4927" s="281"/>
      <c r="O4927" s="281"/>
      <c r="P4927" s="281"/>
      <c r="Q4927" s="281"/>
      <c r="R4927" s="281"/>
      <c r="S4927" s="281"/>
      <c r="T4927" s="281"/>
      <c r="U4927" s="281"/>
      <c r="V4927" s="281"/>
      <c r="W4927" s="281"/>
      <c r="X4927" s="281"/>
      <c r="Y4927" s="281"/>
    </row>
    <row r="4928" s="55" customFormat="1" ht="15" customHeight="1" spans="1:25">
      <c r="A4928" s="281">
        <v>5072</v>
      </c>
      <c r="B4928" s="281" t="s">
        <v>7476</v>
      </c>
      <c r="C4928" s="282">
        <v>0</v>
      </c>
      <c r="D4928" s="282">
        <v>1</v>
      </c>
      <c r="E4928" s="282"/>
      <c r="F4928" s="282" t="s">
        <v>7477</v>
      </c>
      <c r="G4928" s="281"/>
      <c r="H4928" s="281"/>
      <c r="I4928" s="281"/>
      <c r="J4928" s="281"/>
      <c r="K4928" s="281"/>
      <c r="L4928" s="281"/>
      <c r="M4928" s="281"/>
      <c r="N4928" s="281"/>
      <c r="O4928" s="281"/>
      <c r="P4928" s="281"/>
      <c r="Q4928" s="281"/>
      <c r="R4928" s="281"/>
      <c r="S4928" s="281"/>
      <c r="T4928" s="281"/>
      <c r="U4928" s="281"/>
      <c r="V4928" s="281"/>
      <c r="W4928" s="281"/>
      <c r="X4928" s="281"/>
      <c r="Y4928" s="281"/>
    </row>
    <row r="4929" s="27" customFormat="1" spans="1:8">
      <c r="A4929" s="152">
        <v>5073</v>
      </c>
      <c r="B4929" s="152" t="s">
        <v>7478</v>
      </c>
      <c r="C4929" s="270">
        <f>83/30</f>
        <v>2.76666666666667</v>
      </c>
      <c r="D4929" s="201">
        <v>0</v>
      </c>
      <c r="E4929" s="201"/>
      <c r="F4929" s="201" t="s">
        <v>7479</v>
      </c>
      <c r="G4929" s="283"/>
      <c r="H4929" s="52"/>
    </row>
    <row r="4930" s="27" customFormat="1" spans="1:8">
      <c r="A4930" s="152">
        <v>5074</v>
      </c>
      <c r="B4930" s="152" t="s">
        <v>7480</v>
      </c>
      <c r="C4930" s="270">
        <v>1</v>
      </c>
      <c r="D4930" s="201">
        <v>0</v>
      </c>
      <c r="E4930" s="201"/>
      <c r="F4930" s="201" t="s">
        <v>7481</v>
      </c>
      <c r="G4930" s="283"/>
      <c r="H4930" s="52"/>
    </row>
    <row r="4931" s="27" customFormat="1" spans="1:8">
      <c r="A4931" s="152">
        <v>5075</v>
      </c>
      <c r="B4931" s="152" t="s">
        <v>7482</v>
      </c>
      <c r="C4931" s="270">
        <f>100/30</f>
        <v>3.33333333333333</v>
      </c>
      <c r="D4931" s="201">
        <v>0</v>
      </c>
      <c r="E4931" s="201"/>
      <c r="F4931" s="201" t="s">
        <v>7483</v>
      </c>
      <c r="G4931" s="283"/>
      <c r="H4931" s="52"/>
    </row>
    <row r="4932" s="27" customFormat="1" spans="1:8">
      <c r="A4932" s="152">
        <v>5076</v>
      </c>
      <c r="B4932" s="152" t="s">
        <v>7484</v>
      </c>
      <c r="C4932" s="270">
        <v>1</v>
      </c>
      <c r="D4932" s="201">
        <v>0</v>
      </c>
      <c r="E4932" s="201"/>
      <c r="F4932" s="201" t="s">
        <v>7485</v>
      </c>
      <c r="G4932" s="283"/>
      <c r="H4932" s="52"/>
    </row>
    <row r="4933" s="27" customFormat="1" spans="1:8">
      <c r="A4933" s="152">
        <v>5077</v>
      </c>
      <c r="B4933" s="152" t="s">
        <v>7486</v>
      </c>
      <c r="C4933" s="270">
        <v>1</v>
      </c>
      <c r="D4933" s="201">
        <v>0</v>
      </c>
      <c r="E4933" s="201"/>
      <c r="F4933" s="201" t="s">
        <v>7487</v>
      </c>
      <c r="G4933" s="283"/>
      <c r="H4933" s="52"/>
    </row>
    <row r="4934" s="27" customFormat="1" spans="1:8">
      <c r="A4934" s="152">
        <v>5078</v>
      </c>
      <c r="B4934" s="152" t="s">
        <v>7488</v>
      </c>
      <c r="C4934" s="270">
        <f>101/30</f>
        <v>3.36666666666667</v>
      </c>
      <c r="D4934" s="201">
        <v>0</v>
      </c>
      <c r="E4934" s="201"/>
      <c r="F4934" s="201" t="s">
        <v>7489</v>
      </c>
      <c r="G4934" s="283"/>
      <c r="H4934" s="52"/>
    </row>
    <row r="4935" s="27" customFormat="1" spans="1:8">
      <c r="A4935" s="152">
        <v>5079</v>
      </c>
      <c r="B4935" s="152" t="s">
        <v>7490</v>
      </c>
      <c r="C4935" s="270">
        <v>1</v>
      </c>
      <c r="D4935" s="201">
        <v>0</v>
      </c>
      <c r="E4935" s="201"/>
      <c r="F4935" s="201" t="s">
        <v>7491</v>
      </c>
      <c r="G4935" s="283"/>
      <c r="H4935" s="52"/>
    </row>
    <row r="4936" s="27" customFormat="1" spans="1:8">
      <c r="A4936" s="152">
        <v>5080</v>
      </c>
      <c r="B4936" s="152" t="s">
        <v>7492</v>
      </c>
      <c r="C4936" s="270">
        <v>2.4</v>
      </c>
      <c r="D4936" s="201">
        <v>0</v>
      </c>
      <c r="E4936" s="201"/>
      <c r="F4936" s="201" t="s">
        <v>7493</v>
      </c>
      <c r="G4936" s="283"/>
      <c r="H4936" s="52"/>
    </row>
    <row r="4937" s="27" customFormat="1" spans="1:8">
      <c r="A4937" s="152">
        <v>5081</v>
      </c>
      <c r="B4937" s="152" t="s">
        <v>7494</v>
      </c>
      <c r="C4937" s="270">
        <v>1</v>
      </c>
      <c r="D4937" s="201">
        <v>0</v>
      </c>
      <c r="E4937" s="201"/>
      <c r="F4937" s="201" t="s">
        <v>7495</v>
      </c>
      <c r="G4937" s="283"/>
      <c r="H4937" s="52"/>
    </row>
    <row r="4938" s="27" customFormat="1" spans="1:8">
      <c r="A4938" s="152">
        <v>5082</v>
      </c>
      <c r="B4938" s="152" t="s">
        <v>7496</v>
      </c>
      <c r="C4938" s="270">
        <f>69/30</f>
        <v>2.3</v>
      </c>
      <c r="D4938" s="201">
        <v>0</v>
      </c>
      <c r="E4938" s="201"/>
      <c r="F4938" s="201" t="s">
        <v>7497</v>
      </c>
      <c r="G4938" s="283"/>
      <c r="H4938" s="52"/>
    </row>
    <row r="4939" s="27" customFormat="1" spans="1:8">
      <c r="A4939" s="152">
        <v>5083</v>
      </c>
      <c r="B4939" s="152" t="s">
        <v>7498</v>
      </c>
      <c r="C4939" s="270">
        <v>1</v>
      </c>
      <c r="D4939" s="201">
        <v>0</v>
      </c>
      <c r="E4939" s="201"/>
      <c r="F4939" s="201" t="s">
        <v>7499</v>
      </c>
      <c r="G4939" s="283"/>
      <c r="H4939" s="52"/>
    </row>
    <row r="4940" s="27" customFormat="1" spans="1:8">
      <c r="A4940" s="152">
        <v>5084</v>
      </c>
      <c r="B4940" s="152" t="s">
        <v>7500</v>
      </c>
      <c r="C4940" s="270">
        <v>1</v>
      </c>
      <c r="D4940" s="201">
        <v>0</v>
      </c>
      <c r="E4940" s="201"/>
      <c r="F4940" s="201" t="s">
        <v>7501</v>
      </c>
      <c r="G4940" s="283"/>
      <c r="H4940" s="52"/>
    </row>
    <row r="4941" s="27" customFormat="1" spans="1:8">
      <c r="A4941" s="152">
        <v>5085</v>
      </c>
      <c r="B4941" s="152" t="s">
        <v>7502</v>
      </c>
      <c r="C4941" s="270">
        <f>366/30</f>
        <v>12.2</v>
      </c>
      <c r="D4941" s="201">
        <v>0</v>
      </c>
      <c r="E4941" s="201"/>
      <c r="F4941" s="201" t="s">
        <v>7503</v>
      </c>
      <c r="G4941" s="283"/>
      <c r="H4941" s="52"/>
    </row>
    <row r="4942" s="27" customFormat="1" spans="1:8">
      <c r="A4942" s="152">
        <v>5086</v>
      </c>
      <c r="B4942" s="152" t="s">
        <v>7504</v>
      </c>
      <c r="C4942" s="270">
        <v>8.83333333333333</v>
      </c>
      <c r="D4942" s="201">
        <v>0</v>
      </c>
      <c r="E4942" s="201"/>
      <c r="F4942" s="201" t="s">
        <v>7505</v>
      </c>
      <c r="G4942" s="283"/>
      <c r="H4942" s="52"/>
    </row>
    <row r="4943" s="27" customFormat="1" spans="1:8">
      <c r="A4943" s="152">
        <v>5087</v>
      </c>
      <c r="B4943" s="152" t="s">
        <v>7506</v>
      </c>
      <c r="C4943" s="270">
        <v>12</v>
      </c>
      <c r="D4943" s="201">
        <v>0</v>
      </c>
      <c r="E4943" s="201"/>
      <c r="F4943" s="201" t="s">
        <v>7507</v>
      </c>
      <c r="G4943" s="283"/>
      <c r="H4943" s="52"/>
    </row>
    <row r="4944" s="27" customFormat="1" spans="1:8">
      <c r="A4944" s="152">
        <v>5088</v>
      </c>
      <c r="B4944" s="152" t="s">
        <v>7508</v>
      </c>
      <c r="C4944" s="270">
        <v>3.93333333333333</v>
      </c>
      <c r="D4944" s="201">
        <v>0</v>
      </c>
      <c r="E4944" s="201"/>
      <c r="F4944" s="201" t="s">
        <v>7509</v>
      </c>
      <c r="G4944" s="283"/>
      <c r="H4944" s="52"/>
    </row>
    <row r="4945" s="27" customFormat="1" spans="1:8">
      <c r="A4945" s="152">
        <v>5089</v>
      </c>
      <c r="B4945" s="152" t="s">
        <v>7510</v>
      </c>
      <c r="C4945" s="270">
        <v>1.33333333333333</v>
      </c>
      <c r="D4945" s="201">
        <v>0</v>
      </c>
      <c r="E4945" s="201"/>
      <c r="F4945" s="201" t="s">
        <v>7511</v>
      </c>
      <c r="G4945" s="283"/>
      <c r="H4945" s="52"/>
    </row>
    <row r="4946" s="27" customFormat="1" spans="1:8">
      <c r="A4946" s="152">
        <v>5090</v>
      </c>
      <c r="B4946" s="152" t="s">
        <v>7512</v>
      </c>
      <c r="C4946" s="270">
        <v>0</v>
      </c>
      <c r="D4946" s="201">
        <v>1</v>
      </c>
      <c r="E4946" s="201"/>
      <c r="F4946" s="201" t="s">
        <v>7513</v>
      </c>
      <c r="G4946" s="283"/>
      <c r="H4946" s="52"/>
    </row>
    <row r="4947" s="5" customFormat="1" spans="1:8">
      <c r="A4947" s="118">
        <v>5091</v>
      </c>
      <c r="B4947" s="118" t="s">
        <v>7514</v>
      </c>
      <c r="C4947" s="246">
        <v>1.667</v>
      </c>
      <c r="D4947" s="284">
        <v>0</v>
      </c>
      <c r="E4947" s="284"/>
      <c r="F4947" s="284" t="s">
        <v>7515</v>
      </c>
      <c r="G4947" s="154"/>
      <c r="H4947" s="6"/>
    </row>
    <row r="4948" s="5" customFormat="1" spans="1:8">
      <c r="A4948" s="118">
        <v>5092</v>
      </c>
      <c r="B4948" s="118" t="s">
        <v>7516</v>
      </c>
      <c r="C4948" s="246">
        <v>3</v>
      </c>
      <c r="D4948" s="284">
        <v>0</v>
      </c>
      <c r="E4948" s="284"/>
      <c r="F4948" s="284" t="s">
        <v>7517</v>
      </c>
      <c r="G4948" s="154"/>
      <c r="H4948" s="6"/>
    </row>
    <row r="4949" s="5" customFormat="1" spans="1:8">
      <c r="A4949" s="118">
        <v>5093</v>
      </c>
      <c r="B4949" s="118" t="s">
        <v>7518</v>
      </c>
      <c r="C4949" s="246">
        <v>0</v>
      </c>
      <c r="D4949" s="284">
        <v>1</v>
      </c>
      <c r="E4949" s="284"/>
      <c r="F4949" s="284" t="s">
        <v>7519</v>
      </c>
      <c r="G4949" s="154"/>
      <c r="H4949" s="6"/>
    </row>
    <row r="4950" s="24" customFormat="1" spans="1:8">
      <c r="A4950" s="147">
        <v>5094</v>
      </c>
      <c r="B4950" s="147" t="s">
        <v>7520</v>
      </c>
      <c r="C4950" s="280">
        <f>139/30</f>
        <v>4.63333333333333</v>
      </c>
      <c r="D4950" s="204">
        <v>0</v>
      </c>
      <c r="E4950" s="204"/>
      <c r="F4950" s="204" t="s">
        <v>7521</v>
      </c>
      <c r="G4950" s="285"/>
      <c r="H4950" s="54"/>
    </row>
    <row r="4951" s="24" customFormat="1" spans="1:8">
      <c r="A4951" s="147">
        <v>5095</v>
      </c>
      <c r="B4951" s="147" t="s">
        <v>7522</v>
      </c>
      <c r="C4951" s="280">
        <v>1</v>
      </c>
      <c r="D4951" s="204">
        <v>0</v>
      </c>
      <c r="E4951" s="204"/>
      <c r="F4951" s="204" t="s">
        <v>7523</v>
      </c>
      <c r="G4951" s="285"/>
      <c r="H4951" s="54"/>
    </row>
    <row r="4952" s="24" customFormat="1" spans="1:8">
      <c r="A4952" s="147">
        <v>5096</v>
      </c>
      <c r="B4952" s="147" t="s">
        <v>7524</v>
      </c>
      <c r="C4952" s="280">
        <f t="shared" ref="C4952:C4954" si="56">132/30</f>
        <v>4.4</v>
      </c>
      <c r="D4952" s="204">
        <v>0</v>
      </c>
      <c r="E4952" s="204"/>
      <c r="F4952" s="204" t="s">
        <v>7525</v>
      </c>
      <c r="G4952" s="285"/>
      <c r="H4952" s="54"/>
    </row>
    <row r="4953" s="24" customFormat="1" spans="1:8">
      <c r="A4953" s="147">
        <v>5097</v>
      </c>
      <c r="B4953" s="147" t="s">
        <v>7526</v>
      </c>
      <c r="C4953" s="280">
        <f t="shared" si="56"/>
        <v>4.4</v>
      </c>
      <c r="D4953" s="204">
        <v>0</v>
      </c>
      <c r="E4953" s="204"/>
      <c r="F4953" s="204" t="s">
        <v>7527</v>
      </c>
      <c r="G4953" s="285"/>
      <c r="H4953" s="54"/>
    </row>
    <row r="4954" s="24" customFormat="1" spans="1:8">
      <c r="A4954" s="147">
        <v>5098</v>
      </c>
      <c r="B4954" s="147" t="s">
        <v>7528</v>
      </c>
      <c r="C4954" s="280">
        <f t="shared" si="56"/>
        <v>4.4</v>
      </c>
      <c r="D4954" s="204">
        <v>0</v>
      </c>
      <c r="E4954" s="204"/>
      <c r="F4954" s="204" t="s">
        <v>7529</v>
      </c>
      <c r="G4954" s="285"/>
      <c r="H4954" s="54"/>
    </row>
    <row r="4955" s="24" customFormat="1" spans="1:8">
      <c r="A4955" s="147">
        <v>5099</v>
      </c>
      <c r="B4955" s="147" t="s">
        <v>7530</v>
      </c>
      <c r="C4955" s="280">
        <v>1</v>
      </c>
      <c r="D4955" s="204">
        <v>0</v>
      </c>
      <c r="E4955" s="204"/>
      <c r="F4955" s="204" t="s">
        <v>7531</v>
      </c>
      <c r="G4955" s="285"/>
      <c r="H4955" s="54"/>
    </row>
    <row r="4956" s="24" customFormat="1" spans="1:8">
      <c r="A4956" s="147">
        <v>5100</v>
      </c>
      <c r="B4956" s="147" t="s">
        <v>7532</v>
      </c>
      <c r="C4956" s="280">
        <v>1</v>
      </c>
      <c r="D4956" s="204">
        <v>0</v>
      </c>
      <c r="E4956" s="204"/>
      <c r="F4956" s="204" t="s">
        <v>7533</v>
      </c>
      <c r="G4956" s="285"/>
      <c r="H4956" s="54"/>
    </row>
    <row r="4957" s="24" customFormat="1" spans="1:8">
      <c r="A4957" s="147">
        <v>5101</v>
      </c>
      <c r="B4957" s="147" t="s">
        <v>7534</v>
      </c>
      <c r="C4957" s="280">
        <f>310/30</f>
        <v>10.3333333333333</v>
      </c>
      <c r="D4957" s="204">
        <v>0</v>
      </c>
      <c r="E4957" s="204"/>
      <c r="F4957" s="204" t="s">
        <v>7535</v>
      </c>
      <c r="G4957" s="285"/>
      <c r="H4957" s="54"/>
    </row>
    <row r="4958" s="24" customFormat="1" spans="1:8">
      <c r="A4958" s="147">
        <v>5102</v>
      </c>
      <c r="B4958" s="147" t="s">
        <v>7536</v>
      </c>
      <c r="C4958" s="280">
        <f>300/30</f>
        <v>10</v>
      </c>
      <c r="D4958" s="204">
        <v>0</v>
      </c>
      <c r="E4958" s="204"/>
      <c r="F4958" s="204" t="s">
        <v>7537</v>
      </c>
      <c r="G4958" s="285"/>
      <c r="H4958" s="54"/>
    </row>
    <row r="4959" s="24" customFormat="1" spans="1:8">
      <c r="A4959" s="147">
        <v>5103</v>
      </c>
      <c r="B4959" s="147" t="s">
        <v>7538</v>
      </c>
      <c r="C4959" s="280">
        <f>115/30</f>
        <v>3.83333333333333</v>
      </c>
      <c r="D4959" s="204">
        <v>0</v>
      </c>
      <c r="E4959" s="204"/>
      <c r="F4959" s="204" t="s">
        <v>7539</v>
      </c>
      <c r="G4959" s="285"/>
      <c r="H4959" s="54"/>
    </row>
    <row r="4960" s="24" customFormat="1" spans="1:8">
      <c r="A4960" s="147">
        <v>5104</v>
      </c>
      <c r="B4960" s="147" t="s">
        <v>7540</v>
      </c>
      <c r="C4960" s="280">
        <v>0</v>
      </c>
      <c r="D4960" s="204">
        <v>1</v>
      </c>
      <c r="E4960" s="204"/>
      <c r="F4960" s="204" t="s">
        <v>7541</v>
      </c>
      <c r="G4960" s="285"/>
      <c r="H4960" s="54"/>
    </row>
    <row r="4961" s="24" customFormat="1" spans="1:8">
      <c r="A4961" s="147">
        <v>5105</v>
      </c>
      <c r="B4961" s="147" t="s">
        <v>7542</v>
      </c>
      <c r="C4961" s="280">
        <v>0</v>
      </c>
      <c r="D4961" s="204">
        <v>1</v>
      </c>
      <c r="E4961" s="204"/>
      <c r="F4961" s="204" t="s">
        <v>7543</v>
      </c>
      <c r="G4961" s="285"/>
      <c r="H4961" s="54"/>
    </row>
    <row r="4962" s="26" customFormat="1" spans="1:8">
      <c r="A4962" s="150">
        <v>5106</v>
      </c>
      <c r="B4962" s="150" t="s">
        <v>7544</v>
      </c>
      <c r="C4962" s="286">
        <f>44/30</f>
        <v>1.46666666666667</v>
      </c>
      <c r="D4962" s="194">
        <v>0</v>
      </c>
      <c r="E4962" s="194"/>
      <c r="F4962" s="194" t="s">
        <v>7545</v>
      </c>
      <c r="G4962" s="195"/>
      <c r="H4962" s="151"/>
    </row>
    <row r="4963" s="26" customFormat="1" spans="1:8">
      <c r="A4963" s="150">
        <v>5107</v>
      </c>
      <c r="B4963" s="150" t="s">
        <v>7546</v>
      </c>
      <c r="C4963" s="286">
        <f t="shared" ref="C4963:C4965" si="57">72/30</f>
        <v>2.4</v>
      </c>
      <c r="D4963" s="194">
        <v>0</v>
      </c>
      <c r="E4963" s="194"/>
      <c r="F4963" s="194" t="s">
        <v>7547</v>
      </c>
      <c r="G4963" s="195"/>
      <c r="H4963" s="151"/>
    </row>
    <row r="4964" s="26" customFormat="1" spans="1:8">
      <c r="A4964" s="150">
        <v>5108</v>
      </c>
      <c r="B4964" s="150" t="s">
        <v>7548</v>
      </c>
      <c r="C4964" s="286">
        <v>1</v>
      </c>
      <c r="D4964" s="194">
        <v>0</v>
      </c>
      <c r="E4964" s="194"/>
      <c r="F4964" s="194" t="s">
        <v>7549</v>
      </c>
      <c r="G4964" s="195"/>
      <c r="H4964" s="151"/>
    </row>
    <row r="4965" s="26" customFormat="1" spans="1:8">
      <c r="A4965" s="150">
        <v>5109</v>
      </c>
      <c r="B4965" s="150" t="s">
        <v>7550</v>
      </c>
      <c r="C4965" s="286">
        <v>1</v>
      </c>
      <c r="D4965" s="194">
        <v>0</v>
      </c>
      <c r="E4965" s="194"/>
      <c r="F4965" s="194" t="s">
        <v>7551</v>
      </c>
      <c r="G4965" s="195"/>
      <c r="H4965" s="151"/>
    </row>
    <row r="4966" s="26" customFormat="1" spans="1:8">
      <c r="A4966" s="150">
        <v>5110</v>
      </c>
      <c r="B4966" s="150" t="s">
        <v>7552</v>
      </c>
      <c r="C4966" s="286">
        <f>37/30</f>
        <v>1.23333333333333</v>
      </c>
      <c r="D4966" s="194">
        <v>0</v>
      </c>
      <c r="E4966" s="194"/>
      <c r="F4966" s="194" t="s">
        <v>7553</v>
      </c>
      <c r="G4966" s="195"/>
      <c r="H4966" s="151"/>
    </row>
    <row r="4967" s="26" customFormat="1" spans="1:8">
      <c r="A4967" s="150">
        <v>5111</v>
      </c>
      <c r="B4967" s="150" t="s">
        <v>7554</v>
      </c>
      <c r="C4967" s="286">
        <f t="shared" ref="C4967:C4969" si="58">342/30</f>
        <v>11.4</v>
      </c>
      <c r="D4967" s="194">
        <v>0</v>
      </c>
      <c r="E4967" s="194"/>
      <c r="F4967" s="194" t="s">
        <v>7555</v>
      </c>
      <c r="G4967" s="195"/>
      <c r="H4967" s="151"/>
    </row>
    <row r="4968" s="26" customFormat="1" spans="1:8">
      <c r="A4968" s="150">
        <v>5112</v>
      </c>
      <c r="B4968" s="150" t="s">
        <v>7556</v>
      </c>
      <c r="C4968" s="286">
        <f t="shared" si="58"/>
        <v>11.4</v>
      </c>
      <c r="D4968" s="194">
        <v>0</v>
      </c>
      <c r="E4968" s="194"/>
      <c r="F4968" s="194" t="s">
        <v>7557</v>
      </c>
      <c r="G4968" s="195"/>
      <c r="H4968" s="151"/>
    </row>
    <row r="4969" s="26" customFormat="1" spans="1:8">
      <c r="A4969" s="150">
        <v>5113</v>
      </c>
      <c r="B4969" s="150" t="s">
        <v>7558</v>
      </c>
      <c r="C4969" s="286">
        <f t="shared" si="58"/>
        <v>11.4</v>
      </c>
      <c r="D4969" s="194">
        <v>0</v>
      </c>
      <c r="E4969" s="194"/>
      <c r="F4969" s="194" t="s">
        <v>7559</v>
      </c>
      <c r="G4969" s="195"/>
      <c r="H4969" s="151"/>
    </row>
    <row r="4970" s="26" customFormat="1" spans="1:8">
      <c r="A4970" s="150">
        <v>5114</v>
      </c>
      <c r="B4970" s="150" t="s">
        <v>7560</v>
      </c>
      <c r="C4970" s="286">
        <v>0</v>
      </c>
      <c r="D4970" s="194">
        <v>1</v>
      </c>
      <c r="E4970" s="194"/>
      <c r="F4970" s="194" t="s">
        <v>7561</v>
      </c>
      <c r="G4970" s="195"/>
      <c r="H4970" s="151"/>
    </row>
    <row r="4971" s="26" customFormat="1" spans="1:8">
      <c r="A4971" s="150">
        <v>5115</v>
      </c>
      <c r="B4971" s="150" t="s">
        <v>7562</v>
      </c>
      <c r="C4971" s="286">
        <v>1.8</v>
      </c>
      <c r="D4971" s="194">
        <v>0</v>
      </c>
      <c r="E4971" s="194"/>
      <c r="F4971" s="194" t="s">
        <v>7563</v>
      </c>
      <c r="G4971" s="195"/>
      <c r="H4971" s="151"/>
    </row>
    <row r="4972" s="26" customFormat="1" spans="1:8">
      <c r="A4972" s="150">
        <v>5116</v>
      </c>
      <c r="B4972" s="150" t="s">
        <v>7564</v>
      </c>
      <c r="C4972" s="286">
        <v>1.8</v>
      </c>
      <c r="D4972" s="194">
        <v>0</v>
      </c>
      <c r="E4972" s="194"/>
      <c r="F4972" s="194" t="s">
        <v>7565</v>
      </c>
      <c r="G4972" s="195"/>
      <c r="H4972" s="151"/>
    </row>
    <row r="4973" s="26" customFormat="1" spans="1:8">
      <c r="A4973" s="150">
        <v>5117</v>
      </c>
      <c r="B4973" s="150" t="s">
        <v>7566</v>
      </c>
      <c r="C4973" s="286">
        <v>1.8</v>
      </c>
      <c r="D4973" s="194">
        <v>0</v>
      </c>
      <c r="E4973" s="194"/>
      <c r="F4973" s="194" t="s">
        <v>7567</v>
      </c>
      <c r="G4973" s="195"/>
      <c r="H4973" s="151"/>
    </row>
    <row r="4974" s="26" customFormat="1" spans="1:8">
      <c r="A4974" s="150">
        <v>5118</v>
      </c>
      <c r="B4974" s="150" t="s">
        <v>7568</v>
      </c>
      <c r="C4974" s="286">
        <v>0</v>
      </c>
      <c r="D4974" s="194">
        <v>1</v>
      </c>
      <c r="E4974" s="194"/>
      <c r="F4974" s="194" t="s">
        <v>7569</v>
      </c>
      <c r="G4974" s="195"/>
      <c r="H4974" s="151"/>
    </row>
    <row r="4975" s="26" customFormat="1" spans="1:8">
      <c r="A4975" s="150">
        <v>5119</v>
      </c>
      <c r="B4975" s="150" t="s">
        <v>7570</v>
      </c>
      <c r="C4975" s="286">
        <v>0</v>
      </c>
      <c r="D4975" s="194">
        <v>1</v>
      </c>
      <c r="E4975" s="194"/>
      <c r="F4975" s="194" t="s">
        <v>7569</v>
      </c>
      <c r="G4975" s="195"/>
      <c r="H4975" s="151"/>
    </row>
    <row r="4976" s="26" customFormat="1" spans="1:8">
      <c r="A4976" s="150">
        <v>5120</v>
      </c>
      <c r="B4976" s="150" t="s">
        <v>7571</v>
      </c>
      <c r="C4976" s="286">
        <v>1</v>
      </c>
      <c r="D4976" s="194">
        <v>0</v>
      </c>
      <c r="E4976" s="194"/>
      <c r="F4976" s="194" t="s">
        <v>7572</v>
      </c>
      <c r="G4976" s="195"/>
      <c r="H4976" s="151"/>
    </row>
    <row r="4977" s="26" customFormat="1" spans="1:8">
      <c r="A4977" s="150">
        <v>5121</v>
      </c>
      <c r="B4977" s="150" t="s">
        <v>7573</v>
      </c>
      <c r="C4977" s="286">
        <v>1.86666666666667</v>
      </c>
      <c r="D4977" s="194">
        <v>0</v>
      </c>
      <c r="E4977" s="194"/>
      <c r="F4977" s="194" t="s">
        <v>7574</v>
      </c>
      <c r="G4977" s="195"/>
      <c r="H4977" s="151"/>
    </row>
    <row r="4978" s="26" customFormat="1" spans="1:8">
      <c r="A4978" s="150">
        <v>5122</v>
      </c>
      <c r="B4978" s="150" t="s">
        <v>7575</v>
      </c>
      <c r="C4978" s="286">
        <v>1.86666666666667</v>
      </c>
      <c r="D4978" s="194">
        <v>0</v>
      </c>
      <c r="E4978" s="194"/>
      <c r="F4978" s="194" t="s">
        <v>7576</v>
      </c>
      <c r="G4978" s="195"/>
      <c r="H4978" s="151"/>
    </row>
    <row r="4979" s="26" customFormat="1" spans="1:8">
      <c r="A4979" s="150">
        <v>5123</v>
      </c>
      <c r="B4979" s="150" t="s">
        <v>7577</v>
      </c>
      <c r="C4979" s="286">
        <v>9.16666666666667</v>
      </c>
      <c r="D4979" s="194">
        <v>0</v>
      </c>
      <c r="E4979" s="194"/>
      <c r="F4979" s="194" t="s">
        <v>7578</v>
      </c>
      <c r="G4979" s="195"/>
      <c r="H4979" s="151"/>
    </row>
    <row r="4980" s="26" customFormat="1" spans="1:8">
      <c r="A4980" s="150">
        <v>5124</v>
      </c>
      <c r="B4980" s="150" t="s">
        <v>7579</v>
      </c>
      <c r="C4980" s="286">
        <v>8.6</v>
      </c>
      <c r="D4980" s="194">
        <v>0</v>
      </c>
      <c r="E4980" s="194"/>
      <c r="F4980" s="194" t="s">
        <v>7580</v>
      </c>
      <c r="G4980" s="195"/>
      <c r="H4980" s="151"/>
    </row>
    <row r="4981" s="26" customFormat="1" spans="1:8">
      <c r="A4981" s="150">
        <v>5125</v>
      </c>
      <c r="B4981" s="150" t="s">
        <v>7581</v>
      </c>
      <c r="C4981" s="286">
        <v>8.6</v>
      </c>
      <c r="D4981" s="194">
        <v>0</v>
      </c>
      <c r="E4981" s="194"/>
      <c r="F4981" s="194" t="s">
        <v>7582</v>
      </c>
      <c r="G4981" s="195"/>
      <c r="H4981" s="151"/>
    </row>
    <row r="4982" s="26" customFormat="1" spans="1:8">
      <c r="A4982" s="150">
        <v>5126</v>
      </c>
      <c r="B4982" s="150" t="s">
        <v>7583</v>
      </c>
      <c r="C4982" s="286">
        <v>8.6</v>
      </c>
      <c r="D4982" s="194">
        <v>0</v>
      </c>
      <c r="E4982" s="194"/>
      <c r="F4982" s="194" t="s">
        <v>7584</v>
      </c>
      <c r="G4982" s="195"/>
      <c r="H4982" s="151"/>
    </row>
    <row r="4983" s="26" customFormat="1" spans="1:8">
      <c r="A4983" s="150">
        <v>5127</v>
      </c>
      <c r="B4983" s="150" t="s">
        <v>7585</v>
      </c>
      <c r="C4983" s="286">
        <v>8.6</v>
      </c>
      <c r="D4983" s="194">
        <v>0</v>
      </c>
      <c r="E4983" s="194"/>
      <c r="F4983" s="194" t="s">
        <v>7586</v>
      </c>
      <c r="G4983" s="195"/>
      <c r="H4983" s="151"/>
    </row>
    <row r="4984" s="26" customFormat="1" spans="1:8">
      <c r="A4984" s="150">
        <v>5128</v>
      </c>
      <c r="B4984" s="150" t="s">
        <v>7587</v>
      </c>
      <c r="C4984" s="286">
        <v>8.6</v>
      </c>
      <c r="D4984" s="194">
        <v>0</v>
      </c>
      <c r="E4984" s="194"/>
      <c r="F4984" s="194" t="s">
        <v>7588</v>
      </c>
      <c r="G4984" s="195"/>
      <c r="H4984" s="151"/>
    </row>
    <row r="4985" s="26" customFormat="1" spans="1:8">
      <c r="A4985" s="150">
        <v>5129</v>
      </c>
      <c r="B4985" s="150" t="s">
        <v>7589</v>
      </c>
      <c r="C4985" s="286">
        <v>8.6</v>
      </c>
      <c r="D4985" s="194">
        <v>0</v>
      </c>
      <c r="E4985" s="194"/>
      <c r="F4985" s="194" t="s">
        <v>7588</v>
      </c>
      <c r="G4985" s="195"/>
      <c r="H4985" s="151"/>
    </row>
    <row r="4986" s="26" customFormat="1" spans="1:8">
      <c r="A4986" s="150">
        <v>5130</v>
      </c>
      <c r="B4986" s="150" t="s">
        <v>7590</v>
      </c>
      <c r="C4986" s="286">
        <v>0</v>
      </c>
      <c r="D4986" s="194">
        <v>1</v>
      </c>
      <c r="E4986" s="194"/>
      <c r="F4986" s="194" t="s">
        <v>7591</v>
      </c>
      <c r="G4986" s="195"/>
      <c r="H4986" s="151"/>
    </row>
    <row r="4987" s="26" customFormat="1" spans="1:8">
      <c r="A4987" s="150">
        <v>5131</v>
      </c>
      <c r="B4987" s="150" t="s">
        <v>7592</v>
      </c>
      <c r="C4987" s="286">
        <v>0</v>
      </c>
      <c r="D4987" s="194">
        <v>1</v>
      </c>
      <c r="E4987" s="194"/>
      <c r="F4987" s="194" t="s">
        <v>7593</v>
      </c>
      <c r="G4987" s="195"/>
      <c r="H4987" s="151"/>
    </row>
    <row r="4988" s="26" customFormat="1" spans="1:8">
      <c r="A4988" s="150">
        <v>5132</v>
      </c>
      <c r="B4988" s="150" t="s">
        <v>7594</v>
      </c>
      <c r="C4988" s="286">
        <v>2</v>
      </c>
      <c r="D4988" s="194">
        <v>0</v>
      </c>
      <c r="E4988" s="194"/>
      <c r="F4988" s="194" t="s">
        <v>7595</v>
      </c>
      <c r="G4988" s="195"/>
      <c r="H4988" s="151"/>
    </row>
    <row r="4989" s="26" customFormat="1" spans="1:8">
      <c r="A4989" s="150">
        <v>5133</v>
      </c>
      <c r="B4989" s="150" t="s">
        <v>7596</v>
      </c>
      <c r="C4989" s="286">
        <v>2</v>
      </c>
      <c r="D4989" s="194">
        <v>0</v>
      </c>
      <c r="E4989" s="194"/>
      <c r="F4989" s="194" t="s">
        <v>7597</v>
      </c>
      <c r="G4989" s="195"/>
      <c r="H4989" s="151"/>
    </row>
    <row r="4990" s="26" customFormat="1" spans="1:8">
      <c r="A4990" s="150">
        <v>5134</v>
      </c>
      <c r="B4990" s="150" t="s">
        <v>7598</v>
      </c>
      <c r="C4990" s="286">
        <v>2</v>
      </c>
      <c r="D4990" s="194">
        <v>0</v>
      </c>
      <c r="E4990" s="194"/>
      <c r="F4990" s="194" t="s">
        <v>7599</v>
      </c>
      <c r="G4990" s="195"/>
      <c r="H4990" s="151"/>
    </row>
    <row r="4991" s="50" customFormat="1" ht="15" customHeight="1" spans="1:25">
      <c r="A4991" s="256">
        <v>5135</v>
      </c>
      <c r="B4991" s="256" t="s">
        <v>7600</v>
      </c>
      <c r="C4991" s="257">
        <v>3.66666666666667</v>
      </c>
      <c r="D4991" s="257">
        <v>0</v>
      </c>
      <c r="E4991" s="257"/>
      <c r="F4991" s="257" t="s">
        <v>7601</v>
      </c>
      <c r="G4991" s="256"/>
      <c r="H4991" s="256"/>
      <c r="I4991" s="256"/>
      <c r="J4991" s="256"/>
      <c r="K4991" s="256"/>
      <c r="L4991" s="256"/>
      <c r="M4991" s="256"/>
      <c r="N4991" s="256"/>
      <c r="O4991" s="256"/>
      <c r="P4991" s="256"/>
      <c r="Q4991" s="256"/>
      <c r="R4991" s="256"/>
      <c r="S4991" s="256"/>
      <c r="T4991" s="256"/>
      <c r="U4991" s="256"/>
      <c r="V4991" s="256"/>
      <c r="W4991" s="256"/>
      <c r="X4991" s="256"/>
      <c r="Y4991" s="256"/>
    </row>
    <row r="4992" s="50" customFormat="1" ht="15" customHeight="1" spans="1:25">
      <c r="A4992" s="256">
        <v>5136</v>
      </c>
      <c r="B4992" s="256" t="s">
        <v>7602</v>
      </c>
      <c r="C4992" s="257">
        <v>3.66666666666667</v>
      </c>
      <c r="D4992" s="257">
        <v>0</v>
      </c>
      <c r="E4992" s="257"/>
      <c r="F4992" s="257" t="s">
        <v>7603</v>
      </c>
      <c r="G4992" s="256"/>
      <c r="H4992" s="256"/>
      <c r="I4992" s="256"/>
      <c r="J4992" s="256"/>
      <c r="K4992" s="256"/>
      <c r="L4992" s="256"/>
      <c r="M4992" s="256"/>
      <c r="N4992" s="256"/>
      <c r="O4992" s="256"/>
      <c r="P4992" s="256"/>
      <c r="Q4992" s="256"/>
      <c r="R4992" s="256"/>
      <c r="S4992" s="256"/>
      <c r="T4992" s="256"/>
      <c r="U4992" s="256"/>
      <c r="V4992" s="256"/>
      <c r="W4992" s="256"/>
      <c r="X4992" s="256"/>
      <c r="Y4992" s="256"/>
    </row>
    <row r="4993" s="50" customFormat="1" ht="15" customHeight="1" spans="1:25">
      <c r="A4993" s="256">
        <v>5137</v>
      </c>
      <c r="B4993" s="256" t="s">
        <v>7604</v>
      </c>
      <c r="C4993" s="257">
        <v>3.66666666666667</v>
      </c>
      <c r="D4993" s="257">
        <v>0</v>
      </c>
      <c r="E4993" s="257"/>
      <c r="F4993" s="257" t="s">
        <v>7605</v>
      </c>
      <c r="G4993" s="256"/>
      <c r="H4993" s="256"/>
      <c r="I4993" s="256"/>
      <c r="J4993" s="256"/>
      <c r="K4993" s="256"/>
      <c r="L4993" s="256"/>
      <c r="M4993" s="256"/>
      <c r="N4993" s="256"/>
      <c r="O4993" s="256"/>
      <c r="P4993" s="256"/>
      <c r="Q4993" s="256"/>
      <c r="R4993" s="256"/>
      <c r="S4993" s="256"/>
      <c r="T4993" s="256"/>
      <c r="U4993" s="256"/>
      <c r="V4993" s="256"/>
      <c r="W4993" s="256"/>
      <c r="X4993" s="256"/>
      <c r="Y4993" s="256"/>
    </row>
    <row r="4994" s="50" customFormat="1" ht="15" customHeight="1" spans="1:25">
      <c r="A4994" s="256">
        <v>5138</v>
      </c>
      <c r="B4994" s="256" t="s">
        <v>7606</v>
      </c>
      <c r="C4994" s="257">
        <v>1</v>
      </c>
      <c r="D4994" s="257">
        <v>0</v>
      </c>
      <c r="E4994" s="257"/>
      <c r="F4994" s="257" t="s">
        <v>7607</v>
      </c>
      <c r="G4994" s="256"/>
      <c r="H4994" s="256"/>
      <c r="I4994" s="256"/>
      <c r="J4994" s="256"/>
      <c r="K4994" s="256"/>
      <c r="L4994" s="256"/>
      <c r="M4994" s="256"/>
      <c r="N4994" s="256"/>
      <c r="O4994" s="256"/>
      <c r="P4994" s="256"/>
      <c r="Q4994" s="256"/>
      <c r="R4994" s="256"/>
      <c r="S4994" s="256"/>
      <c r="T4994" s="256"/>
      <c r="U4994" s="256"/>
      <c r="V4994" s="256"/>
      <c r="W4994" s="256"/>
      <c r="X4994" s="256"/>
      <c r="Y4994" s="256"/>
    </row>
    <row r="4995" s="50" customFormat="1" ht="15" customHeight="1" spans="1:25">
      <c r="A4995" s="256">
        <v>5139</v>
      </c>
      <c r="B4995" s="256" t="s">
        <v>7608</v>
      </c>
      <c r="C4995" s="257">
        <v>4.7</v>
      </c>
      <c r="D4995" s="257">
        <v>0</v>
      </c>
      <c r="E4995" s="257"/>
      <c r="F4995" s="257" t="s">
        <v>7609</v>
      </c>
      <c r="G4995" s="256"/>
      <c r="H4995" s="256"/>
      <c r="I4995" s="256"/>
      <c r="J4995" s="256"/>
      <c r="K4995" s="256"/>
      <c r="L4995" s="256"/>
      <c r="M4995" s="256"/>
      <c r="N4995" s="256"/>
      <c r="O4995" s="256"/>
      <c r="P4995" s="256"/>
      <c r="Q4995" s="256"/>
      <c r="R4995" s="256"/>
      <c r="S4995" s="256"/>
      <c r="T4995" s="256"/>
      <c r="U4995" s="256"/>
      <c r="V4995" s="256"/>
      <c r="W4995" s="256"/>
      <c r="X4995" s="256"/>
      <c r="Y4995" s="256"/>
    </row>
    <row r="4996" s="50" customFormat="1" ht="15" customHeight="1" spans="1:25">
      <c r="A4996" s="256">
        <v>5140</v>
      </c>
      <c r="B4996" s="256" t="s">
        <v>7610</v>
      </c>
      <c r="C4996" s="257">
        <v>1</v>
      </c>
      <c r="D4996" s="257">
        <v>0</v>
      </c>
      <c r="E4996" s="257"/>
      <c r="F4996" s="257" t="s">
        <v>7611</v>
      </c>
      <c r="G4996" s="256"/>
      <c r="H4996" s="256"/>
      <c r="I4996" s="256"/>
      <c r="J4996" s="256"/>
      <c r="K4996" s="256"/>
      <c r="L4996" s="256"/>
      <c r="M4996" s="256"/>
      <c r="N4996" s="256"/>
      <c r="O4996" s="256"/>
      <c r="P4996" s="256"/>
      <c r="Q4996" s="256"/>
      <c r="R4996" s="256"/>
      <c r="S4996" s="256"/>
      <c r="T4996" s="256"/>
      <c r="U4996" s="256"/>
      <c r="V4996" s="256"/>
      <c r="W4996" s="256"/>
      <c r="X4996" s="256"/>
      <c r="Y4996" s="256"/>
    </row>
    <row r="4997" s="50" customFormat="1" ht="15" customHeight="1" spans="1:25">
      <c r="A4997" s="256">
        <v>5141</v>
      </c>
      <c r="B4997" s="256" t="s">
        <v>7612</v>
      </c>
      <c r="C4997" s="257">
        <v>5.83333333333333</v>
      </c>
      <c r="D4997" s="257">
        <v>0</v>
      </c>
      <c r="E4997" s="257"/>
      <c r="F4997" s="257" t="s">
        <v>7613</v>
      </c>
      <c r="G4997" s="256"/>
      <c r="H4997" s="256"/>
      <c r="I4997" s="256"/>
      <c r="J4997" s="256"/>
      <c r="K4997" s="256"/>
      <c r="L4997" s="256"/>
      <c r="M4997" s="256"/>
      <c r="N4997" s="256"/>
      <c r="O4997" s="256"/>
      <c r="P4997" s="256"/>
      <c r="Q4997" s="256"/>
      <c r="R4997" s="256"/>
      <c r="S4997" s="256"/>
      <c r="T4997" s="256"/>
      <c r="U4997" s="256"/>
      <c r="V4997" s="256"/>
      <c r="W4997" s="256"/>
      <c r="X4997" s="256"/>
      <c r="Y4997" s="256"/>
    </row>
    <row r="4998" s="50" customFormat="1" ht="15" customHeight="1" spans="1:25">
      <c r="A4998" s="256">
        <v>5142</v>
      </c>
      <c r="B4998" s="256" t="s">
        <v>7614</v>
      </c>
      <c r="C4998" s="257">
        <v>2.5</v>
      </c>
      <c r="D4998" s="257">
        <v>0</v>
      </c>
      <c r="E4998" s="257"/>
      <c r="F4998" s="257" t="s">
        <v>7615</v>
      </c>
      <c r="G4998" s="256"/>
      <c r="H4998" s="256"/>
      <c r="I4998" s="256"/>
      <c r="J4998" s="256"/>
      <c r="K4998" s="256"/>
      <c r="L4998" s="256"/>
      <c r="M4998" s="256"/>
      <c r="N4998" s="256"/>
      <c r="O4998" s="256"/>
      <c r="P4998" s="256"/>
      <c r="Q4998" s="256"/>
      <c r="R4998" s="256"/>
      <c r="S4998" s="256"/>
      <c r="T4998" s="256"/>
      <c r="U4998" s="256"/>
      <c r="V4998" s="256"/>
      <c r="W4998" s="256"/>
      <c r="X4998" s="256"/>
      <c r="Y4998" s="256"/>
    </row>
    <row r="4999" s="50" customFormat="1" ht="15" customHeight="1" spans="1:25">
      <c r="A4999" s="256">
        <v>5143</v>
      </c>
      <c r="B4999" s="256" t="s">
        <v>7616</v>
      </c>
      <c r="C4999" s="257">
        <v>1</v>
      </c>
      <c r="D4999" s="257">
        <v>0</v>
      </c>
      <c r="E4999" s="257"/>
      <c r="F4999" s="257" t="s">
        <v>7617</v>
      </c>
      <c r="G4999" s="256"/>
      <c r="H4999" s="256"/>
      <c r="I4999" s="256"/>
      <c r="J4999" s="256"/>
      <c r="K4999" s="256"/>
      <c r="L4999" s="256"/>
      <c r="M4999" s="256"/>
      <c r="N4999" s="256"/>
      <c r="O4999" s="256"/>
      <c r="P4999" s="256"/>
      <c r="Q4999" s="256"/>
      <c r="R4999" s="256"/>
      <c r="S4999" s="256"/>
      <c r="T4999" s="256"/>
      <c r="U4999" s="256"/>
      <c r="V4999" s="256"/>
      <c r="W4999" s="256"/>
      <c r="X4999" s="256"/>
      <c r="Y4999" s="256"/>
    </row>
    <row r="5000" s="50" customFormat="1" ht="15" customHeight="1" spans="1:25">
      <c r="A5000" s="256">
        <v>5144</v>
      </c>
      <c r="B5000" s="256" t="s">
        <v>7618</v>
      </c>
      <c r="C5000" s="257">
        <v>8.46666666666667</v>
      </c>
      <c r="D5000" s="257">
        <v>0</v>
      </c>
      <c r="E5000" s="257"/>
      <c r="F5000" s="257" t="s">
        <v>7619</v>
      </c>
      <c r="G5000" s="256"/>
      <c r="H5000" s="256"/>
      <c r="I5000" s="256"/>
      <c r="J5000" s="256"/>
      <c r="K5000" s="256"/>
      <c r="L5000" s="256"/>
      <c r="M5000" s="256"/>
      <c r="N5000" s="256"/>
      <c r="O5000" s="256"/>
      <c r="P5000" s="256"/>
      <c r="Q5000" s="256"/>
      <c r="R5000" s="256"/>
      <c r="S5000" s="256"/>
      <c r="T5000" s="256"/>
      <c r="U5000" s="256"/>
      <c r="V5000" s="256"/>
      <c r="W5000" s="256"/>
      <c r="X5000" s="256"/>
      <c r="Y5000" s="256"/>
    </row>
    <row r="5001" s="50" customFormat="1" ht="15" customHeight="1" spans="1:25">
      <c r="A5001" s="256">
        <v>5145</v>
      </c>
      <c r="B5001" s="256" t="s">
        <v>7620</v>
      </c>
      <c r="C5001" s="257">
        <v>8.46666666666667</v>
      </c>
      <c r="D5001" s="257">
        <v>0</v>
      </c>
      <c r="E5001" s="257"/>
      <c r="F5001" s="257" t="s">
        <v>7621</v>
      </c>
      <c r="G5001" s="256"/>
      <c r="H5001" s="256"/>
      <c r="I5001" s="256"/>
      <c r="J5001" s="256"/>
      <c r="K5001" s="256"/>
      <c r="L5001" s="256"/>
      <c r="M5001" s="256"/>
      <c r="N5001" s="256"/>
      <c r="O5001" s="256"/>
      <c r="P5001" s="256"/>
      <c r="Q5001" s="256"/>
      <c r="R5001" s="256"/>
      <c r="S5001" s="256"/>
      <c r="T5001" s="256"/>
      <c r="U5001" s="256"/>
      <c r="V5001" s="256"/>
      <c r="W5001" s="256"/>
      <c r="X5001" s="256"/>
      <c r="Y5001" s="256"/>
    </row>
    <row r="5002" s="50" customFormat="1" ht="15" customHeight="1" spans="1:25">
      <c r="A5002" s="256">
        <v>5146</v>
      </c>
      <c r="B5002" s="256" t="s">
        <v>7622</v>
      </c>
      <c r="C5002" s="257">
        <v>8.46666666666667</v>
      </c>
      <c r="D5002" s="257">
        <v>0</v>
      </c>
      <c r="E5002" s="257"/>
      <c r="F5002" s="257" t="s">
        <v>7623</v>
      </c>
      <c r="G5002" s="256"/>
      <c r="H5002" s="256"/>
      <c r="I5002" s="256"/>
      <c r="J5002" s="256"/>
      <c r="K5002" s="256"/>
      <c r="L5002" s="256"/>
      <c r="M5002" s="256"/>
      <c r="N5002" s="256"/>
      <c r="O5002" s="256"/>
      <c r="P5002" s="256"/>
      <c r="Q5002" s="256"/>
      <c r="R5002" s="256"/>
      <c r="S5002" s="256"/>
      <c r="T5002" s="256"/>
      <c r="U5002" s="256"/>
      <c r="V5002" s="256"/>
      <c r="W5002" s="256"/>
      <c r="X5002" s="256"/>
      <c r="Y5002" s="256"/>
    </row>
    <row r="5003" s="50" customFormat="1" ht="15" customHeight="1" spans="1:25">
      <c r="A5003" s="256">
        <v>5147</v>
      </c>
      <c r="B5003" s="256" t="s">
        <v>7624</v>
      </c>
      <c r="C5003" s="257">
        <v>14.7333333333333</v>
      </c>
      <c r="D5003" s="257">
        <v>0</v>
      </c>
      <c r="E5003" s="257"/>
      <c r="F5003" s="257" t="s">
        <v>7625</v>
      </c>
      <c r="G5003" s="256"/>
      <c r="H5003" s="256"/>
      <c r="I5003" s="256"/>
      <c r="J5003" s="256"/>
      <c r="K5003" s="256"/>
      <c r="L5003" s="256"/>
      <c r="M5003" s="256"/>
      <c r="N5003" s="256"/>
      <c r="O5003" s="256"/>
      <c r="P5003" s="256"/>
      <c r="Q5003" s="256"/>
      <c r="R5003" s="256"/>
      <c r="S5003" s="256"/>
      <c r="T5003" s="256"/>
      <c r="U5003" s="256"/>
      <c r="V5003" s="256"/>
      <c r="W5003" s="256"/>
      <c r="X5003" s="256"/>
      <c r="Y5003" s="256"/>
    </row>
    <row r="5004" s="50" customFormat="1" ht="15" customHeight="1" spans="1:25">
      <c r="A5004" s="256">
        <v>5148</v>
      </c>
      <c r="B5004" s="256" t="s">
        <v>7626</v>
      </c>
      <c r="C5004" s="257">
        <v>10.2</v>
      </c>
      <c r="D5004" s="257">
        <v>0</v>
      </c>
      <c r="E5004" s="257"/>
      <c r="F5004" s="257" t="s">
        <v>7627</v>
      </c>
      <c r="G5004" s="256"/>
      <c r="H5004" s="256"/>
      <c r="I5004" s="256"/>
      <c r="J5004" s="256"/>
      <c r="K5004" s="256"/>
      <c r="L5004" s="256"/>
      <c r="M5004" s="256"/>
      <c r="N5004" s="256"/>
      <c r="O5004" s="256"/>
      <c r="P5004" s="256"/>
      <c r="Q5004" s="256"/>
      <c r="R5004" s="256"/>
      <c r="S5004" s="256"/>
      <c r="T5004" s="256"/>
      <c r="U5004" s="256"/>
      <c r="V5004" s="256"/>
      <c r="W5004" s="256"/>
      <c r="X5004" s="256"/>
      <c r="Y5004" s="256"/>
    </row>
    <row r="5005" s="50" customFormat="1" ht="15" customHeight="1" spans="1:25">
      <c r="A5005" s="256">
        <v>5149</v>
      </c>
      <c r="B5005" s="256" t="s">
        <v>7628</v>
      </c>
      <c r="C5005" s="257">
        <v>10.2</v>
      </c>
      <c r="D5005" s="257">
        <v>0</v>
      </c>
      <c r="E5005" s="257"/>
      <c r="F5005" s="257" t="s">
        <v>7629</v>
      </c>
      <c r="G5005" s="256"/>
      <c r="H5005" s="256"/>
      <c r="I5005" s="256"/>
      <c r="J5005" s="256"/>
      <c r="K5005" s="256"/>
      <c r="L5005" s="256"/>
      <c r="M5005" s="256"/>
      <c r="N5005" s="256"/>
      <c r="O5005" s="256"/>
      <c r="P5005" s="256"/>
      <c r="Q5005" s="256"/>
      <c r="R5005" s="256"/>
      <c r="S5005" s="256"/>
      <c r="T5005" s="256"/>
      <c r="U5005" s="256"/>
      <c r="V5005" s="256"/>
      <c r="W5005" s="256"/>
      <c r="X5005" s="256"/>
      <c r="Y5005" s="256"/>
    </row>
    <row r="5006" s="50" customFormat="1" ht="15" customHeight="1" spans="1:25">
      <c r="A5006" s="256">
        <v>5150</v>
      </c>
      <c r="B5006" s="256" t="s">
        <v>7630</v>
      </c>
      <c r="C5006" s="257">
        <v>10.2</v>
      </c>
      <c r="D5006" s="257">
        <v>0</v>
      </c>
      <c r="E5006" s="257"/>
      <c r="F5006" s="257" t="s">
        <v>7631</v>
      </c>
      <c r="G5006" s="256"/>
      <c r="H5006" s="256"/>
      <c r="I5006" s="256"/>
      <c r="J5006" s="256"/>
      <c r="K5006" s="256"/>
      <c r="L5006" s="256"/>
      <c r="M5006" s="256"/>
      <c r="N5006" s="256"/>
      <c r="O5006" s="256"/>
      <c r="P5006" s="256"/>
      <c r="Q5006" s="256"/>
      <c r="R5006" s="256"/>
      <c r="S5006" s="256"/>
      <c r="T5006" s="256"/>
      <c r="U5006" s="256"/>
      <c r="V5006" s="256"/>
      <c r="W5006" s="256"/>
      <c r="X5006" s="256"/>
      <c r="Y5006" s="256"/>
    </row>
    <row r="5007" s="50" customFormat="1" ht="15" customHeight="1" spans="1:25">
      <c r="A5007" s="256">
        <v>5151</v>
      </c>
      <c r="B5007" s="256" t="s">
        <v>7632</v>
      </c>
      <c r="C5007" s="257">
        <v>15.5</v>
      </c>
      <c r="D5007" s="257">
        <v>0</v>
      </c>
      <c r="E5007" s="257"/>
      <c r="F5007" s="257" t="s">
        <v>7633</v>
      </c>
      <c r="G5007" s="256"/>
      <c r="H5007" s="256"/>
      <c r="I5007" s="256"/>
      <c r="J5007" s="256"/>
      <c r="K5007" s="256"/>
      <c r="L5007" s="256"/>
      <c r="M5007" s="256"/>
      <c r="N5007" s="256"/>
      <c r="O5007" s="256"/>
      <c r="P5007" s="256"/>
      <c r="Q5007" s="256"/>
      <c r="R5007" s="256"/>
      <c r="S5007" s="256"/>
      <c r="T5007" s="256"/>
      <c r="U5007" s="256"/>
      <c r="V5007" s="256"/>
      <c r="W5007" s="256"/>
      <c r="X5007" s="256"/>
      <c r="Y5007" s="256"/>
    </row>
    <row r="5008" s="50" customFormat="1" ht="15" customHeight="1" spans="1:25">
      <c r="A5008" s="256">
        <v>5152</v>
      </c>
      <c r="B5008" s="256" t="s">
        <v>7634</v>
      </c>
      <c r="C5008" s="257">
        <v>5</v>
      </c>
      <c r="D5008" s="257">
        <v>0</v>
      </c>
      <c r="E5008" s="257"/>
      <c r="F5008" s="257" t="s">
        <v>7635</v>
      </c>
      <c r="G5008" s="256"/>
      <c r="H5008" s="256"/>
      <c r="I5008" s="256"/>
      <c r="J5008" s="256"/>
      <c r="K5008" s="256"/>
      <c r="L5008" s="256"/>
      <c r="M5008" s="256"/>
      <c r="N5008" s="256"/>
      <c r="O5008" s="256"/>
      <c r="P5008" s="256"/>
      <c r="Q5008" s="256"/>
      <c r="R5008" s="256"/>
      <c r="S5008" s="256"/>
      <c r="T5008" s="256"/>
      <c r="U5008" s="256"/>
      <c r="V5008" s="256"/>
      <c r="W5008" s="256"/>
      <c r="X5008" s="256"/>
      <c r="Y5008" s="256"/>
    </row>
    <row r="5009" s="50" customFormat="1" ht="15" customHeight="1" spans="1:25">
      <c r="A5009" s="256">
        <v>5153</v>
      </c>
      <c r="B5009" s="256" t="s">
        <v>7636</v>
      </c>
      <c r="C5009" s="257">
        <f>108/30</f>
        <v>3.6</v>
      </c>
      <c r="D5009" s="257">
        <v>0</v>
      </c>
      <c r="E5009" s="257"/>
      <c r="F5009" s="257" t="s">
        <v>7637</v>
      </c>
      <c r="G5009" s="256"/>
      <c r="H5009" s="256"/>
      <c r="I5009" s="256"/>
      <c r="J5009" s="256"/>
      <c r="K5009" s="256"/>
      <c r="L5009" s="256"/>
      <c r="M5009" s="256"/>
      <c r="N5009" s="256"/>
      <c r="O5009" s="256"/>
      <c r="P5009" s="256"/>
      <c r="Q5009" s="256"/>
      <c r="R5009" s="256"/>
      <c r="S5009" s="256"/>
      <c r="T5009" s="256"/>
      <c r="U5009" s="256"/>
      <c r="V5009" s="256"/>
      <c r="W5009" s="256"/>
      <c r="X5009" s="256"/>
      <c r="Y5009" s="256"/>
    </row>
    <row r="5010" s="50" customFormat="1" ht="15" customHeight="1" spans="1:25">
      <c r="A5010" s="256">
        <v>5154</v>
      </c>
      <c r="B5010" s="256" t="s">
        <v>7638</v>
      </c>
      <c r="C5010" s="257">
        <f>108/30</f>
        <v>3.6</v>
      </c>
      <c r="D5010" s="257">
        <v>0</v>
      </c>
      <c r="E5010" s="257"/>
      <c r="F5010" s="257" t="s">
        <v>7639</v>
      </c>
      <c r="G5010" s="256"/>
      <c r="H5010" s="256"/>
      <c r="I5010" s="256"/>
      <c r="J5010" s="256"/>
      <c r="K5010" s="256"/>
      <c r="L5010" s="256"/>
      <c r="M5010" s="256"/>
      <c r="N5010" s="256"/>
      <c r="O5010" s="256"/>
      <c r="P5010" s="256"/>
      <c r="Q5010" s="256"/>
      <c r="R5010" s="256"/>
      <c r="S5010" s="256"/>
      <c r="T5010" s="256"/>
      <c r="U5010" s="256"/>
      <c r="V5010" s="256"/>
      <c r="W5010" s="256"/>
      <c r="X5010" s="256"/>
      <c r="Y5010" s="256"/>
    </row>
    <row r="5011" s="50" customFormat="1" ht="15" customHeight="1" spans="1:25">
      <c r="A5011" s="256">
        <v>5155</v>
      </c>
      <c r="B5011" s="256" t="s">
        <v>7640</v>
      </c>
      <c r="C5011" s="257">
        <f t="shared" ref="C5011:C5013" si="59">96/30</f>
        <v>3.2</v>
      </c>
      <c r="D5011" s="257">
        <v>0</v>
      </c>
      <c r="E5011" s="257"/>
      <c r="F5011" s="257" t="s">
        <v>7641</v>
      </c>
      <c r="G5011" s="256"/>
      <c r="H5011" s="256"/>
      <c r="I5011" s="256"/>
      <c r="J5011" s="256"/>
      <c r="K5011" s="256"/>
      <c r="L5011" s="256"/>
      <c r="M5011" s="256"/>
      <c r="N5011" s="256"/>
      <c r="O5011" s="256"/>
      <c r="P5011" s="256"/>
      <c r="Q5011" s="256"/>
      <c r="R5011" s="256"/>
      <c r="S5011" s="256"/>
      <c r="T5011" s="256"/>
      <c r="U5011" s="256"/>
      <c r="V5011" s="256"/>
      <c r="W5011" s="256"/>
      <c r="X5011" s="256"/>
      <c r="Y5011" s="256"/>
    </row>
    <row r="5012" s="50" customFormat="1" ht="15" customHeight="1" spans="1:25">
      <c r="A5012" s="256">
        <v>5156</v>
      </c>
      <c r="B5012" s="256" t="s">
        <v>7642</v>
      </c>
      <c r="C5012" s="257">
        <f t="shared" si="59"/>
        <v>3.2</v>
      </c>
      <c r="D5012" s="257">
        <v>0</v>
      </c>
      <c r="E5012" s="257"/>
      <c r="F5012" s="257" t="s">
        <v>7643</v>
      </c>
      <c r="G5012" s="256"/>
      <c r="H5012" s="256"/>
      <c r="I5012" s="256"/>
      <c r="J5012" s="256"/>
      <c r="K5012" s="256"/>
      <c r="L5012" s="256"/>
      <c r="M5012" s="256"/>
      <c r="N5012" s="256"/>
      <c r="O5012" s="256"/>
      <c r="P5012" s="256"/>
      <c r="Q5012" s="256"/>
      <c r="R5012" s="256"/>
      <c r="S5012" s="256"/>
      <c r="T5012" s="256"/>
      <c r="U5012" s="256"/>
      <c r="V5012" s="256"/>
      <c r="W5012" s="256"/>
      <c r="X5012" s="256"/>
      <c r="Y5012" s="256"/>
    </row>
    <row r="5013" s="50" customFormat="1" ht="15" customHeight="1" spans="1:25">
      <c r="A5013" s="256">
        <v>5157</v>
      </c>
      <c r="B5013" s="256" t="s">
        <v>7644</v>
      </c>
      <c r="C5013" s="257">
        <f t="shared" si="59"/>
        <v>3.2</v>
      </c>
      <c r="D5013" s="257">
        <v>0</v>
      </c>
      <c r="E5013" s="257"/>
      <c r="F5013" s="257" t="s">
        <v>7645</v>
      </c>
      <c r="G5013" s="256"/>
      <c r="H5013" s="256"/>
      <c r="I5013" s="256"/>
      <c r="J5013" s="256"/>
      <c r="K5013" s="256"/>
      <c r="L5013" s="256"/>
      <c r="M5013" s="256"/>
      <c r="N5013" s="256"/>
      <c r="O5013" s="256"/>
      <c r="P5013" s="256"/>
      <c r="Q5013" s="256"/>
      <c r="R5013" s="256"/>
      <c r="S5013" s="256"/>
      <c r="T5013" s="256"/>
      <c r="U5013" s="256"/>
      <c r="V5013" s="256"/>
      <c r="W5013" s="256"/>
      <c r="X5013" s="256"/>
      <c r="Y5013" s="256"/>
    </row>
    <row r="5014" s="50" customFormat="1" ht="15" customHeight="1" spans="1:25">
      <c r="A5014" s="256">
        <v>5158</v>
      </c>
      <c r="B5014" s="256" t="s">
        <v>7646</v>
      </c>
      <c r="C5014" s="257">
        <v>0</v>
      </c>
      <c r="D5014" s="257">
        <v>1</v>
      </c>
      <c r="E5014" s="257"/>
      <c r="F5014" s="257" t="s">
        <v>7647</v>
      </c>
      <c r="G5014" s="256"/>
      <c r="H5014" s="256"/>
      <c r="I5014" s="256"/>
      <c r="J5014" s="256"/>
      <c r="K5014" s="256"/>
      <c r="L5014" s="256"/>
      <c r="M5014" s="256"/>
      <c r="N5014" s="256"/>
      <c r="O5014" s="256"/>
      <c r="P5014" s="256"/>
      <c r="Q5014" s="256"/>
      <c r="R5014" s="256"/>
      <c r="S5014" s="256"/>
      <c r="T5014" s="256"/>
      <c r="U5014" s="256"/>
      <c r="V5014" s="256"/>
      <c r="W5014" s="256"/>
      <c r="X5014" s="256"/>
      <c r="Y5014" s="256"/>
    </row>
    <row r="5015" s="50" customFormat="1" ht="15" customHeight="1" spans="1:25">
      <c r="A5015" s="256">
        <v>5159</v>
      </c>
      <c r="B5015" s="256" t="s">
        <v>7648</v>
      </c>
      <c r="C5015" s="257">
        <v>1</v>
      </c>
      <c r="D5015" s="257">
        <v>0</v>
      </c>
      <c r="E5015" s="257"/>
      <c r="F5015" s="257" t="s">
        <v>7649</v>
      </c>
      <c r="G5015" s="256"/>
      <c r="H5015" s="256"/>
      <c r="I5015" s="256"/>
      <c r="J5015" s="256"/>
      <c r="K5015" s="256"/>
      <c r="L5015" s="256"/>
      <c r="M5015" s="256"/>
      <c r="N5015" s="256"/>
      <c r="O5015" s="256"/>
      <c r="P5015" s="256"/>
      <c r="Q5015" s="256"/>
      <c r="R5015" s="256"/>
      <c r="S5015" s="256"/>
      <c r="T5015" s="256"/>
      <c r="U5015" s="256"/>
      <c r="V5015" s="256"/>
      <c r="W5015" s="256"/>
      <c r="X5015" s="256"/>
      <c r="Y5015" s="256"/>
    </row>
    <row r="5016" s="50" customFormat="1" ht="15" customHeight="1" spans="1:25">
      <c r="A5016" s="256">
        <v>5160</v>
      </c>
      <c r="B5016" s="256" t="s">
        <v>7650</v>
      </c>
      <c r="C5016" s="257">
        <v>2.5</v>
      </c>
      <c r="D5016" s="257">
        <v>0</v>
      </c>
      <c r="E5016" s="257"/>
      <c r="F5016" s="257" t="s">
        <v>7651</v>
      </c>
      <c r="G5016" s="256"/>
      <c r="H5016" s="256"/>
      <c r="I5016" s="256"/>
      <c r="J5016" s="256"/>
      <c r="K5016" s="256"/>
      <c r="L5016" s="256"/>
      <c r="M5016" s="256"/>
      <c r="N5016" s="256"/>
      <c r="O5016" s="256"/>
      <c r="P5016" s="256"/>
      <c r="Q5016" s="256"/>
      <c r="R5016" s="256"/>
      <c r="S5016" s="256"/>
      <c r="T5016" s="256"/>
      <c r="U5016" s="256"/>
      <c r="V5016" s="256"/>
      <c r="W5016" s="256"/>
      <c r="X5016" s="256"/>
      <c r="Y5016" s="256"/>
    </row>
    <row r="5017" s="17" customFormat="1" spans="1:8">
      <c r="A5017" s="287">
        <v>5161</v>
      </c>
      <c r="B5017" s="287" t="s">
        <v>7652</v>
      </c>
      <c r="C5017" s="288">
        <v>7</v>
      </c>
      <c r="D5017" s="289">
        <v>0</v>
      </c>
      <c r="E5017" s="289"/>
      <c r="F5017" s="289" t="s">
        <v>7653</v>
      </c>
      <c r="G5017" s="290"/>
      <c r="H5017" s="34"/>
    </row>
    <row r="5018" s="17" customFormat="1" spans="1:8">
      <c r="A5018" s="287">
        <v>5162</v>
      </c>
      <c r="B5018" s="287" t="s">
        <v>7654</v>
      </c>
      <c r="C5018" s="288">
        <v>8.933</v>
      </c>
      <c r="D5018" s="289">
        <v>0</v>
      </c>
      <c r="E5018" s="289"/>
      <c r="F5018" s="289" t="s">
        <v>7655</v>
      </c>
      <c r="G5018" s="290"/>
      <c r="H5018" s="34"/>
    </row>
    <row r="5019" s="17" customFormat="1" spans="1:8">
      <c r="A5019" s="287">
        <v>5163</v>
      </c>
      <c r="B5019" s="287" t="s">
        <v>7656</v>
      </c>
      <c r="C5019" s="288">
        <v>8.933</v>
      </c>
      <c r="D5019" s="289">
        <v>0</v>
      </c>
      <c r="E5019" s="289"/>
      <c r="F5019" s="289" t="s">
        <v>7657</v>
      </c>
      <c r="G5019" s="290"/>
      <c r="H5019" s="34"/>
    </row>
    <row r="5020" s="17" customFormat="1" spans="1:8">
      <c r="A5020" s="287">
        <v>5164</v>
      </c>
      <c r="B5020" s="287" t="s">
        <v>7658</v>
      </c>
      <c r="C5020" s="288">
        <v>8.933</v>
      </c>
      <c r="D5020" s="289">
        <v>0</v>
      </c>
      <c r="E5020" s="289"/>
      <c r="F5020" s="289" t="s">
        <v>7659</v>
      </c>
      <c r="G5020" s="290"/>
      <c r="H5020" s="34"/>
    </row>
    <row r="5021" s="17" customFormat="1" spans="1:8">
      <c r="A5021" s="287">
        <v>5165</v>
      </c>
      <c r="B5021" s="287" t="s">
        <v>7660</v>
      </c>
      <c r="C5021" s="288">
        <v>8.933</v>
      </c>
      <c r="D5021" s="289">
        <v>0</v>
      </c>
      <c r="E5021" s="289"/>
      <c r="F5021" s="289" t="s">
        <v>7661</v>
      </c>
      <c r="G5021" s="290"/>
      <c r="H5021" s="34"/>
    </row>
    <row r="5022" s="17" customFormat="1" spans="1:8">
      <c r="A5022" s="287">
        <v>5166</v>
      </c>
      <c r="B5022" s="287" t="s">
        <v>7662</v>
      </c>
      <c r="C5022" s="288">
        <v>8.933</v>
      </c>
      <c r="D5022" s="289">
        <v>0</v>
      </c>
      <c r="E5022" s="289"/>
      <c r="F5022" s="289" t="s">
        <v>7663</v>
      </c>
      <c r="G5022" s="290"/>
      <c r="H5022" s="34"/>
    </row>
    <row r="5023" s="17" customFormat="1" spans="1:8">
      <c r="A5023" s="287">
        <v>5167</v>
      </c>
      <c r="B5023" s="287" t="s">
        <v>7664</v>
      </c>
      <c r="C5023" s="288">
        <v>8.933</v>
      </c>
      <c r="D5023" s="289">
        <v>0</v>
      </c>
      <c r="E5023" s="289"/>
      <c r="F5023" s="289" t="s">
        <v>7665</v>
      </c>
      <c r="G5023" s="290"/>
      <c r="H5023" s="34"/>
    </row>
    <row r="5024" s="17" customFormat="1" spans="1:8">
      <c r="A5024" s="287">
        <v>5168</v>
      </c>
      <c r="B5024" s="287" t="s">
        <v>7666</v>
      </c>
      <c r="C5024" s="288">
        <v>8.933</v>
      </c>
      <c r="D5024" s="289">
        <v>0</v>
      </c>
      <c r="E5024" s="289"/>
      <c r="F5024" s="289" t="s">
        <v>7667</v>
      </c>
      <c r="G5024" s="290"/>
      <c r="H5024" s="34"/>
    </row>
    <row r="5025" s="17" customFormat="1" spans="1:8">
      <c r="A5025" s="287">
        <v>5169</v>
      </c>
      <c r="B5025" s="287" t="s">
        <v>7668</v>
      </c>
      <c r="C5025" s="288">
        <v>8.933</v>
      </c>
      <c r="D5025" s="289">
        <v>0</v>
      </c>
      <c r="E5025" s="289"/>
      <c r="F5025" s="289" t="s">
        <v>7669</v>
      </c>
      <c r="G5025" s="290"/>
      <c r="H5025" s="34"/>
    </row>
    <row r="5026" spans="1:7">
      <c r="A5026" s="1">
        <v>100001</v>
      </c>
      <c r="B5026" s="1" t="s">
        <v>7670</v>
      </c>
      <c r="C5026" s="274">
        <v>1</v>
      </c>
      <c r="D5026" s="2">
        <v>1</v>
      </c>
      <c r="E5026" s="2" t="s">
        <v>7671</v>
      </c>
      <c r="F5026" s="2" t="s">
        <v>7672</v>
      </c>
      <c r="G5026" s="160"/>
    </row>
    <row r="5027" spans="1:7">
      <c r="A5027" s="1">
        <v>100002</v>
      </c>
      <c r="B5027" s="1" t="s">
        <v>7673</v>
      </c>
      <c r="C5027" s="274">
        <v>1</v>
      </c>
      <c r="D5027" s="2">
        <v>1</v>
      </c>
      <c r="E5027" s="2" t="s">
        <v>7671</v>
      </c>
      <c r="F5027" s="2" t="s">
        <v>7674</v>
      </c>
      <c r="G5027" s="160"/>
    </row>
    <row r="5028" spans="1:6">
      <c r="A5028" s="1">
        <v>100003</v>
      </c>
      <c r="B5028" s="1" t="s">
        <v>7675</v>
      </c>
      <c r="C5028" s="274">
        <v>1</v>
      </c>
      <c r="D5028" s="2">
        <v>1</v>
      </c>
      <c r="E5028" s="2" t="s">
        <v>7671</v>
      </c>
      <c r="F5028" s="2" t="s">
        <v>7676</v>
      </c>
    </row>
    <row r="5029" spans="1:6">
      <c r="A5029" s="1">
        <v>100004</v>
      </c>
      <c r="B5029" s="1" t="s">
        <v>7677</v>
      </c>
      <c r="C5029" s="274">
        <v>1</v>
      </c>
      <c r="D5029" s="2">
        <v>1</v>
      </c>
      <c r="E5029" s="2" t="s">
        <v>7671</v>
      </c>
      <c r="F5029" s="2" t="s">
        <v>7678</v>
      </c>
    </row>
    <row r="5030" spans="1:6">
      <c r="A5030" s="1">
        <v>100005</v>
      </c>
      <c r="B5030" s="1" t="s">
        <v>7679</v>
      </c>
      <c r="C5030" s="274">
        <v>1</v>
      </c>
      <c r="D5030" s="2">
        <v>1</v>
      </c>
      <c r="E5030" s="2" t="s">
        <v>7671</v>
      </c>
      <c r="F5030" s="2" t="s">
        <v>7680</v>
      </c>
    </row>
    <row r="5031" spans="1:6">
      <c r="A5031" s="1">
        <v>100006</v>
      </c>
      <c r="B5031" s="1" t="s">
        <v>7679</v>
      </c>
      <c r="C5031" s="274">
        <v>1</v>
      </c>
      <c r="D5031" s="2">
        <v>1</v>
      </c>
      <c r="E5031" s="2" t="s">
        <v>7671</v>
      </c>
      <c r="F5031" s="2" t="s">
        <v>7681</v>
      </c>
    </row>
    <row r="5032" spans="1:7">
      <c r="A5032" s="1">
        <v>100007</v>
      </c>
      <c r="B5032" s="1" t="s">
        <v>7682</v>
      </c>
      <c r="C5032" s="274">
        <v>1</v>
      </c>
      <c r="D5032" s="2">
        <v>1</v>
      </c>
      <c r="E5032" s="2" t="s">
        <v>7671</v>
      </c>
      <c r="F5032" s="2" t="s">
        <v>7683</v>
      </c>
      <c r="G5032" s="2">
        <f>9/30</f>
        <v>0.3</v>
      </c>
    </row>
    <row r="5033" spans="1:7">
      <c r="A5033" s="1">
        <v>100008</v>
      </c>
      <c r="B5033" s="1" t="s">
        <v>7684</v>
      </c>
      <c r="C5033" s="274">
        <v>1</v>
      </c>
      <c r="D5033" s="2">
        <v>1</v>
      </c>
      <c r="E5033" s="2" t="s">
        <v>7671</v>
      </c>
      <c r="F5033" s="2" t="s">
        <v>7685</v>
      </c>
      <c r="G5033" s="2">
        <f>35/30</f>
        <v>1.16666666666667</v>
      </c>
    </row>
    <row r="5034" spans="1:6">
      <c r="A5034" s="1">
        <v>100009</v>
      </c>
      <c r="B5034" s="1" t="s">
        <v>7686</v>
      </c>
      <c r="C5034" s="274">
        <v>2</v>
      </c>
      <c r="D5034" s="2">
        <v>0</v>
      </c>
      <c r="E5034" s="2" t="s">
        <v>7671</v>
      </c>
      <c r="F5034" s="2" t="s">
        <v>7687</v>
      </c>
    </row>
    <row r="5035" spans="1:6">
      <c r="A5035" s="1">
        <v>100010</v>
      </c>
      <c r="B5035" s="1" t="s">
        <v>7688</v>
      </c>
      <c r="C5035" s="274">
        <v>2</v>
      </c>
      <c r="D5035" s="2">
        <v>0</v>
      </c>
      <c r="E5035" s="2" t="s">
        <v>7671</v>
      </c>
      <c r="F5035" s="2" t="s">
        <v>7689</v>
      </c>
    </row>
    <row r="5036" spans="1:6">
      <c r="A5036" s="1">
        <v>100011</v>
      </c>
      <c r="B5036" s="1" t="s">
        <v>7690</v>
      </c>
      <c r="C5036" s="2">
        <v>2</v>
      </c>
      <c r="D5036" s="2">
        <v>0</v>
      </c>
      <c r="E5036" s="2" t="s">
        <v>7671</v>
      </c>
      <c r="F5036" s="2" t="s">
        <v>7691</v>
      </c>
    </row>
    <row r="5037" spans="1:6">
      <c r="A5037" s="1">
        <v>100012</v>
      </c>
      <c r="B5037" s="1" t="s">
        <v>7692</v>
      </c>
      <c r="C5037" s="2">
        <v>2</v>
      </c>
      <c r="D5037" s="2">
        <v>0</v>
      </c>
      <c r="E5037" s="2" t="s">
        <v>7671</v>
      </c>
      <c r="F5037" s="2" t="s">
        <v>7693</v>
      </c>
    </row>
    <row r="5038" spans="1:6">
      <c r="A5038" s="1">
        <v>100013</v>
      </c>
      <c r="B5038" s="1" t="s">
        <v>7694</v>
      </c>
      <c r="C5038" s="2">
        <v>2</v>
      </c>
      <c r="D5038" s="2">
        <v>0</v>
      </c>
      <c r="E5038" s="2" t="s">
        <v>7671</v>
      </c>
      <c r="F5038" s="2" t="s">
        <v>7695</v>
      </c>
    </row>
    <row r="5039" spans="1:6">
      <c r="A5039" s="1">
        <v>100014</v>
      </c>
      <c r="B5039" s="1" t="s">
        <v>7696</v>
      </c>
      <c r="C5039" s="2">
        <v>2</v>
      </c>
      <c r="D5039" s="2">
        <v>0</v>
      </c>
      <c r="E5039" s="2" t="s">
        <v>7671</v>
      </c>
      <c r="F5039" s="2" t="s">
        <v>7697</v>
      </c>
    </row>
    <row r="5040" spans="1:6">
      <c r="A5040" s="1">
        <v>100015</v>
      </c>
      <c r="B5040" s="1" t="s">
        <v>7698</v>
      </c>
      <c r="C5040" s="2">
        <v>2</v>
      </c>
      <c r="D5040" s="2">
        <v>0</v>
      </c>
      <c r="E5040" s="2" t="s">
        <v>7671</v>
      </c>
      <c r="F5040" s="2" t="s">
        <v>7699</v>
      </c>
    </row>
    <row r="5041" spans="1:6">
      <c r="A5041" s="1">
        <v>100016</v>
      </c>
      <c r="B5041" s="1" t="s">
        <v>7700</v>
      </c>
      <c r="C5041" s="2">
        <v>2</v>
      </c>
      <c r="D5041" s="2">
        <v>0</v>
      </c>
      <c r="E5041" s="2" t="s">
        <v>7671</v>
      </c>
      <c r="F5041" s="2" t="s">
        <v>7701</v>
      </c>
    </row>
    <row r="5042" spans="1:6">
      <c r="A5042" s="1">
        <v>100017</v>
      </c>
      <c r="B5042" s="1" t="s">
        <v>7702</v>
      </c>
      <c r="C5042" s="2">
        <v>2</v>
      </c>
      <c r="D5042" s="2">
        <v>0</v>
      </c>
      <c r="E5042" s="2" t="s">
        <v>7671</v>
      </c>
      <c r="F5042" s="2" t="s">
        <v>7703</v>
      </c>
    </row>
    <row r="5043" spans="1:6">
      <c r="A5043" s="1">
        <v>100018</v>
      </c>
      <c r="B5043" s="1" t="s">
        <v>7704</v>
      </c>
      <c r="C5043" s="2">
        <v>3</v>
      </c>
      <c r="D5043" s="2">
        <v>0</v>
      </c>
      <c r="E5043" s="2" t="s">
        <v>7671</v>
      </c>
      <c r="F5043" s="2" t="s">
        <v>7705</v>
      </c>
    </row>
    <row r="5044" spans="1:6">
      <c r="A5044" s="1">
        <v>100019</v>
      </c>
      <c r="B5044" s="1" t="s">
        <v>7706</v>
      </c>
      <c r="C5044" s="2">
        <v>2</v>
      </c>
      <c r="D5044" s="2">
        <v>0</v>
      </c>
      <c r="E5044" s="2" t="s">
        <v>7671</v>
      </c>
      <c r="F5044" s="2" t="s">
        <v>7707</v>
      </c>
    </row>
    <row r="5045" spans="1:6">
      <c r="A5045" s="1">
        <v>100020</v>
      </c>
      <c r="B5045" s="1" t="s">
        <v>7708</v>
      </c>
      <c r="C5045" s="2">
        <v>2</v>
      </c>
      <c r="D5045" s="2">
        <v>0</v>
      </c>
      <c r="E5045" s="2" t="s">
        <v>7671</v>
      </c>
      <c r="F5045" s="2" t="s">
        <v>7709</v>
      </c>
    </row>
    <row r="5046" spans="1:6">
      <c r="A5046" s="1">
        <v>100021</v>
      </c>
      <c r="B5046" s="1" t="s">
        <v>7710</v>
      </c>
      <c r="C5046" s="2">
        <v>2</v>
      </c>
      <c r="D5046" s="2">
        <v>0</v>
      </c>
      <c r="E5046" s="2" t="s">
        <v>7671</v>
      </c>
      <c r="F5046" s="2" t="s">
        <v>7711</v>
      </c>
    </row>
    <row r="5047" spans="1:6">
      <c r="A5047" s="1">
        <v>100022</v>
      </c>
      <c r="B5047" s="1" t="s">
        <v>7712</v>
      </c>
      <c r="C5047" s="2">
        <v>2</v>
      </c>
      <c r="D5047" s="2">
        <v>0</v>
      </c>
      <c r="E5047" s="2" t="s">
        <v>7671</v>
      </c>
      <c r="F5047" s="2" t="s">
        <v>7713</v>
      </c>
    </row>
    <row r="5048" spans="1:6">
      <c r="A5048" s="1">
        <v>100023</v>
      </c>
      <c r="B5048" s="1" t="s">
        <v>7714</v>
      </c>
      <c r="C5048" s="2">
        <v>2</v>
      </c>
      <c r="D5048" s="2">
        <v>0</v>
      </c>
      <c r="E5048" s="2" t="s">
        <v>7671</v>
      </c>
      <c r="F5048" s="2" t="s">
        <v>7715</v>
      </c>
    </row>
    <row r="5049" spans="1:6">
      <c r="A5049" s="1">
        <v>100024</v>
      </c>
      <c r="B5049" s="1" t="s">
        <v>7716</v>
      </c>
      <c r="C5049" s="2">
        <v>2</v>
      </c>
      <c r="D5049" s="2">
        <v>0</v>
      </c>
      <c r="E5049" s="2" t="s">
        <v>7671</v>
      </c>
      <c r="F5049" s="2" t="s">
        <v>7717</v>
      </c>
    </row>
    <row r="5050" spans="1:6">
      <c r="A5050" s="1">
        <v>100025</v>
      </c>
      <c r="B5050" s="1" t="s">
        <v>7718</v>
      </c>
      <c r="C5050" s="2">
        <v>2</v>
      </c>
      <c r="D5050" s="2">
        <v>0</v>
      </c>
      <c r="E5050" s="2" t="s">
        <v>7671</v>
      </c>
      <c r="F5050" s="2" t="s">
        <v>7719</v>
      </c>
    </row>
    <row r="5051" spans="1:6">
      <c r="A5051" s="1">
        <v>100026</v>
      </c>
      <c r="B5051" s="1" t="s">
        <v>7720</v>
      </c>
      <c r="C5051" s="2">
        <v>2</v>
      </c>
      <c r="D5051" s="2">
        <v>0</v>
      </c>
      <c r="E5051" s="2" t="s">
        <v>7671</v>
      </c>
      <c r="F5051" s="2" t="s">
        <v>7721</v>
      </c>
    </row>
    <row r="5052" spans="1:6">
      <c r="A5052" s="1">
        <v>100027</v>
      </c>
      <c r="B5052" s="1" t="s">
        <v>7722</v>
      </c>
      <c r="C5052" s="2">
        <v>2</v>
      </c>
      <c r="D5052" s="2">
        <v>1</v>
      </c>
      <c r="E5052" s="2" t="s">
        <v>7671</v>
      </c>
      <c r="F5052" s="2" t="s">
        <v>7723</v>
      </c>
    </row>
    <row r="5053" spans="1:6">
      <c r="A5053" s="1">
        <v>100028</v>
      </c>
      <c r="B5053" s="1" t="s">
        <v>7724</v>
      </c>
      <c r="C5053" s="2">
        <v>2</v>
      </c>
      <c r="D5053" s="2">
        <v>0</v>
      </c>
      <c r="E5053" s="2" t="s">
        <v>7671</v>
      </c>
      <c r="F5053" s="2" t="s">
        <v>7725</v>
      </c>
    </row>
    <row r="5054" spans="1:6">
      <c r="A5054" s="1">
        <v>100029</v>
      </c>
      <c r="B5054" s="1" t="s">
        <v>7726</v>
      </c>
      <c r="C5054" s="2">
        <v>2</v>
      </c>
      <c r="D5054" s="2">
        <v>0</v>
      </c>
      <c r="E5054" s="2" t="s">
        <v>7671</v>
      </c>
      <c r="F5054" s="2" t="s">
        <v>7727</v>
      </c>
    </row>
    <row r="5055" spans="1:6">
      <c r="A5055" s="1">
        <v>100030</v>
      </c>
      <c r="B5055" s="1" t="s">
        <v>7728</v>
      </c>
      <c r="C5055" s="2">
        <v>2</v>
      </c>
      <c r="D5055" s="2">
        <v>0</v>
      </c>
      <c r="E5055" s="2" t="s">
        <v>7671</v>
      </c>
      <c r="F5055" s="2" t="s">
        <v>7729</v>
      </c>
    </row>
    <row r="5056" spans="1:6">
      <c r="A5056" s="1">
        <v>100031</v>
      </c>
      <c r="B5056" s="1" t="s">
        <v>7730</v>
      </c>
      <c r="C5056" s="2">
        <v>2</v>
      </c>
      <c r="D5056" s="2">
        <v>0</v>
      </c>
      <c r="E5056" s="2" t="s">
        <v>7671</v>
      </c>
      <c r="F5056" s="2" t="s">
        <v>7731</v>
      </c>
    </row>
    <row r="5057" spans="1:6">
      <c r="A5057" s="1">
        <v>100032</v>
      </c>
      <c r="B5057" s="1" t="s">
        <v>7732</v>
      </c>
      <c r="C5057" s="2">
        <v>2</v>
      </c>
      <c r="D5057" s="2">
        <v>0</v>
      </c>
      <c r="E5057" s="2" t="s">
        <v>7671</v>
      </c>
      <c r="F5057" s="2" t="s">
        <v>7733</v>
      </c>
    </row>
    <row r="5058" spans="1:6">
      <c r="A5058" s="1">
        <v>100033</v>
      </c>
      <c r="B5058" s="1" t="s">
        <v>7734</v>
      </c>
      <c r="C5058" s="2">
        <v>2</v>
      </c>
      <c r="D5058" s="2">
        <v>0</v>
      </c>
      <c r="E5058" s="2" t="s">
        <v>7671</v>
      </c>
      <c r="F5058" s="2" t="s">
        <v>7735</v>
      </c>
    </row>
    <row r="5059" spans="1:6">
      <c r="A5059" s="1">
        <v>100034</v>
      </c>
      <c r="B5059" s="1" t="s">
        <v>7736</v>
      </c>
      <c r="C5059" s="2">
        <v>2</v>
      </c>
      <c r="D5059" s="2">
        <v>0</v>
      </c>
      <c r="E5059" s="2" t="s">
        <v>7671</v>
      </c>
      <c r="F5059" s="2" t="s">
        <v>7737</v>
      </c>
    </row>
    <row r="5060" spans="1:6">
      <c r="A5060" s="1">
        <v>100035</v>
      </c>
      <c r="B5060" s="1" t="s">
        <v>7738</v>
      </c>
      <c r="C5060" s="2">
        <v>2</v>
      </c>
      <c r="D5060" s="2">
        <v>0</v>
      </c>
      <c r="E5060" s="2" t="s">
        <v>7671</v>
      </c>
      <c r="F5060" s="2" t="s">
        <v>7739</v>
      </c>
    </row>
    <row r="5061" spans="1:6">
      <c r="A5061" s="1">
        <v>100036</v>
      </c>
      <c r="B5061" s="1" t="s">
        <v>7740</v>
      </c>
      <c r="C5061" s="2">
        <v>2</v>
      </c>
      <c r="D5061" s="2">
        <v>0</v>
      </c>
      <c r="E5061" s="2" t="s">
        <v>7671</v>
      </c>
      <c r="F5061" s="2" t="s">
        <v>7741</v>
      </c>
    </row>
    <row r="5062" spans="1:6">
      <c r="A5062" s="1">
        <v>100037</v>
      </c>
      <c r="B5062" s="1" t="s">
        <v>7742</v>
      </c>
      <c r="C5062" s="2">
        <v>2</v>
      </c>
      <c r="D5062" s="2">
        <v>0</v>
      </c>
      <c r="E5062" s="2" t="s">
        <v>7671</v>
      </c>
      <c r="F5062" s="2" t="s">
        <v>7743</v>
      </c>
    </row>
    <row r="5063" spans="1:6">
      <c r="A5063" s="1">
        <v>100038</v>
      </c>
      <c r="B5063" s="1" t="s">
        <v>7744</v>
      </c>
      <c r="C5063" s="2">
        <v>2</v>
      </c>
      <c r="D5063" s="2">
        <v>1</v>
      </c>
      <c r="E5063" s="2" t="s">
        <v>7671</v>
      </c>
      <c r="F5063" s="2" t="s">
        <v>7745</v>
      </c>
    </row>
    <row r="5064" spans="1:6">
      <c r="A5064" s="1">
        <v>100039</v>
      </c>
      <c r="B5064" s="1" t="s">
        <v>7746</v>
      </c>
      <c r="C5064" s="2">
        <v>2</v>
      </c>
      <c r="D5064" s="2">
        <v>0</v>
      </c>
      <c r="E5064" s="2" t="s">
        <v>7671</v>
      </c>
      <c r="F5064" s="2" t="s">
        <v>7747</v>
      </c>
    </row>
    <row r="5065" spans="1:6">
      <c r="A5065" s="1">
        <v>100040</v>
      </c>
      <c r="B5065" s="1" t="s">
        <v>7748</v>
      </c>
      <c r="C5065" s="2">
        <v>2</v>
      </c>
      <c r="D5065" s="2">
        <v>0</v>
      </c>
      <c r="E5065" s="2" t="s">
        <v>7671</v>
      </c>
      <c r="F5065" s="2" t="s">
        <v>7749</v>
      </c>
    </row>
    <row r="5066" spans="1:6">
      <c r="A5066" s="1">
        <v>100041</v>
      </c>
      <c r="B5066" s="1" t="s">
        <v>7750</v>
      </c>
      <c r="C5066" s="2">
        <v>2</v>
      </c>
      <c r="D5066" s="2">
        <v>0</v>
      </c>
      <c r="E5066" s="2" t="s">
        <v>7671</v>
      </c>
      <c r="F5066" s="2" t="s">
        <v>7751</v>
      </c>
    </row>
    <row r="5067" spans="1:6">
      <c r="A5067" s="1">
        <v>100042</v>
      </c>
      <c r="B5067" s="1" t="s">
        <v>7752</v>
      </c>
      <c r="C5067" s="2">
        <v>2</v>
      </c>
      <c r="D5067" s="2">
        <v>0</v>
      </c>
      <c r="E5067" s="2" t="s">
        <v>7671</v>
      </c>
      <c r="F5067" s="2" t="s">
        <v>7753</v>
      </c>
    </row>
    <row r="5068" spans="1:8">
      <c r="A5068" s="1">
        <v>100043</v>
      </c>
      <c r="B5068" s="1" t="s">
        <v>7754</v>
      </c>
      <c r="C5068" s="2">
        <v>2</v>
      </c>
      <c r="D5068" s="2">
        <v>0</v>
      </c>
      <c r="E5068" s="2" t="s">
        <v>7671</v>
      </c>
      <c r="F5068" s="2" t="s">
        <v>7755</v>
      </c>
      <c r="H5068" s="10"/>
    </row>
    <row r="5069" spans="1:8">
      <c r="A5069" s="1">
        <v>100044</v>
      </c>
      <c r="B5069" s="1" t="s">
        <v>7756</v>
      </c>
      <c r="C5069" s="2">
        <v>2</v>
      </c>
      <c r="D5069" s="2">
        <v>0</v>
      </c>
      <c r="E5069" s="2" t="s">
        <v>7671</v>
      </c>
      <c r="F5069" s="2" t="s">
        <v>7757</v>
      </c>
      <c r="H5069" s="10"/>
    </row>
    <row r="5070" spans="1:8">
      <c r="A5070" s="1">
        <v>100045</v>
      </c>
      <c r="B5070" s="1" t="s">
        <v>7758</v>
      </c>
      <c r="C5070" s="2">
        <v>2</v>
      </c>
      <c r="D5070" s="2">
        <v>0</v>
      </c>
      <c r="E5070" s="2" t="s">
        <v>7671</v>
      </c>
      <c r="F5070" s="2" t="s">
        <v>7759</v>
      </c>
      <c r="H5070" s="10"/>
    </row>
    <row r="5071" spans="1:8">
      <c r="A5071" s="1">
        <v>100046</v>
      </c>
      <c r="B5071" s="1" t="s">
        <v>7760</v>
      </c>
      <c r="C5071" s="2">
        <v>2</v>
      </c>
      <c r="D5071" s="2">
        <v>0</v>
      </c>
      <c r="E5071" s="2" t="s">
        <v>7671</v>
      </c>
      <c r="F5071" s="2" t="s">
        <v>7761</v>
      </c>
      <c r="H5071" s="10"/>
    </row>
    <row r="5072" spans="1:8">
      <c r="A5072" s="1">
        <v>100047</v>
      </c>
      <c r="B5072" s="1" t="s">
        <v>7762</v>
      </c>
      <c r="C5072" s="2">
        <v>2</v>
      </c>
      <c r="D5072" s="2">
        <v>0</v>
      </c>
      <c r="E5072" s="2" t="s">
        <v>7671</v>
      </c>
      <c r="F5072" s="2" t="s">
        <v>7763</v>
      </c>
      <c r="H5072" s="10"/>
    </row>
    <row r="5073" spans="1:8">
      <c r="A5073" s="1">
        <v>100048</v>
      </c>
      <c r="B5073" s="1" t="s">
        <v>7764</v>
      </c>
      <c r="C5073" s="2">
        <v>2</v>
      </c>
      <c r="D5073" s="2">
        <v>0</v>
      </c>
      <c r="E5073" s="2" t="s">
        <v>7671</v>
      </c>
      <c r="F5073" s="2" t="s">
        <v>7765</v>
      </c>
      <c r="H5073" s="10"/>
    </row>
    <row r="5074" spans="1:8">
      <c r="A5074" s="1">
        <v>100049</v>
      </c>
      <c r="B5074" s="1" t="s">
        <v>7766</v>
      </c>
      <c r="C5074" s="2">
        <v>2</v>
      </c>
      <c r="D5074" s="2">
        <v>0</v>
      </c>
      <c r="E5074" s="2" t="s">
        <v>7671</v>
      </c>
      <c r="F5074" s="2" t="s">
        <v>7767</v>
      </c>
      <c r="H5074" s="10"/>
    </row>
    <row r="5075" spans="1:8">
      <c r="A5075" s="1">
        <v>100050</v>
      </c>
      <c r="B5075" s="1" t="s">
        <v>7768</v>
      </c>
      <c r="C5075" s="2">
        <v>2</v>
      </c>
      <c r="D5075" s="2">
        <v>0</v>
      </c>
      <c r="E5075" s="2" t="s">
        <v>7671</v>
      </c>
      <c r="F5075" s="2" t="s">
        <v>7769</v>
      </c>
      <c r="H5075" s="10"/>
    </row>
    <row r="5076" spans="1:8">
      <c r="A5076" s="1">
        <v>100051</v>
      </c>
      <c r="B5076" s="1" t="s">
        <v>7770</v>
      </c>
      <c r="C5076" s="2">
        <v>2</v>
      </c>
      <c r="D5076" s="2">
        <v>0</v>
      </c>
      <c r="E5076" s="2" t="s">
        <v>7671</v>
      </c>
      <c r="F5076" s="2" t="s">
        <v>7771</v>
      </c>
      <c r="H5076" s="10"/>
    </row>
    <row r="5077" spans="1:8">
      <c r="A5077" s="1">
        <v>100052</v>
      </c>
      <c r="B5077" s="1" t="s">
        <v>7772</v>
      </c>
      <c r="C5077" s="2">
        <v>2</v>
      </c>
      <c r="D5077" s="2">
        <v>0</v>
      </c>
      <c r="E5077" s="2" t="s">
        <v>7671</v>
      </c>
      <c r="F5077" s="2" t="s">
        <v>7773</v>
      </c>
      <c r="H5077" s="10"/>
    </row>
    <row r="5078" spans="1:8">
      <c r="A5078" s="1">
        <v>100053</v>
      </c>
      <c r="B5078" s="1" t="s">
        <v>7774</v>
      </c>
      <c r="C5078" s="2">
        <v>2</v>
      </c>
      <c r="D5078" s="2">
        <v>0</v>
      </c>
      <c r="E5078" s="2" t="s">
        <v>7671</v>
      </c>
      <c r="F5078" s="2" t="s">
        <v>7775</v>
      </c>
      <c r="H5078" s="10"/>
    </row>
    <row r="5079" spans="1:8">
      <c r="A5079" s="1">
        <v>100054</v>
      </c>
      <c r="B5079" s="1" t="s">
        <v>7776</v>
      </c>
      <c r="C5079" s="2">
        <v>2</v>
      </c>
      <c r="D5079" s="2">
        <v>0</v>
      </c>
      <c r="E5079" s="2" t="s">
        <v>7671</v>
      </c>
      <c r="F5079" s="2" t="s">
        <v>7777</v>
      </c>
      <c r="H5079" s="10"/>
    </row>
    <row r="5080" spans="1:8">
      <c r="A5080" s="1">
        <v>100055</v>
      </c>
      <c r="B5080" s="1" t="s">
        <v>7778</v>
      </c>
      <c r="C5080" s="2">
        <v>2</v>
      </c>
      <c r="D5080" s="2">
        <v>1</v>
      </c>
      <c r="E5080" s="2" t="s">
        <v>7671</v>
      </c>
      <c r="F5080" s="2" t="s">
        <v>7779</v>
      </c>
      <c r="H5080" s="10"/>
    </row>
    <row r="5081" spans="1:8">
      <c r="A5081" s="1">
        <v>100056</v>
      </c>
      <c r="B5081" s="1" t="s">
        <v>7780</v>
      </c>
      <c r="C5081" s="2">
        <v>2</v>
      </c>
      <c r="D5081" s="2">
        <v>0</v>
      </c>
      <c r="E5081" s="2" t="s">
        <v>7671</v>
      </c>
      <c r="F5081" s="2" t="s">
        <v>7781</v>
      </c>
      <c r="H5081" s="10"/>
    </row>
    <row r="5082" spans="1:8">
      <c r="A5082" s="1">
        <v>100057</v>
      </c>
      <c r="B5082" s="1" t="s">
        <v>7782</v>
      </c>
      <c r="C5082" s="2">
        <v>2</v>
      </c>
      <c r="D5082" s="2">
        <v>0</v>
      </c>
      <c r="E5082" s="2" t="s">
        <v>7671</v>
      </c>
      <c r="F5082" s="2" t="s">
        <v>7783</v>
      </c>
      <c r="H5082" s="10"/>
    </row>
    <row r="5083" spans="1:8">
      <c r="A5083" s="1">
        <v>100058</v>
      </c>
      <c r="B5083" s="1" t="s">
        <v>7784</v>
      </c>
      <c r="C5083" s="2">
        <v>2</v>
      </c>
      <c r="D5083" s="2">
        <v>0</v>
      </c>
      <c r="E5083" s="2" t="s">
        <v>7671</v>
      </c>
      <c r="F5083" s="2" t="s">
        <v>7785</v>
      </c>
      <c r="H5083" s="10"/>
    </row>
    <row r="5084" spans="1:6">
      <c r="A5084" s="1">
        <v>100059</v>
      </c>
      <c r="B5084" s="1" t="s">
        <v>7786</v>
      </c>
      <c r="C5084" s="2">
        <v>2</v>
      </c>
      <c r="D5084" s="2">
        <v>0</v>
      </c>
      <c r="E5084" s="2" t="s">
        <v>7671</v>
      </c>
      <c r="F5084" s="2" t="s">
        <v>7787</v>
      </c>
    </row>
    <row r="5085" spans="1:6">
      <c r="A5085" s="1">
        <v>100060</v>
      </c>
      <c r="B5085" s="1" t="s">
        <v>7788</v>
      </c>
      <c r="C5085" s="2">
        <v>2</v>
      </c>
      <c r="D5085" s="2">
        <v>0</v>
      </c>
      <c r="E5085" s="2" t="s">
        <v>7671</v>
      </c>
      <c r="F5085" s="2" t="s">
        <v>7789</v>
      </c>
    </row>
    <row r="5086" spans="1:6">
      <c r="A5086" s="1">
        <v>100061</v>
      </c>
      <c r="B5086" s="56" t="s">
        <v>7790</v>
      </c>
      <c r="C5086" s="2">
        <v>1</v>
      </c>
      <c r="D5086" s="2">
        <v>1</v>
      </c>
      <c r="E5086" s="2" t="s">
        <v>7671</v>
      </c>
      <c r="F5086" s="2" t="s">
        <v>7791</v>
      </c>
    </row>
    <row r="5087" spans="1:6">
      <c r="A5087" s="1">
        <v>100062</v>
      </c>
      <c r="B5087" s="56" t="s">
        <v>7792</v>
      </c>
      <c r="C5087" s="2">
        <v>3.5</v>
      </c>
      <c r="D5087" s="2">
        <v>0</v>
      </c>
      <c r="E5087" s="2" t="s">
        <v>7671</v>
      </c>
      <c r="F5087" s="2" t="s">
        <v>7793</v>
      </c>
    </row>
    <row r="5088" spans="1:6">
      <c r="A5088" s="1">
        <v>100063</v>
      </c>
      <c r="B5088" s="56" t="s">
        <v>7794</v>
      </c>
      <c r="C5088" s="2">
        <v>3.5</v>
      </c>
      <c r="D5088" s="2">
        <v>0</v>
      </c>
      <c r="E5088" s="2" t="s">
        <v>7671</v>
      </c>
      <c r="F5088" s="2" t="s">
        <v>7795</v>
      </c>
    </row>
    <row r="5089" spans="1:6">
      <c r="A5089" s="1">
        <v>100064</v>
      </c>
      <c r="B5089" s="56" t="s">
        <v>7796</v>
      </c>
      <c r="C5089" s="2">
        <v>2.5</v>
      </c>
      <c r="D5089" s="2">
        <v>0</v>
      </c>
      <c r="E5089" s="2" t="s">
        <v>7671</v>
      </c>
      <c r="F5089" s="2" t="s">
        <v>7797</v>
      </c>
    </row>
    <row r="5090" spans="1:7">
      <c r="A5090" s="1">
        <v>100065</v>
      </c>
      <c r="B5090" s="56" t="s">
        <v>7798</v>
      </c>
      <c r="C5090" s="2">
        <v>1</v>
      </c>
      <c r="D5090" s="2">
        <v>0</v>
      </c>
      <c r="E5090" s="2" t="s">
        <v>7671</v>
      </c>
      <c r="F5090" s="2" t="s">
        <v>7799</v>
      </c>
      <c r="G5090" s="2" t="s">
        <v>7800</v>
      </c>
    </row>
    <row r="5091" spans="1:7">
      <c r="A5091" s="1">
        <v>100066</v>
      </c>
      <c r="B5091" s="56" t="s">
        <v>7801</v>
      </c>
      <c r="C5091" s="2">
        <v>2.35</v>
      </c>
      <c r="D5091" s="2">
        <v>0</v>
      </c>
      <c r="E5091" s="2" t="s">
        <v>7671</v>
      </c>
      <c r="F5091" s="2" t="s">
        <v>7802</v>
      </c>
      <c r="G5091" s="2" t="s">
        <v>7803</v>
      </c>
    </row>
    <row r="5092" spans="1:6">
      <c r="A5092" s="1">
        <v>100067</v>
      </c>
      <c r="B5092" s="56" t="s">
        <v>7804</v>
      </c>
      <c r="C5092" s="2">
        <v>3.1</v>
      </c>
      <c r="D5092" s="2">
        <v>0</v>
      </c>
      <c r="E5092" s="2" t="s">
        <v>7671</v>
      </c>
      <c r="F5092" s="2" t="s">
        <v>7805</v>
      </c>
    </row>
    <row r="5093" spans="1:6">
      <c r="A5093" s="1">
        <v>100068</v>
      </c>
      <c r="B5093" s="56" t="s">
        <v>7806</v>
      </c>
      <c r="C5093" s="2">
        <v>1.5</v>
      </c>
      <c r="D5093" s="2">
        <v>0</v>
      </c>
      <c r="E5093" s="2" t="s">
        <v>7671</v>
      </c>
      <c r="F5093" s="2" t="s">
        <v>7807</v>
      </c>
    </row>
    <row r="5094" spans="1:6">
      <c r="A5094" s="1">
        <v>100069</v>
      </c>
      <c r="B5094" s="56" t="s">
        <v>7808</v>
      </c>
      <c r="C5094" s="2">
        <v>1.5</v>
      </c>
      <c r="D5094" s="2">
        <v>0</v>
      </c>
      <c r="E5094" s="2" t="s">
        <v>7671</v>
      </c>
      <c r="F5094" s="2" t="s">
        <v>7809</v>
      </c>
    </row>
    <row r="5095" spans="1:6">
      <c r="A5095" s="1">
        <v>100070</v>
      </c>
      <c r="B5095" s="56" t="s">
        <v>7810</v>
      </c>
      <c r="C5095" s="85">
        <v>1</v>
      </c>
      <c r="D5095" s="2">
        <v>1</v>
      </c>
      <c r="E5095" s="2" t="s">
        <v>7671</v>
      </c>
      <c r="F5095" s="2" t="s">
        <v>7811</v>
      </c>
    </row>
    <row r="5096" spans="1:6">
      <c r="A5096" s="1">
        <v>100071</v>
      </c>
      <c r="B5096" s="56" t="s">
        <v>7812</v>
      </c>
      <c r="C5096" s="85">
        <v>2.8</v>
      </c>
      <c r="D5096" s="2">
        <v>0</v>
      </c>
      <c r="E5096" s="2" t="s">
        <v>7671</v>
      </c>
      <c r="F5096" s="2" t="s">
        <v>7802</v>
      </c>
    </row>
    <row r="5097" spans="1:6">
      <c r="A5097" s="1">
        <v>100072</v>
      </c>
      <c r="B5097" s="56" t="s">
        <v>7813</v>
      </c>
      <c r="C5097" s="85">
        <v>1</v>
      </c>
      <c r="D5097" s="2">
        <v>1</v>
      </c>
      <c r="E5097" s="2" t="s">
        <v>7671</v>
      </c>
      <c r="F5097" s="2" t="s">
        <v>7802</v>
      </c>
    </row>
    <row r="5098" spans="1:6">
      <c r="A5098" s="1">
        <v>100073</v>
      </c>
      <c r="B5098" s="56" t="s">
        <v>7814</v>
      </c>
      <c r="C5098" s="85">
        <v>2</v>
      </c>
      <c r="D5098" s="2">
        <v>0</v>
      </c>
      <c r="E5098" s="2" t="s">
        <v>7671</v>
      </c>
      <c r="F5098" s="2" t="s">
        <v>7815</v>
      </c>
    </row>
    <row r="5099" spans="1:6">
      <c r="A5099" s="1">
        <v>100074</v>
      </c>
      <c r="B5099" s="56" t="s">
        <v>7816</v>
      </c>
      <c r="C5099" s="85">
        <v>3</v>
      </c>
      <c r="D5099" s="2">
        <v>0</v>
      </c>
      <c r="E5099" s="2" t="s">
        <v>7671</v>
      </c>
      <c r="F5099" s="2" t="s">
        <v>7817</v>
      </c>
    </row>
    <row r="5100" spans="1:6">
      <c r="A5100" s="1">
        <v>100076</v>
      </c>
      <c r="B5100" s="56" t="s">
        <v>7818</v>
      </c>
      <c r="C5100" s="85">
        <v>3</v>
      </c>
      <c r="D5100" s="2">
        <v>0</v>
      </c>
      <c r="E5100" s="2" t="s">
        <v>7671</v>
      </c>
      <c r="F5100" s="2" t="s">
        <v>7819</v>
      </c>
    </row>
    <row r="5101" spans="1:6">
      <c r="A5101" s="1">
        <v>100077</v>
      </c>
      <c r="B5101" s="56" t="s">
        <v>7820</v>
      </c>
      <c r="C5101" s="85">
        <v>1</v>
      </c>
      <c r="D5101" s="2">
        <v>1</v>
      </c>
      <c r="E5101" s="2" t="s">
        <v>7671</v>
      </c>
      <c r="F5101" s="2" t="s">
        <v>7821</v>
      </c>
    </row>
    <row r="5102" spans="1:6">
      <c r="A5102" s="1">
        <v>100078</v>
      </c>
      <c r="B5102" s="56" t="s">
        <v>7822</v>
      </c>
      <c r="C5102" s="85">
        <v>1.5</v>
      </c>
      <c r="D5102" s="2">
        <v>0</v>
      </c>
      <c r="E5102" s="2" t="s">
        <v>7671</v>
      </c>
      <c r="F5102" s="2" t="s">
        <v>7823</v>
      </c>
    </row>
    <row r="5103" spans="1:6">
      <c r="A5103" s="1">
        <v>100079</v>
      </c>
      <c r="B5103" s="56" t="s">
        <v>7824</v>
      </c>
      <c r="C5103" s="85">
        <v>2.5</v>
      </c>
      <c r="D5103" s="2">
        <v>0</v>
      </c>
      <c r="E5103" s="2" t="s">
        <v>7671</v>
      </c>
      <c r="F5103" s="2" t="s">
        <v>7823</v>
      </c>
    </row>
    <row r="5104" spans="1:6">
      <c r="A5104" s="1">
        <v>100080</v>
      </c>
      <c r="B5104" s="56" t="s">
        <v>7825</v>
      </c>
      <c r="C5104" s="85">
        <v>3</v>
      </c>
      <c r="D5104" s="2">
        <v>0</v>
      </c>
      <c r="E5104" s="2" t="s">
        <v>7671</v>
      </c>
      <c r="F5104" s="2" t="s">
        <v>7826</v>
      </c>
    </row>
    <row r="5105" spans="1:6">
      <c r="A5105" s="1">
        <v>100081</v>
      </c>
      <c r="B5105" s="56" t="s">
        <v>7827</v>
      </c>
      <c r="C5105" s="85">
        <v>1</v>
      </c>
      <c r="D5105" s="2">
        <v>0</v>
      </c>
      <c r="E5105" s="2" t="s">
        <v>7671</v>
      </c>
      <c r="F5105" s="2" t="s">
        <v>7828</v>
      </c>
    </row>
    <row r="5106" spans="1:6">
      <c r="A5106" s="1">
        <v>100082</v>
      </c>
      <c r="B5106" s="56" t="s">
        <v>7829</v>
      </c>
      <c r="C5106" s="85">
        <v>3</v>
      </c>
      <c r="D5106" s="2">
        <v>0</v>
      </c>
      <c r="E5106" s="2" t="s">
        <v>7671</v>
      </c>
      <c r="F5106" s="2" t="s">
        <v>7830</v>
      </c>
    </row>
    <row r="5107" spans="1:6">
      <c r="A5107" s="1">
        <v>100083</v>
      </c>
      <c r="B5107" s="1" t="s">
        <v>7686</v>
      </c>
      <c r="C5107" s="85">
        <v>2</v>
      </c>
      <c r="D5107" s="2">
        <v>0</v>
      </c>
      <c r="E5107" s="2" t="s">
        <v>7671</v>
      </c>
      <c r="F5107" s="2" t="s">
        <v>7831</v>
      </c>
    </row>
    <row r="5108" spans="1:6">
      <c r="A5108" s="1">
        <v>100084</v>
      </c>
      <c r="B5108" s="1" t="s">
        <v>7679</v>
      </c>
      <c r="C5108" s="85">
        <v>2</v>
      </c>
      <c r="D5108" s="2">
        <v>0</v>
      </c>
      <c r="E5108" s="2" t="s">
        <v>7671</v>
      </c>
      <c r="F5108" s="2" t="s">
        <v>7832</v>
      </c>
    </row>
    <row r="5109" spans="1:6">
      <c r="A5109" s="1">
        <v>100085</v>
      </c>
      <c r="B5109" s="1" t="s">
        <v>7833</v>
      </c>
      <c r="C5109" s="85">
        <v>2</v>
      </c>
      <c r="D5109" s="2">
        <v>0</v>
      </c>
      <c r="E5109" s="2" t="s">
        <v>7671</v>
      </c>
      <c r="F5109" s="2" t="s">
        <v>7834</v>
      </c>
    </row>
    <row r="5110" spans="1:6">
      <c r="A5110" s="1">
        <v>100086</v>
      </c>
      <c r="B5110" s="1" t="s">
        <v>7835</v>
      </c>
      <c r="C5110" s="85">
        <v>2</v>
      </c>
      <c r="D5110" s="2">
        <v>0</v>
      </c>
      <c r="E5110" s="2" t="s">
        <v>7671</v>
      </c>
      <c r="F5110" s="2" t="s">
        <v>7836</v>
      </c>
    </row>
    <row r="5111" spans="1:6">
      <c r="A5111" s="1">
        <v>100087</v>
      </c>
      <c r="B5111" s="1" t="s">
        <v>7837</v>
      </c>
      <c r="C5111" s="85">
        <v>1</v>
      </c>
      <c r="D5111" s="2">
        <v>1</v>
      </c>
      <c r="E5111" s="2" t="s">
        <v>7671</v>
      </c>
      <c r="F5111" s="2" t="s">
        <v>7838</v>
      </c>
    </row>
    <row r="5112" spans="1:6">
      <c r="A5112" s="1">
        <v>100088</v>
      </c>
      <c r="B5112" s="1" t="s">
        <v>7839</v>
      </c>
      <c r="C5112" s="85">
        <v>1</v>
      </c>
      <c r="D5112" s="2">
        <v>1</v>
      </c>
      <c r="E5112" s="2" t="s">
        <v>7671</v>
      </c>
      <c r="F5112" s="2" t="s">
        <v>7840</v>
      </c>
    </row>
    <row r="5113" spans="1:6">
      <c r="A5113" s="1">
        <v>100089</v>
      </c>
      <c r="B5113" s="1" t="s">
        <v>7841</v>
      </c>
      <c r="C5113" s="85">
        <v>1</v>
      </c>
      <c r="D5113" s="2">
        <v>1</v>
      </c>
      <c r="E5113" s="2" t="s">
        <v>7671</v>
      </c>
      <c r="F5113" s="2" t="s">
        <v>7842</v>
      </c>
    </row>
    <row r="5114" spans="1:6">
      <c r="A5114" s="1">
        <v>100090</v>
      </c>
      <c r="B5114" s="1" t="s">
        <v>7843</v>
      </c>
      <c r="C5114" s="85">
        <v>1</v>
      </c>
      <c r="D5114" s="2">
        <v>1</v>
      </c>
      <c r="E5114" s="2" t="s">
        <v>7671</v>
      </c>
      <c r="F5114" s="2" t="s">
        <v>7844</v>
      </c>
    </row>
    <row r="5115" spans="1:6">
      <c r="A5115" s="1">
        <v>100091</v>
      </c>
      <c r="B5115" s="1" t="s">
        <v>7845</v>
      </c>
      <c r="C5115" s="85">
        <v>1</v>
      </c>
      <c r="D5115" s="2">
        <v>1</v>
      </c>
      <c r="E5115" s="2" t="s">
        <v>7671</v>
      </c>
      <c r="F5115" s="2" t="s">
        <v>7846</v>
      </c>
    </row>
    <row r="5116" spans="1:6">
      <c r="A5116" s="1">
        <v>100092</v>
      </c>
      <c r="B5116" s="1" t="s">
        <v>7847</v>
      </c>
      <c r="C5116" s="85">
        <v>1</v>
      </c>
      <c r="D5116" s="2">
        <v>1</v>
      </c>
      <c r="E5116" s="2" t="s">
        <v>7671</v>
      </c>
      <c r="F5116" s="2" t="s">
        <v>7848</v>
      </c>
    </row>
    <row r="5117" spans="1:6">
      <c r="A5117" s="1">
        <v>100093</v>
      </c>
      <c r="B5117" s="1" t="s">
        <v>7849</v>
      </c>
      <c r="C5117" s="85">
        <v>1</v>
      </c>
      <c r="D5117" s="2">
        <v>1</v>
      </c>
      <c r="E5117" s="2" t="s">
        <v>7671</v>
      </c>
      <c r="F5117" s="2" t="s">
        <v>7850</v>
      </c>
    </row>
    <row r="5118" spans="1:6">
      <c r="A5118" s="1">
        <v>100094</v>
      </c>
      <c r="B5118" s="1" t="s">
        <v>7851</v>
      </c>
      <c r="C5118" s="85">
        <v>1</v>
      </c>
      <c r="D5118" s="2">
        <v>1</v>
      </c>
      <c r="E5118" s="2" t="s">
        <v>7671</v>
      </c>
      <c r="F5118" s="2" t="s">
        <v>7852</v>
      </c>
    </row>
    <row r="5119" spans="1:6">
      <c r="A5119" s="1">
        <v>100095</v>
      </c>
      <c r="B5119" s="1" t="s">
        <v>7853</v>
      </c>
      <c r="C5119" s="85">
        <v>1</v>
      </c>
      <c r="D5119" s="2">
        <v>1</v>
      </c>
      <c r="E5119" s="2" t="s">
        <v>7854</v>
      </c>
      <c r="F5119" s="2" t="s">
        <v>7855</v>
      </c>
    </row>
    <row r="5120" spans="1:6">
      <c r="A5120" s="1">
        <v>100096</v>
      </c>
      <c r="B5120" s="1" t="s">
        <v>7856</v>
      </c>
      <c r="C5120" s="85">
        <v>1</v>
      </c>
      <c r="D5120" s="2">
        <v>1</v>
      </c>
      <c r="E5120" s="2" t="s">
        <v>7854</v>
      </c>
      <c r="F5120" s="2" t="s">
        <v>7857</v>
      </c>
    </row>
    <row r="5121" spans="1:6">
      <c r="A5121" s="1">
        <v>100097</v>
      </c>
      <c r="B5121" s="1" t="s">
        <v>7858</v>
      </c>
      <c r="C5121" s="85">
        <v>1</v>
      </c>
      <c r="D5121" s="2">
        <v>1</v>
      </c>
      <c r="E5121" s="2" t="s">
        <v>7854</v>
      </c>
      <c r="F5121" s="2" t="s">
        <v>7859</v>
      </c>
    </row>
    <row r="5122" spans="1:6">
      <c r="A5122" s="1">
        <v>100098</v>
      </c>
      <c r="B5122" s="1" t="s">
        <v>7860</v>
      </c>
      <c r="C5122" s="85">
        <v>1</v>
      </c>
      <c r="D5122" s="2">
        <v>1</v>
      </c>
      <c r="E5122" s="2" t="s">
        <v>7854</v>
      </c>
      <c r="F5122" s="2" t="s">
        <v>7861</v>
      </c>
    </row>
    <row r="5123" spans="1:6">
      <c r="A5123" s="1">
        <v>100099</v>
      </c>
      <c r="B5123" s="1" t="s">
        <v>7862</v>
      </c>
      <c r="C5123" s="85">
        <v>2.5</v>
      </c>
      <c r="D5123" s="2">
        <v>0</v>
      </c>
      <c r="E5123" s="2" t="s">
        <v>7854</v>
      </c>
      <c r="F5123" s="2" t="s">
        <v>7863</v>
      </c>
    </row>
    <row r="5124" spans="1:6">
      <c r="A5124" s="1">
        <v>100100</v>
      </c>
      <c r="B5124" s="1" t="s">
        <v>7864</v>
      </c>
      <c r="C5124" s="85">
        <v>4.5</v>
      </c>
      <c r="D5124" s="2">
        <v>0</v>
      </c>
      <c r="E5124" s="2" t="s">
        <v>7854</v>
      </c>
      <c r="F5124" s="2" t="s">
        <v>7865</v>
      </c>
    </row>
    <row r="5125" spans="1:6">
      <c r="A5125" s="1">
        <v>100101</v>
      </c>
      <c r="B5125" s="1" t="s">
        <v>7866</v>
      </c>
      <c r="C5125" s="85">
        <v>1</v>
      </c>
      <c r="D5125" s="2">
        <v>1</v>
      </c>
      <c r="E5125" s="2" t="s">
        <v>7671</v>
      </c>
      <c r="F5125" s="2" t="s">
        <v>7867</v>
      </c>
    </row>
    <row r="5126" spans="1:6">
      <c r="A5126" s="1">
        <v>100102</v>
      </c>
      <c r="B5126" s="1" t="s">
        <v>7868</v>
      </c>
      <c r="C5126" s="85">
        <v>1</v>
      </c>
      <c r="D5126" s="2">
        <v>1</v>
      </c>
      <c r="E5126" s="2" t="s">
        <v>7671</v>
      </c>
      <c r="F5126" s="2" t="s">
        <v>7869</v>
      </c>
    </row>
    <row r="5127" spans="1:6">
      <c r="A5127" s="1">
        <v>100103</v>
      </c>
      <c r="B5127" s="1" t="s">
        <v>7870</v>
      </c>
      <c r="C5127" s="85">
        <v>1</v>
      </c>
      <c r="D5127" s="2">
        <v>1</v>
      </c>
      <c r="E5127" s="2" t="s">
        <v>7671</v>
      </c>
      <c r="F5127" s="2" t="s">
        <v>7869</v>
      </c>
    </row>
    <row r="5128" spans="1:6">
      <c r="A5128" s="1">
        <v>100104</v>
      </c>
      <c r="B5128" s="1" t="s">
        <v>7871</v>
      </c>
      <c r="C5128" s="85">
        <v>1</v>
      </c>
      <c r="D5128" s="2">
        <v>1</v>
      </c>
      <c r="E5128" s="2" t="s">
        <v>7671</v>
      </c>
      <c r="F5128" s="2" t="s">
        <v>7869</v>
      </c>
    </row>
    <row r="5129" spans="1:6">
      <c r="A5129" s="1">
        <v>100105</v>
      </c>
      <c r="B5129" s="1" t="s">
        <v>7872</v>
      </c>
      <c r="C5129" s="85">
        <v>1.5</v>
      </c>
      <c r="D5129" s="2">
        <v>1</v>
      </c>
      <c r="E5129" s="122" t="s">
        <v>7873</v>
      </c>
      <c r="F5129" s="2" t="s">
        <v>7874</v>
      </c>
    </row>
    <row r="5130" spans="1:6">
      <c r="A5130" s="1">
        <v>100106</v>
      </c>
      <c r="B5130" s="56" t="s">
        <v>7875</v>
      </c>
      <c r="C5130" s="85">
        <v>1</v>
      </c>
      <c r="D5130" s="2">
        <v>1</v>
      </c>
      <c r="F5130" s="2" t="s">
        <v>7876</v>
      </c>
    </row>
    <row r="5131" spans="1:6">
      <c r="A5131" s="1">
        <v>100107</v>
      </c>
      <c r="B5131" s="56" t="s">
        <v>7877</v>
      </c>
      <c r="C5131" s="85">
        <v>1</v>
      </c>
      <c r="D5131" s="2">
        <v>1</v>
      </c>
      <c r="F5131" s="2" t="s">
        <v>7878</v>
      </c>
    </row>
    <row r="5132" spans="1:6">
      <c r="A5132" s="1">
        <v>100108</v>
      </c>
      <c r="B5132" s="56" t="s">
        <v>7879</v>
      </c>
      <c r="C5132" s="85">
        <v>1</v>
      </c>
      <c r="D5132" s="2">
        <v>1</v>
      </c>
      <c r="F5132" s="2" t="s">
        <v>7880</v>
      </c>
    </row>
    <row r="5133" spans="1:6">
      <c r="A5133" s="1">
        <v>100109</v>
      </c>
      <c r="B5133" s="56" t="s">
        <v>7881</v>
      </c>
      <c r="C5133" s="85">
        <v>1</v>
      </c>
      <c r="D5133" s="2">
        <v>1</v>
      </c>
      <c r="F5133" s="2" t="s">
        <v>7882</v>
      </c>
    </row>
    <row r="5134" spans="1:6">
      <c r="A5134" s="1">
        <v>100110</v>
      </c>
      <c r="B5134" s="56" t="s">
        <v>7883</v>
      </c>
      <c r="C5134" s="85">
        <v>1</v>
      </c>
      <c r="D5134" s="2">
        <v>1</v>
      </c>
      <c r="F5134" s="2" t="s">
        <v>7884</v>
      </c>
    </row>
    <row r="5135" spans="1:6">
      <c r="A5135" s="1">
        <v>100111</v>
      </c>
      <c r="B5135" s="56" t="s">
        <v>7885</v>
      </c>
      <c r="C5135" s="85">
        <v>1</v>
      </c>
      <c r="D5135" s="2">
        <v>1</v>
      </c>
      <c r="F5135" s="2" t="s">
        <v>7886</v>
      </c>
    </row>
    <row r="5136" spans="1:6">
      <c r="A5136" s="1">
        <v>100112</v>
      </c>
      <c r="B5136" s="56" t="s">
        <v>7887</v>
      </c>
      <c r="C5136" s="85">
        <v>1</v>
      </c>
      <c r="D5136" s="2">
        <v>1</v>
      </c>
      <c r="F5136" s="2" t="s">
        <v>7888</v>
      </c>
    </row>
    <row r="5137" spans="1:6">
      <c r="A5137" s="1">
        <v>100113</v>
      </c>
      <c r="B5137" s="56" t="s">
        <v>7889</v>
      </c>
      <c r="C5137" s="85">
        <v>1</v>
      </c>
      <c r="D5137" s="2">
        <v>1</v>
      </c>
      <c r="F5137" s="2" t="s">
        <v>7890</v>
      </c>
    </row>
    <row r="5138" spans="1:6">
      <c r="A5138" s="1">
        <v>100114</v>
      </c>
      <c r="B5138" s="56" t="s">
        <v>7891</v>
      </c>
      <c r="C5138" s="85">
        <v>1</v>
      </c>
      <c r="D5138" s="2">
        <v>1</v>
      </c>
      <c r="F5138" s="2" t="s">
        <v>7892</v>
      </c>
    </row>
    <row r="5139" spans="1:6">
      <c r="A5139" s="1">
        <v>100115</v>
      </c>
      <c r="B5139" s="56" t="s">
        <v>7893</v>
      </c>
      <c r="C5139" s="10">
        <v>1</v>
      </c>
      <c r="D5139" s="2">
        <v>1</v>
      </c>
      <c r="F5139" s="2" t="s">
        <v>7894</v>
      </c>
    </row>
    <row r="5140" spans="1:6">
      <c r="A5140" s="1">
        <v>100116</v>
      </c>
      <c r="B5140" s="56" t="s">
        <v>5018</v>
      </c>
      <c r="C5140" s="85">
        <v>1</v>
      </c>
      <c r="D5140" s="2">
        <v>1</v>
      </c>
      <c r="F5140" s="2" t="s">
        <v>7895</v>
      </c>
    </row>
    <row r="5141" spans="1:6">
      <c r="A5141" s="1">
        <v>100117</v>
      </c>
      <c r="B5141" s="56" t="s">
        <v>7896</v>
      </c>
      <c r="C5141" s="85">
        <v>2.2</v>
      </c>
      <c r="D5141" s="2">
        <v>0</v>
      </c>
      <c r="F5141" s="2" t="s">
        <v>7897</v>
      </c>
    </row>
    <row r="5142" spans="1:6">
      <c r="A5142" s="1">
        <v>100118</v>
      </c>
      <c r="B5142" s="1" t="s">
        <v>7898</v>
      </c>
      <c r="C5142" s="85">
        <v>1</v>
      </c>
      <c r="D5142" s="2">
        <v>1</v>
      </c>
      <c r="E5142" s="2" t="s">
        <v>7671</v>
      </c>
      <c r="F5142" s="2" t="s">
        <v>7869</v>
      </c>
    </row>
    <row r="5143" spans="1:6">
      <c r="A5143" s="1">
        <v>100119</v>
      </c>
      <c r="B5143" s="1" t="s">
        <v>7899</v>
      </c>
      <c r="C5143" s="85">
        <v>1</v>
      </c>
      <c r="D5143" s="2">
        <v>1</v>
      </c>
      <c r="E5143" s="2" t="s">
        <v>7671</v>
      </c>
      <c r="F5143" s="2" t="s">
        <v>7869</v>
      </c>
    </row>
    <row r="5144" spans="1:6">
      <c r="A5144" s="1">
        <v>100120</v>
      </c>
      <c r="B5144" s="1" t="s">
        <v>7900</v>
      </c>
      <c r="C5144" s="85">
        <v>5</v>
      </c>
      <c r="D5144" s="2">
        <v>0</v>
      </c>
      <c r="F5144" s="2" t="s">
        <v>7901</v>
      </c>
    </row>
    <row r="5145" spans="1:6">
      <c r="A5145" s="1">
        <v>100121</v>
      </c>
      <c r="B5145" s="1" t="s">
        <v>7902</v>
      </c>
      <c r="C5145" s="85">
        <v>5</v>
      </c>
      <c r="D5145" s="2">
        <v>0</v>
      </c>
      <c r="F5145" s="2" t="s">
        <v>7903</v>
      </c>
    </row>
    <row r="5146" spans="1:6">
      <c r="A5146" s="1">
        <v>100122</v>
      </c>
      <c r="B5146" s="1" t="s">
        <v>7904</v>
      </c>
      <c r="C5146" s="85">
        <v>0</v>
      </c>
      <c r="D5146" s="2">
        <v>1</v>
      </c>
      <c r="F5146" s="2" t="s">
        <v>7905</v>
      </c>
    </row>
    <row r="5147" spans="1:6">
      <c r="A5147" s="1">
        <v>100123</v>
      </c>
      <c r="B5147" s="1" t="s">
        <v>7906</v>
      </c>
      <c r="C5147" s="85">
        <v>0</v>
      </c>
      <c r="D5147" s="2">
        <v>1</v>
      </c>
      <c r="F5147" s="2" t="s">
        <v>7907</v>
      </c>
    </row>
    <row r="5148" spans="1:6">
      <c r="A5148" s="1">
        <v>100124</v>
      </c>
      <c r="B5148" s="1" t="s">
        <v>7908</v>
      </c>
      <c r="C5148" s="85">
        <v>0</v>
      </c>
      <c r="D5148" s="2">
        <v>1</v>
      </c>
      <c r="F5148" s="2" t="s">
        <v>7905</v>
      </c>
    </row>
    <row r="5149" spans="1:6">
      <c r="A5149" s="1">
        <v>100125</v>
      </c>
      <c r="B5149" s="1" t="s">
        <v>7909</v>
      </c>
      <c r="C5149" s="85">
        <v>0</v>
      </c>
      <c r="D5149" s="2">
        <v>1</v>
      </c>
      <c r="F5149" s="2" t="s">
        <v>7905</v>
      </c>
    </row>
    <row r="5150" spans="1:6">
      <c r="A5150" s="1">
        <v>100126</v>
      </c>
      <c r="B5150" s="1" t="s">
        <v>7910</v>
      </c>
      <c r="C5150" s="85">
        <v>0</v>
      </c>
      <c r="D5150" s="2">
        <v>1</v>
      </c>
      <c r="F5150" s="2" t="s">
        <v>7911</v>
      </c>
    </row>
    <row r="5151" spans="1:6">
      <c r="A5151" s="1">
        <v>100127</v>
      </c>
      <c r="B5151" s="1" t="s">
        <v>7912</v>
      </c>
      <c r="C5151" s="85">
        <v>5</v>
      </c>
      <c r="D5151" s="2">
        <v>0</v>
      </c>
      <c r="F5151" s="2" t="s">
        <v>7913</v>
      </c>
    </row>
    <row r="5152" spans="1:6">
      <c r="A5152" s="1">
        <v>100128</v>
      </c>
      <c r="B5152" s="1" t="s">
        <v>7914</v>
      </c>
      <c r="C5152" s="85">
        <v>0</v>
      </c>
      <c r="D5152" s="2">
        <v>1</v>
      </c>
      <c r="F5152" s="2" t="s">
        <v>7915</v>
      </c>
    </row>
    <row r="5153" spans="1:6">
      <c r="A5153" s="1">
        <v>100129</v>
      </c>
      <c r="B5153" s="1" t="s">
        <v>7916</v>
      </c>
      <c r="C5153" s="85">
        <v>0</v>
      </c>
      <c r="D5153" s="2">
        <v>1</v>
      </c>
      <c r="F5153" s="2" t="s">
        <v>7917</v>
      </c>
    </row>
    <row r="5154" spans="1:6">
      <c r="A5154" s="1">
        <v>100130</v>
      </c>
      <c r="B5154" s="1" t="s">
        <v>7918</v>
      </c>
      <c r="C5154" s="85">
        <v>0</v>
      </c>
      <c r="D5154" s="2">
        <v>1</v>
      </c>
      <c r="F5154" s="2" t="s">
        <v>7919</v>
      </c>
    </row>
    <row r="5155" spans="1:6">
      <c r="A5155" s="1">
        <v>100131</v>
      </c>
      <c r="B5155" s="1" t="s">
        <v>7920</v>
      </c>
      <c r="C5155" s="85">
        <v>0</v>
      </c>
      <c r="D5155" s="2">
        <v>1</v>
      </c>
      <c r="F5155" s="2" t="s">
        <v>7921</v>
      </c>
    </row>
    <row r="5156" spans="1:6">
      <c r="A5156" s="1">
        <v>100132</v>
      </c>
      <c r="B5156" s="1" t="s">
        <v>7922</v>
      </c>
      <c r="C5156" s="85">
        <v>0</v>
      </c>
      <c r="D5156" s="2">
        <v>1</v>
      </c>
      <c r="F5156" s="2" t="s">
        <v>7923</v>
      </c>
    </row>
    <row r="5157" spans="1:6">
      <c r="A5157" s="1">
        <v>100133</v>
      </c>
      <c r="B5157" s="1" t="s">
        <v>7924</v>
      </c>
      <c r="C5157" s="85">
        <v>0</v>
      </c>
      <c r="D5157" s="2">
        <v>1</v>
      </c>
      <c r="F5157" s="2" t="s">
        <v>7925</v>
      </c>
    </row>
    <row r="5158" spans="1:6">
      <c r="A5158" s="1">
        <v>100134</v>
      </c>
      <c r="B5158" s="1" t="s">
        <v>7926</v>
      </c>
      <c r="C5158" s="2">
        <v>1.5</v>
      </c>
      <c r="D5158" s="2">
        <v>0</v>
      </c>
      <c r="F5158" s="2" t="s">
        <v>7927</v>
      </c>
    </row>
    <row r="5159" spans="1:6">
      <c r="A5159" s="1">
        <v>100135</v>
      </c>
      <c r="B5159" s="1" t="s">
        <v>7928</v>
      </c>
      <c r="C5159" s="2">
        <v>0</v>
      </c>
      <c r="D5159" s="2">
        <v>1</v>
      </c>
      <c r="F5159" s="2" t="s">
        <v>7929</v>
      </c>
    </row>
    <row r="5160" spans="1:6">
      <c r="A5160" s="1">
        <v>100136</v>
      </c>
      <c r="B5160" s="1" t="s">
        <v>7930</v>
      </c>
      <c r="C5160" s="2">
        <v>0</v>
      </c>
      <c r="D5160" s="2">
        <v>1</v>
      </c>
      <c r="F5160" s="2" t="s">
        <v>7931</v>
      </c>
    </row>
    <row r="5161" spans="1:6">
      <c r="A5161" s="1">
        <v>100137</v>
      </c>
      <c r="B5161" s="1" t="s">
        <v>7932</v>
      </c>
      <c r="C5161" s="2">
        <v>0</v>
      </c>
      <c r="D5161" s="2">
        <v>1</v>
      </c>
      <c r="F5161" s="2" t="s">
        <v>7933</v>
      </c>
    </row>
    <row r="5162" spans="1:6">
      <c r="A5162" s="1">
        <v>100138</v>
      </c>
      <c r="B5162" s="1" t="s">
        <v>7934</v>
      </c>
      <c r="C5162" s="2">
        <v>0</v>
      </c>
      <c r="D5162" s="2">
        <v>1</v>
      </c>
      <c r="F5162" s="2" t="s">
        <v>7935</v>
      </c>
    </row>
    <row r="5163" spans="1:6">
      <c r="A5163" s="1">
        <v>100139</v>
      </c>
      <c r="B5163" s="1" t="s">
        <v>7936</v>
      </c>
      <c r="C5163" s="2">
        <v>0</v>
      </c>
      <c r="D5163" s="2">
        <v>1</v>
      </c>
      <c r="F5163" s="2" t="s">
        <v>7937</v>
      </c>
    </row>
    <row r="5164" spans="1:6">
      <c r="A5164" s="1">
        <v>100140</v>
      </c>
      <c r="B5164" s="1" t="s">
        <v>7938</v>
      </c>
      <c r="C5164" s="2">
        <v>0</v>
      </c>
      <c r="D5164" s="2">
        <v>1</v>
      </c>
      <c r="F5164" s="2" t="s">
        <v>7939</v>
      </c>
    </row>
    <row r="5165" spans="1:6">
      <c r="A5165" s="1">
        <v>100141</v>
      </c>
      <c r="B5165" s="1" t="s">
        <v>7940</v>
      </c>
      <c r="C5165" s="2">
        <v>1</v>
      </c>
      <c r="D5165" s="2">
        <v>0</v>
      </c>
      <c r="F5165" s="2" t="s">
        <v>7941</v>
      </c>
    </row>
    <row r="5166" spans="1:6">
      <c r="A5166" s="1">
        <v>100142</v>
      </c>
      <c r="B5166" s="1" t="s">
        <v>7942</v>
      </c>
      <c r="C5166" s="2">
        <v>1</v>
      </c>
      <c r="D5166" s="2">
        <v>0</v>
      </c>
      <c r="F5166" s="2" t="s">
        <v>7943</v>
      </c>
    </row>
    <row r="5167" s="2" customFormat="1" spans="1:6">
      <c r="A5167" s="56">
        <v>100143</v>
      </c>
      <c r="B5167" s="56" t="s">
        <v>7944</v>
      </c>
      <c r="C5167" s="2">
        <v>0</v>
      </c>
      <c r="D5167" s="2">
        <v>1</v>
      </c>
      <c r="F5167" s="2" t="s">
        <v>7945</v>
      </c>
    </row>
    <row r="5168" s="2" customFormat="1" spans="1:6">
      <c r="A5168" s="56">
        <v>100144</v>
      </c>
      <c r="B5168" s="56" t="s">
        <v>7946</v>
      </c>
      <c r="C5168" s="2">
        <v>0</v>
      </c>
      <c r="D5168" s="2">
        <v>1</v>
      </c>
      <c r="F5168" s="2" t="s">
        <v>7947</v>
      </c>
    </row>
    <row r="5169" s="2" customFormat="1" spans="1:6">
      <c r="A5169" s="56">
        <v>100145</v>
      </c>
      <c r="B5169" s="56" t="s">
        <v>7948</v>
      </c>
      <c r="C5169" s="2">
        <v>0</v>
      </c>
      <c r="D5169" s="2">
        <v>1</v>
      </c>
      <c r="F5169" s="2" t="s">
        <v>7949</v>
      </c>
    </row>
    <row r="5170" s="2" customFormat="1" spans="1:6">
      <c r="A5170" s="56">
        <v>100146</v>
      </c>
      <c r="B5170" s="56" t="s">
        <v>7950</v>
      </c>
      <c r="C5170" s="2">
        <v>0</v>
      </c>
      <c r="D5170" s="2">
        <v>1</v>
      </c>
      <c r="F5170" s="2" t="s">
        <v>7951</v>
      </c>
    </row>
    <row r="5171" s="2" customFormat="1" spans="1:6">
      <c r="A5171" s="56">
        <v>100147</v>
      </c>
      <c r="B5171" s="56" t="s">
        <v>7952</v>
      </c>
      <c r="C5171" s="2">
        <v>0</v>
      </c>
      <c r="D5171" s="2">
        <v>1</v>
      </c>
      <c r="F5171" s="2" t="s">
        <v>7953</v>
      </c>
    </row>
    <row r="5172" s="2" customFormat="1" spans="1:6">
      <c r="A5172" s="56">
        <v>100148</v>
      </c>
      <c r="B5172" s="56" t="s">
        <v>7954</v>
      </c>
      <c r="C5172" s="2">
        <v>0</v>
      </c>
      <c r="D5172" s="2">
        <v>1</v>
      </c>
      <c r="F5172" s="2" t="s">
        <v>7955</v>
      </c>
    </row>
    <row r="5173" s="9" customFormat="1" spans="1:6">
      <c r="A5173" s="291">
        <v>100149</v>
      </c>
      <c r="B5173" s="291" t="s">
        <v>7956</v>
      </c>
      <c r="C5173" s="9">
        <v>0</v>
      </c>
      <c r="D5173" s="9">
        <v>1</v>
      </c>
      <c r="F5173" s="9" t="s">
        <v>7957</v>
      </c>
    </row>
    <row r="5174" s="9" customFormat="1" spans="1:6">
      <c r="A5174" s="291">
        <v>100150</v>
      </c>
      <c r="B5174" s="291" t="s">
        <v>7958</v>
      </c>
      <c r="C5174" s="9">
        <v>1</v>
      </c>
      <c r="D5174" s="9">
        <v>0</v>
      </c>
      <c r="F5174" s="9" t="s">
        <v>7959</v>
      </c>
    </row>
    <row r="5175" s="9" customFormat="1" spans="1:6">
      <c r="A5175" s="291">
        <v>100151</v>
      </c>
      <c r="B5175" s="291" t="s">
        <v>7960</v>
      </c>
      <c r="C5175" s="9">
        <v>0</v>
      </c>
      <c r="D5175" s="9">
        <v>1</v>
      </c>
      <c r="F5175" s="9" t="s">
        <v>7961</v>
      </c>
    </row>
    <row r="5176" s="9" customFormat="1" spans="1:6">
      <c r="A5176" s="291">
        <v>100152</v>
      </c>
      <c r="B5176" s="291" t="s">
        <v>7962</v>
      </c>
      <c r="C5176" s="9">
        <v>0</v>
      </c>
      <c r="D5176" s="9">
        <v>1</v>
      </c>
      <c r="F5176" s="9" t="s">
        <v>7963</v>
      </c>
    </row>
    <row r="5177" s="9" customFormat="1" spans="1:6">
      <c r="A5177" s="291">
        <v>100153</v>
      </c>
      <c r="B5177" s="291" t="s">
        <v>7964</v>
      </c>
      <c r="C5177" s="9">
        <v>0</v>
      </c>
      <c r="D5177" s="9">
        <v>1</v>
      </c>
      <c r="F5177" s="9" t="s">
        <v>7965</v>
      </c>
    </row>
    <row r="5178" s="9" customFormat="1" spans="1:6">
      <c r="A5178" s="291">
        <v>100154</v>
      </c>
      <c r="B5178" s="291" t="s">
        <v>7966</v>
      </c>
      <c r="C5178" s="9">
        <v>0</v>
      </c>
      <c r="D5178" s="9">
        <v>1</v>
      </c>
      <c r="F5178" s="9" t="s">
        <v>7967</v>
      </c>
    </row>
    <row r="5179" s="9" customFormat="1" spans="1:6">
      <c r="A5179" s="291">
        <v>100155</v>
      </c>
      <c r="B5179" s="291" t="s">
        <v>7968</v>
      </c>
      <c r="C5179" s="9">
        <v>0</v>
      </c>
      <c r="D5179" s="9">
        <v>1</v>
      </c>
      <c r="F5179" s="9" t="s">
        <v>7969</v>
      </c>
    </row>
    <row r="5180" s="9" customFormat="1" spans="1:6">
      <c r="A5180" s="291">
        <v>100156</v>
      </c>
      <c r="B5180" s="291" t="s">
        <v>7970</v>
      </c>
      <c r="C5180" s="9">
        <v>0</v>
      </c>
      <c r="D5180" s="9">
        <v>1</v>
      </c>
      <c r="F5180" s="9" t="s">
        <v>7971</v>
      </c>
    </row>
    <row r="5181" s="9" customFormat="1" spans="1:6">
      <c r="A5181" s="291">
        <v>100157</v>
      </c>
      <c r="B5181" s="291" t="s">
        <v>7972</v>
      </c>
      <c r="C5181" s="9">
        <v>0</v>
      </c>
      <c r="D5181" s="9">
        <v>1</v>
      </c>
      <c r="F5181" s="9" t="s">
        <v>7973</v>
      </c>
    </row>
    <row r="5182" s="9" customFormat="1" spans="1:6">
      <c r="A5182" s="291">
        <v>100158</v>
      </c>
      <c r="B5182" s="291" t="s">
        <v>7974</v>
      </c>
      <c r="C5182" s="9">
        <v>1</v>
      </c>
      <c r="D5182" s="9">
        <v>0</v>
      </c>
      <c r="F5182" s="9" t="s">
        <v>7975</v>
      </c>
    </row>
    <row r="5183" s="9" customFormat="1" spans="1:6">
      <c r="A5183" s="291">
        <v>100159</v>
      </c>
      <c r="B5183" s="291" t="s">
        <v>7976</v>
      </c>
      <c r="C5183" s="9">
        <v>1</v>
      </c>
      <c r="D5183" s="9">
        <v>0</v>
      </c>
      <c r="F5183" s="9" t="s">
        <v>7977</v>
      </c>
    </row>
    <row r="5184" customFormat="1" spans="1:6">
      <c r="A5184" s="291">
        <v>100160</v>
      </c>
      <c r="B5184" s="56" t="s">
        <v>7978</v>
      </c>
      <c r="C5184" s="2">
        <v>0</v>
      </c>
      <c r="D5184" s="2">
        <v>1</v>
      </c>
      <c r="E5184" s="2"/>
      <c r="F5184" s="2" t="s">
        <v>7979</v>
      </c>
    </row>
    <row r="5185" customFormat="1" spans="1:6">
      <c r="A5185" s="291">
        <v>100161</v>
      </c>
      <c r="B5185" s="56" t="s">
        <v>7980</v>
      </c>
      <c r="C5185" s="2">
        <v>0</v>
      </c>
      <c r="D5185" s="2">
        <v>1</v>
      </c>
      <c r="E5185" s="2"/>
      <c r="F5185" s="2" t="s">
        <v>7979</v>
      </c>
    </row>
    <row r="5186" customFormat="1" spans="1:6">
      <c r="A5186" s="291">
        <v>100162</v>
      </c>
      <c r="B5186" s="56" t="s">
        <v>7981</v>
      </c>
      <c r="C5186" s="2">
        <v>0</v>
      </c>
      <c r="D5186" s="2">
        <v>1</v>
      </c>
      <c r="E5186" s="2"/>
      <c r="F5186" s="2" t="s">
        <v>7979</v>
      </c>
    </row>
    <row r="5187" customFormat="1" spans="1:6">
      <c r="A5187" s="291">
        <v>100163</v>
      </c>
      <c r="B5187" s="56" t="s">
        <v>7982</v>
      </c>
      <c r="C5187" s="2">
        <v>0</v>
      </c>
      <c r="D5187" s="2">
        <v>1</v>
      </c>
      <c r="E5187" s="2"/>
      <c r="F5187" s="2" t="s">
        <v>7979</v>
      </c>
    </row>
    <row r="5188" customFormat="1" spans="1:6">
      <c r="A5188" s="291">
        <v>100164</v>
      </c>
      <c r="B5188" s="56" t="s">
        <v>7983</v>
      </c>
      <c r="C5188" s="2">
        <v>0</v>
      </c>
      <c r="D5188" s="2">
        <v>1</v>
      </c>
      <c r="E5188" s="2"/>
      <c r="F5188" s="2" t="s">
        <v>7979</v>
      </c>
    </row>
    <row r="5189" customFormat="1" spans="1:6">
      <c r="A5189" s="291">
        <v>100165</v>
      </c>
      <c r="B5189" s="56" t="s">
        <v>7984</v>
      </c>
      <c r="C5189" s="2">
        <v>0</v>
      </c>
      <c r="D5189" s="2">
        <v>1</v>
      </c>
      <c r="E5189" s="2"/>
      <c r="F5189" s="2" t="s">
        <v>7979</v>
      </c>
    </row>
    <row r="5190" customFormat="1" spans="1:6">
      <c r="A5190" s="291">
        <v>100166</v>
      </c>
      <c r="B5190" s="56" t="s">
        <v>7985</v>
      </c>
      <c r="C5190" s="2">
        <v>0</v>
      </c>
      <c r="D5190" s="2">
        <v>1</v>
      </c>
      <c r="E5190" s="2"/>
      <c r="F5190" s="2" t="s">
        <v>7979</v>
      </c>
    </row>
    <row r="5191" customFormat="1" spans="1:6">
      <c r="A5191" s="291">
        <v>100167</v>
      </c>
      <c r="B5191" s="56" t="s">
        <v>7986</v>
      </c>
      <c r="C5191" s="2">
        <v>0</v>
      </c>
      <c r="D5191" s="2">
        <v>1</v>
      </c>
      <c r="E5191" s="2"/>
      <c r="F5191" s="2" t="s">
        <v>7979</v>
      </c>
    </row>
    <row r="5192" customFormat="1" spans="1:6">
      <c r="A5192" s="291">
        <v>100168</v>
      </c>
      <c r="B5192" s="56" t="s">
        <v>7987</v>
      </c>
      <c r="C5192" s="2">
        <v>2</v>
      </c>
      <c r="D5192" s="2">
        <v>0</v>
      </c>
      <c r="E5192" s="2"/>
      <c r="F5192" s="2" t="s">
        <v>7988</v>
      </c>
    </row>
    <row r="5193" customFormat="1" spans="1:6">
      <c r="A5193" s="291">
        <v>100169</v>
      </c>
      <c r="B5193" s="56" t="s">
        <v>7989</v>
      </c>
      <c r="C5193" s="2">
        <v>0</v>
      </c>
      <c r="D5193" s="2">
        <v>1</v>
      </c>
      <c r="E5193" s="2"/>
      <c r="F5193" s="2" t="s">
        <v>7990</v>
      </c>
    </row>
    <row r="5194" customFormat="1" spans="1:6">
      <c r="A5194" s="291">
        <v>100170</v>
      </c>
      <c r="B5194" s="56" t="s">
        <v>7991</v>
      </c>
      <c r="C5194" s="2">
        <v>2</v>
      </c>
      <c r="D5194" s="2">
        <v>0</v>
      </c>
      <c r="E5194" s="2"/>
      <c r="F5194" s="2" t="s">
        <v>7992</v>
      </c>
    </row>
    <row r="5195" customFormat="1" spans="1:6">
      <c r="A5195" s="291">
        <v>100171</v>
      </c>
      <c r="B5195" s="56" t="s">
        <v>7993</v>
      </c>
      <c r="C5195" s="2">
        <v>0</v>
      </c>
      <c r="D5195" s="2">
        <v>1</v>
      </c>
      <c r="E5195" s="2"/>
      <c r="F5195" s="2" t="s">
        <v>7994</v>
      </c>
    </row>
    <row r="5196" customFormat="1" spans="1:6">
      <c r="A5196" s="291">
        <v>100172</v>
      </c>
      <c r="B5196" s="56" t="s">
        <v>7995</v>
      </c>
      <c r="C5196" s="2">
        <v>0</v>
      </c>
      <c r="D5196" s="2">
        <v>1</v>
      </c>
      <c r="E5196" s="2"/>
      <c r="F5196" s="2" t="s">
        <v>7996</v>
      </c>
    </row>
    <row r="5197" spans="1:6">
      <c r="A5197" s="56">
        <v>300001</v>
      </c>
      <c r="B5197" s="56" t="s">
        <v>7997</v>
      </c>
      <c r="C5197" s="2">
        <v>0.7</v>
      </c>
      <c r="D5197" s="2">
        <v>0</v>
      </c>
      <c r="E5197" s="2" t="s">
        <v>7854</v>
      </c>
      <c r="F5197" s="2" t="s">
        <v>7998</v>
      </c>
    </row>
    <row r="5198" spans="1:6">
      <c r="A5198" s="56">
        <v>300002</v>
      </c>
      <c r="B5198" s="56" t="s">
        <v>7999</v>
      </c>
      <c r="C5198" s="2">
        <v>2</v>
      </c>
      <c r="D5198" s="2">
        <v>1</v>
      </c>
      <c r="E5198" s="2" t="s">
        <v>7854</v>
      </c>
      <c r="F5198" s="2" t="s">
        <v>8000</v>
      </c>
    </row>
    <row r="5199" spans="1:6">
      <c r="A5199" s="56">
        <v>300003</v>
      </c>
      <c r="B5199" s="56" t="s">
        <v>8001</v>
      </c>
      <c r="C5199" s="2">
        <v>2</v>
      </c>
      <c r="D5199" s="2">
        <v>0</v>
      </c>
      <c r="E5199" s="2" t="s">
        <v>7854</v>
      </c>
      <c r="F5199" s="2" t="s">
        <v>8002</v>
      </c>
    </row>
    <row r="5200" spans="1:6">
      <c r="A5200" s="56">
        <v>300004</v>
      </c>
      <c r="B5200" s="56" t="s">
        <v>8003</v>
      </c>
      <c r="C5200" s="2">
        <v>0.7</v>
      </c>
      <c r="D5200" s="2">
        <v>0</v>
      </c>
      <c r="E5200" s="2" t="s">
        <v>7854</v>
      </c>
      <c r="F5200" s="2" t="s">
        <v>8004</v>
      </c>
    </row>
    <row r="5201" spans="1:6">
      <c r="A5201" s="56">
        <v>300005</v>
      </c>
      <c r="B5201" s="56" t="s">
        <v>8005</v>
      </c>
      <c r="C5201" s="2">
        <v>2</v>
      </c>
      <c r="D5201" s="2">
        <v>0</v>
      </c>
      <c r="E5201" s="2" t="s">
        <v>7854</v>
      </c>
      <c r="F5201" s="2" t="s">
        <v>8004</v>
      </c>
    </row>
    <row r="5202" spans="1:6">
      <c r="A5202" s="56">
        <v>300006</v>
      </c>
      <c r="B5202" s="56" t="s">
        <v>8006</v>
      </c>
      <c r="C5202" s="2">
        <v>3</v>
      </c>
      <c r="D5202" s="2">
        <v>0</v>
      </c>
      <c r="E5202" s="2" t="s">
        <v>7854</v>
      </c>
      <c r="F5202" s="2" t="s">
        <v>8007</v>
      </c>
    </row>
    <row r="5203" spans="1:6">
      <c r="A5203" s="56">
        <v>300007</v>
      </c>
      <c r="B5203" s="56" t="s">
        <v>8008</v>
      </c>
      <c r="C5203" s="2">
        <v>1</v>
      </c>
      <c r="D5203" s="2">
        <v>0</v>
      </c>
      <c r="E5203" s="2" t="s">
        <v>7854</v>
      </c>
      <c r="F5203" s="2" t="s">
        <v>8009</v>
      </c>
    </row>
    <row r="5204" spans="1:6">
      <c r="A5204" s="56">
        <v>300008</v>
      </c>
      <c r="B5204" s="56" t="s">
        <v>8010</v>
      </c>
      <c r="C5204" s="2">
        <v>2</v>
      </c>
      <c r="D5204" s="2">
        <v>0</v>
      </c>
      <c r="E5204" s="2" t="s">
        <v>7854</v>
      </c>
      <c r="F5204" s="2" t="s">
        <v>8009</v>
      </c>
    </row>
    <row r="5205" spans="1:6">
      <c r="A5205" s="56">
        <v>300009</v>
      </c>
      <c r="B5205" s="56" t="s">
        <v>8011</v>
      </c>
      <c r="C5205" s="2">
        <v>2</v>
      </c>
      <c r="D5205" s="2">
        <v>1</v>
      </c>
      <c r="E5205" s="2" t="s">
        <v>7854</v>
      </c>
      <c r="F5205" s="2" t="s">
        <v>8012</v>
      </c>
    </row>
    <row r="5206" spans="1:6">
      <c r="A5206" s="56">
        <v>300010</v>
      </c>
      <c r="B5206" s="56" t="s">
        <v>8013</v>
      </c>
      <c r="C5206" s="2">
        <v>2</v>
      </c>
      <c r="D5206" s="2">
        <v>1</v>
      </c>
      <c r="E5206" s="2" t="s">
        <v>7854</v>
      </c>
      <c r="F5206" s="2" t="s">
        <v>8012</v>
      </c>
    </row>
    <row r="5207" spans="1:6">
      <c r="A5207" s="56">
        <v>300011</v>
      </c>
      <c r="B5207" s="56" t="s">
        <v>8014</v>
      </c>
      <c r="C5207" s="2">
        <v>3</v>
      </c>
      <c r="D5207" s="2">
        <v>0</v>
      </c>
      <c r="E5207" s="2" t="s">
        <v>7854</v>
      </c>
      <c r="F5207" s="2" t="s">
        <v>8015</v>
      </c>
    </row>
    <row r="5208" spans="1:6">
      <c r="A5208" s="56">
        <v>300012</v>
      </c>
      <c r="B5208" s="56" t="s">
        <v>8016</v>
      </c>
      <c r="C5208" s="2">
        <v>3</v>
      </c>
      <c r="D5208" s="2">
        <v>0</v>
      </c>
      <c r="E5208" s="2" t="s">
        <v>7854</v>
      </c>
      <c r="F5208" s="2" t="s">
        <v>8015</v>
      </c>
    </row>
    <row r="5209" spans="1:6">
      <c r="A5209" s="56">
        <v>300013</v>
      </c>
      <c r="B5209" s="56" t="s">
        <v>8017</v>
      </c>
      <c r="C5209" s="2">
        <v>4</v>
      </c>
      <c r="D5209" s="2">
        <v>0</v>
      </c>
      <c r="E5209" s="2" t="s">
        <v>7854</v>
      </c>
      <c r="F5209" s="2" t="s">
        <v>8018</v>
      </c>
    </row>
    <row r="5210" spans="1:6">
      <c r="A5210" s="56">
        <v>300014</v>
      </c>
      <c r="B5210" s="56" t="s">
        <v>8019</v>
      </c>
      <c r="C5210" s="2">
        <v>1</v>
      </c>
      <c r="D5210" s="2">
        <v>0</v>
      </c>
      <c r="E5210" s="2" t="s">
        <v>7854</v>
      </c>
      <c r="F5210" s="2" t="s">
        <v>8020</v>
      </c>
    </row>
    <row r="5211" spans="1:6">
      <c r="A5211" s="56">
        <v>300015</v>
      </c>
      <c r="B5211" s="56" t="s">
        <v>8021</v>
      </c>
      <c r="C5211" s="2">
        <v>3</v>
      </c>
      <c r="D5211" s="2">
        <v>0</v>
      </c>
      <c r="E5211" s="2" t="s">
        <v>7854</v>
      </c>
      <c r="F5211" s="2" t="s">
        <v>8020</v>
      </c>
    </row>
    <row r="5212" spans="1:6">
      <c r="A5212" s="56">
        <v>300016</v>
      </c>
      <c r="B5212" s="56" t="s">
        <v>8022</v>
      </c>
      <c r="C5212" s="2">
        <v>3.3</v>
      </c>
      <c r="D5212" s="2">
        <v>1</v>
      </c>
      <c r="E5212" s="2" t="s">
        <v>7854</v>
      </c>
      <c r="F5212" s="2" t="s">
        <v>8023</v>
      </c>
    </row>
    <row r="5213" spans="1:6">
      <c r="A5213" s="56">
        <v>300017</v>
      </c>
      <c r="B5213" s="56" t="s">
        <v>8024</v>
      </c>
      <c r="C5213" s="2">
        <v>1</v>
      </c>
      <c r="D5213" s="2">
        <v>1</v>
      </c>
      <c r="E5213" s="2" t="s">
        <v>7854</v>
      </c>
      <c r="F5213" s="2" t="s">
        <v>8025</v>
      </c>
    </row>
    <row r="5214" spans="1:6">
      <c r="A5214" s="56">
        <v>300018</v>
      </c>
      <c r="B5214" s="56" t="s">
        <v>8026</v>
      </c>
      <c r="C5214" s="2">
        <v>2</v>
      </c>
      <c r="D5214" s="2">
        <v>0</v>
      </c>
      <c r="E5214" s="2" t="s">
        <v>7854</v>
      </c>
      <c r="F5214" s="2" t="s">
        <v>8027</v>
      </c>
    </row>
    <row r="5215" spans="1:6">
      <c r="A5215" s="56">
        <v>300019</v>
      </c>
      <c r="B5215" s="1" t="s">
        <v>8028</v>
      </c>
      <c r="C5215" s="2">
        <v>2</v>
      </c>
      <c r="D5215" s="2">
        <v>0</v>
      </c>
      <c r="E5215" s="2" t="s">
        <v>7854</v>
      </c>
      <c r="F5215" s="2" t="s">
        <v>8029</v>
      </c>
    </row>
    <row r="5216" spans="1:6">
      <c r="A5216" s="56">
        <v>300020</v>
      </c>
      <c r="B5216" s="56" t="s">
        <v>8030</v>
      </c>
      <c r="C5216" s="2">
        <v>1</v>
      </c>
      <c r="D5216" s="2">
        <v>1</v>
      </c>
      <c r="E5216" s="2" t="s">
        <v>7854</v>
      </c>
      <c r="F5216" s="2" t="s">
        <v>8031</v>
      </c>
    </row>
    <row r="5217" spans="1:6">
      <c r="A5217" s="56">
        <v>300021</v>
      </c>
      <c r="B5217" s="56" t="s">
        <v>8032</v>
      </c>
      <c r="C5217" s="2">
        <v>1</v>
      </c>
      <c r="D5217" s="2">
        <v>1</v>
      </c>
      <c r="E5217" s="2" t="s">
        <v>7854</v>
      </c>
      <c r="F5217" s="2" t="s">
        <v>8033</v>
      </c>
    </row>
    <row r="5218" spans="1:6">
      <c r="A5218" s="56">
        <v>300022</v>
      </c>
      <c r="B5218" s="56" t="s">
        <v>8034</v>
      </c>
      <c r="C5218" s="2">
        <v>4</v>
      </c>
      <c r="D5218" s="2">
        <v>0</v>
      </c>
      <c r="E5218" s="2" t="s">
        <v>7854</v>
      </c>
      <c r="F5218" s="2" t="s">
        <v>8035</v>
      </c>
    </row>
    <row r="5219" spans="1:6">
      <c r="A5219" s="56">
        <v>300024</v>
      </c>
      <c r="B5219" s="56" t="s">
        <v>8036</v>
      </c>
      <c r="C5219" s="2">
        <v>1</v>
      </c>
      <c r="D5219" s="2">
        <v>1</v>
      </c>
      <c r="E5219" s="2" t="s">
        <v>7854</v>
      </c>
      <c r="F5219" s="2" t="s">
        <v>8037</v>
      </c>
    </row>
    <row r="5220" spans="1:6">
      <c r="A5220" s="56">
        <v>300025</v>
      </c>
      <c r="B5220" s="56" t="s">
        <v>8038</v>
      </c>
      <c r="C5220" s="2">
        <v>4</v>
      </c>
      <c r="D5220" s="2">
        <v>0</v>
      </c>
      <c r="E5220" s="2" t="s">
        <v>7854</v>
      </c>
      <c r="F5220" s="2" t="s">
        <v>8039</v>
      </c>
    </row>
    <row r="5221" spans="1:6">
      <c r="A5221" s="56">
        <v>300026</v>
      </c>
      <c r="B5221" s="56" t="s">
        <v>8040</v>
      </c>
      <c r="C5221" s="2">
        <v>1</v>
      </c>
      <c r="D5221" s="2">
        <v>1</v>
      </c>
      <c r="E5221" s="2" t="s">
        <v>7854</v>
      </c>
      <c r="F5221" s="2" t="s">
        <v>8041</v>
      </c>
    </row>
    <row r="5222" spans="1:6">
      <c r="A5222" s="56">
        <v>300028</v>
      </c>
      <c r="B5222" s="56" t="s">
        <v>8042</v>
      </c>
      <c r="C5222" s="2">
        <v>1.1</v>
      </c>
      <c r="D5222" s="2">
        <v>0</v>
      </c>
      <c r="E5222" s="2" t="s">
        <v>7854</v>
      </c>
      <c r="F5222" s="2" t="s">
        <v>8043</v>
      </c>
    </row>
    <row r="5223" spans="1:6">
      <c r="A5223" s="56">
        <v>300029</v>
      </c>
      <c r="B5223" s="56" t="s">
        <v>8044</v>
      </c>
      <c r="C5223" s="2">
        <v>3.5</v>
      </c>
      <c r="D5223" s="2">
        <v>0</v>
      </c>
      <c r="E5223" s="2" t="s">
        <v>7854</v>
      </c>
      <c r="F5223" s="2" t="s">
        <v>8045</v>
      </c>
    </row>
    <row r="5224" spans="1:6">
      <c r="A5224" s="56">
        <v>300030</v>
      </c>
      <c r="B5224" s="56" t="s">
        <v>8046</v>
      </c>
      <c r="C5224" s="2">
        <v>1.5</v>
      </c>
      <c r="D5224" s="2">
        <v>0</v>
      </c>
      <c r="E5224" s="2" t="s">
        <v>7854</v>
      </c>
      <c r="F5224" s="2" t="s">
        <v>8047</v>
      </c>
    </row>
    <row r="5225" spans="1:6">
      <c r="A5225" s="56">
        <v>300031</v>
      </c>
      <c r="B5225" s="56" t="s">
        <v>8048</v>
      </c>
      <c r="C5225" s="2">
        <v>1</v>
      </c>
      <c r="D5225" s="2">
        <v>1</v>
      </c>
      <c r="E5225" s="2" t="s">
        <v>7854</v>
      </c>
      <c r="F5225" s="2" t="s">
        <v>8049</v>
      </c>
    </row>
    <row r="5226" spans="1:6">
      <c r="A5226" s="56">
        <v>300032</v>
      </c>
      <c r="B5226" s="56" t="s">
        <v>8050</v>
      </c>
      <c r="C5226" s="2">
        <v>4.9</v>
      </c>
      <c r="D5226" s="2">
        <v>0</v>
      </c>
      <c r="E5226" s="2" t="s">
        <v>7854</v>
      </c>
      <c r="F5226" s="2" t="s">
        <v>8051</v>
      </c>
    </row>
    <row r="5227" spans="1:6">
      <c r="A5227" s="56">
        <v>300033</v>
      </c>
      <c r="B5227" s="56" t="s">
        <v>8052</v>
      </c>
      <c r="C5227" s="2">
        <v>2.7</v>
      </c>
      <c r="D5227" s="2">
        <v>0</v>
      </c>
      <c r="E5227" s="2" t="s">
        <v>7854</v>
      </c>
      <c r="F5227" s="2" t="s">
        <v>8053</v>
      </c>
    </row>
    <row r="5228" spans="1:6">
      <c r="A5228" s="56">
        <v>300034</v>
      </c>
      <c r="B5228" s="56" t="s">
        <v>8054</v>
      </c>
      <c r="C5228" s="2">
        <v>2.6</v>
      </c>
      <c r="D5228" s="2">
        <v>0</v>
      </c>
      <c r="E5228" s="2" t="s">
        <v>7854</v>
      </c>
      <c r="F5228" s="10" t="s">
        <v>8055</v>
      </c>
    </row>
    <row r="5229" spans="1:6">
      <c r="A5229" s="56">
        <v>300035</v>
      </c>
      <c r="B5229" s="56" t="s">
        <v>8056</v>
      </c>
      <c r="C5229" s="2">
        <v>1.5</v>
      </c>
      <c r="D5229" s="2">
        <v>0</v>
      </c>
      <c r="E5229" s="2" t="s">
        <v>7854</v>
      </c>
      <c r="F5229" s="10" t="s">
        <v>8057</v>
      </c>
    </row>
    <row r="5230" spans="1:6">
      <c r="A5230" s="56">
        <v>300036</v>
      </c>
      <c r="B5230" s="56" t="s">
        <v>8058</v>
      </c>
      <c r="C5230" s="2">
        <v>2</v>
      </c>
      <c r="D5230" s="2">
        <v>1</v>
      </c>
      <c r="E5230" s="2" t="s">
        <v>7854</v>
      </c>
      <c r="F5230" s="10" t="s">
        <v>8059</v>
      </c>
    </row>
    <row r="5231" spans="1:6">
      <c r="A5231" s="56">
        <v>300037</v>
      </c>
      <c r="B5231" s="56" t="s">
        <v>8060</v>
      </c>
      <c r="C5231" s="2">
        <v>2</v>
      </c>
      <c r="D5231" s="2">
        <v>1</v>
      </c>
      <c r="E5231" s="2" t="s">
        <v>7854</v>
      </c>
      <c r="F5231" s="10" t="s">
        <v>8061</v>
      </c>
    </row>
    <row r="5232" spans="1:6">
      <c r="A5232" s="56">
        <v>300038</v>
      </c>
      <c r="B5232" s="56" t="s">
        <v>8062</v>
      </c>
      <c r="C5232" s="2">
        <v>2</v>
      </c>
      <c r="D5232" s="2">
        <v>1</v>
      </c>
      <c r="E5232" s="2" t="s">
        <v>7854</v>
      </c>
      <c r="F5232" s="10" t="s">
        <v>8063</v>
      </c>
    </row>
    <row r="5233" spans="1:6">
      <c r="A5233" s="56">
        <v>300039</v>
      </c>
      <c r="B5233" s="1" t="s">
        <v>8064</v>
      </c>
      <c r="C5233" s="2">
        <v>3</v>
      </c>
      <c r="D5233" s="2">
        <v>0</v>
      </c>
      <c r="E5233" s="2" t="s">
        <v>7854</v>
      </c>
      <c r="F5233" s="10" t="s">
        <v>8065</v>
      </c>
    </row>
    <row r="5234" spans="1:6">
      <c r="A5234" s="56">
        <v>300040</v>
      </c>
      <c r="B5234" s="1" t="s">
        <v>8066</v>
      </c>
      <c r="C5234" s="2">
        <v>2.3</v>
      </c>
      <c r="D5234" s="2">
        <v>0</v>
      </c>
      <c r="E5234" s="2" t="s">
        <v>7854</v>
      </c>
      <c r="F5234" s="10" t="s">
        <v>8067</v>
      </c>
    </row>
    <row r="5235" spans="1:6">
      <c r="A5235" s="56">
        <v>300041</v>
      </c>
      <c r="B5235" s="1" t="s">
        <v>8068</v>
      </c>
      <c r="C5235" s="2">
        <v>2.6</v>
      </c>
      <c r="D5235" s="2">
        <v>0</v>
      </c>
      <c r="E5235" s="2" t="s">
        <v>7854</v>
      </c>
      <c r="F5235" s="10" t="s">
        <v>8069</v>
      </c>
    </row>
    <row r="5236" spans="1:6">
      <c r="A5236" s="56">
        <v>300042</v>
      </c>
      <c r="B5236" s="1" t="s">
        <v>8070</v>
      </c>
      <c r="C5236" s="2">
        <v>1</v>
      </c>
      <c r="D5236" s="2">
        <v>1</v>
      </c>
      <c r="E5236" s="2" t="s">
        <v>7854</v>
      </c>
      <c r="F5236" s="10" t="s">
        <v>8071</v>
      </c>
    </row>
    <row r="5237" spans="1:6">
      <c r="A5237" s="56">
        <v>300043</v>
      </c>
      <c r="B5237" s="1" t="s">
        <v>8072</v>
      </c>
      <c r="C5237" s="2">
        <v>2</v>
      </c>
      <c r="D5237" s="2">
        <v>0</v>
      </c>
      <c r="E5237" s="2" t="s">
        <v>7854</v>
      </c>
      <c r="F5237" s="10" t="s">
        <v>8073</v>
      </c>
    </row>
    <row r="5238" spans="1:6">
      <c r="A5238" s="56">
        <v>300044</v>
      </c>
      <c r="B5238" s="1" t="s">
        <v>8074</v>
      </c>
      <c r="C5238" s="2">
        <v>1</v>
      </c>
      <c r="D5238" s="2">
        <v>1</v>
      </c>
      <c r="E5238" s="2" t="s">
        <v>7854</v>
      </c>
      <c r="F5238" s="10" t="s">
        <v>8073</v>
      </c>
    </row>
    <row r="5239" spans="1:6">
      <c r="A5239" s="56">
        <v>300045</v>
      </c>
      <c r="B5239" s="1" t="s">
        <v>8075</v>
      </c>
      <c r="C5239" s="2">
        <v>1</v>
      </c>
      <c r="D5239" s="2">
        <v>1</v>
      </c>
      <c r="E5239" s="2" t="s">
        <v>7854</v>
      </c>
      <c r="F5239" s="10" t="s">
        <v>8073</v>
      </c>
    </row>
    <row r="5240" spans="1:6">
      <c r="A5240" s="56">
        <v>300046</v>
      </c>
      <c r="B5240" s="56" t="s">
        <v>8076</v>
      </c>
      <c r="C5240" s="2">
        <v>1.5</v>
      </c>
      <c r="D5240" s="2">
        <v>0</v>
      </c>
      <c r="E5240" s="2" t="s">
        <v>7854</v>
      </c>
      <c r="F5240" s="10" t="s">
        <v>8077</v>
      </c>
    </row>
    <row r="5241" spans="1:6">
      <c r="A5241" s="56">
        <v>300047</v>
      </c>
      <c r="B5241" s="1" t="s">
        <v>8078</v>
      </c>
      <c r="C5241" s="2">
        <v>1.2</v>
      </c>
      <c r="D5241" s="2">
        <v>0</v>
      </c>
      <c r="E5241" s="2" t="s">
        <v>7854</v>
      </c>
      <c r="F5241" s="10" t="s">
        <v>8079</v>
      </c>
    </row>
    <row r="5242" spans="1:6">
      <c r="A5242" s="56">
        <v>300048</v>
      </c>
      <c r="B5242" s="1" t="s">
        <v>8080</v>
      </c>
      <c r="C5242" s="2">
        <v>1</v>
      </c>
      <c r="D5242" s="2">
        <v>1</v>
      </c>
      <c r="E5242" s="2" t="s">
        <v>7854</v>
      </c>
      <c r="F5242" s="10" t="s">
        <v>8081</v>
      </c>
    </row>
    <row r="5243" spans="1:6">
      <c r="A5243" s="56">
        <v>300049</v>
      </c>
      <c r="B5243" s="1" t="s">
        <v>8082</v>
      </c>
      <c r="C5243" s="2">
        <v>1</v>
      </c>
      <c r="D5243" s="2">
        <v>0</v>
      </c>
      <c r="E5243" s="2" t="s">
        <v>7854</v>
      </c>
      <c r="F5243" s="10" t="s">
        <v>8081</v>
      </c>
    </row>
    <row r="5244" spans="1:6">
      <c r="A5244" s="56">
        <v>300050</v>
      </c>
      <c r="B5244" s="1" t="s">
        <v>8083</v>
      </c>
      <c r="C5244" s="2">
        <v>1.6</v>
      </c>
      <c r="D5244" s="2">
        <v>0</v>
      </c>
      <c r="E5244" s="9" t="s">
        <v>7854</v>
      </c>
      <c r="F5244" s="10"/>
    </row>
    <row r="5245" spans="1:6">
      <c r="A5245" s="56">
        <v>300051</v>
      </c>
      <c r="B5245" s="1" t="s">
        <v>8084</v>
      </c>
      <c r="C5245" s="2">
        <v>1</v>
      </c>
      <c r="D5245" s="2">
        <v>0</v>
      </c>
      <c r="E5245" s="9" t="s">
        <v>7854</v>
      </c>
      <c r="F5245" s="10"/>
    </row>
    <row r="5246" spans="1:6">
      <c r="A5246" s="56">
        <v>300052</v>
      </c>
      <c r="B5246" s="1" t="s">
        <v>8085</v>
      </c>
      <c r="C5246" s="2">
        <v>1</v>
      </c>
      <c r="D5246" s="2">
        <v>1</v>
      </c>
      <c r="E5246" s="9" t="s">
        <v>7854</v>
      </c>
      <c r="F5246" s="10"/>
    </row>
    <row r="5247" spans="1:6">
      <c r="A5247" s="56">
        <v>300053</v>
      </c>
      <c r="B5247" s="1" t="s">
        <v>8086</v>
      </c>
      <c r="C5247" s="2">
        <v>1</v>
      </c>
      <c r="D5247" s="2">
        <v>1</v>
      </c>
      <c r="E5247" s="9" t="s">
        <v>7854</v>
      </c>
      <c r="F5247" s="10"/>
    </row>
    <row r="5248" spans="1:6">
      <c r="A5248" s="56">
        <v>300055</v>
      </c>
      <c r="B5248" s="1" t="s">
        <v>8087</v>
      </c>
      <c r="C5248" s="2">
        <v>1</v>
      </c>
      <c r="D5248" s="2">
        <v>1</v>
      </c>
      <c r="E5248" s="9" t="s">
        <v>7854</v>
      </c>
      <c r="F5248" s="10"/>
    </row>
    <row r="5249" spans="1:6">
      <c r="A5249" s="56">
        <v>300056</v>
      </c>
      <c r="B5249" s="1" t="s">
        <v>8088</v>
      </c>
      <c r="C5249" s="2">
        <v>1</v>
      </c>
      <c r="D5249" s="2">
        <v>1</v>
      </c>
      <c r="E5249" s="9" t="s">
        <v>7854</v>
      </c>
      <c r="F5249" s="10"/>
    </row>
    <row r="5250" spans="1:6">
      <c r="A5250" s="56">
        <v>300057</v>
      </c>
      <c r="B5250" s="1" t="s">
        <v>8089</v>
      </c>
      <c r="C5250" s="2">
        <v>1</v>
      </c>
      <c r="D5250" s="2">
        <v>1</v>
      </c>
      <c r="E5250" s="9" t="s">
        <v>7854</v>
      </c>
      <c r="F5250" s="10"/>
    </row>
    <row r="5251" spans="1:5">
      <c r="A5251" s="56">
        <v>300058</v>
      </c>
      <c r="B5251" s="56" t="s">
        <v>8090</v>
      </c>
      <c r="C5251" s="2">
        <v>1</v>
      </c>
      <c r="D5251" s="2">
        <v>1</v>
      </c>
      <c r="E5251" s="9" t="s">
        <v>7854</v>
      </c>
    </row>
    <row r="5252" spans="1:6">
      <c r="A5252" s="56">
        <v>300059</v>
      </c>
      <c r="B5252" s="1" t="s">
        <v>8091</v>
      </c>
      <c r="C5252" s="2">
        <v>1</v>
      </c>
      <c r="D5252" s="2">
        <v>1</v>
      </c>
      <c r="E5252" s="9" t="s">
        <v>7854</v>
      </c>
      <c r="F5252" s="2" t="s">
        <v>8092</v>
      </c>
    </row>
    <row r="5253" spans="1:6">
      <c r="A5253" s="56">
        <v>300060</v>
      </c>
      <c r="B5253" s="1" t="s">
        <v>1589</v>
      </c>
      <c r="C5253" s="2">
        <v>1</v>
      </c>
      <c r="D5253" s="2">
        <v>1</v>
      </c>
      <c r="E5253" s="9" t="s">
        <v>7854</v>
      </c>
      <c r="F5253" s="2" t="s">
        <v>8093</v>
      </c>
    </row>
    <row r="5254" spans="1:6">
      <c r="A5254" s="56">
        <v>300061</v>
      </c>
      <c r="B5254" s="1" t="s">
        <v>8094</v>
      </c>
      <c r="C5254" s="2">
        <v>1</v>
      </c>
      <c r="D5254" s="2">
        <v>1</v>
      </c>
      <c r="E5254" s="9" t="s">
        <v>7854</v>
      </c>
      <c r="F5254" s="2" t="s">
        <v>8095</v>
      </c>
    </row>
    <row r="5255" spans="1:6">
      <c r="A5255" s="56">
        <v>300062</v>
      </c>
      <c r="B5255" s="1" t="s">
        <v>8096</v>
      </c>
      <c r="C5255" s="2">
        <v>2.5</v>
      </c>
      <c r="D5255" s="2">
        <v>0</v>
      </c>
      <c r="E5255" s="9" t="s">
        <v>7854</v>
      </c>
      <c r="F5255" s="2" t="s">
        <v>8097</v>
      </c>
    </row>
    <row r="5256" spans="1:6">
      <c r="A5256" s="56">
        <v>300063</v>
      </c>
      <c r="B5256" s="1" t="s">
        <v>8098</v>
      </c>
      <c r="C5256" s="2">
        <v>1</v>
      </c>
      <c r="D5256" s="2">
        <v>1</v>
      </c>
      <c r="E5256" s="9" t="s">
        <v>7854</v>
      </c>
      <c r="F5256" s="2" t="s">
        <v>8099</v>
      </c>
    </row>
    <row r="5257" spans="1:6">
      <c r="A5257" s="56">
        <v>300064</v>
      </c>
      <c r="B5257" s="1" t="s">
        <v>8100</v>
      </c>
      <c r="C5257" s="2">
        <v>1</v>
      </c>
      <c r="D5257" s="2">
        <v>1</v>
      </c>
      <c r="E5257" s="9" t="s">
        <v>7854</v>
      </c>
      <c r="F5257" s="2" t="s">
        <v>8101</v>
      </c>
    </row>
    <row r="5258" spans="1:6">
      <c r="A5258" s="56">
        <v>300065</v>
      </c>
      <c r="B5258" s="1" t="s">
        <v>8102</v>
      </c>
      <c r="C5258" s="2">
        <v>1</v>
      </c>
      <c r="D5258" s="2">
        <v>1</v>
      </c>
      <c r="E5258" s="9" t="s">
        <v>7854</v>
      </c>
      <c r="F5258" s="2" t="s">
        <v>8103</v>
      </c>
    </row>
    <row r="5259" spans="1:7">
      <c r="A5259" s="56">
        <v>300066</v>
      </c>
      <c r="B5259" s="1" t="s">
        <v>8104</v>
      </c>
      <c r="C5259" s="2">
        <v>1</v>
      </c>
      <c r="D5259" s="2">
        <v>1</v>
      </c>
      <c r="E5259" s="9" t="s">
        <v>7854</v>
      </c>
      <c r="F5259" s="2" t="s">
        <v>8105</v>
      </c>
      <c r="G5259" s="2" t="s">
        <v>8106</v>
      </c>
    </row>
    <row r="5260" spans="1:6">
      <c r="A5260" s="56">
        <v>300067</v>
      </c>
      <c r="B5260" s="1" t="s">
        <v>8107</v>
      </c>
      <c r="C5260" s="2">
        <v>1</v>
      </c>
      <c r="D5260" s="2">
        <v>1</v>
      </c>
      <c r="E5260" s="9" t="s">
        <v>7854</v>
      </c>
      <c r="F5260" s="2" t="s">
        <v>8108</v>
      </c>
    </row>
    <row r="5261" spans="1:5">
      <c r="A5261" s="56">
        <v>300068</v>
      </c>
      <c r="B5261" s="1" t="s">
        <v>8109</v>
      </c>
      <c r="C5261" s="1">
        <v>1</v>
      </c>
      <c r="D5261" s="1">
        <v>1</v>
      </c>
      <c r="E5261" s="9" t="s">
        <v>7854</v>
      </c>
    </row>
    <row r="5262" spans="1:6">
      <c r="A5262" s="56">
        <v>300069</v>
      </c>
      <c r="B5262" s="1" t="s">
        <v>8110</v>
      </c>
      <c r="C5262" s="1">
        <v>1</v>
      </c>
      <c r="D5262" s="1">
        <v>1</v>
      </c>
      <c r="E5262" s="9" t="s">
        <v>7854</v>
      </c>
      <c r="F5262" s="2" t="s">
        <v>8111</v>
      </c>
    </row>
    <row r="5263" spans="1:6">
      <c r="A5263" s="56">
        <v>300070</v>
      </c>
      <c r="B5263" s="1" t="s">
        <v>8112</v>
      </c>
      <c r="C5263" s="1">
        <v>1</v>
      </c>
      <c r="D5263" s="1">
        <v>1</v>
      </c>
      <c r="E5263" s="9" t="s">
        <v>8113</v>
      </c>
      <c r="F5263" s="2" t="s">
        <v>8114</v>
      </c>
    </row>
    <row r="5264" spans="1:6">
      <c r="A5264" s="56">
        <v>300071</v>
      </c>
      <c r="B5264" s="1" t="s">
        <v>8115</v>
      </c>
      <c r="C5264" s="1">
        <v>0</v>
      </c>
      <c r="D5264" s="1">
        <v>1</v>
      </c>
      <c r="E5264" s="9"/>
      <c r="F5264" s="2" t="s">
        <v>8116</v>
      </c>
    </row>
    <row r="5265" spans="1:6">
      <c r="A5265" s="56">
        <v>300072</v>
      </c>
      <c r="B5265" s="1" t="s">
        <v>8117</v>
      </c>
      <c r="C5265" s="1">
        <v>3</v>
      </c>
      <c r="D5265" s="1">
        <v>1</v>
      </c>
      <c r="E5265" s="9"/>
      <c r="F5265" s="2" t="s">
        <v>8118</v>
      </c>
    </row>
    <row r="5266" spans="1:6">
      <c r="A5266" s="56">
        <v>300073</v>
      </c>
      <c r="B5266" s="1" t="s">
        <v>8119</v>
      </c>
      <c r="C5266" s="1">
        <v>0</v>
      </c>
      <c r="D5266" s="1">
        <v>1</v>
      </c>
      <c r="E5266" s="9"/>
      <c r="F5266" s="2" t="s">
        <v>8120</v>
      </c>
    </row>
    <row r="5267" spans="1:6">
      <c r="A5267" s="56">
        <v>300074</v>
      </c>
      <c r="B5267" s="1" t="s">
        <v>8121</v>
      </c>
      <c r="C5267" s="1">
        <v>2</v>
      </c>
      <c r="D5267" s="1">
        <v>1</v>
      </c>
      <c r="E5267" s="9"/>
      <c r="F5267" s="2" t="s">
        <v>8122</v>
      </c>
    </row>
    <row r="5268" spans="1:6">
      <c r="A5268" s="56">
        <v>300075</v>
      </c>
      <c r="B5268" s="1" t="s">
        <v>8123</v>
      </c>
      <c r="C5268" s="1">
        <v>0</v>
      </c>
      <c r="D5268" s="1">
        <v>1</v>
      </c>
      <c r="E5268" s="9"/>
      <c r="F5268" s="2" t="s">
        <v>8124</v>
      </c>
    </row>
    <row r="5269" spans="1:6">
      <c r="A5269" s="56">
        <v>300076</v>
      </c>
      <c r="B5269" s="1" t="s">
        <v>8125</v>
      </c>
      <c r="C5269" s="1">
        <v>2</v>
      </c>
      <c r="D5269" s="1">
        <v>1</v>
      </c>
      <c r="E5269" s="9"/>
      <c r="F5269" s="2" t="s">
        <v>8126</v>
      </c>
    </row>
    <row r="5270" spans="1:6">
      <c r="A5270" s="56">
        <v>300077</v>
      </c>
      <c r="B5270" s="1" t="s">
        <v>8127</v>
      </c>
      <c r="C5270" s="1">
        <v>0</v>
      </c>
      <c r="D5270" s="1">
        <v>1</v>
      </c>
      <c r="E5270" s="9"/>
      <c r="F5270" s="2" t="s">
        <v>8128</v>
      </c>
    </row>
    <row r="5271" spans="1:6">
      <c r="A5271" s="56">
        <v>400001</v>
      </c>
      <c r="B5271" s="1" t="s">
        <v>8129</v>
      </c>
      <c r="C5271" s="2">
        <v>0</v>
      </c>
      <c r="D5271" s="2">
        <v>1</v>
      </c>
      <c r="E5271" s="2" t="s">
        <v>8130</v>
      </c>
      <c r="F5271" s="10"/>
    </row>
    <row r="5272" spans="1:6">
      <c r="A5272" s="56">
        <v>900000</v>
      </c>
      <c r="B5272" s="56" t="s">
        <v>8003</v>
      </c>
      <c r="C5272" s="2">
        <v>0</v>
      </c>
      <c r="D5272" s="2">
        <v>0</v>
      </c>
      <c r="E5272" s="2" t="s">
        <v>7854</v>
      </c>
      <c r="F5272" s="2" t="s">
        <v>8004</v>
      </c>
    </row>
    <row r="5273" spans="1:6">
      <c r="A5273" s="56">
        <v>900001</v>
      </c>
      <c r="B5273" s="56" t="s">
        <v>8005</v>
      </c>
      <c r="C5273" s="2">
        <v>0</v>
      </c>
      <c r="D5273" s="2">
        <v>0</v>
      </c>
      <c r="E5273" s="2" t="s">
        <v>7854</v>
      </c>
      <c r="F5273" s="2" t="s">
        <v>8004</v>
      </c>
    </row>
    <row r="5274" spans="1:6">
      <c r="A5274" s="56">
        <v>900002</v>
      </c>
      <c r="B5274" s="56" t="s">
        <v>8008</v>
      </c>
      <c r="C5274" s="2">
        <v>0</v>
      </c>
      <c r="D5274" s="2">
        <v>0</v>
      </c>
      <c r="E5274" s="2" t="s">
        <v>7854</v>
      </c>
      <c r="F5274" s="2" t="s">
        <v>8009</v>
      </c>
    </row>
    <row r="5275" spans="1:6">
      <c r="A5275" s="56">
        <v>900003</v>
      </c>
      <c r="B5275" s="56" t="s">
        <v>8010</v>
      </c>
      <c r="C5275" s="2">
        <v>0</v>
      </c>
      <c r="D5275" s="2">
        <v>0</v>
      </c>
      <c r="E5275" s="2" t="s">
        <v>7854</v>
      </c>
      <c r="F5275" s="2" t="s">
        <v>8009</v>
      </c>
    </row>
    <row r="5276" spans="1:6">
      <c r="A5276" s="56">
        <v>900004</v>
      </c>
      <c r="B5276" s="56" t="s">
        <v>8019</v>
      </c>
      <c r="C5276" s="2">
        <v>0</v>
      </c>
      <c r="D5276" s="2">
        <v>0</v>
      </c>
      <c r="E5276" s="2" t="s">
        <v>7854</v>
      </c>
      <c r="F5276" s="2" t="s">
        <v>8020</v>
      </c>
    </row>
    <row r="5277" spans="1:6">
      <c r="A5277" s="56">
        <v>900005</v>
      </c>
      <c r="B5277" s="56" t="s">
        <v>8021</v>
      </c>
      <c r="C5277" s="2">
        <v>0</v>
      </c>
      <c r="D5277" s="2">
        <v>0</v>
      </c>
      <c r="E5277" s="2" t="s">
        <v>7854</v>
      </c>
      <c r="F5277" s="2" t="s">
        <v>8020</v>
      </c>
    </row>
    <row r="5278" spans="1:6">
      <c r="A5278" s="56">
        <v>900006</v>
      </c>
      <c r="B5278" s="1" t="s">
        <v>7670</v>
      </c>
      <c r="C5278" s="2">
        <v>0</v>
      </c>
      <c r="D5278" s="2">
        <v>0</v>
      </c>
      <c r="E5278" s="2" t="s">
        <v>7671</v>
      </c>
      <c r="F5278" s="2" t="s">
        <v>7672</v>
      </c>
    </row>
    <row r="5279" spans="1:6">
      <c r="A5279" s="56">
        <v>900007</v>
      </c>
      <c r="B5279" s="1" t="s">
        <v>7673</v>
      </c>
      <c r="C5279" s="2">
        <v>0</v>
      </c>
      <c r="D5279" s="2">
        <v>0</v>
      </c>
      <c r="E5279" s="2" t="s">
        <v>7671</v>
      </c>
      <c r="F5279" s="2" t="s">
        <v>7674</v>
      </c>
    </row>
    <row r="5280" spans="1:6">
      <c r="A5280" s="56">
        <v>900008</v>
      </c>
      <c r="B5280" s="1" t="s">
        <v>7675</v>
      </c>
      <c r="C5280" s="2">
        <v>0</v>
      </c>
      <c r="D5280" s="2">
        <v>0</v>
      </c>
      <c r="E5280" s="2" t="s">
        <v>7671</v>
      </c>
      <c r="F5280" s="2" t="s">
        <v>7676</v>
      </c>
    </row>
    <row r="5281" spans="1:6">
      <c r="A5281" s="56">
        <v>900009</v>
      </c>
      <c r="B5281" s="1" t="s">
        <v>7677</v>
      </c>
      <c r="C5281" s="2">
        <v>0</v>
      </c>
      <c r="D5281" s="2">
        <v>0</v>
      </c>
      <c r="E5281" s="2" t="s">
        <v>7671</v>
      </c>
      <c r="F5281" s="2" t="s">
        <v>7678</v>
      </c>
    </row>
    <row r="5282" spans="1:6">
      <c r="A5282" s="56">
        <v>900010</v>
      </c>
      <c r="B5282" s="1" t="s">
        <v>7679</v>
      </c>
      <c r="C5282" s="2">
        <v>0</v>
      </c>
      <c r="D5282" s="2">
        <v>0</v>
      </c>
      <c r="E5282" s="2" t="s">
        <v>7671</v>
      </c>
      <c r="F5282" s="2" t="s">
        <v>7680</v>
      </c>
    </row>
    <row r="5283" spans="1:6">
      <c r="A5283" s="56">
        <v>900011</v>
      </c>
      <c r="B5283" s="1" t="s">
        <v>7679</v>
      </c>
      <c r="C5283" s="2">
        <v>0</v>
      </c>
      <c r="D5283" s="2">
        <v>0</v>
      </c>
      <c r="E5283" s="2" t="s">
        <v>7671</v>
      </c>
      <c r="F5283" s="2" t="s">
        <v>7681</v>
      </c>
    </row>
    <row r="5284" spans="1:6">
      <c r="A5284" s="56">
        <v>900012</v>
      </c>
      <c r="B5284" s="1" t="s">
        <v>7682</v>
      </c>
      <c r="C5284" s="2">
        <v>0</v>
      </c>
      <c r="D5284" s="2">
        <v>0</v>
      </c>
      <c r="E5284" s="2" t="s">
        <v>7671</v>
      </c>
      <c r="F5284" s="2" t="s">
        <v>7683</v>
      </c>
    </row>
    <row r="5285" spans="1:6">
      <c r="A5285" s="56">
        <v>900013</v>
      </c>
      <c r="B5285" s="1" t="s">
        <v>7684</v>
      </c>
      <c r="C5285" s="2">
        <v>0</v>
      </c>
      <c r="D5285" s="2">
        <v>0</v>
      </c>
      <c r="E5285" s="2" t="s">
        <v>7671</v>
      </c>
      <c r="F5285" s="2" t="s">
        <v>7685</v>
      </c>
    </row>
    <row r="5286" spans="1:6">
      <c r="A5286" s="56">
        <v>400002</v>
      </c>
      <c r="B5286" s="56" t="s">
        <v>8131</v>
      </c>
      <c r="C5286" s="2">
        <v>0</v>
      </c>
      <c r="D5286" s="2">
        <v>1</v>
      </c>
      <c r="E5286" s="2" t="s">
        <v>7671</v>
      </c>
      <c r="F5286" s="2" t="s">
        <v>8132</v>
      </c>
    </row>
    <row r="5287" spans="1:6">
      <c r="A5287" s="56">
        <v>400003</v>
      </c>
      <c r="B5287" s="56" t="s">
        <v>8133</v>
      </c>
      <c r="C5287" s="2">
        <v>0</v>
      </c>
      <c r="D5287" s="2">
        <v>1</v>
      </c>
      <c r="E5287" s="2" t="s">
        <v>7671</v>
      </c>
      <c r="F5287" s="2" t="s">
        <v>8134</v>
      </c>
    </row>
    <row r="5288" spans="1:6">
      <c r="A5288" s="56">
        <v>400004</v>
      </c>
      <c r="B5288" s="56" t="s">
        <v>8135</v>
      </c>
      <c r="C5288" s="2">
        <v>2</v>
      </c>
      <c r="D5288" s="2">
        <v>0</v>
      </c>
      <c r="E5288" s="122"/>
      <c r="F5288" s="123" t="s">
        <v>8136</v>
      </c>
    </row>
    <row r="5289" spans="1:6">
      <c r="A5289" s="56">
        <v>200001</v>
      </c>
      <c r="B5289" s="56" t="s">
        <v>4667</v>
      </c>
      <c r="C5289" s="2">
        <v>0</v>
      </c>
      <c r="D5289" s="2">
        <v>1</v>
      </c>
      <c r="F5289" s="2" t="s">
        <v>8137</v>
      </c>
    </row>
    <row r="5290" spans="1:6">
      <c r="A5290" s="56">
        <v>200002</v>
      </c>
      <c r="B5290" s="1" t="s">
        <v>8138</v>
      </c>
      <c r="C5290" s="2">
        <v>0</v>
      </c>
      <c r="D5290" s="2">
        <v>1</v>
      </c>
      <c r="F5290" s="2" t="s">
        <v>8139</v>
      </c>
    </row>
    <row r="5291" spans="1:6">
      <c r="A5291" s="56">
        <v>200003</v>
      </c>
      <c r="B5291" s="1" t="s">
        <v>8140</v>
      </c>
      <c r="C5291" s="2">
        <v>0</v>
      </c>
      <c r="D5291" s="2">
        <v>1</v>
      </c>
      <c r="F5291" s="2" t="s">
        <v>8141</v>
      </c>
    </row>
    <row r="5292" spans="1:6">
      <c r="A5292" s="56">
        <v>1000001</v>
      </c>
      <c r="B5292" s="56" t="s">
        <v>8142</v>
      </c>
      <c r="C5292" s="2">
        <v>0</v>
      </c>
      <c r="D5292" s="2">
        <v>0</v>
      </c>
      <c r="F5292" s="2" t="s">
        <v>8143</v>
      </c>
    </row>
    <row r="5293" spans="1:6">
      <c r="A5293" s="56">
        <v>200004</v>
      </c>
      <c r="B5293" s="56" t="s">
        <v>8144</v>
      </c>
      <c r="C5293" s="2">
        <v>1</v>
      </c>
      <c r="D5293" s="2">
        <v>0</v>
      </c>
      <c r="F5293" s="2" t="s">
        <v>8145</v>
      </c>
    </row>
  </sheetData>
  <autoFilter xmlns:etc="http://www.wps.cn/officeDocument/2017/etCustomData" ref="A6:H5293" etc:filterBottomFollowUsedRange="0">
    <extLst/>
  </autoFilter>
  <conditionalFormatting sqref="B255">
    <cfRule type="duplicateValues" dxfId="0" priority="168"/>
  </conditionalFormatting>
  <conditionalFormatting sqref="B281">
    <cfRule type="duplicateValues" dxfId="0" priority="166"/>
  </conditionalFormatting>
  <conditionalFormatting sqref="B547">
    <cfRule type="duplicateValues" dxfId="0" priority="242"/>
  </conditionalFormatting>
  <conditionalFormatting sqref="B548">
    <cfRule type="duplicateValues" dxfId="0" priority="241"/>
  </conditionalFormatting>
  <conditionalFormatting sqref="B549">
    <cfRule type="duplicateValues" dxfId="0" priority="240"/>
  </conditionalFormatting>
  <conditionalFormatting sqref="B560">
    <cfRule type="duplicateValues" dxfId="0" priority="238"/>
  </conditionalFormatting>
  <conditionalFormatting sqref="B561">
    <cfRule type="duplicateValues" dxfId="0" priority="237"/>
  </conditionalFormatting>
  <conditionalFormatting sqref="B562">
    <cfRule type="duplicateValues" dxfId="0" priority="236"/>
  </conditionalFormatting>
  <conditionalFormatting sqref="B563">
    <cfRule type="duplicateValues" dxfId="0" priority="235"/>
  </conditionalFormatting>
  <conditionalFormatting sqref="B564">
    <cfRule type="duplicateValues" dxfId="0" priority="234"/>
  </conditionalFormatting>
  <conditionalFormatting sqref="F564">
    <cfRule type="duplicateValues" dxfId="0" priority="232"/>
  </conditionalFormatting>
  <conditionalFormatting sqref="B565">
    <cfRule type="duplicateValues" dxfId="0" priority="233"/>
  </conditionalFormatting>
  <conditionalFormatting sqref="B566">
    <cfRule type="duplicateValues" dxfId="0" priority="250"/>
  </conditionalFormatting>
  <conditionalFormatting sqref="B610">
    <cfRule type="duplicateValues" dxfId="0" priority="228"/>
  </conditionalFormatting>
  <conditionalFormatting sqref="B669">
    <cfRule type="duplicateValues" dxfId="0" priority="226"/>
  </conditionalFormatting>
  <conditionalFormatting sqref="B670">
    <cfRule type="duplicateValues" dxfId="0" priority="225"/>
  </conditionalFormatting>
  <conditionalFormatting sqref="B684">
    <cfRule type="duplicateValues" dxfId="0" priority="222"/>
  </conditionalFormatting>
  <conditionalFormatting sqref="B732">
    <cfRule type="duplicateValues" dxfId="0" priority="220"/>
  </conditionalFormatting>
  <conditionalFormatting sqref="B765">
    <cfRule type="duplicateValues" dxfId="0" priority="214"/>
  </conditionalFormatting>
  <conditionalFormatting sqref="B766">
    <cfRule type="duplicateValues" dxfId="0" priority="213"/>
  </conditionalFormatting>
  <conditionalFormatting sqref="B769">
    <cfRule type="duplicateValues" dxfId="0" priority="211"/>
  </conditionalFormatting>
  <conditionalFormatting sqref="B770">
    <cfRule type="duplicateValues" dxfId="0" priority="210"/>
  </conditionalFormatting>
  <conditionalFormatting sqref="B771">
    <cfRule type="duplicateValues" dxfId="0" priority="209"/>
  </conditionalFormatting>
  <conditionalFormatting sqref="B772">
    <cfRule type="duplicateValues" dxfId="0" priority="208"/>
  </conditionalFormatting>
  <conditionalFormatting sqref="B773">
    <cfRule type="duplicateValues" dxfId="0" priority="207"/>
  </conditionalFormatting>
  <conditionalFormatting sqref="B777">
    <cfRule type="duplicateValues" dxfId="0" priority="204"/>
  </conditionalFormatting>
  <conditionalFormatting sqref="F777">
    <cfRule type="duplicateValues" dxfId="0" priority="206"/>
  </conditionalFormatting>
  <conditionalFormatting sqref="B784">
    <cfRule type="duplicateValues" dxfId="0" priority="201"/>
  </conditionalFormatting>
  <conditionalFormatting sqref="B789">
    <cfRule type="duplicateValues" dxfId="0" priority="424"/>
  </conditionalFormatting>
  <conditionalFormatting sqref="B824">
    <cfRule type="duplicateValues" dxfId="0" priority="183"/>
  </conditionalFormatting>
  <conditionalFormatting sqref="F824">
    <cfRule type="duplicateValues" dxfId="0" priority="182"/>
  </conditionalFormatting>
  <conditionalFormatting sqref="B831">
    <cfRule type="duplicateValues" dxfId="0" priority="185"/>
  </conditionalFormatting>
  <conditionalFormatting sqref="B955">
    <cfRule type="duplicateValues" dxfId="0" priority="181"/>
  </conditionalFormatting>
  <conditionalFormatting sqref="B957">
    <cfRule type="duplicateValues" dxfId="0" priority="179"/>
  </conditionalFormatting>
  <conditionalFormatting sqref="B987">
    <cfRule type="duplicateValues" dxfId="0" priority="177"/>
  </conditionalFormatting>
  <conditionalFormatting sqref="B993"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</conditionalFormatting>
  <conditionalFormatting sqref="B996">
    <cfRule type="duplicateValues" dxfId="0" priority="165"/>
  </conditionalFormatting>
  <conditionalFormatting sqref="B997">
    <cfRule type="duplicateValues" dxfId="0" priority="163"/>
  </conditionalFormatting>
  <conditionalFormatting sqref="B998">
    <cfRule type="duplicateValues" dxfId="0" priority="162"/>
  </conditionalFormatting>
  <conditionalFormatting sqref="B999">
    <cfRule type="duplicateValues" dxfId="0" priority="164"/>
  </conditionalFormatting>
  <conditionalFormatting sqref="G1012">
    <cfRule type="duplicateValues" dxfId="0" priority="157"/>
  </conditionalFormatting>
  <conditionalFormatting sqref="B1017">
    <cfRule type="duplicateValues" dxfId="0" priority="159"/>
  </conditionalFormatting>
  <conditionalFormatting sqref="G1017">
    <cfRule type="duplicateValues" dxfId="0" priority="736"/>
  </conditionalFormatting>
  <conditionalFormatting sqref="B1018">
    <cfRule type="duplicateValues" dxfId="0" priority="158"/>
  </conditionalFormatting>
  <conditionalFormatting sqref="B1040">
    <cfRule type="duplicateValues" dxfId="0" priority="156"/>
  </conditionalFormatting>
  <conditionalFormatting sqref="B1114">
    <cfRule type="duplicateValues" dxfId="0" priority="147"/>
  </conditionalFormatting>
  <conditionalFormatting sqref="G1114">
    <cfRule type="duplicateValues" dxfId="0" priority="149"/>
  </conditionalFormatting>
  <conditionalFormatting sqref="G1115">
    <cfRule type="duplicateValues" dxfId="0" priority="154"/>
  </conditionalFormatting>
  <conditionalFormatting sqref="B2025">
    <cfRule type="duplicateValues" dxfId="0" priority="144"/>
  </conditionalFormatting>
  <conditionalFormatting sqref="B4427">
    <cfRule type="duplicateValues" dxfId="0" priority="139"/>
  </conditionalFormatting>
  <conditionalFormatting sqref="B4538">
    <cfRule type="duplicateValues" dxfId="0" priority="131"/>
  </conditionalFormatting>
  <conditionalFormatting sqref="B4545">
    <cfRule type="duplicateValues" dxfId="0" priority="126"/>
  </conditionalFormatting>
  <conditionalFormatting sqref="A4803">
    <cfRule type="duplicateValues" dxfId="1" priority="92"/>
  </conditionalFormatting>
  <conditionalFormatting sqref="B4803">
    <cfRule type="duplicateValues" dxfId="0" priority="80"/>
  </conditionalFormatting>
  <conditionalFormatting sqref="A4804">
    <cfRule type="duplicateValues" dxfId="1" priority="91"/>
  </conditionalFormatting>
  <conditionalFormatting sqref="B4804">
    <cfRule type="duplicateValues" dxfId="0" priority="79"/>
  </conditionalFormatting>
  <conditionalFormatting sqref="A4805">
    <cfRule type="duplicateValues" dxfId="1" priority="90"/>
  </conditionalFormatting>
  <conditionalFormatting sqref="B4805">
    <cfRule type="duplicateValues" dxfId="0" priority="78"/>
  </conditionalFormatting>
  <conditionalFormatting sqref="A4806">
    <cfRule type="duplicateValues" dxfId="1" priority="89"/>
  </conditionalFormatting>
  <conditionalFormatting sqref="B4806">
    <cfRule type="duplicateValues" dxfId="0" priority="77"/>
  </conditionalFormatting>
  <conditionalFormatting sqref="A4807">
    <cfRule type="duplicateValues" dxfId="1" priority="88"/>
  </conditionalFormatting>
  <conditionalFormatting sqref="B4807">
    <cfRule type="duplicateValues" dxfId="0" priority="76"/>
  </conditionalFormatting>
  <conditionalFormatting sqref="A4808">
    <cfRule type="duplicateValues" dxfId="1" priority="87"/>
  </conditionalFormatting>
  <conditionalFormatting sqref="B4808">
    <cfRule type="duplicateValues" dxfId="0" priority="75"/>
  </conditionalFormatting>
  <conditionalFormatting sqref="A4809">
    <cfRule type="duplicateValues" dxfId="1" priority="86"/>
  </conditionalFormatting>
  <conditionalFormatting sqref="B4809">
    <cfRule type="duplicateValues" dxfId="0" priority="74"/>
  </conditionalFormatting>
  <conditionalFormatting sqref="A4810">
    <cfRule type="duplicateValues" dxfId="1" priority="85"/>
  </conditionalFormatting>
  <conditionalFormatting sqref="B4810">
    <cfRule type="duplicateValues" dxfId="0" priority="73"/>
  </conditionalFormatting>
  <conditionalFormatting sqref="A4811">
    <cfRule type="duplicateValues" dxfId="1" priority="84"/>
  </conditionalFormatting>
  <conditionalFormatting sqref="B4811">
    <cfRule type="duplicateValues" dxfId="0" priority="72"/>
  </conditionalFormatting>
  <conditionalFormatting sqref="B4812">
    <cfRule type="duplicateValues" dxfId="0" priority="71"/>
  </conditionalFormatting>
  <conditionalFormatting sqref="A4813">
    <cfRule type="duplicateValues" dxfId="1" priority="82"/>
  </conditionalFormatting>
  <conditionalFormatting sqref="B4813">
    <cfRule type="duplicateValues" dxfId="0" priority="70"/>
  </conditionalFormatting>
  <conditionalFormatting sqref="A4814">
    <cfRule type="duplicateValues" dxfId="1" priority="81"/>
  </conditionalFormatting>
  <conditionalFormatting sqref="B4842">
    <cfRule type="duplicateValues" dxfId="0" priority="67"/>
  </conditionalFormatting>
  <conditionalFormatting sqref="B4843">
    <cfRule type="duplicateValues" dxfId="0" priority="65"/>
  </conditionalFormatting>
  <conditionalFormatting sqref="A4881:Z4881">
    <cfRule type="duplicateValues" dxfId="0" priority="50"/>
  </conditionalFormatting>
  <conditionalFormatting sqref="B4982">
    <cfRule type="duplicateValues" dxfId="0" priority="41"/>
  </conditionalFormatting>
  <conditionalFormatting sqref="B4983">
    <cfRule type="duplicateValues" dxfId="0" priority="40"/>
  </conditionalFormatting>
  <conditionalFormatting sqref="B4984">
    <cfRule type="duplicateValues" dxfId="0" priority="39"/>
  </conditionalFormatting>
  <conditionalFormatting sqref="B4985">
    <cfRule type="duplicateValues" dxfId="0" priority="38"/>
  </conditionalFormatting>
  <conditionalFormatting sqref="B4986">
    <cfRule type="duplicateValues" dxfId="0" priority="36"/>
  </conditionalFormatting>
  <conditionalFormatting sqref="B4987">
    <cfRule type="duplicateValues" dxfId="0" priority="34"/>
  </conditionalFormatting>
  <conditionalFormatting sqref="B4988">
    <cfRule type="duplicateValues" dxfId="0" priority="32"/>
  </conditionalFormatting>
  <conditionalFormatting sqref="B4989">
    <cfRule type="duplicateValues" dxfId="0" priority="29"/>
  </conditionalFormatting>
  <conditionalFormatting sqref="B4990">
    <cfRule type="duplicateValues" dxfId="0" priority="28"/>
  </conditionalFormatting>
  <conditionalFormatting sqref="B5251">
    <cfRule type="duplicateValues" dxfId="0" priority="145"/>
  </conditionalFormatting>
  <conditionalFormatting sqref="B5288">
    <cfRule type="duplicateValues" dxfId="0" priority="142"/>
  </conditionalFormatting>
  <conditionalFormatting sqref="A4606:A4802">
    <cfRule type="duplicateValues" dxfId="1" priority="121"/>
  </conditionalFormatting>
  <conditionalFormatting sqref="A5016:A5025">
    <cfRule type="duplicateValues" dxfId="0" priority="2"/>
  </conditionalFormatting>
  <conditionalFormatting sqref="B672:B675">
    <cfRule type="duplicateValues" dxfId="0" priority="224"/>
  </conditionalFormatting>
  <conditionalFormatting sqref="B751:B757">
    <cfRule type="duplicateValues" dxfId="0" priority="402"/>
  </conditionalFormatting>
  <conditionalFormatting sqref="B758:B760">
    <cfRule type="duplicateValues" dxfId="0" priority="403"/>
  </conditionalFormatting>
  <conditionalFormatting sqref="B762:B764">
    <cfRule type="duplicateValues" dxfId="0" priority="215"/>
  </conditionalFormatting>
  <conditionalFormatting sqref="B767:B768">
    <cfRule type="duplicateValues" dxfId="0" priority="212"/>
  </conditionalFormatting>
  <conditionalFormatting sqref="B778:B779">
    <cfRule type="duplicateValues" dxfId="0" priority="203"/>
  </conditionalFormatting>
  <conditionalFormatting sqref="B786:B788">
    <cfRule type="duplicateValues" dxfId="0" priority="200"/>
  </conditionalFormatting>
  <conditionalFormatting sqref="B1111:B1113">
    <cfRule type="duplicateValues" dxfId="0" priority="148"/>
  </conditionalFormatting>
  <conditionalFormatting sqref="B3181:B3388">
    <cfRule type="duplicateValues" dxfId="0" priority="143"/>
  </conditionalFormatting>
  <conditionalFormatting sqref="B4428:B4487">
    <cfRule type="duplicateValues" dxfId="0" priority="138"/>
  </conditionalFormatting>
  <conditionalFormatting sqref="B4488:B4489">
    <cfRule type="duplicateValues" dxfId="0" priority="137"/>
  </conditionalFormatting>
  <conditionalFormatting sqref="B4490:B4505">
    <cfRule type="duplicateValues" dxfId="0" priority="136"/>
  </conditionalFormatting>
  <conditionalFormatting sqref="B4506:B4512">
    <cfRule type="duplicateValues" dxfId="0" priority="135"/>
  </conditionalFormatting>
  <conditionalFormatting sqref="B4513:B4514">
    <cfRule type="duplicateValues" dxfId="0" priority="134"/>
  </conditionalFormatting>
  <conditionalFormatting sqref="B4515:B4516">
    <cfRule type="duplicateValues" dxfId="0" priority="133"/>
  </conditionalFormatting>
  <conditionalFormatting sqref="B4541:B4542">
    <cfRule type="duplicateValues" dxfId="0" priority="129"/>
  </conditionalFormatting>
  <conditionalFormatting sqref="B4543:B4544">
    <cfRule type="duplicateValues" dxfId="0" priority="128"/>
  </conditionalFormatting>
  <conditionalFormatting sqref="B4546:B4596">
    <cfRule type="duplicateValues" dxfId="0" priority="124"/>
  </conditionalFormatting>
  <conditionalFormatting sqref="B4597:B4605">
    <cfRule type="duplicateValues" dxfId="0" priority="122"/>
  </conditionalFormatting>
  <conditionalFormatting sqref="B4606:B4609">
    <cfRule type="duplicateValues" dxfId="0" priority="120"/>
  </conditionalFormatting>
  <conditionalFormatting sqref="B4610:B4613">
    <cfRule type="duplicateValues" dxfId="0" priority="118"/>
  </conditionalFormatting>
  <conditionalFormatting sqref="B4614:B4617">
    <cfRule type="duplicateValues" dxfId="0" priority="116"/>
  </conditionalFormatting>
  <conditionalFormatting sqref="B4618:B4621">
    <cfRule type="duplicateValues" dxfId="0" priority="114"/>
  </conditionalFormatting>
  <conditionalFormatting sqref="B4622:B4625">
    <cfRule type="duplicateValues" dxfId="0" priority="112"/>
  </conditionalFormatting>
  <conditionalFormatting sqref="B4626:B4629">
    <cfRule type="duplicateValues" dxfId="0" priority="110"/>
  </conditionalFormatting>
  <conditionalFormatting sqref="B4630:B4632">
    <cfRule type="duplicateValues" dxfId="0" priority="108"/>
  </conditionalFormatting>
  <conditionalFormatting sqref="B4633:B4636">
    <cfRule type="duplicateValues" dxfId="0" priority="106"/>
  </conditionalFormatting>
  <conditionalFormatting sqref="B4637:B4639">
    <cfRule type="duplicateValues" dxfId="0" priority="104"/>
  </conditionalFormatting>
  <conditionalFormatting sqref="B4640:B4641">
    <cfRule type="duplicateValues" dxfId="0" priority="102"/>
  </conditionalFormatting>
  <conditionalFormatting sqref="B4642:B4644">
    <cfRule type="duplicateValues" dxfId="0" priority="101"/>
  </conditionalFormatting>
  <conditionalFormatting sqref="B4645:B4648">
    <cfRule type="duplicateValues" dxfId="0" priority="100"/>
  </conditionalFormatting>
  <conditionalFormatting sqref="B4649:B4674">
    <cfRule type="duplicateValues" dxfId="0" priority="99"/>
  </conditionalFormatting>
  <conditionalFormatting sqref="B4675:B4729">
    <cfRule type="duplicateValues" dxfId="0" priority="97"/>
  </conditionalFormatting>
  <conditionalFormatting sqref="B4730:B4731">
    <cfRule type="duplicateValues" dxfId="0" priority="96"/>
  </conditionalFormatting>
  <conditionalFormatting sqref="B4732:B4800">
    <cfRule type="duplicateValues" dxfId="0" priority="95"/>
  </conditionalFormatting>
  <conditionalFormatting sqref="B4801:B4802">
    <cfRule type="duplicateValues" dxfId="0" priority="93"/>
  </conditionalFormatting>
  <conditionalFormatting sqref="B4814:B4841">
    <cfRule type="duplicateValues" dxfId="0" priority="69"/>
  </conditionalFormatting>
  <conditionalFormatting sqref="B4948:B4960">
    <cfRule type="duplicateValues" dxfId="0" priority="48"/>
  </conditionalFormatting>
  <conditionalFormatting sqref="B4961:B4981">
    <cfRule type="duplicateValues" dxfId="0" priority="46"/>
  </conditionalFormatting>
  <conditionalFormatting sqref="B5272:B5273">
    <cfRule type="duplicateValues" dxfId="0" priority="193"/>
  </conditionalFormatting>
  <conditionalFormatting sqref="B5274:B5275">
    <cfRule type="duplicateValues" dxfId="0" priority="192"/>
  </conditionalFormatting>
  <conditionalFormatting sqref="F750:F772">
    <cfRule type="duplicateValues" dxfId="0" priority="401"/>
  </conditionalFormatting>
  <conditionalFormatting sqref="G777:G779">
    <cfRule type="duplicateValues" dxfId="0" priority="205"/>
  </conditionalFormatting>
  <conditionalFormatting sqref="G990:G993">
    <cfRule type="duplicateValues" dxfId="0" priority="703"/>
  </conditionalFormatting>
  <conditionalFormatting sqref="G994:G1011">
    <cfRule type="duplicateValues" dxfId="0" priority="704"/>
  </conditionalFormatting>
  <conditionalFormatting sqref="G1013:G1016">
    <cfRule type="duplicateValues" dxfId="0" priority="720"/>
  </conditionalFormatting>
  <conditionalFormatting sqref="G1041:G1102">
    <cfRule type="duplicateValues" dxfId="0" priority="821"/>
  </conditionalFormatting>
  <conditionalFormatting sqref="A1:A4605 A5026:A1048576">
    <cfRule type="duplicateValues" dxfId="1" priority="822"/>
  </conditionalFormatting>
  <conditionalFormatting sqref="B1:B4408 B4411:B4421 B4426 B5026:B1048576">
    <cfRule type="duplicateValues" dxfId="0" priority="140"/>
  </conditionalFormatting>
  <conditionalFormatting sqref="B315:B482 B282:B307 B1:B254 B488:B497 B499:B501 B503:B538 B256:B280 B540:B546 B484 B1057 B5086:B5106 B5289 B5292:B1048576 B5287 B5217 B5197:B5212 B5219:B5227">
    <cfRule type="duplicateValues" dxfId="0" priority="818"/>
  </conditionalFormatting>
  <conditionalFormatting sqref="B567:B569 B572:B601">
    <cfRule type="duplicateValues" dxfId="0" priority="273"/>
  </conditionalFormatting>
  <conditionalFormatting sqref="G602:G606 B602:B606 B608:B609 B625:B626 B611:B623 G608:G677 B676:B678 B629:B630 B632:B660 B662:B664 B681:B682">
    <cfRule type="duplicateValues" dxfId="0" priority="357"/>
  </conditionalFormatting>
  <conditionalFormatting sqref="G607 B607">
    <cfRule type="duplicateValues" dxfId="0" priority="227"/>
  </conditionalFormatting>
  <conditionalFormatting sqref="F731:F732 B731">
    <cfRule type="duplicateValues" dxfId="0" priority="221"/>
  </conditionalFormatting>
  <conditionalFormatting sqref="G733:G757 B733 G759:G765 G767:G776">
    <cfRule type="duplicateValues" dxfId="0" priority="399"/>
  </conditionalFormatting>
  <conditionalFormatting sqref="G783 G785:G788 B785 B783">
    <cfRule type="duplicateValues" dxfId="0" priority="412"/>
  </conditionalFormatting>
  <conditionalFormatting sqref="F811 B794 F813:F818 B811:B814 F820 F822:F823 F825:F830 F794 F808:F809">
    <cfRule type="duplicateValues" dxfId="0" priority="527"/>
  </conditionalFormatting>
  <conditionalFormatting sqref="F795:F807 B795:B807">
    <cfRule type="duplicateValues" dxfId="0" priority="175"/>
  </conditionalFormatting>
  <conditionalFormatting sqref="B823 B825:B830">
    <cfRule type="duplicateValues" dxfId="0" priority="534"/>
  </conditionalFormatting>
  <conditionalFormatting sqref="F849:F852 B849:B851">
    <cfRule type="duplicateValues" dxfId="0" priority="184"/>
  </conditionalFormatting>
  <conditionalFormatting sqref="B969:B971 B960:B967 B958">
    <cfRule type="duplicateValues" dxfId="0" priority="561"/>
  </conditionalFormatting>
  <conditionalFormatting sqref="E959:E971 E973:E986 B979:B984 B977 B973:B975 B959">
    <cfRule type="duplicateValues" dxfId="0" priority="627"/>
  </conditionalFormatting>
  <conditionalFormatting sqref="G1110:G1113 G1108 G1103:G1104">
    <cfRule type="duplicateValues" dxfId="0" priority="150"/>
  </conditionalFormatting>
  <conditionalFormatting sqref="G1116:G1119 B1121 G1121:G1122">
    <cfRule type="duplicateValues" dxfId="0" priority="153"/>
  </conditionalFormatting>
  <conditionalFormatting sqref="B4517:B4537 B4539:B4540">
    <cfRule type="duplicateValues" dxfId="0" priority="132"/>
  </conditionalFormatting>
  <conditionalFormatting sqref="A4812 A4815:A4843">
    <cfRule type="duplicateValues" dxfId="1" priority="83"/>
  </conditionalFormatting>
  <conditionalFormatting sqref="A4844:B4879 G4844:Y4879">
    <cfRule type="duplicateValues" dxfId="0" priority="64"/>
  </conditionalFormatting>
  <conditionalFormatting sqref="A4880:B4880 G4880:Y4880">
    <cfRule type="duplicateValues" dxfId="0" priority="51"/>
  </conditionalFormatting>
  <conditionalFormatting sqref="A4882:B4882 G4882:Y4882">
    <cfRule type="duplicateValues" dxfId="0" priority="62"/>
  </conditionalFormatting>
  <conditionalFormatting sqref="A4883:B4883 G4883:Y4883">
    <cfRule type="duplicateValues" dxfId="0" priority="61"/>
  </conditionalFormatting>
  <conditionalFormatting sqref="A4884:B4884 G4884:Y4884">
    <cfRule type="duplicateValues" dxfId="0" priority="60"/>
  </conditionalFormatting>
  <conditionalFormatting sqref="A4885:B4885 G4885:Y4885">
    <cfRule type="duplicateValues" dxfId="0" priority="59"/>
  </conditionalFormatting>
  <conditionalFormatting sqref="A4886:B4886 G4886:Y4886">
    <cfRule type="duplicateValues" dxfId="0" priority="58"/>
  </conditionalFormatting>
  <conditionalFormatting sqref="A4887:B4887 G4887:Y4887">
    <cfRule type="duplicateValues" dxfId="0" priority="57"/>
  </conditionalFormatting>
  <conditionalFormatting sqref="A4888:B4888 G4888:Y4888">
    <cfRule type="duplicateValues" dxfId="0" priority="56"/>
  </conditionalFormatting>
  <conditionalFormatting sqref="A4889:B4889 G4889:Y4889">
    <cfRule type="duplicateValues" dxfId="0" priority="55"/>
  </conditionalFormatting>
  <conditionalFormatting sqref="A4890:B4900 G4890:Y4900">
    <cfRule type="duplicateValues" dxfId="0" priority="54"/>
  </conditionalFormatting>
  <conditionalFormatting sqref="A4901:A4960 G4901:Y4960 B4901:B4947">
    <cfRule type="duplicateValues" dxfId="0" priority="49"/>
  </conditionalFormatting>
  <conditionalFormatting sqref="A4961:A4981 G4961:Y4981">
    <cfRule type="duplicateValues" dxfId="0" priority="47"/>
  </conditionalFormatting>
  <conditionalFormatting sqref="A4982 G4982:Y4982">
    <cfRule type="duplicateValues" dxfId="0" priority="45"/>
  </conditionalFormatting>
  <conditionalFormatting sqref="A4983 G4983:Y4983">
    <cfRule type="duplicateValues" dxfId="0" priority="44"/>
  </conditionalFormatting>
  <conditionalFormatting sqref="A4984 G4984:Y4984">
    <cfRule type="duplicateValues" dxfId="0" priority="43"/>
  </conditionalFormatting>
  <conditionalFormatting sqref="A4985 G4985:Y4985">
    <cfRule type="duplicateValues" dxfId="0" priority="42"/>
  </conditionalFormatting>
  <conditionalFormatting sqref="A4986 G4986:Y4986">
    <cfRule type="duplicateValues" dxfId="0" priority="37"/>
  </conditionalFormatting>
  <conditionalFormatting sqref="A4987 G4987:Y4987">
    <cfRule type="duplicateValues" dxfId="0" priority="35"/>
  </conditionalFormatting>
  <conditionalFormatting sqref="A4988 G4988:Y4988">
    <cfRule type="duplicateValues" dxfId="0" priority="33"/>
  </conditionalFormatting>
  <conditionalFormatting sqref="A4989 G4989:Y4989">
    <cfRule type="duplicateValues" dxfId="0" priority="31"/>
  </conditionalFormatting>
  <conditionalFormatting sqref="A4990 G4990:Y4990">
    <cfRule type="duplicateValues" dxfId="0" priority="30"/>
  </conditionalFormatting>
  <conditionalFormatting sqref="A4991:B4991 G4991:Y4991">
    <cfRule type="duplicateValues" dxfId="0" priority="27"/>
  </conditionalFormatting>
  <conditionalFormatting sqref="A4992:B4992 G4992:Y4992">
    <cfRule type="duplicateValues" dxfId="0" priority="26"/>
  </conditionalFormatting>
  <conditionalFormatting sqref="A4993:B4993 G4993:Y4993">
    <cfRule type="duplicateValues" dxfId="0" priority="25"/>
  </conditionalFormatting>
  <conditionalFormatting sqref="A4994:B4994 G4994:Y4994">
    <cfRule type="duplicateValues" dxfId="0" priority="24"/>
  </conditionalFormatting>
  <conditionalFormatting sqref="A4995:B4995 G4995:Y4995">
    <cfRule type="duplicateValues" dxfId="0" priority="23"/>
  </conditionalFormatting>
  <conditionalFormatting sqref="A4996:B4996 G4996:Y4996">
    <cfRule type="duplicateValues" dxfId="0" priority="22"/>
  </conditionalFormatting>
  <conditionalFormatting sqref="A4997:B4997 G4997:Y4997">
    <cfRule type="duplicateValues" dxfId="0" priority="21"/>
  </conditionalFormatting>
  <conditionalFormatting sqref="A4998:B4998 G4998:Y4998">
    <cfRule type="duplicateValues" dxfId="0" priority="20"/>
  </conditionalFormatting>
  <conditionalFormatting sqref="A4999:B4999 G4999:Y4999">
    <cfRule type="duplicateValues" dxfId="0" priority="19"/>
  </conditionalFormatting>
  <conditionalFormatting sqref="A5000:B5000 G5000:Y5000">
    <cfRule type="duplicateValues" dxfId="0" priority="18"/>
  </conditionalFormatting>
  <conditionalFormatting sqref="A5001:B5001 G5001:Y5001">
    <cfRule type="duplicateValues" dxfId="0" priority="17"/>
  </conditionalFormatting>
  <conditionalFormatting sqref="A5002:B5002 G5002:Y5002">
    <cfRule type="duplicateValues" dxfId="0" priority="16"/>
  </conditionalFormatting>
  <conditionalFormatting sqref="A5003:B5003 G5003:Y5003">
    <cfRule type="duplicateValues" dxfId="0" priority="15"/>
  </conditionalFormatting>
  <conditionalFormatting sqref="A5004:B5004 G5004:Y5004">
    <cfRule type="duplicateValues" dxfId="0" priority="14"/>
  </conditionalFormatting>
  <conditionalFormatting sqref="A5005:B5005 G5005:Y5005 A5015">
    <cfRule type="duplicateValues" dxfId="0" priority="13"/>
  </conditionalFormatting>
  <conditionalFormatting sqref="A5006:B5006 G5006:Y5006">
    <cfRule type="duplicateValues" dxfId="0" priority="12"/>
  </conditionalFormatting>
  <conditionalFormatting sqref="A5007:B5007 G5007:Y5007">
    <cfRule type="duplicateValues" dxfId="0" priority="11"/>
  </conditionalFormatting>
  <conditionalFormatting sqref="A5008:B5008 G5008:Y5008">
    <cfRule type="duplicateValues" dxfId="0" priority="10"/>
  </conditionalFormatting>
  <conditionalFormatting sqref="A5009:B5009 G5009:Y5009">
    <cfRule type="duplicateValues" dxfId="0" priority="9"/>
  </conditionalFormatting>
  <conditionalFormatting sqref="A5010:B5010 G5010:Y5010">
    <cfRule type="duplicateValues" dxfId="0" priority="8"/>
  </conditionalFormatting>
  <conditionalFormatting sqref="A5011:B5011 G5011:Y5011">
    <cfRule type="duplicateValues" dxfId="0" priority="7"/>
  </conditionalFormatting>
  <conditionalFormatting sqref="A5012:B5012 G5012:Y5012">
    <cfRule type="duplicateValues" dxfId="0" priority="6"/>
  </conditionalFormatting>
  <conditionalFormatting sqref="A5013:B5013 G5013:Y5013">
    <cfRule type="duplicateValues" dxfId="0" priority="5"/>
  </conditionalFormatting>
  <conditionalFormatting sqref="A5014:B5014 G5014:Y5014">
    <cfRule type="duplicateValues" dxfId="0" priority="4"/>
  </conditionalFormatting>
  <conditionalFormatting sqref="B5015 G5015:Y5015">
    <cfRule type="duplicateValues" dxfId="0" priority="3"/>
  </conditionalFormatting>
  <conditionalFormatting sqref="B5016:B5025 G5016:Y5025">
    <cfRule type="duplicateValues" dxfId="0" priority="1"/>
  </conditionalFormatting>
  <conditionalFormatting sqref="B5228:B5229 B5231:B5232 B5276:B5277">
    <cfRule type="duplicateValues" dxfId="0" priority="19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31"/>
  <sheetViews>
    <sheetView workbookViewId="0">
      <selection activeCell="B3175" sqref="B3175"/>
    </sheetView>
  </sheetViews>
  <sheetFormatPr defaultColWidth="9" defaultRowHeight="15"/>
  <cols>
    <col min="1" max="1" width="10.752380952381" customWidth="1"/>
    <col min="2" max="2" width="63" customWidth="1"/>
    <col min="9" max="11" width="12.5809523809524" customWidth="1"/>
    <col min="12" max="12" width="18.5047619047619" customWidth="1"/>
  </cols>
  <sheetData>
    <row r="3" s="2" customFormat="1" spans="1:5">
      <c r="A3" s="2">
        <v>677</v>
      </c>
      <c r="B3" s="2" t="s">
        <v>8146</v>
      </c>
      <c r="C3" s="2">
        <v>1.4</v>
      </c>
      <c r="D3" s="2">
        <v>0</v>
      </c>
      <c r="E3" s="2" t="s">
        <v>8147</v>
      </c>
    </row>
    <row r="4" s="2" customFormat="1" spans="1:5">
      <c r="A4" s="2">
        <v>691</v>
      </c>
      <c r="B4" s="2" t="s">
        <v>8148</v>
      </c>
      <c r="C4" s="2">
        <v>1.2</v>
      </c>
      <c r="D4" s="2">
        <v>0</v>
      </c>
      <c r="E4" s="2" t="s">
        <v>8149</v>
      </c>
    </row>
    <row r="5" s="2" customFormat="1" spans="1:5">
      <c r="A5" s="2">
        <v>692</v>
      </c>
      <c r="B5" s="2" t="s">
        <v>8150</v>
      </c>
      <c r="C5" s="2">
        <v>1.8</v>
      </c>
      <c r="D5" s="2">
        <v>0</v>
      </c>
      <c r="E5" s="2" t="s">
        <v>8151</v>
      </c>
    </row>
    <row r="6" s="2" customFormat="1" spans="1:5">
      <c r="A6" s="2">
        <v>698</v>
      </c>
      <c r="B6" s="2" t="s">
        <v>8152</v>
      </c>
      <c r="C6" s="2">
        <v>1.6</v>
      </c>
      <c r="D6" s="2">
        <v>0</v>
      </c>
      <c r="E6" s="2" t="s">
        <v>8153</v>
      </c>
    </row>
    <row r="7" s="2" customFormat="1"/>
    <row r="8" s="2" customFormat="1" spans="1:4">
      <c r="A8" s="2">
        <v>908</v>
      </c>
      <c r="B8" s="2" t="s">
        <v>8154</v>
      </c>
      <c r="C8" s="2">
        <v>1</v>
      </c>
      <c r="D8" s="2">
        <v>0</v>
      </c>
    </row>
    <row r="9" spans="1:7">
      <c r="A9" s="2">
        <v>837</v>
      </c>
      <c r="B9" s="2" t="s">
        <v>8155</v>
      </c>
      <c r="C9" s="2">
        <v>1</v>
      </c>
      <c r="D9" s="2">
        <v>0</v>
      </c>
      <c r="F9" s="3"/>
      <c r="G9" s="2"/>
    </row>
    <row r="10" spans="1:7">
      <c r="A10" s="2">
        <v>838</v>
      </c>
      <c r="B10" s="2" t="s">
        <v>8156</v>
      </c>
      <c r="C10" s="2">
        <v>1</v>
      </c>
      <c r="D10" s="2">
        <v>1</v>
      </c>
      <c r="F10" s="3"/>
      <c r="G10" s="2"/>
    </row>
    <row r="11" spans="1:6">
      <c r="A11" s="2">
        <v>851</v>
      </c>
      <c r="B11" t="s">
        <v>8157</v>
      </c>
      <c r="C11">
        <v>3.66666666666667</v>
      </c>
      <c r="D11" s="2">
        <v>0</v>
      </c>
      <c r="E11" t="s">
        <v>8158</v>
      </c>
      <c r="F11" s="2"/>
    </row>
    <row r="12" s="2" customFormat="1" spans="1:6">
      <c r="A12" s="2">
        <v>300027</v>
      </c>
      <c r="B12" s="2" t="s">
        <v>8159</v>
      </c>
      <c r="C12" s="2">
        <v>1</v>
      </c>
      <c r="D12" s="2">
        <v>1</v>
      </c>
      <c r="E12" s="2" t="s">
        <v>7854</v>
      </c>
      <c r="F12" s="2" t="s">
        <v>8041</v>
      </c>
    </row>
    <row r="13" spans="8:13">
      <c r="H13" s="2"/>
      <c r="I13" s="2"/>
      <c r="J13" s="2"/>
      <c r="K13" s="2"/>
      <c r="L13" s="2"/>
      <c r="M13" s="2"/>
    </row>
    <row r="14" spans="8:13">
      <c r="H14" s="2"/>
      <c r="I14" s="2"/>
      <c r="J14" s="2"/>
      <c r="K14" s="2"/>
      <c r="L14" s="2"/>
      <c r="M14" s="2"/>
    </row>
    <row r="15" s="2" customFormat="1" spans="1:4">
      <c r="A15" s="2" t="s">
        <v>8160</v>
      </c>
      <c r="B15" s="2" t="s">
        <v>8161</v>
      </c>
      <c r="C15" s="2">
        <v>2</v>
      </c>
      <c r="D15" s="2">
        <v>0</v>
      </c>
    </row>
    <row r="16" spans="1:13">
      <c r="A16" s="2"/>
      <c r="D16" s="2"/>
      <c r="E16" s="2"/>
      <c r="F16" s="2"/>
      <c r="H16" s="2"/>
      <c r="I16" s="2"/>
      <c r="J16" s="2"/>
      <c r="K16" s="2"/>
      <c r="L16" s="2"/>
      <c r="M16" s="2"/>
    </row>
    <row r="17" spans="1:13">
      <c r="A17" s="2"/>
      <c r="D17" s="2"/>
      <c r="F17" s="2"/>
      <c r="H17" s="2"/>
      <c r="I17" s="2"/>
      <c r="J17" s="2"/>
      <c r="K17" s="2"/>
      <c r="L17" s="2"/>
      <c r="M17" s="2"/>
    </row>
    <row r="18" spans="1:13">
      <c r="A18" s="4">
        <v>43511</v>
      </c>
      <c r="H18" s="2"/>
      <c r="I18" s="2"/>
      <c r="J18" s="2"/>
      <c r="K18" s="2"/>
      <c r="L18" s="2"/>
      <c r="M18" s="2"/>
    </row>
    <row r="19" spans="1:12">
      <c r="A19" s="2">
        <v>1226</v>
      </c>
      <c r="B19" t="s">
        <v>8162</v>
      </c>
      <c r="C19" s="5">
        <v>3</v>
      </c>
      <c r="D19" s="6">
        <v>0</v>
      </c>
      <c r="F19" t="s">
        <v>8163</v>
      </c>
      <c r="H19" s="2"/>
      <c r="J19" s="2"/>
      <c r="K19" s="2"/>
      <c r="L19" s="2"/>
    </row>
    <row r="20" spans="1:12">
      <c r="A20" s="2">
        <v>1227</v>
      </c>
      <c r="B20" t="s">
        <v>8164</v>
      </c>
      <c r="C20" s="5">
        <v>3</v>
      </c>
      <c r="D20" s="6">
        <v>0</v>
      </c>
      <c r="F20" t="s">
        <v>8163</v>
      </c>
      <c r="H20" s="2"/>
      <c r="J20" s="2"/>
      <c r="K20" s="2"/>
      <c r="L20" s="2"/>
    </row>
    <row r="21" spans="8:13">
      <c r="H21" s="2"/>
      <c r="I21" s="2"/>
      <c r="J21" s="2"/>
      <c r="K21" s="2"/>
      <c r="L21" s="2"/>
      <c r="M21" s="2"/>
    </row>
    <row r="22" spans="1:12">
      <c r="A22" s="2">
        <v>1207</v>
      </c>
      <c r="B22" s="7" t="s">
        <v>8165</v>
      </c>
      <c r="C22" s="2">
        <v>2</v>
      </c>
      <c r="D22">
        <v>0</v>
      </c>
      <c r="F22" t="s">
        <v>8166</v>
      </c>
      <c r="H22" s="2"/>
      <c r="J22" s="2"/>
      <c r="K22" s="2"/>
      <c r="L22" s="2"/>
    </row>
    <row r="23" spans="1:12">
      <c r="A23" s="2">
        <v>1186</v>
      </c>
      <c r="B23" t="s">
        <v>8167</v>
      </c>
      <c r="C23">
        <v>5</v>
      </c>
      <c r="D23" s="2">
        <v>0</v>
      </c>
      <c r="F23" t="s">
        <v>8168</v>
      </c>
      <c r="H23" s="2"/>
      <c r="J23" s="2"/>
      <c r="K23" s="2"/>
      <c r="L23" s="2"/>
    </row>
    <row r="24" spans="8:13">
      <c r="H24" s="2"/>
      <c r="I24" s="2"/>
      <c r="J24" s="2"/>
      <c r="K24" s="2"/>
      <c r="L24" s="2"/>
      <c r="M24" s="2"/>
    </row>
    <row r="25" spans="1:12">
      <c r="A25" s="2">
        <v>1109</v>
      </c>
      <c r="B25" s="2" t="s">
        <v>8169</v>
      </c>
      <c r="C25" s="2">
        <v>1</v>
      </c>
      <c r="D25" s="2">
        <v>1</v>
      </c>
      <c r="F25" s="8"/>
      <c r="G25" s="8"/>
      <c r="J25" s="2"/>
      <c r="K25" s="2"/>
      <c r="L25" s="2"/>
    </row>
    <row r="26" spans="8:13">
      <c r="H26" s="2"/>
      <c r="I26" s="2"/>
      <c r="J26" s="2"/>
      <c r="K26" s="2"/>
      <c r="L26" s="2"/>
      <c r="M26" s="2"/>
    </row>
    <row r="27" spans="1:12">
      <c r="A27" s="2">
        <v>1259</v>
      </c>
      <c r="B27" s="7" t="s">
        <v>8170</v>
      </c>
      <c r="C27">
        <v>3</v>
      </c>
      <c r="D27" s="2">
        <v>0</v>
      </c>
      <c r="F27" t="s">
        <v>8171</v>
      </c>
      <c r="H27" s="2"/>
      <c r="J27" s="2"/>
      <c r="K27" s="2"/>
      <c r="L27" s="2"/>
    </row>
    <row r="28" spans="10:10">
      <c r="J28" s="8"/>
    </row>
    <row r="29" spans="1:12">
      <c r="A29" s="2">
        <v>1291</v>
      </c>
      <c r="B29" t="s">
        <v>8172</v>
      </c>
      <c r="C29">
        <v>10</v>
      </c>
      <c r="D29" s="2">
        <v>0</v>
      </c>
      <c r="F29" t="s">
        <v>8173</v>
      </c>
      <c r="H29" s="2"/>
      <c r="J29" s="2"/>
      <c r="K29" s="2"/>
      <c r="L29" s="2"/>
    </row>
    <row r="31" spans="1:10">
      <c r="A31" s="2">
        <v>300054</v>
      </c>
      <c r="B31" t="s">
        <v>8174</v>
      </c>
      <c r="C31" s="2">
        <v>1</v>
      </c>
      <c r="D31" s="2">
        <v>1</v>
      </c>
      <c r="E31" s="9" t="s">
        <v>7854</v>
      </c>
      <c r="F31" s="10"/>
      <c r="J31" s="2"/>
    </row>
  </sheetData>
  <conditionalFormatting sqref="B3">
    <cfRule type="duplicateValues" dxfId="0" priority="13"/>
  </conditionalFormatting>
  <conditionalFormatting sqref="B9">
    <cfRule type="duplicateValues" dxfId="0" priority="10"/>
  </conditionalFormatting>
  <conditionalFormatting sqref="F9">
    <cfRule type="duplicateValues" dxfId="0" priority="9"/>
  </conditionalFormatting>
  <conditionalFormatting sqref="B10">
    <cfRule type="duplicateValues" dxfId="0" priority="8"/>
  </conditionalFormatting>
  <conditionalFormatting sqref="F10">
    <cfRule type="duplicateValues" dxfId="0" priority="7"/>
  </conditionalFormatting>
  <conditionalFormatting sqref="B12">
    <cfRule type="duplicateValues" dxfId="0" priority="6"/>
  </conditionalFormatting>
  <conditionalFormatting sqref="B15">
    <cfRule type="duplicateValues" dxfId="0" priority="4"/>
  </conditionalFormatting>
  <conditionalFormatting sqref="G25">
    <cfRule type="duplicateValues" dxfId="0" priority="1"/>
  </conditionalFormatting>
  <conditionalFormatting sqref="F16:F17"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"/>
  <sheetViews>
    <sheetView zoomScale="85" zoomScaleNormal="85" workbookViewId="0">
      <selection activeCell="H1" sqref="H1:H49"/>
    </sheetView>
  </sheetViews>
  <sheetFormatPr defaultColWidth="9" defaultRowHeight="15"/>
  <cols>
    <col min="1" max="1" width="16.5047619047619" customWidth="1"/>
    <col min="2" max="2" width="42.8285714285714" customWidth="1"/>
    <col min="3" max="3" width="38.0857142857143" customWidth="1"/>
    <col min="8" max="8" width="55.9714285714286" customWidth="1"/>
  </cols>
  <sheetData>
    <row r="1" ht="16.5" spans="1:9">
      <c r="A1" t="s">
        <v>8175</v>
      </c>
      <c r="B1" t="s">
        <v>8176</v>
      </c>
      <c r="C1" t="e">
        <f>A1&amp;#REF!</f>
        <v>#REF!</v>
      </c>
      <c r="F1" s="1"/>
      <c r="H1" t="str">
        <f>A1&amp;B1</f>
        <v>kaido005/kaido005_attack01</v>
      </c>
      <c r="I1" t="e">
        <f>#REF!=#REF!</f>
        <v>#REF!</v>
      </c>
    </row>
    <row r="2" spans="1:9">
      <c r="A2" t="s">
        <v>8175</v>
      </c>
      <c r="B2" t="s">
        <v>8177</v>
      </c>
      <c r="C2" t="e">
        <f>A2&amp;#REF!</f>
        <v>#REF!</v>
      </c>
      <c r="H2" t="str">
        <f t="shared" ref="H2:H33" si="0">A2&amp;B2</f>
        <v>kaido005/kaido005_attack02</v>
      </c>
      <c r="I2" t="e">
        <f>#REF!=#REF!</f>
        <v>#REF!</v>
      </c>
    </row>
    <row r="3" spans="1:9">
      <c r="A3" t="s">
        <v>8175</v>
      </c>
      <c r="B3" t="s">
        <v>8178</v>
      </c>
      <c r="C3" t="e">
        <f>A3&amp;#REF!</f>
        <v>#REF!</v>
      </c>
      <c r="H3" t="str">
        <f t="shared" si="0"/>
        <v>kaido005/kaido005_attack02_hit</v>
      </c>
      <c r="I3" t="e">
        <f>#REF!=#REF!</f>
        <v>#REF!</v>
      </c>
    </row>
    <row r="4" spans="1:9">
      <c r="A4" t="s">
        <v>8175</v>
      </c>
      <c r="B4" t="s">
        <v>8179</v>
      </c>
      <c r="C4" t="e">
        <f>A4&amp;#REF!</f>
        <v>#REF!</v>
      </c>
      <c r="H4" t="str">
        <f t="shared" si="0"/>
        <v>kaido005/kaido005_attack02_weapon</v>
      </c>
      <c r="I4" t="e">
        <f>#REF!=#REF!</f>
        <v>#REF!</v>
      </c>
    </row>
    <row r="5" spans="1:9">
      <c r="A5" t="s">
        <v>8175</v>
      </c>
      <c r="B5" t="s">
        <v>8180</v>
      </c>
      <c r="C5" t="e">
        <f>A5&amp;#REF!</f>
        <v>#REF!</v>
      </c>
      <c r="H5" t="str">
        <f t="shared" si="0"/>
        <v>kaido005/kaido005_attack03</v>
      </c>
      <c r="I5" t="e">
        <f>#REF!=#REF!</f>
        <v>#REF!</v>
      </c>
    </row>
    <row r="6" spans="1:9">
      <c r="A6" t="s">
        <v>8175</v>
      </c>
      <c r="B6" t="s">
        <v>8181</v>
      </c>
      <c r="C6" t="e">
        <f>A6&amp;#REF!</f>
        <v>#REF!</v>
      </c>
      <c r="H6" t="str">
        <f t="shared" si="0"/>
        <v>kaido005/kaido005_attack03_hit01</v>
      </c>
      <c r="I6" t="e">
        <f>#REF!=#REF!</f>
        <v>#REF!</v>
      </c>
    </row>
    <row r="7" spans="1:9">
      <c r="A7" t="s">
        <v>8175</v>
      </c>
      <c r="B7" t="s">
        <v>8182</v>
      </c>
      <c r="C7" t="e">
        <f>A7&amp;#REF!</f>
        <v>#REF!</v>
      </c>
      <c r="H7" t="str">
        <f t="shared" si="0"/>
        <v>kaido005/kaido005_attack03_hit02</v>
      </c>
      <c r="I7" t="e">
        <f>#REF!=#REF!</f>
        <v>#REF!</v>
      </c>
    </row>
    <row r="8" spans="1:9">
      <c r="A8" t="s">
        <v>8175</v>
      </c>
      <c r="B8" t="s">
        <v>8183</v>
      </c>
      <c r="C8" t="e">
        <f>A8&amp;#REF!</f>
        <v>#REF!</v>
      </c>
      <c r="H8" t="str">
        <f t="shared" si="0"/>
        <v>kaido005/kaido005_attack03_hit03</v>
      </c>
      <c r="I8" t="e">
        <f>#REF!=#REF!</f>
        <v>#REF!</v>
      </c>
    </row>
    <row r="9" spans="1:9">
      <c r="A9" t="s">
        <v>8175</v>
      </c>
      <c r="B9" t="s">
        <v>8184</v>
      </c>
      <c r="C9" t="e">
        <f>A9&amp;#REF!</f>
        <v>#REF!</v>
      </c>
      <c r="H9" t="str">
        <f t="shared" si="0"/>
        <v>kaido005/kaido005_attack03_weapon</v>
      </c>
      <c r="I9" t="e">
        <f>#REF!=#REF!</f>
        <v>#REF!</v>
      </c>
    </row>
    <row r="10" spans="1:9">
      <c r="A10" t="s">
        <v>8175</v>
      </c>
      <c r="B10" t="s">
        <v>8185</v>
      </c>
      <c r="C10" t="e">
        <f>A10&amp;#REF!</f>
        <v>#REF!</v>
      </c>
      <c r="H10" t="str">
        <f t="shared" si="0"/>
        <v>kaido005/kaido005_attack04</v>
      </c>
      <c r="I10" t="e">
        <f>#REF!=#REF!</f>
        <v>#REF!</v>
      </c>
    </row>
    <row r="11" spans="1:9">
      <c r="A11" t="s">
        <v>8175</v>
      </c>
      <c r="B11" t="s">
        <v>8186</v>
      </c>
      <c r="C11" t="e">
        <f>A11&amp;#REF!</f>
        <v>#REF!</v>
      </c>
      <c r="H11" t="str">
        <f t="shared" si="0"/>
        <v>kaido005/kaido005_mood06</v>
      </c>
      <c r="I11" t="e">
        <f>#REF!=#REF!</f>
        <v>#REF!</v>
      </c>
    </row>
    <row r="12" spans="1:9">
      <c r="A12" t="s">
        <v>8175</v>
      </c>
      <c r="B12" t="s">
        <v>8187</v>
      </c>
      <c r="C12" t="e">
        <f>A12&amp;#REF!</f>
        <v>#REF!</v>
      </c>
      <c r="H12" t="str">
        <f t="shared" si="0"/>
        <v>kaido005/kaido005_stand</v>
      </c>
      <c r="I12" t="e">
        <f>#REF!=#REF!</f>
        <v>#REF!</v>
      </c>
    </row>
    <row r="13" spans="1:9">
      <c r="A13" t="s">
        <v>8175</v>
      </c>
      <c r="B13" t="s">
        <v>8188</v>
      </c>
      <c r="C13" t="e">
        <f>A13&amp;#REF!</f>
        <v>#REF!</v>
      </c>
      <c r="H13" t="str">
        <f t="shared" si="0"/>
        <v>kaido005/kaido006_attack05</v>
      </c>
      <c r="I13" t="e">
        <f>#REF!=#REF!</f>
        <v>#REF!</v>
      </c>
    </row>
    <row r="14" spans="1:9">
      <c r="A14" t="s">
        <v>8175</v>
      </c>
      <c r="B14" t="s">
        <v>8189</v>
      </c>
      <c r="C14" t="e">
        <f>A14&amp;#REF!</f>
        <v>#REF!</v>
      </c>
      <c r="H14" t="str">
        <f t="shared" si="0"/>
        <v>kaido005/kaido006_attack05_Bone01_langyabang</v>
      </c>
      <c r="I14" t="e">
        <f>#REF!=#REF!</f>
        <v>#REF!</v>
      </c>
    </row>
    <row r="15" spans="1:9">
      <c r="A15" t="s">
        <v>8175</v>
      </c>
      <c r="B15" t="s">
        <v>8190</v>
      </c>
      <c r="C15" t="e">
        <f>A15&amp;#REF!</f>
        <v>#REF!</v>
      </c>
      <c r="H15" t="str">
        <f t="shared" si="0"/>
        <v>kaido005/kaido006_attack05_hit01</v>
      </c>
      <c r="I15" t="e">
        <f>#REF!=#REF!</f>
        <v>#REF!</v>
      </c>
    </row>
    <row r="16" spans="1:9">
      <c r="A16" t="s">
        <v>8175</v>
      </c>
      <c r="B16" t="s">
        <v>8191</v>
      </c>
      <c r="C16" t="e">
        <f>A16&amp;#REF!</f>
        <v>#REF!</v>
      </c>
      <c r="H16" t="str">
        <f t="shared" si="0"/>
        <v>kaido005/kaido006_attack05_hit02</v>
      </c>
      <c r="I16" t="e">
        <f>#REF!=#REF!</f>
        <v>#REF!</v>
      </c>
    </row>
    <row r="17" spans="1:8">
      <c r="A17" t="s">
        <v>8175</v>
      </c>
      <c r="B17" t="s">
        <v>8192</v>
      </c>
      <c r="H17" t="str">
        <f t="shared" si="0"/>
        <v>kaido005/kaido006_attack05_hit03</v>
      </c>
    </row>
    <row r="18" spans="1:8">
      <c r="A18" t="s">
        <v>8175</v>
      </c>
      <c r="B18" t="s">
        <v>8193</v>
      </c>
      <c r="H18" t="str">
        <f t="shared" si="0"/>
        <v>kaido005/kaido006_attack06</v>
      </c>
    </row>
    <row r="19" spans="1:8">
      <c r="A19" t="s">
        <v>8175</v>
      </c>
      <c r="B19" t="s">
        <v>8194</v>
      </c>
      <c r="H19" t="str">
        <f t="shared" si="0"/>
        <v>kaido005/kaido006_attack06_Bone01_langyabang</v>
      </c>
    </row>
    <row r="20" spans="1:8">
      <c r="A20" t="s">
        <v>8175</v>
      </c>
      <c r="B20" t="s">
        <v>8195</v>
      </c>
      <c r="H20" t="str">
        <f t="shared" si="0"/>
        <v>kaido005/kaido006_attack06_hit01</v>
      </c>
    </row>
    <row r="21" spans="1:8">
      <c r="A21" t="s">
        <v>8175</v>
      </c>
      <c r="B21" t="s">
        <v>8196</v>
      </c>
      <c r="H21" t="str">
        <f t="shared" si="0"/>
        <v>kaido005/kaido006_attack07</v>
      </c>
    </row>
    <row r="22" spans="1:8">
      <c r="A22" t="s">
        <v>8175</v>
      </c>
      <c r="B22" t="s">
        <v>8197</v>
      </c>
      <c r="H22" t="str">
        <f t="shared" si="0"/>
        <v>kaido005/kaido006_attack07_Bone01_langyabang</v>
      </c>
    </row>
    <row r="23" spans="1:8">
      <c r="A23" t="s">
        <v>8175</v>
      </c>
      <c r="B23" t="s">
        <v>8198</v>
      </c>
      <c r="H23" t="str">
        <f t="shared" si="0"/>
        <v>kaido005/kaido006_attack07_hit</v>
      </c>
    </row>
    <row r="24" spans="1:8">
      <c r="A24" t="s">
        <v>8175</v>
      </c>
      <c r="B24" t="s">
        <v>8199</v>
      </c>
      <c r="H24" t="str">
        <f t="shared" si="0"/>
        <v>kaido005/kaido006_attack08</v>
      </c>
    </row>
    <row r="25" spans="1:8">
      <c r="A25" t="s">
        <v>8175</v>
      </c>
      <c r="B25" t="s">
        <v>8200</v>
      </c>
      <c r="H25" t="str">
        <f t="shared" si="0"/>
        <v>kaido005/kaido006_attack08_Point001_huzi</v>
      </c>
    </row>
    <row r="26" spans="1:8">
      <c r="A26" t="s">
        <v>8175</v>
      </c>
      <c r="B26" t="s">
        <v>8201</v>
      </c>
      <c r="H26" t="str">
        <f t="shared" si="0"/>
        <v>kaido005/kaido006_attack09</v>
      </c>
    </row>
    <row r="27" spans="1:8">
      <c r="A27" t="s">
        <v>8175</v>
      </c>
      <c r="B27" t="s">
        <v>8202</v>
      </c>
      <c r="H27" t="str">
        <f t="shared" si="0"/>
        <v>kaido005/kaido006_attack09_Bone01_langyabang</v>
      </c>
    </row>
    <row r="28" spans="1:8">
      <c r="A28" t="s">
        <v>8175</v>
      </c>
      <c r="B28" t="s">
        <v>8203</v>
      </c>
      <c r="H28" t="str">
        <f t="shared" si="0"/>
        <v>kaido005/kaido006_attack09_hit1</v>
      </c>
    </row>
    <row r="29" spans="1:8">
      <c r="A29" t="s">
        <v>8175</v>
      </c>
      <c r="B29" t="s">
        <v>8204</v>
      </c>
      <c r="H29" t="str">
        <f t="shared" si="0"/>
        <v>kaido005/kaido006_attack09_hit2</v>
      </c>
    </row>
    <row r="30" spans="1:8">
      <c r="A30" t="s">
        <v>8175</v>
      </c>
      <c r="B30" t="s">
        <v>8205</v>
      </c>
      <c r="H30" t="str">
        <f t="shared" si="0"/>
        <v>kaido005/kaido006_attack11</v>
      </c>
    </row>
    <row r="31" spans="1:8">
      <c r="A31" t="s">
        <v>8175</v>
      </c>
      <c r="B31" t="s">
        <v>8206</v>
      </c>
      <c r="H31" t="str">
        <f t="shared" si="0"/>
        <v>kaido005/kaido006_attack14</v>
      </c>
    </row>
    <row r="32" spans="1:8">
      <c r="A32" t="s">
        <v>8175</v>
      </c>
      <c r="B32" t="s">
        <v>8207</v>
      </c>
      <c r="H32" t="str">
        <f t="shared" si="0"/>
        <v>kaido005/kaido006_attack14_Bone01_langyabang</v>
      </c>
    </row>
    <row r="33" spans="1:8">
      <c r="A33" t="s">
        <v>8175</v>
      </c>
      <c r="B33" t="s">
        <v>8208</v>
      </c>
      <c r="H33" t="str">
        <f t="shared" si="0"/>
        <v>kaido005/kaido006_attack14_hit01</v>
      </c>
    </row>
    <row r="34" spans="1:8">
      <c r="A34" t="s">
        <v>8175</v>
      </c>
      <c r="B34" t="s">
        <v>8209</v>
      </c>
      <c r="H34" t="str">
        <f t="shared" ref="H34:H52" si="1">A34&amp;B34</f>
        <v>kaido005/kaido006_attack14_hit02</v>
      </c>
    </row>
    <row r="35" spans="1:8">
      <c r="A35" t="s">
        <v>8175</v>
      </c>
      <c r="B35" t="s">
        <v>8210</v>
      </c>
      <c r="H35" t="str">
        <f t="shared" si="1"/>
        <v>kaido005/kaido006_buff_bianshen</v>
      </c>
    </row>
    <row r="36" spans="1:8">
      <c r="A36" t="s">
        <v>8175</v>
      </c>
      <c r="B36" t="s">
        <v>8211</v>
      </c>
      <c r="H36" t="str">
        <f t="shared" si="1"/>
        <v>kaido005/kaido006_buff_eye_Point001_toufa</v>
      </c>
    </row>
    <row r="37" spans="1:8">
      <c r="A37" t="s">
        <v>8175</v>
      </c>
      <c r="B37" t="s">
        <v>8212</v>
      </c>
      <c r="H37" t="str">
        <f t="shared" si="1"/>
        <v>kaido005/kaido006_buff_longlinhudun</v>
      </c>
    </row>
    <row r="38" spans="1:8">
      <c r="A38" t="s">
        <v>8175</v>
      </c>
      <c r="B38" t="s">
        <v>8213</v>
      </c>
      <c r="H38" t="str">
        <f t="shared" si="1"/>
        <v>kaido005/kaido006_buff_longpanxuan</v>
      </c>
    </row>
    <row r="39" spans="1:8">
      <c r="A39" t="s">
        <v>8175</v>
      </c>
      <c r="B39" t="s">
        <v>8214</v>
      </c>
      <c r="H39" t="str">
        <f t="shared" si="1"/>
        <v>kaido005/kaido006_mood06</v>
      </c>
    </row>
    <row r="40" spans="1:8">
      <c r="A40" t="s">
        <v>8175</v>
      </c>
      <c r="B40" t="s">
        <v>8215</v>
      </c>
      <c r="H40" t="str">
        <f t="shared" si="1"/>
        <v>kaido005/kaido006_stand</v>
      </c>
    </row>
    <row r="41" spans="1:8">
      <c r="A41" t="s">
        <v>8175</v>
      </c>
      <c r="B41" t="s">
        <v>8216</v>
      </c>
      <c r="H41" t="str">
        <f t="shared" si="1"/>
        <v>kaido005/kaido007_attack04_Bone026</v>
      </c>
    </row>
    <row r="42" spans="1:8">
      <c r="A42" t="s">
        <v>8175</v>
      </c>
      <c r="B42" t="s">
        <v>8217</v>
      </c>
      <c r="H42" t="str">
        <f t="shared" si="1"/>
        <v>kaido005/kaido007_attack10</v>
      </c>
    </row>
    <row r="43" spans="1:8">
      <c r="A43" t="s">
        <v>8175</v>
      </c>
      <c r="B43" t="s">
        <v>8218</v>
      </c>
      <c r="H43" t="str">
        <f t="shared" si="1"/>
        <v>kaido005/kaido007_attack12</v>
      </c>
    </row>
    <row r="44" spans="1:8">
      <c r="A44" t="s">
        <v>8175</v>
      </c>
      <c r="B44" t="s">
        <v>8219</v>
      </c>
      <c r="H44" t="str">
        <f t="shared" si="1"/>
        <v>kaido005/kaido007_attack12_point008</v>
      </c>
    </row>
    <row r="45" spans="1:8">
      <c r="A45" t="s">
        <v>8175</v>
      </c>
      <c r="B45" t="s">
        <v>8220</v>
      </c>
      <c r="H45" t="str">
        <f t="shared" si="1"/>
        <v>kaido005/kaido007_attack13</v>
      </c>
    </row>
    <row r="46" spans="1:8">
      <c r="A46" t="s">
        <v>8175</v>
      </c>
      <c r="B46" t="s">
        <v>8221</v>
      </c>
      <c r="H46" t="str">
        <f t="shared" si="1"/>
        <v>kaido005/kaido007_attack13_Bone097(mirrored)</v>
      </c>
    </row>
    <row r="47" spans="1:8">
      <c r="A47" t="s">
        <v>8175</v>
      </c>
      <c r="B47" t="s">
        <v>8222</v>
      </c>
      <c r="H47" t="str">
        <f t="shared" si="1"/>
        <v>kaido005/kaido007_attack13_Bone097</v>
      </c>
    </row>
    <row r="48" spans="1:8">
      <c r="A48" t="s">
        <v>8175</v>
      </c>
      <c r="B48" t="s">
        <v>8223</v>
      </c>
      <c r="H48" t="str">
        <f t="shared" si="1"/>
        <v>kaido005/UI_kaido005_long</v>
      </c>
    </row>
    <row r="49" spans="1:8">
      <c r="A49" t="s">
        <v>8175</v>
      </c>
      <c r="B49" t="s">
        <v>8224</v>
      </c>
      <c r="H49" t="str">
        <f t="shared" si="1"/>
        <v>kaido005/UI_kaido005_ren</v>
      </c>
    </row>
    <row r="50" spans="8:8">
      <c r="H50" t="str">
        <f t="shared" si="1"/>
        <v/>
      </c>
    </row>
    <row r="51" spans="8:8">
      <c r="H51" t="str">
        <f t="shared" si="1"/>
        <v/>
      </c>
    </row>
    <row r="52" spans="8:8">
      <c r="H52" t="str">
        <f t="shared" si="1"/>
        <v/>
      </c>
    </row>
    <row r="96" spans="3:3">
      <c r="C96" t="s">
        <v>8176</v>
      </c>
    </row>
    <row r="97" spans="3:3">
      <c r="C97" t="s">
        <v>8177</v>
      </c>
    </row>
    <row r="98" spans="3:3">
      <c r="C98" t="s">
        <v>8178</v>
      </c>
    </row>
    <row r="99" spans="3:3">
      <c r="C99" t="s">
        <v>8179</v>
      </c>
    </row>
    <row r="100" spans="3:3">
      <c r="C100" t="s">
        <v>8180</v>
      </c>
    </row>
    <row r="101" spans="3:3">
      <c r="C101" t="s">
        <v>8181</v>
      </c>
    </row>
    <row r="102" spans="3:3">
      <c r="C102" t="s">
        <v>8182</v>
      </c>
    </row>
    <row r="103" spans="3:3">
      <c r="C103" t="s">
        <v>8183</v>
      </c>
    </row>
    <row r="104" spans="3:3">
      <c r="C104" t="s">
        <v>8184</v>
      </c>
    </row>
    <row r="105" spans="3:3">
      <c r="C105" t="s">
        <v>8185</v>
      </c>
    </row>
    <row r="106" spans="3:3">
      <c r="C106" t="s">
        <v>8186</v>
      </c>
    </row>
    <row r="107" spans="3:3">
      <c r="C107" t="s">
        <v>8187</v>
      </c>
    </row>
    <row r="108" spans="3:3">
      <c r="C108" t="s">
        <v>8188</v>
      </c>
    </row>
    <row r="109" spans="3:3">
      <c r="C109" t="s">
        <v>8189</v>
      </c>
    </row>
    <row r="110" spans="3:3">
      <c r="C110" t="s">
        <v>8190</v>
      </c>
    </row>
    <row r="111" spans="3:3">
      <c r="C111" t="s">
        <v>8191</v>
      </c>
    </row>
    <row r="112" spans="3:3">
      <c r="C112" t="s">
        <v>8192</v>
      </c>
    </row>
    <row r="113" spans="3:3">
      <c r="C113" t="s">
        <v>8193</v>
      </c>
    </row>
    <row r="114" spans="3:3">
      <c r="C114" t="s">
        <v>8194</v>
      </c>
    </row>
    <row r="115" spans="3:3">
      <c r="C115" t="s">
        <v>8195</v>
      </c>
    </row>
    <row r="116" spans="3:3">
      <c r="C116" t="s">
        <v>8196</v>
      </c>
    </row>
    <row r="117" spans="3:3">
      <c r="C117" t="s">
        <v>8197</v>
      </c>
    </row>
    <row r="118" spans="3:3">
      <c r="C118" t="s">
        <v>8198</v>
      </c>
    </row>
    <row r="119" spans="3:3">
      <c r="C119" t="s">
        <v>8199</v>
      </c>
    </row>
    <row r="120" spans="3:3">
      <c r="C120" t="s">
        <v>8200</v>
      </c>
    </row>
    <row r="121" spans="3:3">
      <c r="C121" t="s">
        <v>8201</v>
      </c>
    </row>
    <row r="122" spans="3:3">
      <c r="C122" t="s">
        <v>8202</v>
      </c>
    </row>
    <row r="123" spans="3:3">
      <c r="C123" t="s">
        <v>8203</v>
      </c>
    </row>
    <row r="124" spans="3:3">
      <c r="C124" t="s">
        <v>8204</v>
      </c>
    </row>
    <row r="125" spans="3:3">
      <c r="C125" t="s">
        <v>8205</v>
      </c>
    </row>
    <row r="126" spans="3:3">
      <c r="C126" t="s">
        <v>8206</v>
      </c>
    </row>
    <row r="127" spans="3:3">
      <c r="C127" t="s">
        <v>8207</v>
      </c>
    </row>
    <row r="128" spans="3:3">
      <c r="C128" t="s">
        <v>8208</v>
      </c>
    </row>
    <row r="129" spans="3:3">
      <c r="C129" t="s">
        <v>8209</v>
      </c>
    </row>
    <row r="130" spans="3:3">
      <c r="C130" t="s">
        <v>8210</v>
      </c>
    </row>
    <row r="131" spans="3:3">
      <c r="C131" t="s">
        <v>8211</v>
      </c>
    </row>
    <row r="132" spans="3:3">
      <c r="C132" t="s">
        <v>8212</v>
      </c>
    </row>
    <row r="133" spans="3:3">
      <c r="C133" t="s">
        <v>8213</v>
      </c>
    </row>
    <row r="134" spans="3:3">
      <c r="C134" t="s">
        <v>8214</v>
      </c>
    </row>
    <row r="135" spans="3:3">
      <c r="C135" t="s">
        <v>8215</v>
      </c>
    </row>
    <row r="136" spans="3:3">
      <c r="C136" t="s">
        <v>8216</v>
      </c>
    </row>
    <row r="137" spans="3:3">
      <c r="C137" t="s">
        <v>8217</v>
      </c>
    </row>
    <row r="138" spans="3:3">
      <c r="C138" t="s">
        <v>8218</v>
      </c>
    </row>
    <row r="139" spans="3:3">
      <c r="C139" t="s">
        <v>8219</v>
      </c>
    </row>
    <row r="140" spans="3:3">
      <c r="C140" t="s">
        <v>8220</v>
      </c>
    </row>
    <row r="141" spans="3:3">
      <c r="C141" t="s">
        <v>8221</v>
      </c>
    </row>
    <row r="142" spans="3:3">
      <c r="C142" t="s">
        <v>8222</v>
      </c>
    </row>
    <row r="143" spans="3:3">
      <c r="C143" t="s">
        <v>8223</v>
      </c>
    </row>
    <row r="144" spans="3:3">
      <c r="C144" t="s">
        <v>8224</v>
      </c>
    </row>
  </sheetData>
  <conditionalFormatting sqref="I$1:I$1048576">
    <cfRule type="cellIs" dxfId="2" priority="1" operator="equal">
      <formula>$I$1</formula>
    </cfRule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WPS_1638872795</cp:lastModifiedBy>
  <dcterms:created xsi:type="dcterms:W3CDTF">2016-11-08T09:18:00Z</dcterms:created>
  <dcterms:modified xsi:type="dcterms:W3CDTF">2026-02-06T10:26:45Z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8B27FA335D3B4D17AD5DBD5296ECD188</vt:lpwstr>
  </property>
  <property fmtid="{D5CDD505-2E9C-101B-9397-08002B2CF9AE}" pid="4" name="KSOReadingLayout">
    <vt:bool>true</vt:bool>
  </property>
</Properties>
</file>